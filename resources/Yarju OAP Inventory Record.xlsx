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MU Road Construction" sheetId="1" r:id="rId4"/>
    <sheet state="visible" name="PMU Temp.sched" sheetId="2" r:id="rId5"/>
    <sheet state="visible" name="PMU Construction 15m" sheetId="3" r:id="rId6"/>
    <sheet state="visible" name="PMU Construction 20+18M" sheetId="4" r:id="rId7"/>
    <sheet state="visible" name="PMU Construction 50M" sheetId="5" r:id="rId8"/>
    <sheet state="visible" name="Mushroom Shed" sheetId="6" r:id="rId9"/>
    <sheet state="visible" name="PIU Fuel &amp; Lube Received" sheetId="7" r:id="rId10"/>
    <sheet state="visible" name="PIU Stock Received" sheetId="8" r:id="rId11"/>
    <sheet state="visible" name="Requestion Follow Up" sheetId="9" r:id="rId12"/>
    <sheet state="hidden" name="ChartData" sheetId="10" r:id="rId13"/>
  </sheets>
  <definedNames>
    <definedName name="FundsRemaining">INDEX('Budget summary'!$C$14:$C$19,ROWS('Budget summary'!$C$14:$C$19),1)</definedName>
    <definedName name="Title1">'Budget summary'!#REF!</definedName>
    <definedName name="Slicer_Category11">#REF!</definedName>
    <definedName name="FundsUsed">#REF!</definedName>
    <definedName name="Slicer_Category1">#REF!</definedName>
    <definedName name="RowTitleRegion1..C11">#REF!</definedName>
    <definedName name="FundsRemainingLabel">#REF!</definedName>
    <definedName name="Slicer_Category12">#REF!</definedName>
    <definedName name="AllottedFunds">#REF!</definedName>
    <definedName name="FundsUsedLabel">#REF!</definedName>
    <definedName name="ColumnTitle2">#REF!</definedName>
    <definedName name="ColumnTitleRegion1..D4.2">#REF!</definedName>
    <definedName hidden="1" localSheetId="7" name="_xlnm._FilterDatabase">'PIU Stock Received'!$A$1:$G$1573</definedName>
  </definedNames>
  <calcPr/>
  <extLst>
    <ext uri="GoogleSheetsCustomDataVersion2">
      <go:sheetsCustomData xmlns:go="http://customooxmlschemas.google.com/" r:id="rId14" roundtripDataChecksum="nd34yiaGLAIBt0LvGkUq5+Nnf7IcYywDjrvJQSNCaEU="/>
    </ext>
  </extLst>
</workbook>
</file>

<file path=xl/sharedStrings.xml><?xml version="1.0" encoding="utf-8"?>
<sst xmlns="http://schemas.openxmlformats.org/spreadsheetml/2006/main" count="19402" uniqueCount="3856">
  <si>
    <t>LIST</t>
  </si>
  <si>
    <t>OF 
EXPENSES</t>
  </si>
  <si>
    <t>The MoAL( Road Construction)</t>
  </si>
  <si>
    <t>PROJECT FUNDS ALLOTTED</t>
  </si>
  <si>
    <t>FUNDS USED TO DATE</t>
  </si>
  <si>
    <t>FUNDS REMAINING</t>
  </si>
  <si>
    <t>Sl No</t>
  </si>
  <si>
    <t>Bill No</t>
  </si>
  <si>
    <t>Date</t>
  </si>
  <si>
    <t>DV no</t>
  </si>
  <si>
    <t>DV date</t>
  </si>
  <si>
    <t>Challen no</t>
  </si>
  <si>
    <t>Challen Date</t>
  </si>
  <si>
    <t>Item</t>
  </si>
  <si>
    <t>Category</t>
  </si>
  <si>
    <t>Qty</t>
  </si>
  <si>
    <t>Unit</t>
  </si>
  <si>
    <t>Rate</t>
  </si>
  <si>
    <t>Amount</t>
  </si>
  <si>
    <t>Enterprise</t>
  </si>
  <si>
    <t>DV.2.122</t>
  </si>
  <si>
    <t>19.2.2025</t>
  </si>
  <si>
    <t>NIL</t>
  </si>
  <si>
    <t>Diesel</t>
  </si>
  <si>
    <t>Oil and Lubricant</t>
  </si>
  <si>
    <t>Ltrs</t>
  </si>
  <si>
    <t>DV.2.112</t>
  </si>
  <si>
    <t>18.2.2025</t>
  </si>
  <si>
    <t>Crowbar</t>
  </si>
  <si>
    <t>Construction Tools</t>
  </si>
  <si>
    <t>No.</t>
  </si>
  <si>
    <t>DV.2.118</t>
  </si>
  <si>
    <t>Chemical with tranportation</t>
  </si>
  <si>
    <t>Blasting</t>
  </si>
  <si>
    <t>Kg</t>
  </si>
  <si>
    <t>RGOB</t>
  </si>
  <si>
    <t>Petrol</t>
  </si>
  <si>
    <t>Mobil</t>
  </si>
  <si>
    <t>2T</t>
  </si>
  <si>
    <t>Pkts</t>
  </si>
  <si>
    <t>DV.2.113</t>
  </si>
  <si>
    <t>Barrel (Empty)</t>
  </si>
  <si>
    <t>Miscellaneous</t>
  </si>
  <si>
    <t>DV.4.108</t>
  </si>
  <si>
    <t>15.4.2025</t>
  </si>
  <si>
    <t>Excavator Hiring for DEC (BG-2A-0059)</t>
  </si>
  <si>
    <t>Hiring Charges</t>
  </si>
  <si>
    <t>Month</t>
  </si>
  <si>
    <t>FMCL</t>
  </si>
  <si>
    <t>DV.2.114</t>
  </si>
  <si>
    <t>Power chain</t>
  </si>
  <si>
    <t>Tools and Equipments</t>
  </si>
  <si>
    <t>Bar for power chain</t>
  </si>
  <si>
    <t>Chain for power chain</t>
  </si>
  <si>
    <t>File for power chain</t>
  </si>
  <si>
    <t>Construction Materials</t>
  </si>
  <si>
    <t>250202/29</t>
  </si>
  <si>
    <t>DV.3.98</t>
  </si>
  <si>
    <t>11.3.2025</t>
  </si>
  <si>
    <t>GI union 32mm</t>
  </si>
  <si>
    <t>Plumbing items</t>
  </si>
  <si>
    <t>GI union 15mm</t>
  </si>
  <si>
    <t>GI Tee 32mm</t>
  </si>
  <si>
    <t>U bolt 25mm</t>
  </si>
  <si>
    <t>U bolt 20mm</t>
  </si>
  <si>
    <t>no</t>
  </si>
  <si>
    <t>DV.3.114</t>
  </si>
  <si>
    <t>12.3.2025</t>
  </si>
  <si>
    <t>Bolero charges</t>
  </si>
  <si>
    <t>Range</t>
  </si>
  <si>
    <t>Wrench</t>
  </si>
  <si>
    <t>Speend level</t>
  </si>
  <si>
    <t>Wire rod pulley</t>
  </si>
  <si>
    <t>Wire rod</t>
  </si>
  <si>
    <t>Mtrs</t>
  </si>
  <si>
    <t>Transportation charges for Tactor</t>
  </si>
  <si>
    <t>Transportation Charges</t>
  </si>
  <si>
    <t>DV.2.121</t>
  </si>
  <si>
    <t>Drill rod 3ft</t>
  </si>
  <si>
    <t>Mobil (second hand)</t>
  </si>
  <si>
    <t>Tractor hiring charges</t>
  </si>
  <si>
    <t>Hume pipe 450mmx2.5</t>
  </si>
  <si>
    <t>Construction Materials (Fixed)</t>
  </si>
  <si>
    <t>Eurpean toliet</t>
  </si>
  <si>
    <t>Sanitary items</t>
  </si>
  <si>
    <t>Cistern</t>
  </si>
  <si>
    <t>Toliet cover</t>
  </si>
  <si>
    <t>Excavator hiring charges</t>
  </si>
  <si>
    <t>Dressing hammer</t>
  </si>
  <si>
    <t>No</t>
  </si>
  <si>
    <t>Blocking chisel</t>
  </si>
  <si>
    <t>BOD</t>
  </si>
  <si>
    <t>Nil</t>
  </si>
  <si>
    <t>DV.4.109</t>
  </si>
  <si>
    <t>Excavator Hiring for JAN(BG-2A-0059)</t>
  </si>
  <si>
    <t>DV.3.120</t>
  </si>
  <si>
    <t>17.3.2025</t>
  </si>
  <si>
    <t>Flexible pipe</t>
  </si>
  <si>
    <t>Roll</t>
  </si>
  <si>
    <t>PP Traders</t>
  </si>
  <si>
    <t>Drill rod 5ft</t>
  </si>
  <si>
    <t>Continental Bhutan</t>
  </si>
  <si>
    <t>Damchen PD Pvt.ltd</t>
  </si>
  <si>
    <t>Mobil 2nd hand</t>
  </si>
  <si>
    <t>DV.4.21</t>
  </si>
  <si>
    <t>04.04.2025</t>
  </si>
  <si>
    <t>HDPE Pipe 225mm</t>
  </si>
  <si>
    <t>SK Enterp.</t>
  </si>
  <si>
    <t>HDPE elbow 225mm</t>
  </si>
  <si>
    <t>PVC Glue</t>
  </si>
  <si>
    <t>HDPE socket 225mm</t>
  </si>
  <si>
    <t>DV.4.22</t>
  </si>
  <si>
    <t>Transportation of Roller</t>
  </si>
  <si>
    <t>11/03.2025</t>
  </si>
  <si>
    <t>Wire rope for Torjan</t>
  </si>
  <si>
    <t>Construction tools</t>
  </si>
  <si>
    <t>U bolt</t>
  </si>
  <si>
    <t>Iron for chisel</t>
  </si>
  <si>
    <t>U bolt for Torjan</t>
  </si>
  <si>
    <t>Grease</t>
  </si>
  <si>
    <t>Jar</t>
  </si>
  <si>
    <t>11.03.2025</t>
  </si>
  <si>
    <t>Cement</t>
  </si>
  <si>
    <t>Bag</t>
  </si>
  <si>
    <t>DV.3.190</t>
  </si>
  <si>
    <t>26.3.2025</t>
  </si>
  <si>
    <t>Transportation charges Tactor</t>
  </si>
  <si>
    <t>DV.3.122</t>
  </si>
  <si>
    <t>627/629</t>
  </si>
  <si>
    <t>Sprocket with drum</t>
  </si>
  <si>
    <t>Power chain ring</t>
  </si>
  <si>
    <t>Carburetor</t>
  </si>
  <si>
    <t>Power chain bar</t>
  </si>
  <si>
    <t>Kick rope</t>
  </si>
  <si>
    <t>Power chain file</t>
  </si>
  <si>
    <t>Excavator Hiring for FEB(BG-2A-0059)</t>
  </si>
  <si>
    <t>Excavator Hiring for Mar(BG-2A-0059)</t>
  </si>
  <si>
    <t>month</t>
  </si>
  <si>
    <t>Excavator hire charge BG-1-A0761 (Feb Month)</t>
  </si>
  <si>
    <t>DV.3.121</t>
  </si>
  <si>
    <t>DV.4.85</t>
  </si>
  <si>
    <t>11.4.2025</t>
  </si>
  <si>
    <t>MM tools</t>
  </si>
  <si>
    <t>DV.3.144</t>
  </si>
  <si>
    <t>DV.4.110</t>
  </si>
  <si>
    <t>15.04.2025</t>
  </si>
  <si>
    <t>Iron rolling rod/Metal Box</t>
  </si>
  <si>
    <t>Rods and Iron</t>
  </si>
  <si>
    <t>KY Seldon Scrap</t>
  </si>
  <si>
    <t>DV.3.201</t>
  </si>
  <si>
    <t>27.3.2025</t>
  </si>
  <si>
    <t>Tube</t>
  </si>
  <si>
    <t>Torjan wire</t>
  </si>
  <si>
    <t>Iron Box</t>
  </si>
  <si>
    <t>DV.4.2</t>
  </si>
  <si>
    <t>03.04.2025</t>
  </si>
  <si>
    <t>Nos</t>
  </si>
  <si>
    <t>03.4.2025</t>
  </si>
  <si>
    <t>nil</t>
  </si>
  <si>
    <t>2nd Hand Mobile</t>
  </si>
  <si>
    <t>NIl</t>
  </si>
  <si>
    <t>DV.4.111</t>
  </si>
  <si>
    <t>16.4.2025</t>
  </si>
  <si>
    <t>Round file (size 7")</t>
  </si>
  <si>
    <t>Chain for power chain (Sawing)</t>
  </si>
  <si>
    <t>nos</t>
  </si>
  <si>
    <t>Chain for power chain (cutting)</t>
  </si>
  <si>
    <t>Starter Rope</t>
  </si>
  <si>
    <t>Clip Lock</t>
  </si>
  <si>
    <t>Sprocket Rim</t>
  </si>
  <si>
    <t>Flate File</t>
  </si>
  <si>
    <t>DV.4.191</t>
  </si>
  <si>
    <t>30.4.2025</t>
  </si>
  <si>
    <t>Tactor Hiring for March(BG-1-A0055)</t>
  </si>
  <si>
    <t>Days</t>
  </si>
  <si>
    <t>DV.4.91</t>
  </si>
  <si>
    <t>Air compressor(Hiring)</t>
  </si>
  <si>
    <t>Hire of Vibration roller for Mar Month</t>
  </si>
  <si>
    <t>JCB Exacivator</t>
  </si>
  <si>
    <t>DV.4.149</t>
  </si>
  <si>
    <t>23.4.2025</t>
  </si>
  <si>
    <t>Mobile 2nd Hand</t>
  </si>
  <si>
    <t>DV.5.17</t>
  </si>
  <si>
    <t>08.5.2025</t>
  </si>
  <si>
    <t>Gabion Box</t>
  </si>
  <si>
    <t>Sangay Enterp.</t>
  </si>
  <si>
    <t>DV.4.124</t>
  </si>
  <si>
    <t>18.4.2025</t>
  </si>
  <si>
    <t>DV.4.178</t>
  </si>
  <si>
    <t>29.4.2025</t>
  </si>
  <si>
    <t>DV.5.23</t>
  </si>
  <si>
    <t>AS scrap Delar</t>
  </si>
  <si>
    <t>DV.6.243</t>
  </si>
  <si>
    <t>23.6.2025</t>
  </si>
  <si>
    <t>Tactor Hiring For April month</t>
  </si>
  <si>
    <t>DV.6.344</t>
  </si>
  <si>
    <t>26.6.2025</t>
  </si>
  <si>
    <t>Excavator Hiring for the April Month</t>
  </si>
  <si>
    <t>DV.6.343</t>
  </si>
  <si>
    <t>Hire of Vibration roller for April Month</t>
  </si>
  <si>
    <t>08.05.2025</t>
  </si>
  <si>
    <t>Mobil (New)</t>
  </si>
  <si>
    <t>DV.5.106</t>
  </si>
  <si>
    <t>19.5.2025</t>
  </si>
  <si>
    <t>DV.5.118</t>
  </si>
  <si>
    <t>21.5.2025</t>
  </si>
  <si>
    <t>Aggregate Transportation on 18/4/25 (BP-1-A9963 and BP-1-A9964)</t>
  </si>
  <si>
    <t>Truck</t>
  </si>
  <si>
    <t>South Hall</t>
  </si>
  <si>
    <t>Aggregate Transportation on 24/4/25 (BP-1-A9963 and BP-1-A9964)</t>
  </si>
  <si>
    <t>Aggregate Transportation on 27/4/25 (BP-1-A9963 and BP-1-A9964)</t>
  </si>
  <si>
    <t>Aggregate Transportation on 30/4/25 (BP-1-A9963)</t>
  </si>
  <si>
    <t>Aggregate Transportation on 3/5/25 (BP-1-A9963)</t>
  </si>
  <si>
    <t>DV.6.2</t>
  </si>
  <si>
    <t>Box Pipe</t>
  </si>
  <si>
    <t>KG</t>
  </si>
  <si>
    <t>Kinley Y seldon</t>
  </si>
  <si>
    <t>For wheel barrow Repair</t>
  </si>
  <si>
    <t>V-Belt (B-84)</t>
  </si>
  <si>
    <t>Maya Machinery</t>
  </si>
  <si>
    <t>Ring Gold and Selver</t>
  </si>
  <si>
    <t>Jigme Mart</t>
  </si>
  <si>
    <t>Cartoon Ring for Guest House</t>
  </si>
  <si>
    <t>Damchen P</t>
  </si>
  <si>
    <t>DV.6.180</t>
  </si>
  <si>
    <t>18.6.2025</t>
  </si>
  <si>
    <t>Shuttering Ply 12MM</t>
  </si>
  <si>
    <t>DV.6.109</t>
  </si>
  <si>
    <t>06.6.2025</t>
  </si>
  <si>
    <t>Wheel Barrow</t>
  </si>
  <si>
    <t>Tshering Norlha Enterp.</t>
  </si>
  <si>
    <t>Hire of Excavator for May Month</t>
  </si>
  <si>
    <t>Hire of Vibration roller for May Month</t>
  </si>
  <si>
    <t>Hire of Tactor for May Month</t>
  </si>
  <si>
    <t>DV.6.179</t>
  </si>
  <si>
    <t>17.6.2025</t>
  </si>
  <si>
    <t>Transportation charges for Shuttering Ply</t>
  </si>
  <si>
    <t>Hire of Excavator (BG-1-A0059) for May Month</t>
  </si>
  <si>
    <t>Sand with Transportation</t>
  </si>
  <si>
    <t>Aggregate 20MM with Transportation</t>
  </si>
  <si>
    <t>DV.6.87</t>
  </si>
  <si>
    <t>Diesel (Additional)</t>
  </si>
  <si>
    <t>DV.6.158</t>
  </si>
  <si>
    <t>DV.6.207</t>
  </si>
  <si>
    <t>19.6.2025</t>
  </si>
  <si>
    <t>Aggregrate 20mm with transportation</t>
  </si>
  <si>
    <t>South hall</t>
  </si>
  <si>
    <t>DV.6.205</t>
  </si>
  <si>
    <t>DV.6.206</t>
  </si>
  <si>
    <t>DV.6.336</t>
  </si>
  <si>
    <t>25.6.2025</t>
  </si>
  <si>
    <t>DV.7.40</t>
  </si>
  <si>
    <t>Excavator Hiring(April Month half done form MOAL)</t>
  </si>
  <si>
    <t>DV.8.17</t>
  </si>
  <si>
    <t>DV.10.177</t>
  </si>
  <si>
    <t>Boulder</t>
  </si>
  <si>
    <t>Trucks</t>
  </si>
  <si>
    <t>DV.10.193</t>
  </si>
  <si>
    <t>File</t>
  </si>
  <si>
    <t>Total</t>
  </si>
  <si>
    <t>The PEMA ( Temporary Shed)</t>
  </si>
  <si>
    <t>Bill Date</t>
  </si>
  <si>
    <t>DV No</t>
  </si>
  <si>
    <t>DV Date</t>
  </si>
  <si>
    <t>Challan Date</t>
  </si>
  <si>
    <t>DV.11.48</t>
  </si>
  <si>
    <t>13.11.2024</t>
  </si>
  <si>
    <t>Tarpaulin 24x18</t>
  </si>
  <si>
    <t>Other Materials</t>
  </si>
  <si>
    <t>Newar Enterp.</t>
  </si>
  <si>
    <t>Nylon Rope</t>
  </si>
  <si>
    <t>DV.11.80</t>
  </si>
  <si>
    <t>Expenditure for Salang Tendrel</t>
  </si>
  <si>
    <t>Ritual Expenses</t>
  </si>
  <si>
    <t>DV.11.50</t>
  </si>
  <si>
    <t>Copper wire 4sqmm</t>
  </si>
  <si>
    <t>Electrical items</t>
  </si>
  <si>
    <t>WOEZER Enterp.</t>
  </si>
  <si>
    <t>Socket without box</t>
  </si>
  <si>
    <t>Socket with box</t>
  </si>
  <si>
    <t>Penden holder</t>
  </si>
  <si>
    <t>Copper wire 1.5sqmm</t>
  </si>
  <si>
    <t>w</t>
  </si>
  <si>
    <t>LED bulb</t>
  </si>
  <si>
    <t>MCB 32 AMP</t>
  </si>
  <si>
    <t>MCB 16 AMP</t>
  </si>
  <si>
    <t>MCB box 4 way</t>
  </si>
  <si>
    <t>DP box</t>
  </si>
  <si>
    <t>Insulation tape</t>
  </si>
  <si>
    <t>CC cable</t>
  </si>
  <si>
    <t>3 Pin 16 AMP</t>
  </si>
  <si>
    <t>DP 63 AMP</t>
  </si>
  <si>
    <t>Nylon Rope 2 Roll</t>
  </si>
  <si>
    <t>Nail 3" &amp; 5"</t>
  </si>
  <si>
    <t>Fastening/Joining Materials</t>
  </si>
  <si>
    <t>Rechargeable torch</t>
  </si>
  <si>
    <t>Candle</t>
  </si>
  <si>
    <t>box</t>
  </si>
  <si>
    <t>Match box</t>
  </si>
  <si>
    <t>Spade</t>
  </si>
  <si>
    <t>Pickaxe</t>
  </si>
  <si>
    <t>Hammer</t>
  </si>
  <si>
    <t>Plastic bucket</t>
  </si>
  <si>
    <t>Jug</t>
  </si>
  <si>
    <t>DV.11.51</t>
  </si>
  <si>
    <t>MM tools Services</t>
  </si>
  <si>
    <t>Jerrican(20 ltr)</t>
  </si>
  <si>
    <t>Patang</t>
  </si>
  <si>
    <t>Sickle</t>
  </si>
  <si>
    <t>Shovel</t>
  </si>
  <si>
    <t>13.11.2025</t>
  </si>
  <si>
    <t>Power Chain File</t>
  </si>
  <si>
    <t>Spark plug</t>
  </si>
  <si>
    <t>Mobil/2T</t>
  </si>
  <si>
    <t>54/50</t>
  </si>
  <si>
    <t>DV.11.49</t>
  </si>
  <si>
    <t>CGI sheet 63mm</t>
  </si>
  <si>
    <t>Nail 4'' &amp; 5"</t>
  </si>
  <si>
    <t>SS Sliding bolt</t>
  </si>
  <si>
    <t>Set</t>
  </si>
  <si>
    <t>Plastic bib cock</t>
  </si>
  <si>
    <t>SS tower bolt</t>
  </si>
  <si>
    <t>249/250</t>
  </si>
  <si>
    <t>Sharping stone</t>
  </si>
  <si>
    <t>White paint</t>
  </si>
  <si>
    <t>Paint-Related</t>
  </si>
  <si>
    <t>Red paint</t>
  </si>
  <si>
    <t>Water pipe 20mm</t>
  </si>
  <si>
    <t>Measuring tape (20 mtrs )</t>
  </si>
  <si>
    <t>Measuring tape (5 mtrs )</t>
  </si>
  <si>
    <t>Axe</t>
  </si>
  <si>
    <t>Painting brush 3"</t>
  </si>
  <si>
    <t>Painting brush 4"</t>
  </si>
  <si>
    <t>Hand saw</t>
  </si>
  <si>
    <t>Red mud</t>
  </si>
  <si>
    <t>Threat</t>
  </si>
  <si>
    <t>Door Kabja</t>
  </si>
  <si>
    <t>DV.12.47</t>
  </si>
  <si>
    <t>09.12.2024</t>
  </si>
  <si>
    <t>DV.11.81</t>
  </si>
  <si>
    <t>21.11.2024</t>
  </si>
  <si>
    <t>AS scrap Dealer</t>
  </si>
  <si>
    <t>DV.12.40</t>
  </si>
  <si>
    <t>Expenditure for Lhabsang</t>
  </si>
  <si>
    <t>254/255</t>
  </si>
  <si>
    <t>LED Bulb</t>
  </si>
  <si>
    <t>Bulb Holder</t>
  </si>
  <si>
    <t>Pick axe</t>
  </si>
  <si>
    <t>Nail 6"</t>
  </si>
  <si>
    <t>Nail 5"</t>
  </si>
  <si>
    <t>Nail 4"</t>
  </si>
  <si>
    <t>Nail 3"</t>
  </si>
  <si>
    <t>Nail 2"</t>
  </si>
  <si>
    <t>Hand saw 18"</t>
  </si>
  <si>
    <t>HDPE Pipe</t>
  </si>
  <si>
    <t>Hammer 10 kgs</t>
  </si>
  <si>
    <t>PR241115832625</t>
  </si>
  <si>
    <t>DV.1.85</t>
  </si>
  <si>
    <t>Forest clearances and fees</t>
  </si>
  <si>
    <t>PR241118661084</t>
  </si>
  <si>
    <t>DV.12.43</t>
  </si>
  <si>
    <t>Copper wire 2,5mm</t>
  </si>
  <si>
    <t>Newar Enterp</t>
  </si>
  <si>
    <t>Copper wire 4mm</t>
  </si>
  <si>
    <t>Crowbar 10Kg</t>
  </si>
  <si>
    <t>DV.12.31</t>
  </si>
  <si>
    <t>05.12.2024</t>
  </si>
  <si>
    <t>DV.12.39</t>
  </si>
  <si>
    <t>K.G Trading</t>
  </si>
  <si>
    <t>Shuttering plastic (11 kgs)</t>
  </si>
  <si>
    <t>Calculator</t>
  </si>
  <si>
    <t>DRASINDRA Pvt.ltd</t>
  </si>
  <si>
    <t>Measuring tape</t>
  </si>
  <si>
    <t>DV.1.70</t>
  </si>
  <si>
    <t>14.01.2025</t>
  </si>
  <si>
    <t>Weighing machine</t>
  </si>
  <si>
    <t>Sign Board</t>
  </si>
  <si>
    <t>DV.2.75</t>
  </si>
  <si>
    <t>13.2.2025</t>
  </si>
  <si>
    <t>Pipe wrench</t>
  </si>
  <si>
    <t>Himalayan T&amp;M</t>
  </si>
  <si>
    <t>DV.2.73</t>
  </si>
  <si>
    <t>13.02.2025</t>
  </si>
  <si>
    <t>CGI sheet 63mm 6ft</t>
  </si>
  <si>
    <t>CGI sheet 63mm 8ft</t>
  </si>
  <si>
    <t>Karni</t>
  </si>
  <si>
    <t>DV.1.71</t>
  </si>
  <si>
    <t>Stationeries</t>
  </si>
  <si>
    <t>Office Stationaries</t>
  </si>
  <si>
    <t>DV.1.61</t>
  </si>
  <si>
    <t>13.01.2025</t>
  </si>
  <si>
    <t>Bags</t>
  </si>
  <si>
    <t>GANGKHAB</t>
  </si>
  <si>
    <t>DV.2.74</t>
  </si>
  <si>
    <t>Mason threat</t>
  </si>
  <si>
    <t>Construction Pan</t>
  </si>
  <si>
    <t>Pipe level</t>
  </si>
  <si>
    <t>Black mud</t>
  </si>
  <si>
    <t>Plumb bob</t>
  </si>
  <si>
    <t>DV.2.76</t>
  </si>
  <si>
    <t>DV.2.77</t>
  </si>
  <si>
    <t>Chisel 1/2</t>
  </si>
  <si>
    <t>Chisel 1"</t>
  </si>
  <si>
    <t>Chisel1 1/2 "</t>
  </si>
  <si>
    <t>Pencil battery</t>
  </si>
  <si>
    <t>Pairs</t>
  </si>
  <si>
    <t>Bib cock</t>
  </si>
  <si>
    <t>Hinges</t>
  </si>
  <si>
    <t>Pencil</t>
  </si>
  <si>
    <t>DV.2.78</t>
  </si>
  <si>
    <t>Carom board</t>
  </si>
  <si>
    <t>BUDDHA SPORT</t>
  </si>
  <si>
    <t>Volley ball</t>
  </si>
  <si>
    <t>Volley ball net</t>
  </si>
  <si>
    <t>Chess</t>
  </si>
  <si>
    <t>Pump</t>
  </si>
  <si>
    <t>Pawl</t>
  </si>
  <si>
    <t>MM Tools</t>
  </si>
  <si>
    <t>Spring</t>
  </si>
  <si>
    <t>Machinic charges</t>
  </si>
  <si>
    <t>Ply wood 8mm</t>
  </si>
  <si>
    <t>PP Rope</t>
  </si>
  <si>
    <t>TMT bar</t>
  </si>
  <si>
    <t>DV.3.199</t>
  </si>
  <si>
    <t>Hammer 5 kg</t>
  </si>
  <si>
    <t>Hammer 2 kg</t>
  </si>
  <si>
    <t>Claw hammer</t>
  </si>
  <si>
    <t>DV.2.115</t>
  </si>
  <si>
    <t>Pot 34"</t>
  </si>
  <si>
    <t>Bedding and Kitchen</t>
  </si>
  <si>
    <t>BD commercial</t>
  </si>
  <si>
    <t>Pot 32"</t>
  </si>
  <si>
    <t>Alu topia</t>
  </si>
  <si>
    <t>Rice spoon</t>
  </si>
  <si>
    <t>Knife</t>
  </si>
  <si>
    <t>Ladle</t>
  </si>
  <si>
    <t>Bucket</t>
  </si>
  <si>
    <t>Bowl</t>
  </si>
  <si>
    <t>Holder</t>
  </si>
  <si>
    <t>Fevical</t>
  </si>
  <si>
    <t>PP Trader</t>
  </si>
  <si>
    <t>Shuttering ply 12mm</t>
  </si>
  <si>
    <t>Measuring tape 30 mtrs</t>
  </si>
  <si>
    <t>Angle scale</t>
  </si>
  <si>
    <t>Red shuttering ply 12mm</t>
  </si>
  <si>
    <t>Plywood 8mm</t>
  </si>
  <si>
    <t>Hand saw file</t>
  </si>
  <si>
    <t>Jarry Can 20L</t>
  </si>
  <si>
    <t>Measuring tape 5mtrs</t>
  </si>
  <si>
    <t>GI reducer 40X15mm</t>
  </si>
  <si>
    <t>GI socket 40mm</t>
  </si>
  <si>
    <t>GI socket 1/2 "</t>
  </si>
  <si>
    <t>GI tee 1/2"</t>
  </si>
  <si>
    <t>Copper wire 2.5sqmm</t>
  </si>
  <si>
    <t>Extension code</t>
  </si>
  <si>
    <t>13.2.73</t>
  </si>
  <si>
    <t>Gypsum screw</t>
  </si>
  <si>
    <t>SS barrel bolt door</t>
  </si>
  <si>
    <t>SS sliding bolt</t>
  </si>
  <si>
    <t>Self drilling screw</t>
  </si>
  <si>
    <t>Hack saw frame</t>
  </si>
  <si>
    <t>Hack saw blade</t>
  </si>
  <si>
    <t>293/295</t>
  </si>
  <si>
    <t>Glass</t>
  </si>
  <si>
    <t>sqf</t>
  </si>
  <si>
    <t>Kabja 3"</t>
  </si>
  <si>
    <t>CGI sheet 0.63mm 6ft</t>
  </si>
  <si>
    <t>CGI sheet 0.63mm 9ft</t>
  </si>
  <si>
    <t>Cutter blade</t>
  </si>
  <si>
    <t>Thimble 50mm</t>
  </si>
  <si>
    <t>Thimble 35mm</t>
  </si>
  <si>
    <t>Thimble 25mm</t>
  </si>
  <si>
    <t>CGI sheet 8ft 063mm</t>
  </si>
  <si>
    <t>CGI sheet 9ft 063mm</t>
  </si>
  <si>
    <t>CGI sheet 10ft 063mm</t>
  </si>
  <si>
    <t>Ridging 6ft</t>
  </si>
  <si>
    <t>296/299</t>
  </si>
  <si>
    <t>MCCB 100A</t>
  </si>
  <si>
    <t>FT switch</t>
  </si>
  <si>
    <t>Gang box 1 way</t>
  </si>
  <si>
    <t>Gibson screw</t>
  </si>
  <si>
    <t>Plier</t>
  </si>
  <si>
    <t>Screw driver</t>
  </si>
  <si>
    <t>Step ladder</t>
  </si>
  <si>
    <t>Basbur 100A</t>
  </si>
  <si>
    <t>MCB 16AMP</t>
  </si>
  <si>
    <t>297/298</t>
  </si>
  <si>
    <t>Casing &amp; capping</t>
  </si>
  <si>
    <t>Casing join</t>
  </si>
  <si>
    <t>Casing pin</t>
  </si>
  <si>
    <t>Copper wire 1.5mm</t>
  </si>
  <si>
    <t>LED tube light</t>
  </si>
  <si>
    <t>Batten holder</t>
  </si>
  <si>
    <t>LED blub 9 Watt</t>
  </si>
  <si>
    <t>Ceiling rose</t>
  </si>
  <si>
    <t>Square box</t>
  </si>
  <si>
    <t>4 Way box</t>
  </si>
  <si>
    <t>3 way box</t>
  </si>
  <si>
    <t>2 way box</t>
  </si>
  <si>
    <t>1 way box</t>
  </si>
  <si>
    <t>Exhaust fan</t>
  </si>
  <si>
    <t>Ceiling fan</t>
  </si>
  <si>
    <t>Fan regulator</t>
  </si>
  <si>
    <t>Earthing wire 0.75mm</t>
  </si>
  <si>
    <t>1 Way Switch</t>
  </si>
  <si>
    <t>Flexible Pipe</t>
  </si>
  <si>
    <t>MCB Box 8 way</t>
  </si>
  <si>
    <t>DP MCB with box 63AMP</t>
  </si>
  <si>
    <t>GI screw 1"</t>
  </si>
  <si>
    <t>Panel pin</t>
  </si>
  <si>
    <t>MCB 4 pole 63A</t>
  </si>
  <si>
    <t>DP 63A</t>
  </si>
  <si>
    <t>MCB 32A</t>
  </si>
  <si>
    <t>Casing joining</t>
  </si>
  <si>
    <t>Casing nail</t>
  </si>
  <si>
    <t>Gang box 5 way</t>
  </si>
  <si>
    <t>Gang box 4 way</t>
  </si>
  <si>
    <t>Gang box 2 way</t>
  </si>
  <si>
    <t>Busbar 100A</t>
  </si>
  <si>
    <t>MCB box 10 way</t>
  </si>
  <si>
    <t>MCB box 2 way</t>
  </si>
  <si>
    <t>Angle Holder</t>
  </si>
  <si>
    <t>Hanging Holder</t>
  </si>
  <si>
    <t>2 Core service cable 16 sqmm</t>
  </si>
  <si>
    <t>mtrs</t>
  </si>
  <si>
    <t>Celing rose</t>
  </si>
  <si>
    <t>MCCB 63amp</t>
  </si>
  <si>
    <t>Nail4"</t>
  </si>
  <si>
    <t>HDPE pipe</t>
  </si>
  <si>
    <t>DV.3.196</t>
  </si>
  <si>
    <t>LUMPSUM</t>
  </si>
  <si>
    <t>DV.3.123</t>
  </si>
  <si>
    <t>Planner blade</t>
  </si>
  <si>
    <t>Maya MAchinery</t>
  </si>
  <si>
    <t>V-belt</t>
  </si>
  <si>
    <t>Selra IT Solution Centre</t>
  </si>
  <si>
    <t>SE/INV/1649</t>
  </si>
  <si>
    <t>DV.3.197</t>
  </si>
  <si>
    <t>Rulled paper /Plain</t>
  </si>
  <si>
    <t>Buddle</t>
  </si>
  <si>
    <t>SAMBA Enterp.</t>
  </si>
  <si>
    <t>Arch file</t>
  </si>
  <si>
    <t>DV.3.198</t>
  </si>
  <si>
    <t>Computer toner</t>
  </si>
  <si>
    <t>Bht. Alternative</t>
  </si>
  <si>
    <t>DV.6.176</t>
  </si>
  <si>
    <t>Toner 59A</t>
  </si>
  <si>
    <t>Office Stationary</t>
  </si>
  <si>
    <t>Selra IT solution</t>
  </si>
  <si>
    <t>File Arch</t>
  </si>
  <si>
    <t>Cellotap Big</t>
  </si>
  <si>
    <t>The PEMA ( Main Construction)</t>
  </si>
  <si>
    <t>DV DATE</t>
  </si>
  <si>
    <t>CHALLAN NO</t>
  </si>
  <si>
    <t>Purpose</t>
  </si>
  <si>
    <t>DV.3.175</t>
  </si>
  <si>
    <t>Clipper</t>
  </si>
  <si>
    <t>Happy Home</t>
  </si>
  <si>
    <t>DV.3.171</t>
  </si>
  <si>
    <t>2 core sqmma</t>
  </si>
  <si>
    <t>Sangay Enterp</t>
  </si>
  <si>
    <t>PVC tape</t>
  </si>
  <si>
    <t>DV.6.162</t>
  </si>
  <si>
    <t>Swan timber</t>
  </si>
  <si>
    <t>Timber</t>
  </si>
  <si>
    <t>Cft</t>
  </si>
  <si>
    <t>Rinchen Kuenphen Sawmill</t>
  </si>
  <si>
    <t>Bdcom/2025/60</t>
  </si>
  <si>
    <t>DV.4.113</t>
  </si>
  <si>
    <t>Plastic Bucket 16L</t>
  </si>
  <si>
    <t>BD Commercial</t>
  </si>
  <si>
    <t>Jug ( China)</t>
  </si>
  <si>
    <t xml:space="preserve"> </t>
  </si>
  <si>
    <t>PPGI sheet 50mmx28ft</t>
  </si>
  <si>
    <t>PPGI sheet 50mmx19ft</t>
  </si>
  <si>
    <t>PPGI sheet 50mmx21ft</t>
  </si>
  <si>
    <t>PPGI ridging</t>
  </si>
  <si>
    <t>Selra IT</t>
  </si>
  <si>
    <t>DV.3.195</t>
  </si>
  <si>
    <t>Chain for p/chain</t>
  </si>
  <si>
    <t>File for P/chain</t>
  </si>
  <si>
    <t>Rinchen Kuenphen Sawmil</t>
  </si>
  <si>
    <t>Cordless drill machine</t>
  </si>
  <si>
    <t>DV.3.232</t>
  </si>
  <si>
    <t>DV.3.186</t>
  </si>
  <si>
    <t>Transportation charges for Bamboo</t>
  </si>
  <si>
    <t>Trip</t>
  </si>
  <si>
    <t>trip</t>
  </si>
  <si>
    <t>Dv.3.186</t>
  </si>
  <si>
    <t>Transportation charges const items</t>
  </si>
  <si>
    <t>Transportation charges for hume pipe</t>
  </si>
  <si>
    <t>Transportation charges for Timber</t>
  </si>
  <si>
    <t>DV.5.96</t>
  </si>
  <si>
    <t>15.5.2025</t>
  </si>
  <si>
    <t>Kangaro Stapler Machine HD-45</t>
  </si>
  <si>
    <t>Drasindra</t>
  </si>
  <si>
    <t>Kangaro Stapler Machine HD-10</t>
  </si>
  <si>
    <t>Kangaro Stapler pin 24/6</t>
  </si>
  <si>
    <t>Kangaro Stapler pin No 10</t>
  </si>
  <si>
    <t>Celo tape 2" 100 Mtrs</t>
  </si>
  <si>
    <t>Nataraj Pen</t>
  </si>
  <si>
    <t>Mistubshi Pen</t>
  </si>
  <si>
    <t>DV.4.13</t>
  </si>
  <si>
    <t>CGI sheet 0.63mm 12ft</t>
  </si>
  <si>
    <t>CGI sheet 0.63mm 10ft</t>
  </si>
  <si>
    <t>DV.3.200</t>
  </si>
  <si>
    <t>Circular saw machine</t>
  </si>
  <si>
    <t>Grinder machine</t>
  </si>
  <si>
    <t>Planner machine</t>
  </si>
  <si>
    <t>Carbon</t>
  </si>
  <si>
    <t>File for hand saw</t>
  </si>
  <si>
    <t>Door handle 125mm</t>
  </si>
  <si>
    <t>DV.4.15</t>
  </si>
  <si>
    <t>610/611</t>
  </si>
  <si>
    <t>Brass elbow 3/4</t>
  </si>
  <si>
    <t>Angle cock</t>
  </si>
  <si>
    <t>Hose pipe</t>
  </si>
  <si>
    <t>GI saddle 20mm</t>
  </si>
  <si>
    <t>GI screw</t>
  </si>
  <si>
    <t>Wash basin cook</t>
  </si>
  <si>
    <t>MCCB 63A</t>
  </si>
  <si>
    <t>Thimble35mm</t>
  </si>
  <si>
    <t>DP 4 way</t>
  </si>
  <si>
    <t>Nail 3''</t>
  </si>
  <si>
    <t>Hinges 3''</t>
  </si>
  <si>
    <t>Tarpin oil</t>
  </si>
  <si>
    <t>Painting brush 4''</t>
  </si>
  <si>
    <t>Roller brush</t>
  </si>
  <si>
    <t>Nail 1''</t>
  </si>
  <si>
    <t>Wire for window</t>
  </si>
  <si>
    <t>Lock &amp; Key</t>
  </si>
  <si>
    <t>Shalimer white</t>
  </si>
  <si>
    <t>Shalimer brown</t>
  </si>
  <si>
    <t>Router machine</t>
  </si>
  <si>
    <t>Jig saw machine</t>
  </si>
  <si>
    <t>Drill machine</t>
  </si>
  <si>
    <t>CR1429</t>
  </si>
  <si>
    <t>DV.4.88</t>
  </si>
  <si>
    <t>UG cable 4core 50mm</t>
  </si>
  <si>
    <t>Gangkhab</t>
  </si>
  <si>
    <t>Tarpaulin 18x24</t>
  </si>
  <si>
    <t>Heating plate 8''</t>
  </si>
  <si>
    <t>Pema Norden Entrep</t>
  </si>
  <si>
    <t>Ariel cable 16sqmm</t>
  </si>
  <si>
    <t>DP MCB 63A</t>
  </si>
  <si>
    <t>HDPE pipe 1"</t>
  </si>
  <si>
    <t>DV.4.86</t>
  </si>
  <si>
    <t>Connection pipe</t>
  </si>
  <si>
    <t>TPN MCB 63A</t>
  </si>
  <si>
    <t>DV.4.16</t>
  </si>
  <si>
    <t>Tank nipple</t>
  </si>
  <si>
    <t>Tee</t>
  </si>
  <si>
    <t>Reducing tee</t>
  </si>
  <si>
    <t>Union</t>
  </si>
  <si>
    <t>Kgs</t>
  </si>
  <si>
    <t>DV.4.14</t>
  </si>
  <si>
    <t>CPVC tee</t>
  </si>
  <si>
    <t>Pipe 20mm</t>
  </si>
  <si>
    <t>Elbow</t>
  </si>
  <si>
    <t>Cement glue</t>
  </si>
  <si>
    <t>Pipe 4"</t>
  </si>
  <si>
    <t>Indian pot</t>
  </si>
  <si>
    <t>Cistrem</t>
  </si>
  <si>
    <t>Cover</t>
  </si>
  <si>
    <t>Geyser</t>
  </si>
  <si>
    <t>Wash basin</t>
  </si>
  <si>
    <t>Coupling</t>
  </si>
  <si>
    <t>Wall mixture</t>
  </si>
  <si>
    <t>T/seal tape</t>
  </si>
  <si>
    <t>CR1797</t>
  </si>
  <si>
    <t>DV.4.12</t>
  </si>
  <si>
    <t>GI gate valve 40mm</t>
  </si>
  <si>
    <t>SK Entrp.</t>
  </si>
  <si>
    <t>GI gate valve 25mm</t>
  </si>
  <si>
    <t>DV.4.129</t>
  </si>
  <si>
    <t>Mattress M</t>
  </si>
  <si>
    <t>PD Furniture</t>
  </si>
  <si>
    <t>Mattress S</t>
  </si>
  <si>
    <t>Bed shed with pillow cover</t>
  </si>
  <si>
    <t>Blanket double ply</t>
  </si>
  <si>
    <t>Foot mate</t>
  </si>
  <si>
    <t>Kitchen sink</t>
  </si>
  <si>
    <t>holder</t>
  </si>
  <si>
    <t>2 core 16sqmm</t>
  </si>
  <si>
    <t>Door bolt</t>
  </si>
  <si>
    <t>Welding machine</t>
  </si>
  <si>
    <t>Plate</t>
  </si>
  <si>
    <t>Spoon</t>
  </si>
  <si>
    <t>Frok</t>
  </si>
  <si>
    <t>Water glass</t>
  </si>
  <si>
    <t>Gas stove</t>
  </si>
  <si>
    <t>Cup for guest</t>
  </si>
  <si>
    <t>Gas regulator</t>
  </si>
  <si>
    <t>Tea cup</t>
  </si>
  <si>
    <t>Pot big</t>
  </si>
  <si>
    <t>Pot medium</t>
  </si>
  <si>
    <t>Pot small</t>
  </si>
  <si>
    <t>Frying pan big</t>
  </si>
  <si>
    <t>Prssure cooker</t>
  </si>
  <si>
    <t>Frying pan small</t>
  </si>
  <si>
    <t>Frying ladle</t>
  </si>
  <si>
    <t>Local ladle</t>
  </si>
  <si>
    <t>Tong</t>
  </si>
  <si>
    <t>Rice cooker</t>
  </si>
  <si>
    <t>Curry cooker</t>
  </si>
  <si>
    <t>Flask big</t>
  </si>
  <si>
    <t>Flask small</t>
  </si>
  <si>
    <t>Tea seive</t>
  </si>
  <si>
    <t>Kitchen knife</t>
  </si>
  <si>
    <t>Container</t>
  </si>
  <si>
    <t>630/627</t>
  </si>
  <si>
    <t>Tee 20mm</t>
  </si>
  <si>
    <t>CPVC pipe 20mm</t>
  </si>
  <si>
    <t>Bib cock barss</t>
  </si>
  <si>
    <t>Threading tape</t>
  </si>
  <si>
    <t>Socket 20mm</t>
  </si>
  <si>
    <t>Leveling pipe</t>
  </si>
  <si>
    <t>Router</t>
  </si>
  <si>
    <t>Ms rod 16mm (4 Bundel)</t>
  </si>
  <si>
    <t>Flap disc</t>
  </si>
  <si>
    <t>Sanding pad</t>
  </si>
  <si>
    <t>CR2598</t>
  </si>
  <si>
    <t>Ariel cable 10sqmm</t>
  </si>
  <si>
    <t>LED flood light 100W</t>
  </si>
  <si>
    <t>CR2237</t>
  </si>
  <si>
    <t>DV.4.90</t>
  </si>
  <si>
    <t>UG cable 4core 25mm</t>
  </si>
  <si>
    <t>DV.3.188</t>
  </si>
  <si>
    <t>20 mm Aggrate</t>
  </si>
  <si>
    <t>Snad and transportation Charges</t>
  </si>
  <si>
    <t>HDPE pipe3/4"</t>
  </si>
  <si>
    <t>DV.3.187</t>
  </si>
  <si>
    <t>Penden Cement</t>
  </si>
  <si>
    <t>Chain Link wire mash</t>
  </si>
  <si>
    <t>Sq Mts</t>
  </si>
  <si>
    <t>MCB 10KA</t>
  </si>
  <si>
    <t>Trowel</t>
  </si>
  <si>
    <t>Stone Hammer</t>
  </si>
  <si>
    <t>Door latch</t>
  </si>
  <si>
    <t>Hinges 4"</t>
  </si>
  <si>
    <t>DV.4.84</t>
  </si>
  <si>
    <t>Sand with Transportation Charges</t>
  </si>
  <si>
    <t>20mm Aggrate with transportation charges</t>
  </si>
  <si>
    <t>Transportation charges for timber</t>
  </si>
  <si>
    <t>DV.4.1</t>
  </si>
  <si>
    <t>V-belt (B-80)</t>
  </si>
  <si>
    <t>Maya Machinary</t>
  </si>
  <si>
    <t>V-belt (B-58)</t>
  </si>
  <si>
    <t>DV.5.128</t>
  </si>
  <si>
    <t>22.5.2025</t>
  </si>
  <si>
    <t>Welding rod</t>
  </si>
  <si>
    <t>Router bit</t>
  </si>
  <si>
    <t>LPG Filled Cylinder</t>
  </si>
  <si>
    <t>Tashi Commercial</t>
  </si>
  <si>
    <t>DV.4.3</t>
  </si>
  <si>
    <t>Chainlink</t>
  </si>
  <si>
    <t>Sqm</t>
  </si>
  <si>
    <t>Bajo Enterprise</t>
  </si>
  <si>
    <t>DV.4.121</t>
  </si>
  <si>
    <t>MCB 10 way</t>
  </si>
  <si>
    <t>Gang box 3 way</t>
  </si>
  <si>
    <t>Gang box 6 way</t>
  </si>
  <si>
    <t>Angle holder</t>
  </si>
  <si>
    <t>Nail hammer</t>
  </si>
  <si>
    <t>Hinges 3"</t>
  </si>
  <si>
    <t>Tower bolt</t>
  </si>
  <si>
    <t>Gypsum screw 2"</t>
  </si>
  <si>
    <t>Gypsum screw 1"</t>
  </si>
  <si>
    <t>Celling rose</t>
  </si>
  <si>
    <t>Square Box</t>
  </si>
  <si>
    <t>Earthing wire 0.75mm (270 Mtr)</t>
  </si>
  <si>
    <t>Caping and caping join</t>
  </si>
  <si>
    <t>MCCB 160A</t>
  </si>
  <si>
    <t>Bus Bar 200A</t>
  </si>
  <si>
    <t>CPVC angle elbow 90°20mm</t>
  </si>
  <si>
    <t>CPVC Tee 20mm</t>
  </si>
  <si>
    <t>CPVC plain socket 20mm</t>
  </si>
  <si>
    <t>CPVC brass elbow 20mm</t>
  </si>
  <si>
    <t>Waste pipe/PVC pipe 110mm</t>
  </si>
  <si>
    <t>PVC elbow 110mm</t>
  </si>
  <si>
    <t>GI Tee 1 "</t>
  </si>
  <si>
    <t>GI Union 1 "</t>
  </si>
  <si>
    <t>GI Socket</t>
  </si>
  <si>
    <t>GI Nipple 1"</t>
  </si>
  <si>
    <t>Control Ball</t>
  </si>
  <si>
    <t>Tank connector</t>
  </si>
  <si>
    <t>Casting and Caping 25mm</t>
  </si>
  <si>
    <t>Hunges 4"</t>
  </si>
  <si>
    <t>Construction materials</t>
  </si>
  <si>
    <t>HDPE pipe 20MM</t>
  </si>
  <si>
    <t>DV.5.116</t>
  </si>
  <si>
    <t>Water boiler</t>
  </si>
  <si>
    <t>King Koil Bhutan</t>
  </si>
  <si>
    <t>Curry bowl</t>
  </si>
  <si>
    <t>Cartridge (88A)</t>
  </si>
  <si>
    <t>Global Hi-Tee</t>
  </si>
  <si>
    <t>DV.4.122</t>
  </si>
  <si>
    <t>Mixture Machine</t>
  </si>
  <si>
    <t>Nail</t>
  </si>
  <si>
    <t>Sonam Enterprise</t>
  </si>
  <si>
    <t>Jaricane (20 L)</t>
  </si>
  <si>
    <t>Toilet Pot (OT Pan)</t>
  </si>
  <si>
    <t>DV.4.112</t>
  </si>
  <si>
    <t>Black Mud</t>
  </si>
  <si>
    <t>DV.4.114</t>
  </si>
  <si>
    <t>DV.4.115</t>
  </si>
  <si>
    <t>CGI sheet (63mm 12 ")</t>
  </si>
  <si>
    <t>CGI Sheet (63mm 10")</t>
  </si>
  <si>
    <t>CGI sheet (63mm 9")</t>
  </si>
  <si>
    <t>Indian toilet pot</t>
  </si>
  <si>
    <t>Kitchen Sink</t>
  </si>
  <si>
    <t>SITSC/2025/April/6</t>
  </si>
  <si>
    <t>DV.5.21</t>
  </si>
  <si>
    <t>File Choice</t>
  </si>
  <si>
    <t>File (Flat file yellow)</t>
  </si>
  <si>
    <t>Paper A4 size</t>
  </si>
  <si>
    <t>Ream</t>
  </si>
  <si>
    <t>Envelop 9X4</t>
  </si>
  <si>
    <t>Envelop A4 size</t>
  </si>
  <si>
    <t>Highlighter (OHP)</t>
  </si>
  <si>
    <t>Marker Pen Permanent Luxor</t>
  </si>
  <si>
    <t>Stapler Machine 24/6</t>
  </si>
  <si>
    <t>Stapler Machine No 10</t>
  </si>
  <si>
    <t>Stapler Pin</t>
  </si>
  <si>
    <t>Tonner CC388A(88A)</t>
  </si>
  <si>
    <t>File Folder</t>
  </si>
  <si>
    <t>CR4173</t>
  </si>
  <si>
    <t>DV.4.123</t>
  </si>
  <si>
    <t>638/640</t>
  </si>
  <si>
    <t>Wire Nail 5"</t>
  </si>
  <si>
    <t>HDPE pipe 25mm PN 12.5 100 Mtr</t>
  </si>
  <si>
    <t>CR4174</t>
  </si>
  <si>
    <t>Ariel cable 2 core 16sqmm</t>
  </si>
  <si>
    <t>UG cable 4 Core 25 sqmm</t>
  </si>
  <si>
    <t>PSD(336)</t>
  </si>
  <si>
    <t>DV.4.80</t>
  </si>
  <si>
    <t>Fuel and Maintance for Bolero for Jan, Feb 2025</t>
  </si>
  <si>
    <t>Monthly Expenses</t>
  </si>
  <si>
    <t>Lumpsum</t>
  </si>
  <si>
    <t>PSD</t>
  </si>
  <si>
    <t>DV.4.192</t>
  </si>
  <si>
    <t>Electricty Bill (Jan, Feb, March 2025)</t>
  </si>
  <si>
    <t>BPC</t>
  </si>
  <si>
    <t>DV.5.55</t>
  </si>
  <si>
    <t>13.5.2025</t>
  </si>
  <si>
    <t>Transportation of shuttering board</t>
  </si>
  <si>
    <t>CR4722</t>
  </si>
  <si>
    <t>HEPE pipe 25mm PN 12.5 100mtr</t>
  </si>
  <si>
    <t>CR4721</t>
  </si>
  <si>
    <t>Gypson Screw 3.5X38</t>
  </si>
  <si>
    <t>DV.5.18</t>
  </si>
  <si>
    <t>DV.4.190</t>
  </si>
  <si>
    <t>Sintex</t>
  </si>
  <si>
    <t>DV.4.89</t>
  </si>
  <si>
    <t>Voucher allowence to PIU and PMU for April</t>
  </si>
  <si>
    <t>DV.5.54</t>
  </si>
  <si>
    <t>Claw Hammer</t>
  </si>
  <si>
    <t>CR5602</t>
  </si>
  <si>
    <t>DV.5.51</t>
  </si>
  <si>
    <t>12.5.2025</t>
  </si>
  <si>
    <t>666/666</t>
  </si>
  <si>
    <t>Self Drill Screw</t>
  </si>
  <si>
    <t>Aluminium Sheet 4FT</t>
  </si>
  <si>
    <t>Dressing Hammer</t>
  </si>
  <si>
    <t>Stone Hammer (5KG)</t>
  </si>
  <si>
    <t>Pik Axe</t>
  </si>
  <si>
    <t>Crowbar Big</t>
  </si>
  <si>
    <t>Motar Pan</t>
  </si>
  <si>
    <t>DV.5.16</t>
  </si>
  <si>
    <t>Europen toilet</t>
  </si>
  <si>
    <t>P trap</t>
  </si>
  <si>
    <t>Fevicol</t>
  </si>
  <si>
    <t>DV.5.22</t>
  </si>
  <si>
    <t>Angle grander</t>
  </si>
  <si>
    <t>Planner Machine</t>
  </si>
  <si>
    <t>Circular saw blade</t>
  </si>
  <si>
    <t>Jig saw Blade</t>
  </si>
  <si>
    <t>DV.5.50</t>
  </si>
  <si>
    <t>663/679</t>
  </si>
  <si>
    <t>Chainsaw file</t>
  </si>
  <si>
    <t>Chainsaw Chain(swaing)</t>
  </si>
  <si>
    <t>DV.5.52</t>
  </si>
  <si>
    <t>Sanding Paper 80</t>
  </si>
  <si>
    <t>Sanding Paper100</t>
  </si>
  <si>
    <t>Sanding Paper 120</t>
  </si>
  <si>
    <t>Trouch Light(Rechargable)</t>
  </si>
  <si>
    <t>DV.5.53</t>
  </si>
  <si>
    <t>Sand Paper -80</t>
  </si>
  <si>
    <t>Pices</t>
  </si>
  <si>
    <t>P.R Enterp.</t>
  </si>
  <si>
    <t>Sand Paper -100</t>
  </si>
  <si>
    <t>Sand Paper -120</t>
  </si>
  <si>
    <t>1way gang Box</t>
  </si>
  <si>
    <t>Blub 9 watt</t>
  </si>
  <si>
    <t>110/111</t>
  </si>
  <si>
    <t>DV.5.19</t>
  </si>
  <si>
    <t>Rimdo at Yarju on 7 Jan 25 ( bill attached)</t>
  </si>
  <si>
    <t>Apsara Pincil</t>
  </si>
  <si>
    <t>DV.5.20</t>
  </si>
  <si>
    <t>Clamp 8"</t>
  </si>
  <si>
    <t>Sanding Pad</t>
  </si>
  <si>
    <t>DV.5.122</t>
  </si>
  <si>
    <t>Register No. 40</t>
  </si>
  <si>
    <t>CPVC angle 20mm</t>
  </si>
  <si>
    <t>CPVC tee 20mm</t>
  </si>
  <si>
    <t>CPVC socket 20mm</t>
  </si>
  <si>
    <t>Female copper adopter</t>
  </si>
  <si>
    <t>Wire Mesh</t>
  </si>
  <si>
    <t>Bundle</t>
  </si>
  <si>
    <t>Kulping</t>
  </si>
  <si>
    <t>Lock and Key</t>
  </si>
  <si>
    <t>DV.6.28</t>
  </si>
  <si>
    <t>05.06.2025</t>
  </si>
  <si>
    <t>Grinder Blade</t>
  </si>
  <si>
    <t>Mason Thread</t>
  </si>
  <si>
    <t>Busbar 200A</t>
  </si>
  <si>
    <t>DV.5.107</t>
  </si>
  <si>
    <t>Round Seal</t>
  </si>
  <si>
    <t>Ganesh Arts and Prints</t>
  </si>
  <si>
    <t>Flat Seal</t>
  </si>
  <si>
    <t>Baner (4X2) for signboard</t>
  </si>
  <si>
    <t>Bdcom/2025/1094</t>
  </si>
  <si>
    <t>DV.5.117</t>
  </si>
  <si>
    <t>Linoleum carpet</t>
  </si>
  <si>
    <t>sqft</t>
  </si>
  <si>
    <t>Bdcom/2025/1093</t>
  </si>
  <si>
    <t>Printer Pantum 6512 NW</t>
  </si>
  <si>
    <t>DV.6.29</t>
  </si>
  <si>
    <t>Switch</t>
  </si>
  <si>
    <t>Bulb 9W</t>
  </si>
  <si>
    <t>Insolation tape</t>
  </si>
  <si>
    <t>Switch Box 2 Way</t>
  </si>
  <si>
    <t>Switch Box 1 Way</t>
  </si>
  <si>
    <t>DV.6.23</t>
  </si>
  <si>
    <t>05.6.2025</t>
  </si>
  <si>
    <t>CPVC pipe clamp metal</t>
  </si>
  <si>
    <t>CPVC glue 237 ml</t>
  </si>
  <si>
    <t>Tin</t>
  </si>
  <si>
    <t>Pipe cutter</t>
  </si>
  <si>
    <t>GI socket 20mm</t>
  </si>
  <si>
    <t>GI union 20mm</t>
  </si>
  <si>
    <t>GI union 40mm</t>
  </si>
  <si>
    <t>Arial Cable 10 sqmm</t>
  </si>
  <si>
    <t>GI Union 25mm</t>
  </si>
  <si>
    <t>DV.6.27</t>
  </si>
  <si>
    <t>Led Tube light</t>
  </si>
  <si>
    <t>Gang Box 1 Way</t>
  </si>
  <si>
    <t>Casing Pin</t>
  </si>
  <si>
    <t>Brown Paint</t>
  </si>
  <si>
    <t>White Distemper</t>
  </si>
  <si>
    <t>Wall Putting</t>
  </si>
  <si>
    <t>Extension Code</t>
  </si>
  <si>
    <t>Power Strip</t>
  </si>
  <si>
    <t>DV.6.160</t>
  </si>
  <si>
    <t>13.6.2025</t>
  </si>
  <si>
    <t>Oil Pump for Power Chain</t>
  </si>
  <si>
    <t>Chain for Power Chain</t>
  </si>
  <si>
    <t>DV.6.30</t>
  </si>
  <si>
    <t>Visiting Chair Model 833 Stype</t>
  </si>
  <si>
    <t>KR Enterprise</t>
  </si>
  <si>
    <t>Voucher allowence for May Month</t>
  </si>
  <si>
    <t>Electricty Bill (April 2025)</t>
  </si>
  <si>
    <t>DV.5.121</t>
  </si>
  <si>
    <t>DV.5.119</t>
  </si>
  <si>
    <t>Timber Transportation on dated 3/2/25 (BP-2-A9964)(87)</t>
  </si>
  <si>
    <t>Timber Transportation on dated 5/2/25 (BP-2-A9964)(88)</t>
  </si>
  <si>
    <t>Timber Transportation on dated 8/2/25 (BP-2-A9964)(91)</t>
  </si>
  <si>
    <t>Trips</t>
  </si>
  <si>
    <t>Timber Transportation on dated 24/2/25 (BP-2-A9964)(4)</t>
  </si>
  <si>
    <t>Timber Transportation on dated 9/3/25 (BP-2-A9964)(7/8)</t>
  </si>
  <si>
    <t>CR6702</t>
  </si>
  <si>
    <t>DV.6.103</t>
  </si>
  <si>
    <t>06.06.2025</t>
  </si>
  <si>
    <t>Self drill screw 2 inch (Kg)</t>
  </si>
  <si>
    <t>Wire Nail 2"</t>
  </si>
  <si>
    <t>Wire Nail 3"</t>
  </si>
  <si>
    <t>Wire Nail 4"</t>
  </si>
  <si>
    <t>CR6705</t>
  </si>
  <si>
    <t>MCCB Loading 100AMP 25KA</t>
  </si>
  <si>
    <t>Bus Bar Chamber 100 AMP</t>
  </si>
  <si>
    <t>HDPE pipe 25MM PN 12.5 100MTR</t>
  </si>
  <si>
    <t>Rolls</t>
  </si>
  <si>
    <t>Homeflex copper wire 4.0sqmm 90 Mtr</t>
  </si>
  <si>
    <t>SS wire mesh Black 4 Feet</t>
  </si>
  <si>
    <t>DV.5.129</t>
  </si>
  <si>
    <t>17.5.2005</t>
  </si>
  <si>
    <t>17.5.2025</t>
  </si>
  <si>
    <t>CR7099</t>
  </si>
  <si>
    <t>DV.6.25</t>
  </si>
  <si>
    <t>Ply Shuttering Ply 12mm</t>
  </si>
  <si>
    <t>CR7101</t>
  </si>
  <si>
    <t>CGI sheet 0.63mm 12 Feet</t>
  </si>
  <si>
    <t>Led Flood light 100 watt</t>
  </si>
  <si>
    <t>Gyser 70ltrs</t>
  </si>
  <si>
    <t>Shower Head with arms</t>
  </si>
  <si>
    <t>Toilet Brush</t>
  </si>
  <si>
    <t>Harpic</t>
  </si>
  <si>
    <t>Phenol</t>
  </si>
  <si>
    <t>Wire Mesh (1 Bundle)</t>
  </si>
  <si>
    <t>Ply wood 6mm</t>
  </si>
  <si>
    <t>GI socket 0.05mm</t>
  </si>
  <si>
    <t>Mixture for Shower</t>
  </si>
  <si>
    <t>Water Mixter bib cock</t>
  </si>
  <si>
    <t>Basin with water Mixture</t>
  </si>
  <si>
    <t>Sets</t>
  </si>
  <si>
    <t>Plain Sheet (1 Bundle)</t>
  </si>
  <si>
    <t>CP connection pipe 36"</t>
  </si>
  <si>
    <t>Angle Valv</t>
  </si>
  <si>
    <t>DV.6.108</t>
  </si>
  <si>
    <t>Celing Fan</t>
  </si>
  <si>
    <t>Spring Door Closer</t>
  </si>
  <si>
    <t>White Paint</t>
  </si>
  <si>
    <t>Panel Pin</t>
  </si>
  <si>
    <t>Bdcom/2025/1226</t>
  </si>
  <si>
    <t>DV.6.24</t>
  </si>
  <si>
    <t>Refreigerator Samsung 183Ltrs</t>
  </si>
  <si>
    <t>DV.6.106</t>
  </si>
  <si>
    <t>Door Carton</t>
  </si>
  <si>
    <t>Mattress 78X60X8</t>
  </si>
  <si>
    <t>Big Size pillow</t>
  </si>
  <si>
    <t>Dust Bin</t>
  </si>
  <si>
    <t>Chineses Carpet</t>
  </si>
  <si>
    <t>Blanket</t>
  </si>
  <si>
    <t>Rice Cooker</t>
  </si>
  <si>
    <t>Curry Cooker</t>
  </si>
  <si>
    <t>Boiler</t>
  </si>
  <si>
    <t>Kitchen Knife</t>
  </si>
  <si>
    <t>Pot</t>
  </si>
  <si>
    <t>Yoegi Thap</t>
  </si>
  <si>
    <t>Mug</t>
  </si>
  <si>
    <t>DV.6.171</t>
  </si>
  <si>
    <t>Door Curton</t>
  </si>
  <si>
    <t>Sqft</t>
  </si>
  <si>
    <t>window Curton</t>
  </si>
  <si>
    <t>DV.6.172</t>
  </si>
  <si>
    <t>Bench Mattress(1.73X0.44M)</t>
  </si>
  <si>
    <t>Bench Mattress(1.75X0.46M)</t>
  </si>
  <si>
    <t>Bench Mattress(1,47X0.48M)</t>
  </si>
  <si>
    <t>Bench Mattress(1.770.43M)</t>
  </si>
  <si>
    <t>YRJ-0001</t>
  </si>
  <si>
    <t>DV.6.159</t>
  </si>
  <si>
    <t>1.6.2025</t>
  </si>
  <si>
    <t>Expenditure for Yarju Meeting</t>
  </si>
  <si>
    <t>Yarju OAP shop</t>
  </si>
  <si>
    <t>Bdcom/2025/1240</t>
  </si>
  <si>
    <t>DV.6.105</t>
  </si>
  <si>
    <t>Bucket Classic 916-16L</t>
  </si>
  <si>
    <t>Jug China</t>
  </si>
  <si>
    <t>Meeting expenses at Yarju</t>
  </si>
  <si>
    <t>22.05.2025</t>
  </si>
  <si>
    <t>curtains 2 part</t>
  </si>
  <si>
    <t>DV.6.26</t>
  </si>
  <si>
    <t>Duty vehicle Maintaiance</t>
  </si>
  <si>
    <t>Singye Agencies workshop</t>
  </si>
  <si>
    <t>DV.6.104</t>
  </si>
  <si>
    <t>Sentex</t>
  </si>
  <si>
    <t>DV.5.157</t>
  </si>
  <si>
    <t>TADA ( Enginner Phuntsho)</t>
  </si>
  <si>
    <t>DV.6.173</t>
  </si>
  <si>
    <t>Glass Cutter</t>
  </si>
  <si>
    <t>Window Handel</t>
  </si>
  <si>
    <t>Gypson Screw</t>
  </si>
  <si>
    <t>Pkt</t>
  </si>
  <si>
    <t>DV.6.175</t>
  </si>
  <si>
    <t>Drill Bit (4mm,6mm,8mm,10mm,12mm)</t>
  </si>
  <si>
    <t>Manson thread</t>
  </si>
  <si>
    <t>Block profile carpet (12mm)</t>
  </si>
  <si>
    <t>BBPL25TH-TR0214</t>
  </si>
  <si>
    <t>DV.6.107</t>
  </si>
  <si>
    <t>Tomson writing table 130 S 108</t>
  </si>
  <si>
    <t>BBPL</t>
  </si>
  <si>
    <t>File Cabinet 655 S 164</t>
  </si>
  <si>
    <t>DV.6.226</t>
  </si>
  <si>
    <t>20.6.2025</t>
  </si>
  <si>
    <t>Bar for Power chain</t>
  </si>
  <si>
    <t>DV.6.22</t>
  </si>
  <si>
    <t>Voucher allowence for June Month</t>
  </si>
  <si>
    <t>PSD(654)</t>
  </si>
  <si>
    <t>DV.6.401</t>
  </si>
  <si>
    <t>Bolero oil and Maintance for May month</t>
  </si>
  <si>
    <t>DV.8.24</t>
  </si>
  <si>
    <t>Damchn Petrolum</t>
  </si>
  <si>
    <t>DV.6.361</t>
  </si>
  <si>
    <t>27.6.2025</t>
  </si>
  <si>
    <t>Transportation of Rod TMT</t>
  </si>
  <si>
    <t>DV.6.227</t>
  </si>
  <si>
    <t>20/6/2025</t>
  </si>
  <si>
    <t>Timber transportation (BP-2-A9964)</t>
  </si>
  <si>
    <t>PE/cash/TH/2024/642</t>
  </si>
  <si>
    <t>DV.6.184</t>
  </si>
  <si>
    <t>TMT RODS 8MM</t>
  </si>
  <si>
    <t>Perfect Enterp.</t>
  </si>
  <si>
    <t>TMT RODS 10MM</t>
  </si>
  <si>
    <t>TMT RODS 12MM</t>
  </si>
  <si>
    <t>TMT RODS 16MM</t>
  </si>
  <si>
    <t>TMT RODS 20MM</t>
  </si>
  <si>
    <t>DV.6.360</t>
  </si>
  <si>
    <t>Penden PPC Cement</t>
  </si>
  <si>
    <t>TT Cement Agent</t>
  </si>
  <si>
    <t>CR8405</t>
  </si>
  <si>
    <t>DV.6.178</t>
  </si>
  <si>
    <t>HDPE PIPE 20MM PN16-100MTR</t>
  </si>
  <si>
    <t>Brass BIB Balve Pic 505 15MM</t>
  </si>
  <si>
    <t>GI Barrek Nipple 20X6 inch</t>
  </si>
  <si>
    <t>Hacksaw Blade Surya Double</t>
  </si>
  <si>
    <t>DV.6.174</t>
  </si>
  <si>
    <t>Toilet Pot</t>
  </si>
  <si>
    <t>Nails 1"</t>
  </si>
  <si>
    <t>Nails 2"</t>
  </si>
  <si>
    <t>Nails 3"</t>
  </si>
  <si>
    <t>Nails 4"</t>
  </si>
  <si>
    <t>Nails 6"</t>
  </si>
  <si>
    <t>DV.6.155</t>
  </si>
  <si>
    <t>DV.6.170</t>
  </si>
  <si>
    <t>Damchen Petroleum</t>
  </si>
  <si>
    <t>DV.6.181</t>
  </si>
  <si>
    <t>Electricty Bill (May 2025)</t>
  </si>
  <si>
    <t>Diesel For Bolero</t>
  </si>
  <si>
    <t>DV.6.228</t>
  </si>
  <si>
    <t>DV.6.393</t>
  </si>
  <si>
    <t>20mm Aggregrate with transportation</t>
  </si>
  <si>
    <t>DV.6.225</t>
  </si>
  <si>
    <t>Rod binder 8mm</t>
  </si>
  <si>
    <t>Rod Binder 10mm</t>
  </si>
  <si>
    <t>Rod Binder 16mm</t>
  </si>
  <si>
    <t>Rod Binder 20mm</t>
  </si>
  <si>
    <t>CR8748</t>
  </si>
  <si>
    <t>DV.6.229</t>
  </si>
  <si>
    <t>Eastman Rod cut of machine (ECM-355A)</t>
  </si>
  <si>
    <t>Rod cutter blade 14" 105X1X16mm</t>
  </si>
  <si>
    <t>Binding wire 25KG roll</t>
  </si>
  <si>
    <t>16.6.2025</t>
  </si>
  <si>
    <t>Helmet</t>
  </si>
  <si>
    <t>SE/INV/1697</t>
  </si>
  <si>
    <t>DV.6.356</t>
  </si>
  <si>
    <t>Stock Register</t>
  </si>
  <si>
    <t>Samba Enterp.</t>
  </si>
  <si>
    <t>DV.6.392</t>
  </si>
  <si>
    <t>DV.6.357</t>
  </si>
  <si>
    <t>Power chain MS382</t>
  </si>
  <si>
    <t>DV.6.359</t>
  </si>
  <si>
    <t>Oil Pump( take Out oil from Drum)</t>
  </si>
  <si>
    <t>DV.6.358</t>
  </si>
  <si>
    <t>PVC pipe 110mm</t>
  </si>
  <si>
    <t>Bdcom/2025/1540</t>
  </si>
  <si>
    <t>DV.6.355</t>
  </si>
  <si>
    <t>1231/1234</t>
  </si>
  <si>
    <t>White Board 6X4</t>
  </si>
  <si>
    <t>Filled LPG gas Cylinder</t>
  </si>
  <si>
    <t>DV.7.41</t>
  </si>
  <si>
    <t>Desktop Computer( Full Set)</t>
  </si>
  <si>
    <t>Norbu Thrakyod Pvt. Ltd</t>
  </si>
  <si>
    <t>12X24 set frame</t>
  </si>
  <si>
    <t>Pel Wang</t>
  </si>
  <si>
    <t>DV.6.397</t>
  </si>
  <si>
    <t>2nd Hand mobile oil</t>
  </si>
  <si>
    <t>Planner Blade 24X3mm</t>
  </si>
  <si>
    <t>V-Belt (A-65)</t>
  </si>
  <si>
    <t>V-Belt (A-41)</t>
  </si>
  <si>
    <t>DV.7.52</t>
  </si>
  <si>
    <t>Window Cartoon ( Sheer white)</t>
  </si>
  <si>
    <t>Bedanbath</t>
  </si>
  <si>
    <t>V-Belt (A-76)</t>
  </si>
  <si>
    <t>Rod die (8mm)</t>
  </si>
  <si>
    <t>TRG Hardware</t>
  </si>
  <si>
    <t>Rod Die (10mm)</t>
  </si>
  <si>
    <t>DV.7.51</t>
  </si>
  <si>
    <t>Steel Measuring tape</t>
  </si>
  <si>
    <t>Pcs</t>
  </si>
  <si>
    <t>Perfect Builders</t>
  </si>
  <si>
    <t>DV.7.6</t>
  </si>
  <si>
    <t>DV.8.18</t>
  </si>
  <si>
    <t>Nylon Rope (3 Rolls)</t>
  </si>
  <si>
    <t>DV.8.15</t>
  </si>
  <si>
    <t>Hume Pipe 600X2.5m</t>
  </si>
  <si>
    <t>Hume Pipe 450X2.5m</t>
  </si>
  <si>
    <t>Collar 600mm</t>
  </si>
  <si>
    <t>Collar 450mm</t>
  </si>
  <si>
    <t>DV.7.46</t>
  </si>
  <si>
    <t>DV.7.45</t>
  </si>
  <si>
    <t>Voucher Allowance for July Month</t>
  </si>
  <si>
    <t>Street Light 200watt</t>
  </si>
  <si>
    <t>SE/INV/1704</t>
  </si>
  <si>
    <t>DV.8.16</t>
  </si>
  <si>
    <t>Register Book thick</t>
  </si>
  <si>
    <t>Samba Enterpise</t>
  </si>
  <si>
    <t>DV.8.14</t>
  </si>
  <si>
    <t>Tshering Norlha Enterprise</t>
  </si>
  <si>
    <t>Gypsum Screw 1/3</t>
  </si>
  <si>
    <t>Insulation Tape</t>
  </si>
  <si>
    <t>Scoket with Box</t>
  </si>
  <si>
    <t>DV.7.47</t>
  </si>
  <si>
    <t>Moblie (New)</t>
  </si>
  <si>
    <t>SE/INV/1705</t>
  </si>
  <si>
    <t>Punching Machine</t>
  </si>
  <si>
    <t>Toner Cartrigde 88A</t>
  </si>
  <si>
    <t>Stapm Pad</t>
  </si>
  <si>
    <t>Cello Tape</t>
  </si>
  <si>
    <t>Glue Stick</t>
  </si>
  <si>
    <t>Arch File</t>
  </si>
  <si>
    <t>Flat File</t>
  </si>
  <si>
    <t>SE/INV/1706</t>
  </si>
  <si>
    <t>DV.8.23</t>
  </si>
  <si>
    <t>Ream ( Posang) 2Kg</t>
  </si>
  <si>
    <t>Ritual Items</t>
  </si>
  <si>
    <t>Pair</t>
  </si>
  <si>
    <t>Tenzin Dorji Choecha</t>
  </si>
  <si>
    <t>Nga</t>
  </si>
  <si>
    <t>Drelbu with Dorji</t>
  </si>
  <si>
    <t>Karmi Kom ( Copper)</t>
  </si>
  <si>
    <t>Serkhem Phichu (Copper)</t>
  </si>
  <si>
    <t>DV.8.19</t>
  </si>
  <si>
    <t>DV.8.20</t>
  </si>
  <si>
    <t>MS iron</t>
  </si>
  <si>
    <t>Kinley Y Seldon Scrap</t>
  </si>
  <si>
    <t>DV.8.13</t>
  </si>
  <si>
    <t>Voucher Allowance for  Aug Month</t>
  </si>
  <si>
    <t>DV.9.84</t>
  </si>
  <si>
    <t>DV.9.83</t>
  </si>
  <si>
    <t>DV.9.87</t>
  </si>
  <si>
    <t>DV.9.86</t>
  </si>
  <si>
    <t>DV.9.85</t>
  </si>
  <si>
    <t>2nd Mobile</t>
  </si>
  <si>
    <t>DV.9.82</t>
  </si>
  <si>
    <t>New Mobile</t>
  </si>
  <si>
    <t>Weight Machine</t>
  </si>
  <si>
    <t>Pradhans Enterprise</t>
  </si>
  <si>
    <t>Carbon(A/G, P/M, C.S)</t>
  </si>
  <si>
    <t>TCT Blade 7"</t>
  </si>
  <si>
    <t>Spring MS</t>
  </si>
  <si>
    <t>DV.8.78</t>
  </si>
  <si>
    <t>Electricty Bill ( June 2025)</t>
  </si>
  <si>
    <t>Electricty Bill ( July 2025)</t>
  </si>
  <si>
    <t>CR10046</t>
  </si>
  <si>
    <t>DV.9.96</t>
  </si>
  <si>
    <t>Water Pump 2 HP (Kirloskar KDS 235)</t>
  </si>
  <si>
    <t>SK Enterp</t>
  </si>
  <si>
    <t>CR10047</t>
  </si>
  <si>
    <t>Eastman Hand Vibrator with 1.5 M Nozzel</t>
  </si>
  <si>
    <t>CR11429</t>
  </si>
  <si>
    <t>Homeflex Copper wire 4.0 Sqmm 90 Mtrs</t>
  </si>
  <si>
    <t>Geecap Copper Wire 1.5sqmm 90 Mtrs</t>
  </si>
  <si>
    <t>Copper wire 6 Sqmm Red 90 Mtrs</t>
  </si>
  <si>
    <t>Sk Enterp</t>
  </si>
  <si>
    <t>Arial Cable 2 Core 10.0 Sqmm</t>
  </si>
  <si>
    <t>CR12418</t>
  </si>
  <si>
    <t>CGI Sheet 0.63mm 12 Feet</t>
  </si>
  <si>
    <t>CR12473</t>
  </si>
  <si>
    <t>DV.9.95</t>
  </si>
  <si>
    <t>Self drilling screw 3"</t>
  </si>
  <si>
    <t>MCB TPN 63A</t>
  </si>
  <si>
    <t>Led Tube Light</t>
  </si>
  <si>
    <t>Socket with Box</t>
  </si>
  <si>
    <t>Gang Box 6 way</t>
  </si>
  <si>
    <t>Gang Box 2 way</t>
  </si>
  <si>
    <t>DP MCB 63 Amps</t>
  </si>
  <si>
    <t>DP MCB</t>
  </si>
  <si>
    <t>Pendent Holder</t>
  </si>
  <si>
    <t>Union 20MM</t>
  </si>
  <si>
    <t>Union 25mm</t>
  </si>
  <si>
    <t>Manson Hammer</t>
  </si>
  <si>
    <t>Shaping Stone</t>
  </si>
  <si>
    <t>Measuring Tape</t>
  </si>
  <si>
    <t>Crowbar 5Kg</t>
  </si>
  <si>
    <t>Tarpuline 18X24</t>
  </si>
  <si>
    <t>Bib Cock Brass</t>
  </si>
  <si>
    <t>Angle Grander</t>
  </si>
  <si>
    <t xml:space="preserve">Nylon rope </t>
  </si>
  <si>
    <t>Brush</t>
  </si>
  <si>
    <t>Gloves</t>
  </si>
  <si>
    <t xml:space="preserve"> DV.9.95</t>
  </si>
  <si>
    <t>DV.9.93</t>
  </si>
  <si>
    <t>MM tools services</t>
  </si>
  <si>
    <t>File for Power Chain</t>
  </si>
  <si>
    <t>DV.9.92</t>
  </si>
  <si>
    <t>Hum Pipe Transportation charges</t>
  </si>
  <si>
    <t>Shertering and CGI sheet Transportation</t>
  </si>
  <si>
    <t>TMT rod Transportation</t>
  </si>
  <si>
    <t>DV.9.90</t>
  </si>
  <si>
    <t>Monthly Vehicle pol bills for Aug Month</t>
  </si>
  <si>
    <t>DV.9.89</t>
  </si>
  <si>
    <t>DV.9.102</t>
  </si>
  <si>
    <t xml:space="preserve">20mm Aggregate transportation </t>
  </si>
  <si>
    <t>LSRPL/CASH/TH/2025/09</t>
  </si>
  <si>
    <t>DV.9.103</t>
  </si>
  <si>
    <t>TMT rods 12mm (124 Bundles)</t>
  </si>
  <si>
    <t>Rod and Iron</t>
  </si>
  <si>
    <t>Lhaki steels and rolling</t>
  </si>
  <si>
    <t>TMT rods 20MM (48 Bundles)</t>
  </si>
  <si>
    <t>DV.9.106</t>
  </si>
  <si>
    <t>Mason thread</t>
  </si>
  <si>
    <t>DV.9.101</t>
  </si>
  <si>
    <t>Chain for Power Chain (Sawing)</t>
  </si>
  <si>
    <t>Chain for powerchain (Cutting)</t>
  </si>
  <si>
    <t>File for Power Chain (Trangular)</t>
  </si>
  <si>
    <t>File for Power Chain (Round)</t>
  </si>
  <si>
    <t>DV.9.104</t>
  </si>
  <si>
    <t>Tonner 59A</t>
  </si>
  <si>
    <t>DV.9.105</t>
  </si>
  <si>
    <t>Visiting Chair Model 833 stye</t>
  </si>
  <si>
    <t>K R Enterp</t>
  </si>
  <si>
    <t>PBSL/sale/2025/Aug/16/1214</t>
  </si>
  <si>
    <t>DV.9.108</t>
  </si>
  <si>
    <t>HDPE pipe 20MM PN10-100MTR</t>
  </si>
  <si>
    <t>Perfect Builders Store</t>
  </si>
  <si>
    <t>HDPE pipe 25MM PN10-100MTR</t>
  </si>
  <si>
    <t>Perfect Builders store</t>
  </si>
  <si>
    <t>HDPE pipe 20MM PN20-100MTR</t>
  </si>
  <si>
    <t>Perfect builsers Store</t>
  </si>
  <si>
    <t>DV.9.91</t>
  </si>
  <si>
    <t>PIU,PMU voucher allowance</t>
  </si>
  <si>
    <t>Monthly Vehicle pol bills for  Sep Month</t>
  </si>
  <si>
    <t>DV.9.100</t>
  </si>
  <si>
    <t>Double Extension Ladler 18"</t>
  </si>
  <si>
    <t>PR Enterprise</t>
  </si>
  <si>
    <t>BDcom/2025/1862</t>
  </si>
  <si>
    <t>DV.9.99</t>
  </si>
  <si>
    <t>Projector: Zebonic pixplay 25</t>
  </si>
  <si>
    <t>BDcom/2025/1863</t>
  </si>
  <si>
    <t>Plastic Bucket 20Ltrs</t>
  </si>
  <si>
    <t>BDcom/2025/1712</t>
  </si>
  <si>
    <t>Pantum 6512NM Printer</t>
  </si>
  <si>
    <t>CR13638</t>
  </si>
  <si>
    <t>DV.9.97</t>
  </si>
  <si>
    <t>Ply Shuttering Ply 12 mm</t>
  </si>
  <si>
    <t>CR13352</t>
  </si>
  <si>
    <t>Wheel Barrow single</t>
  </si>
  <si>
    <t>CR133351</t>
  </si>
  <si>
    <t>CR13446</t>
  </si>
  <si>
    <t>UG Cable 4 Core 50 Sqmm</t>
  </si>
  <si>
    <t>CR13832</t>
  </si>
  <si>
    <t>UG Cable 4 Core 25Sqmm</t>
  </si>
  <si>
    <t>Mts</t>
  </si>
  <si>
    <t>DV.9.139</t>
  </si>
  <si>
    <t>6mm Togan Cable</t>
  </si>
  <si>
    <t>Babesa Trading</t>
  </si>
  <si>
    <t>V-Belt(A-76)</t>
  </si>
  <si>
    <t>Blue  Rod fol (Door and window cartoon)</t>
  </si>
  <si>
    <t>Gray Marsh M(Door and Window Cartoon)</t>
  </si>
  <si>
    <t>Repairing of Router Machine</t>
  </si>
  <si>
    <t>Repair and Maintance</t>
  </si>
  <si>
    <t>Champa Electronics</t>
  </si>
  <si>
    <t>Switch and Lever ( repairing Angle Grander)</t>
  </si>
  <si>
    <t>Repairing of Planner Machine</t>
  </si>
  <si>
    <t>AC electronics</t>
  </si>
  <si>
    <t>DV.9.136</t>
  </si>
  <si>
    <t>Analog Handset(Alinco)</t>
  </si>
  <si>
    <t>Geserling Enterprise</t>
  </si>
  <si>
    <t>DV.9.128</t>
  </si>
  <si>
    <t>Electricty bill for Sep 2025</t>
  </si>
  <si>
    <t>DV.9.117</t>
  </si>
  <si>
    <t>A4 size paper</t>
  </si>
  <si>
    <t>Dejung Norbue Enterprise</t>
  </si>
  <si>
    <t>DV.9.114</t>
  </si>
  <si>
    <t>Transportation Charges for Cement</t>
  </si>
  <si>
    <t>For construction</t>
  </si>
  <si>
    <t>DV.9.116</t>
  </si>
  <si>
    <t>TRAnsportation Charges for Boulder</t>
  </si>
  <si>
    <t>DV.9.118</t>
  </si>
  <si>
    <t>Marker Pen Board Luxor</t>
  </si>
  <si>
    <t>file Ambassador</t>
  </si>
  <si>
    <t>Stapler Pin 24/6</t>
  </si>
  <si>
    <t>Dustbin</t>
  </si>
  <si>
    <t>Phyenol Cross</t>
  </si>
  <si>
    <t>Pen</t>
  </si>
  <si>
    <t>DV.9.150</t>
  </si>
  <si>
    <t>DV.9.115</t>
  </si>
  <si>
    <t>Power Chain Bar</t>
  </si>
  <si>
    <t>MM Tools Services</t>
  </si>
  <si>
    <t xml:space="preserve">Chain for powerchain </t>
  </si>
  <si>
    <t>File Round</t>
  </si>
  <si>
    <t>Triangular File</t>
  </si>
  <si>
    <t>Chain Sawing</t>
  </si>
  <si>
    <t>Chain Cutting</t>
  </si>
  <si>
    <t>DV.9.113</t>
  </si>
  <si>
    <t>Syntex Tank</t>
  </si>
  <si>
    <t>Newar Enterprise</t>
  </si>
  <si>
    <t>DV.9.182</t>
  </si>
  <si>
    <t>Monthly Bolero bill for the month of Sep</t>
  </si>
  <si>
    <t>DV.9.109</t>
  </si>
  <si>
    <t>843/845</t>
  </si>
  <si>
    <t xml:space="preserve">Damchen Petroleum </t>
  </si>
  <si>
    <t>Engine oil (2nd hand)</t>
  </si>
  <si>
    <t>BBPL-0054</t>
  </si>
  <si>
    <t>DV.9.140</t>
  </si>
  <si>
    <t>Eezy Chair</t>
  </si>
  <si>
    <t>office Stationary</t>
  </si>
  <si>
    <t>pcs</t>
  </si>
  <si>
    <t>For office purpose</t>
  </si>
  <si>
    <t>DV.10.49</t>
  </si>
  <si>
    <t>Transportation Charges for Boulder</t>
  </si>
  <si>
    <t>For ongoing dormitory Foundation</t>
  </si>
  <si>
    <t>DV.10.50</t>
  </si>
  <si>
    <t>For ongoing Construction work</t>
  </si>
  <si>
    <t>south Hall</t>
  </si>
  <si>
    <t>DV.10.51</t>
  </si>
  <si>
    <t>Transportation Charges for sand</t>
  </si>
  <si>
    <t>For Sawmill Construction</t>
  </si>
  <si>
    <t>Transportation CHarges for sand</t>
  </si>
  <si>
    <t>DV.9.181</t>
  </si>
  <si>
    <t>Hand Gloves</t>
  </si>
  <si>
    <t xml:space="preserve">Construction Materials </t>
  </si>
  <si>
    <t xml:space="preserve">To Meet Structural safety standard </t>
  </si>
  <si>
    <t>Shoval</t>
  </si>
  <si>
    <t>Plump Bob</t>
  </si>
  <si>
    <t>Mason Hammer</t>
  </si>
  <si>
    <t>Nails 5"</t>
  </si>
  <si>
    <t>Water level Pipe</t>
  </si>
  <si>
    <t xml:space="preserve">Sanding paper round 120grit </t>
  </si>
  <si>
    <t>Carton</t>
  </si>
  <si>
    <t>For Consrtuction work</t>
  </si>
  <si>
    <t>Sanding paper round 100grit</t>
  </si>
  <si>
    <t>For Consrtuction woek</t>
  </si>
  <si>
    <t>Sanding paper round 80grit</t>
  </si>
  <si>
    <t>carton</t>
  </si>
  <si>
    <t>pics</t>
  </si>
  <si>
    <t>Steel Float</t>
  </si>
  <si>
    <t>DV.10.74</t>
  </si>
  <si>
    <t>Socket with box (16A)</t>
  </si>
  <si>
    <t>Temporary house construction</t>
  </si>
  <si>
    <t>Bulb LED</t>
  </si>
  <si>
    <t>FT Switch</t>
  </si>
  <si>
    <t>MCB 32 A</t>
  </si>
  <si>
    <t>MCCB 200A</t>
  </si>
  <si>
    <t>Earthing Wire</t>
  </si>
  <si>
    <t>Electrical Installation</t>
  </si>
  <si>
    <t xml:space="preserve">Insulation Tape </t>
  </si>
  <si>
    <t>LED Tube Light</t>
  </si>
  <si>
    <t>Foot Mat</t>
  </si>
  <si>
    <t>Office purpose</t>
  </si>
  <si>
    <t>P-Trap</t>
  </si>
  <si>
    <t>For Toilet Pot</t>
  </si>
  <si>
    <t>For Construction of Dormotary</t>
  </si>
  <si>
    <t>Iron Brush</t>
  </si>
  <si>
    <t>DV.10.76</t>
  </si>
  <si>
    <t>For GC and Health office</t>
  </si>
  <si>
    <r>
      <rPr>
        <rFont val="Times New Roman"/>
        <color rgb="FF2C3239"/>
        <sz val="12.0"/>
      </rPr>
      <t>D</t>
    </r>
    <r>
      <rPr>
        <rFont val="Times New Roman"/>
        <color rgb="FF2C3239"/>
        <sz val="12.0"/>
      </rPr>
      <t>oor buckle stainless steel 4"</t>
    </r>
  </si>
  <si>
    <t>Door Latch</t>
  </si>
  <si>
    <t>For Construction</t>
  </si>
  <si>
    <t>Sawmill connection</t>
  </si>
  <si>
    <t>DV.10.69</t>
  </si>
  <si>
    <t>Broom Soft</t>
  </si>
  <si>
    <t xml:space="preserve">Panglung Enterprise </t>
  </si>
  <si>
    <t xml:space="preserve">For the PIU office Purpose </t>
  </si>
  <si>
    <t>Broom Hard</t>
  </si>
  <si>
    <t>DV.10.94</t>
  </si>
  <si>
    <t>Plastic barral</t>
  </si>
  <si>
    <t>AS Scrap Dealer</t>
  </si>
  <si>
    <t xml:space="preserve">For oil </t>
  </si>
  <si>
    <t>DV.10.72</t>
  </si>
  <si>
    <t>Armature</t>
  </si>
  <si>
    <t>set</t>
  </si>
  <si>
    <t>JRS Drive</t>
  </si>
  <si>
    <t xml:space="preserve">For Construction </t>
  </si>
  <si>
    <t>DV.10.45</t>
  </si>
  <si>
    <t>For operating Exacavator, tractor</t>
  </si>
  <si>
    <t>lts</t>
  </si>
  <si>
    <t>DV.10.75</t>
  </si>
  <si>
    <t xml:space="preserve">For Road Construction </t>
  </si>
  <si>
    <t>Transportationn Charges for Boulder</t>
  </si>
  <si>
    <t xml:space="preserve">For Sawmill Construction. </t>
  </si>
  <si>
    <t>DV.10.39</t>
  </si>
  <si>
    <t>ltrs</t>
  </si>
  <si>
    <t>For Agriculture land clearing</t>
  </si>
  <si>
    <t>DV.10.30</t>
  </si>
  <si>
    <t xml:space="preserve">Armature (GKS 130) </t>
  </si>
  <si>
    <t>Ms. Brother Electronic Services</t>
  </si>
  <si>
    <t>Armature fuel coil and carbon (gks130)</t>
  </si>
  <si>
    <t>for construction</t>
  </si>
  <si>
    <t>CR13448</t>
  </si>
  <si>
    <t>DV.9.137</t>
  </si>
  <si>
    <t>Gypsum Screw 75x3.5 (Steelgear)</t>
  </si>
  <si>
    <t>units</t>
  </si>
  <si>
    <t>SK Enterprise</t>
  </si>
  <si>
    <t>To be sawn at site</t>
  </si>
  <si>
    <t>Wire nail 5 inch</t>
  </si>
  <si>
    <t>kgs</t>
  </si>
  <si>
    <t>Gee-N Copper wire 4sqmm 90mtr</t>
  </si>
  <si>
    <t>rolls</t>
  </si>
  <si>
    <t>Brass Bib Cock Nozzel 15mm</t>
  </si>
  <si>
    <t>CR13834</t>
  </si>
  <si>
    <t>Copper wire 4.0SQMM - Loose</t>
  </si>
  <si>
    <t xml:space="preserve">For office Extension </t>
  </si>
  <si>
    <t>Copper wire 1.5 SQMM/Loose</t>
  </si>
  <si>
    <t>Fan Stand Ridhi</t>
  </si>
  <si>
    <t>For office</t>
  </si>
  <si>
    <t>Units</t>
  </si>
  <si>
    <t>For wash room in Office</t>
  </si>
  <si>
    <t>CR13881</t>
  </si>
  <si>
    <t>Screw Drivers set C802</t>
  </si>
  <si>
    <t>Sk Enteprise</t>
  </si>
  <si>
    <t>For Office</t>
  </si>
  <si>
    <t>Allen key set 810mm AKM9</t>
  </si>
  <si>
    <t>Impact Drill Machine GSB 20-2/20-2RE</t>
  </si>
  <si>
    <t>Combination Plires with joint cutter 1621-8</t>
  </si>
  <si>
    <t>SK Enteprise</t>
  </si>
  <si>
    <t>Line Testers 3.5 *mm 813</t>
  </si>
  <si>
    <t>CR14312</t>
  </si>
  <si>
    <t>Casing Capping 25 x 16 (3/4 Inch)</t>
  </si>
  <si>
    <t>Electrical Items</t>
  </si>
  <si>
    <t>For Office Extension</t>
  </si>
  <si>
    <t>CR14315</t>
  </si>
  <si>
    <t>MS Hinges 4 Inch</t>
  </si>
  <si>
    <t>Bacholor Camp</t>
  </si>
  <si>
    <t>Wire Nail 2 Inch</t>
  </si>
  <si>
    <t>Wire Nail 3 Inch</t>
  </si>
  <si>
    <t>Wire Nail 4 Inch</t>
  </si>
  <si>
    <t>Wikre Nail 5 Inch</t>
  </si>
  <si>
    <t>Wire Nail 6 Inch</t>
  </si>
  <si>
    <t>Fevicol 1KG</t>
  </si>
  <si>
    <t>Oil Paint White 1 Ltr Shalimar</t>
  </si>
  <si>
    <t>Drums</t>
  </si>
  <si>
    <t>CR14316</t>
  </si>
  <si>
    <t>GI Socket 20mm</t>
  </si>
  <si>
    <t>For New Camp</t>
  </si>
  <si>
    <t>GI Tank Nipple 25MM</t>
  </si>
  <si>
    <t>Plumbing Items</t>
  </si>
  <si>
    <t xml:space="preserve">CPVC Pipe 20MM SDR-11 3 Mtr </t>
  </si>
  <si>
    <t>Brass Bib Cock Nozzel 15MM</t>
  </si>
  <si>
    <t>CPVC Elbow 20MM Astral M512110202</t>
  </si>
  <si>
    <t>CPVC Glue 946ML- Astral M001001035</t>
  </si>
  <si>
    <t>CPVC Female Adaptor Brass 20MM</t>
  </si>
  <si>
    <t>GI Union 20MM</t>
  </si>
  <si>
    <t>PVC Pipe 110MMx10FT- Astral M341110309</t>
  </si>
  <si>
    <t>PVC Elbow 110MM - Astral M342001209</t>
  </si>
  <si>
    <t>CPVC Tee 20MM - Astral M512110101</t>
  </si>
  <si>
    <t>CPVC Socket 20MM -Astral M512111002</t>
  </si>
  <si>
    <t>CR15011</t>
  </si>
  <si>
    <t>Ply Shuttering Ply 12MM</t>
  </si>
  <si>
    <t xml:space="preserve">Mason Thread </t>
  </si>
  <si>
    <t>DV.10.53</t>
  </si>
  <si>
    <t xml:space="preserve">Register Attandance </t>
  </si>
  <si>
    <t xml:space="preserve">Selra IT Solution </t>
  </si>
  <si>
    <t>For PIU Office</t>
  </si>
  <si>
    <t>Dust Collector</t>
  </si>
  <si>
    <t>SE/NV/1708</t>
  </si>
  <si>
    <t>DV.10.48</t>
  </si>
  <si>
    <t>Samba Enterprise</t>
  </si>
  <si>
    <t>SE/NV/1720</t>
  </si>
  <si>
    <t>Register No. 20</t>
  </si>
  <si>
    <t>Scale 30 CM</t>
  </si>
  <si>
    <t>DV.10.44</t>
  </si>
  <si>
    <t xml:space="preserve">Transportation Charges For Cement </t>
  </si>
  <si>
    <t>DV.10.93</t>
  </si>
  <si>
    <t xml:space="preserve">Oil and Lubricant </t>
  </si>
  <si>
    <t>For Excavator and JCB</t>
  </si>
  <si>
    <t>Damchen Petrolum</t>
  </si>
  <si>
    <t>For JCB</t>
  </si>
  <si>
    <t>DV.10.100</t>
  </si>
  <si>
    <t>For Power Chain</t>
  </si>
  <si>
    <t>For Tractor /Excavator/JCB</t>
  </si>
  <si>
    <t>DV.10.112</t>
  </si>
  <si>
    <t>For Power Chain and others</t>
  </si>
  <si>
    <t>Black Mobil Oil</t>
  </si>
  <si>
    <t xml:space="preserve">Sonam Automobiles </t>
  </si>
  <si>
    <t>Barrel</t>
  </si>
  <si>
    <t xml:space="preserve">Barrel </t>
  </si>
  <si>
    <t>AS Scrap Dearler</t>
  </si>
  <si>
    <t>DV.10.134</t>
  </si>
  <si>
    <t>HDPE Pipe 20mm</t>
  </si>
  <si>
    <t>Vasudha  Enterprise</t>
  </si>
  <si>
    <t>Construction Unit</t>
  </si>
  <si>
    <t>HDPE Pipe 25mm</t>
  </si>
  <si>
    <t>HDPE Pipe 63.55mm</t>
  </si>
  <si>
    <t>CR16524</t>
  </si>
  <si>
    <t>DV.10.133</t>
  </si>
  <si>
    <t>Flat Chisel 25 Inch 300mm</t>
  </si>
  <si>
    <t>CR16525</t>
  </si>
  <si>
    <t>SS Wire Netting 4 FT (15 Mtr)</t>
  </si>
  <si>
    <t>For General Use</t>
  </si>
  <si>
    <t>Lock &amp; Key 65mm (Long Shaqel) 6 key</t>
  </si>
  <si>
    <t>Bedding &amp; Kitchen</t>
  </si>
  <si>
    <t>For New Store Office</t>
  </si>
  <si>
    <t>DV.10.128</t>
  </si>
  <si>
    <t>For Chain Sharpening</t>
  </si>
  <si>
    <t>DV.10.131</t>
  </si>
  <si>
    <t>Electrical Unit</t>
  </si>
  <si>
    <t>Screw Driver Set</t>
  </si>
  <si>
    <t>Combination Plires 8"</t>
  </si>
  <si>
    <t>Gypsum Screw 1/2" 1000 pcs</t>
  </si>
  <si>
    <t>Electrical Wiring</t>
  </si>
  <si>
    <t>Gypsum Screw 1" 1000 pcs</t>
  </si>
  <si>
    <t xml:space="preserve">LED Tube Light </t>
  </si>
  <si>
    <t>DV.10.132</t>
  </si>
  <si>
    <t>File (FRing File)</t>
  </si>
  <si>
    <t>DV.10.130</t>
  </si>
  <si>
    <t>DV.10.129</t>
  </si>
  <si>
    <t>Transportation Charges For Boulder</t>
  </si>
  <si>
    <t>Transportation  Charges for Boulder</t>
  </si>
  <si>
    <t>Transportstion Charges for Boulder</t>
  </si>
  <si>
    <t>DV.10.111</t>
  </si>
  <si>
    <t xml:space="preserve">Electricity Bill for the Month of Sept. </t>
  </si>
  <si>
    <t>Electricity Bills</t>
  </si>
  <si>
    <t xml:space="preserve">Electricity Bills for the Month of Sept </t>
  </si>
  <si>
    <t>DV.9.112</t>
  </si>
  <si>
    <t>Hiring Charges of Tractor for July 2025</t>
  </si>
  <si>
    <t xml:space="preserve">Hire of machinaries at Project site. </t>
  </si>
  <si>
    <t xml:space="preserve">Hiring Charges </t>
  </si>
  <si>
    <t>Hiring Charges of Kobelco for July 2025</t>
  </si>
  <si>
    <t>Hiring Charges of JCB for July 2025</t>
  </si>
  <si>
    <t>DV.10.102</t>
  </si>
  <si>
    <t>Hiring Charges of Kobelco for June 2025</t>
  </si>
  <si>
    <t>Hiring Charges of JCB for June 2025</t>
  </si>
  <si>
    <t>days</t>
  </si>
  <si>
    <t>Hiring Charges of Roller for June 2025</t>
  </si>
  <si>
    <t>Hiring Charges of Tractor for June 2025</t>
  </si>
  <si>
    <t>DV.10.101</t>
  </si>
  <si>
    <t>Hiring Charges of Excavator Sept 2025</t>
  </si>
  <si>
    <t>Hiring Charges of JCB for Sept 2025</t>
  </si>
  <si>
    <t>Hiring Charges of Backhoe for Sept 2025</t>
  </si>
  <si>
    <t xml:space="preserve">Days </t>
  </si>
  <si>
    <t>Hiring Charges of Kobelco for Sept 2025</t>
  </si>
  <si>
    <t>DV.10.96</t>
  </si>
  <si>
    <t>Hiring Charges of Tractor for Aug 2025</t>
  </si>
  <si>
    <t>Hiring Charges of Tractor for May 2025</t>
  </si>
  <si>
    <t>DV.10.179</t>
  </si>
  <si>
    <t>GKS 130 Fuel Coil</t>
  </si>
  <si>
    <t xml:space="preserve">Construction </t>
  </si>
  <si>
    <t>Brothers Electronic Services</t>
  </si>
  <si>
    <t>For Circular Machine</t>
  </si>
  <si>
    <t>GKS 130 Armacher</t>
  </si>
  <si>
    <t>Construction</t>
  </si>
  <si>
    <t>Nos.</t>
  </si>
  <si>
    <t>GHO 6500 Armacher</t>
  </si>
  <si>
    <t>For Router</t>
  </si>
  <si>
    <t>GHO 10-8.2 Armecher</t>
  </si>
  <si>
    <t xml:space="preserve">6-100 Armecher </t>
  </si>
  <si>
    <t>Machine Maintaiance</t>
  </si>
  <si>
    <t>For Grinder Machine</t>
  </si>
  <si>
    <t>Bearing</t>
  </si>
  <si>
    <t>436-440(864)</t>
  </si>
  <si>
    <t>Transportation Charges of red bricks</t>
  </si>
  <si>
    <t>For Construction (6000 nos per truck)</t>
  </si>
  <si>
    <t>DV.10.178</t>
  </si>
  <si>
    <t>Empty Barrel</t>
  </si>
  <si>
    <t>other Materials</t>
  </si>
  <si>
    <t>DV.10.113</t>
  </si>
  <si>
    <t>NiL</t>
  </si>
  <si>
    <t>Hiring Charges of Excavator for stone</t>
  </si>
  <si>
    <t>DV.10.46</t>
  </si>
  <si>
    <t xml:space="preserve">Kinley Y Seldon Scrap Dealer </t>
  </si>
  <si>
    <t>For Fuel storage</t>
  </si>
  <si>
    <t>Plastic Barrel</t>
  </si>
  <si>
    <t>DV.10.47</t>
  </si>
  <si>
    <t>Printer- Pantum:6512NW</t>
  </si>
  <si>
    <t>Ms. BD Commercial</t>
  </si>
  <si>
    <t xml:space="preserve">For official documents printing </t>
  </si>
  <si>
    <t>DV.10.54</t>
  </si>
  <si>
    <t>Desktop Computer(UD.35RSI.001)</t>
  </si>
  <si>
    <t>Norbu Thrakyod Pvt. Ltd.</t>
  </si>
  <si>
    <t>DV.10.52</t>
  </si>
  <si>
    <t>HDPE pipe 25mm PN10 100 mtr</t>
  </si>
  <si>
    <t>Ms. Perfect Builders Store Ltd</t>
  </si>
  <si>
    <t>For Gate &amp; new temporary shed</t>
  </si>
  <si>
    <t>HDPE pipe 20mm PN10,100Mtr</t>
  </si>
  <si>
    <t>PVC Garden Pipe 20mm</t>
  </si>
  <si>
    <t>For Sawmill</t>
  </si>
  <si>
    <t>DV.10.170</t>
  </si>
  <si>
    <t>Cellotape</t>
  </si>
  <si>
    <t>Dejung Norbu Enterprise</t>
  </si>
  <si>
    <t>For Office Use</t>
  </si>
  <si>
    <t>Computer Paper A4 Size</t>
  </si>
  <si>
    <t>Reams</t>
  </si>
  <si>
    <t>Permanent Marker</t>
  </si>
  <si>
    <t>Dispatch Register</t>
  </si>
  <si>
    <t>Bottles</t>
  </si>
  <si>
    <t xml:space="preserve">For PIU Office and Guest House use </t>
  </si>
  <si>
    <t>DV.10.168</t>
  </si>
  <si>
    <t>Poll Vehicle for Yarju (Bolero)</t>
  </si>
  <si>
    <t>DV.10.169</t>
  </si>
  <si>
    <t>Stone Cutter Blade</t>
  </si>
  <si>
    <t>Cutting stone for Buildings</t>
  </si>
  <si>
    <t>Dormitory Construction</t>
  </si>
  <si>
    <t>kg</t>
  </si>
  <si>
    <t>DV.10.167</t>
  </si>
  <si>
    <t xml:space="preserve">Handle </t>
  </si>
  <si>
    <t>Kelzang Spare Parts</t>
  </si>
  <si>
    <t>Reparing of Power Chain</t>
  </si>
  <si>
    <t>Kick Kit</t>
  </si>
  <si>
    <t>Not</t>
  </si>
  <si>
    <t>Service Charge</t>
  </si>
  <si>
    <t>Power Chain not repaire</t>
  </si>
  <si>
    <t>DV.10.98</t>
  </si>
  <si>
    <t>TA/DA of AE Phuntsho Wangdi P# 9355</t>
  </si>
  <si>
    <t>PR251015155070</t>
  </si>
  <si>
    <t>DV.10.110</t>
  </si>
  <si>
    <t xml:space="preserve">Soil Testing Charge </t>
  </si>
  <si>
    <t>Ministry of Finance</t>
  </si>
  <si>
    <t>DV.10.158</t>
  </si>
  <si>
    <t>STCBL</t>
  </si>
  <si>
    <t>DV.11.8</t>
  </si>
  <si>
    <t>Stone Cutter Machine</t>
  </si>
  <si>
    <t xml:space="preserve">Pema Nordhen Enterprise </t>
  </si>
  <si>
    <t>Stone Cutter Carbon</t>
  </si>
  <si>
    <t>DV.11.7</t>
  </si>
  <si>
    <t>Bhutanese window curtain 4x5</t>
  </si>
  <si>
    <t xml:space="preserve">For PMU office </t>
  </si>
  <si>
    <t>Plain Crush Curtain</t>
  </si>
  <si>
    <t>For PIU office. ordered By Lt. KP</t>
  </si>
  <si>
    <t>Blackout D/silver</t>
  </si>
  <si>
    <t>Gray Curtains</t>
  </si>
  <si>
    <t>For PIU office . ordered by Lt. KP</t>
  </si>
  <si>
    <t>DV.11.10</t>
  </si>
  <si>
    <t>Chain for power chain sawing</t>
  </si>
  <si>
    <t xml:space="preserve">For Chain sawing at different areas </t>
  </si>
  <si>
    <t>Chain for power chain cutting</t>
  </si>
  <si>
    <t>DV.12.10</t>
  </si>
  <si>
    <t>TMT rods 8mm (122 Bundles)</t>
  </si>
  <si>
    <t>Perfect Enterprise, Wan</t>
  </si>
  <si>
    <t>Construction unit</t>
  </si>
  <si>
    <t>PEW/SALE/2025/NOV/113/277</t>
  </si>
  <si>
    <t>TMT rods 08mm</t>
  </si>
  <si>
    <t>TMT rods 10mm</t>
  </si>
  <si>
    <t>TMT rods 12mm</t>
  </si>
  <si>
    <t>TMT rods 16mm</t>
  </si>
  <si>
    <t>DV.12.37</t>
  </si>
  <si>
    <t>DV.12.38</t>
  </si>
  <si>
    <t>Sand with Transportation from Rinchengang to Yarju</t>
  </si>
  <si>
    <t>DV.12.30</t>
  </si>
  <si>
    <t>20mm Aggregate with Transportation from Thimphu</t>
  </si>
  <si>
    <t>DV.12.41</t>
  </si>
  <si>
    <t>DV.12.85</t>
  </si>
  <si>
    <t>Cement with transportation from Punakha</t>
  </si>
  <si>
    <t>DV.12.132</t>
  </si>
  <si>
    <t>Boulders with Transportation</t>
  </si>
  <si>
    <t>DV.12.133</t>
  </si>
  <si>
    <t>20mm Aggregate with Transportation</t>
  </si>
  <si>
    <t>DV.12.2</t>
  </si>
  <si>
    <t>Electricity Bill for the Month of November</t>
  </si>
  <si>
    <t>Electricty Bills</t>
  </si>
  <si>
    <t>BPCL</t>
  </si>
  <si>
    <t>DV.12.73</t>
  </si>
  <si>
    <t>Spark Plug</t>
  </si>
  <si>
    <t>Electricity Items</t>
  </si>
  <si>
    <t>nos.</t>
  </si>
  <si>
    <t>For Chainsaw and maintenance of Power chain</t>
  </si>
  <si>
    <t>Piston Ring</t>
  </si>
  <si>
    <t xml:space="preserve">Split Clutch Drum </t>
  </si>
  <si>
    <t>Rim sprocket</t>
  </si>
  <si>
    <t>Rim Sprocket washer e-clip</t>
  </si>
  <si>
    <t>Rim Sprocket washer</t>
  </si>
  <si>
    <t>Conmstruction Tools</t>
  </si>
  <si>
    <t>Piston</t>
  </si>
  <si>
    <t>Clutch</t>
  </si>
  <si>
    <t>CR19117</t>
  </si>
  <si>
    <t>DV.12.71</t>
  </si>
  <si>
    <t>Homeflex Copper Wire (1.5SQMM 90 Mtr)</t>
  </si>
  <si>
    <t>Floodlight and Parking Area</t>
  </si>
  <si>
    <t>Black Shuttering Plastic (11Kg per roll)</t>
  </si>
  <si>
    <t>KGS</t>
  </si>
  <si>
    <t>For Sap Dalai</t>
  </si>
  <si>
    <t>DV.12.74</t>
  </si>
  <si>
    <t>Envelope 9x 4</t>
  </si>
  <si>
    <t>For office use</t>
  </si>
  <si>
    <t>Envelope file size</t>
  </si>
  <si>
    <t>DV.12.75</t>
  </si>
  <si>
    <t xml:space="preserve">Hiring Charges of Tractor </t>
  </si>
  <si>
    <t xml:space="preserve">For Stone </t>
  </si>
  <si>
    <t>Hiring Charges of JCB Backhoe</t>
  </si>
  <si>
    <t xml:space="preserve">Land Development </t>
  </si>
  <si>
    <t>Hiring Charges of Excavator</t>
  </si>
  <si>
    <t xml:space="preserve">Stone Extraction </t>
  </si>
  <si>
    <t>DV.12.76</t>
  </si>
  <si>
    <t>Hiring Charges of JCB (BG-3-A0761)</t>
  </si>
  <si>
    <t>Land Clearing</t>
  </si>
  <si>
    <t>Hiring Charges of Backhoe(BG-1-A0038)</t>
  </si>
  <si>
    <t>Hiring Charges of Cat 320 (BG-1-A0508)</t>
  </si>
  <si>
    <t>Hiring Charges of JCB (BG-3-A0068)</t>
  </si>
  <si>
    <t>DV.12.77</t>
  </si>
  <si>
    <t>Hiring Charges of Hitachi 210 Excavator</t>
  </si>
  <si>
    <t>FMCl</t>
  </si>
  <si>
    <t>Excavation</t>
  </si>
  <si>
    <t>Hiring Charges of Tractor</t>
  </si>
  <si>
    <t>Land Development for Trasnportation</t>
  </si>
  <si>
    <t>DV.12.78</t>
  </si>
  <si>
    <t>AC Electronics</t>
  </si>
  <si>
    <t xml:space="preserve">For Planner Machine </t>
  </si>
  <si>
    <t xml:space="preserve">Bearing </t>
  </si>
  <si>
    <t>Coil</t>
  </si>
  <si>
    <t>For Circular</t>
  </si>
  <si>
    <t>Adaptor</t>
  </si>
  <si>
    <t xml:space="preserve">For Router Machine </t>
  </si>
  <si>
    <t xml:space="preserve">Grease </t>
  </si>
  <si>
    <t>DV.12.80</t>
  </si>
  <si>
    <t>Hiringn Charges of Excavator</t>
  </si>
  <si>
    <t>Land Dvelopment construction Road</t>
  </si>
  <si>
    <t>DV.12.84</t>
  </si>
  <si>
    <t xml:space="preserve">Insurance </t>
  </si>
  <si>
    <t>Insurance renewal</t>
  </si>
  <si>
    <t>Year</t>
  </si>
  <si>
    <t>BIL</t>
  </si>
  <si>
    <t xml:space="preserve">Yearly renewal of Good carrying Insurance </t>
  </si>
  <si>
    <t>DV.12.83</t>
  </si>
  <si>
    <t>For ALD</t>
  </si>
  <si>
    <t>For Excavator</t>
  </si>
  <si>
    <t>W/nails 3"</t>
  </si>
  <si>
    <t>W/Nails 4,5,6"</t>
  </si>
  <si>
    <t>4 way PVC Junction Box 20mm</t>
  </si>
  <si>
    <t xml:space="preserve">Electric Items </t>
  </si>
  <si>
    <t>For 8 Blocks Dormitory</t>
  </si>
  <si>
    <t>4 way PVC Junction Box 25mm</t>
  </si>
  <si>
    <t>For Dormitory</t>
  </si>
  <si>
    <t>T-way PVC Conduit Junction box 20mm</t>
  </si>
  <si>
    <t>T-way PVC Conduit Junction box 25mm</t>
  </si>
  <si>
    <t>DV.12.9</t>
  </si>
  <si>
    <t>Stone cutter Blade 14"</t>
  </si>
  <si>
    <t xml:space="preserve">Cutting stone for building </t>
  </si>
  <si>
    <t>CR17631</t>
  </si>
  <si>
    <t>DV.12.8</t>
  </si>
  <si>
    <t>Copper wire 4.0 SQMM-LOOSE</t>
  </si>
  <si>
    <t xml:space="preserve">For Construction of Building </t>
  </si>
  <si>
    <t>Try Square 18 inch 124E</t>
  </si>
  <si>
    <t>Leveling Pipe</t>
  </si>
  <si>
    <t xml:space="preserve">Sprit Level 24 Inches </t>
  </si>
  <si>
    <t>ROD cutter blade 4 inch (green)</t>
  </si>
  <si>
    <t>CR17630</t>
  </si>
  <si>
    <t>DV.12.7</t>
  </si>
  <si>
    <t xml:space="preserve">Coconut Rope Loose </t>
  </si>
  <si>
    <t>CR18546</t>
  </si>
  <si>
    <t>DV.12.6</t>
  </si>
  <si>
    <t>LED Flood light 100 watt - COSMO</t>
  </si>
  <si>
    <t xml:space="preserve">Over time work during night lighting </t>
  </si>
  <si>
    <t>CR18188</t>
  </si>
  <si>
    <t>DV.12.5</t>
  </si>
  <si>
    <t>Angle Grinding GWS 2200 180mm</t>
  </si>
  <si>
    <t>Diamond cutting blade 180 x 10mm</t>
  </si>
  <si>
    <t>Used for cutting concrete</t>
  </si>
  <si>
    <t>DV.12.3</t>
  </si>
  <si>
    <t>Oil and lubricant</t>
  </si>
  <si>
    <t>ALD</t>
  </si>
  <si>
    <t>Grease (5Kg)</t>
  </si>
  <si>
    <t>DV.12.1</t>
  </si>
  <si>
    <t>DV.12.58</t>
  </si>
  <si>
    <t>DV.11.107</t>
  </si>
  <si>
    <t>DV.11.106</t>
  </si>
  <si>
    <t>2nd Hand mobile</t>
  </si>
  <si>
    <t>DV.12.131</t>
  </si>
  <si>
    <t>5-Nov-0225</t>
  </si>
  <si>
    <t>DV.12.155</t>
  </si>
  <si>
    <t>2nd hand mobile</t>
  </si>
  <si>
    <t>DV.12.42</t>
  </si>
  <si>
    <t>Excavator Transportation (Self Loader Truck)</t>
  </si>
  <si>
    <t>Hiring charges</t>
  </si>
  <si>
    <t>DV.12.54</t>
  </si>
  <si>
    <t>Hiring of Tactor for Aug 2025</t>
  </si>
  <si>
    <t>Hiring of Excavator(JCB 130) for Aug 2025</t>
  </si>
  <si>
    <t>Hiring of Excavator(Kobelco) for Aug 2025</t>
  </si>
  <si>
    <t>CR19418</t>
  </si>
  <si>
    <t>DV.12.66</t>
  </si>
  <si>
    <t>Junction Box 20mm 1 way</t>
  </si>
  <si>
    <t>Junction Box 20mm 2 way</t>
  </si>
  <si>
    <t>PVC conduit elbow 20mm</t>
  </si>
  <si>
    <t>CR19419</t>
  </si>
  <si>
    <t>Binding wire (25Kg Roll)</t>
  </si>
  <si>
    <t>Measuring Tape 5 Mtrs(Kitty)</t>
  </si>
  <si>
    <t>Trowel (Karni) No2</t>
  </si>
  <si>
    <t>Diamond saw blade 350mm</t>
  </si>
  <si>
    <t>CR19420</t>
  </si>
  <si>
    <t>Homeflex Copper Wire (4.0 SQMM 90 Mtr)</t>
  </si>
  <si>
    <t>Arial Cable 2 core 10.0 sqmm</t>
  </si>
  <si>
    <t>DV.12.36</t>
  </si>
  <si>
    <t>Transportation chages to deliver TMT from Rinchengang</t>
  </si>
  <si>
    <t>DV.12.4</t>
  </si>
  <si>
    <t>Angle Grinder GWS 600</t>
  </si>
  <si>
    <t>Planner Machine GWS 6500</t>
  </si>
  <si>
    <t>Drill bit 2mm</t>
  </si>
  <si>
    <t>Power Chain sawing/cutting (20 each)</t>
  </si>
  <si>
    <t>Round file</t>
  </si>
  <si>
    <t>PowerChain Bar</t>
  </si>
  <si>
    <t>DV.12.124</t>
  </si>
  <si>
    <t>V-Belt</t>
  </si>
  <si>
    <t>Sawmill Toos</t>
  </si>
  <si>
    <t>Sawmill</t>
  </si>
  <si>
    <t>MB Book (TG10062)</t>
  </si>
  <si>
    <t>Office stationary</t>
  </si>
  <si>
    <t>Office</t>
  </si>
  <si>
    <t>Angle Grander armature (Repair)</t>
  </si>
  <si>
    <t>Algle Grander Carbon (Repair)</t>
  </si>
  <si>
    <t>Drill Machine Armature (Repair)</t>
  </si>
  <si>
    <t>Drill Machine wiring (repair)</t>
  </si>
  <si>
    <t>DV.12.65</t>
  </si>
  <si>
    <t>Indian Toilet Pot</t>
  </si>
  <si>
    <t>DV.12.152</t>
  </si>
  <si>
    <t>TA/DA of Architech Dawa P# 9964</t>
  </si>
  <si>
    <t>Official expnses</t>
  </si>
  <si>
    <t>DV.12.159</t>
  </si>
  <si>
    <t>Hiring charge for tipper (BP-1-A4466) for Nov 2025</t>
  </si>
  <si>
    <t>KD hring Agent</t>
  </si>
  <si>
    <t>Hiring charges for tipper (BP-1-A4537)for Nov 2025</t>
  </si>
  <si>
    <t xml:space="preserve"> Days</t>
  </si>
  <si>
    <t>Hiring Charges for tipper (BP-1-A3049) for Nov 2025</t>
  </si>
  <si>
    <t>DV.12.156</t>
  </si>
  <si>
    <t>Construction Materlas</t>
  </si>
  <si>
    <t>DV.12.158</t>
  </si>
  <si>
    <t>Hiring charges for JCB Backho for June 2025</t>
  </si>
  <si>
    <t>DV.12.154</t>
  </si>
  <si>
    <t>TA/DA of AE Chencho TShering P# 6618</t>
  </si>
  <si>
    <t>Office expenses</t>
  </si>
  <si>
    <t>LD entp/285</t>
  </si>
  <si>
    <t>DV.12.184</t>
  </si>
  <si>
    <t>AA pencil Battery</t>
  </si>
  <si>
    <t>Lha Dhay Entp</t>
  </si>
  <si>
    <t>DV.12.181</t>
  </si>
  <si>
    <t xml:space="preserve">Mixture Machine with accessories </t>
  </si>
  <si>
    <t>Sangay Enterprise</t>
  </si>
  <si>
    <t>DV.12.183</t>
  </si>
  <si>
    <t>Grinder Machine</t>
  </si>
  <si>
    <t>Leather Apron</t>
  </si>
  <si>
    <t>Safety Gears</t>
  </si>
  <si>
    <t>Leather Gloves</t>
  </si>
  <si>
    <t>Flat Screw driver 12"</t>
  </si>
  <si>
    <t>Cutting plier 8"</t>
  </si>
  <si>
    <t>Measuring Tape 30 Mtrs</t>
  </si>
  <si>
    <t>DV.12.182</t>
  </si>
  <si>
    <t>Sawing Chain</t>
  </si>
  <si>
    <t>Cutting Chain</t>
  </si>
  <si>
    <t>File for Powerchain</t>
  </si>
  <si>
    <t>DV.12.153</t>
  </si>
  <si>
    <t>DV.12.157</t>
  </si>
  <si>
    <t>Hiring charges for JCB Backho for May 2025</t>
  </si>
  <si>
    <t>Hiring charges for JCB Backho for July 2025</t>
  </si>
  <si>
    <t>Hiring charges for JCB Backho for Aug 2025</t>
  </si>
  <si>
    <t>SE/INV/1736</t>
  </si>
  <si>
    <t>DV.12.180</t>
  </si>
  <si>
    <t>Register Book</t>
  </si>
  <si>
    <t>DV.3.65</t>
  </si>
  <si>
    <t>Oil &amp; Lubircants</t>
  </si>
  <si>
    <t>Olakha Lubricant for Mobil</t>
  </si>
  <si>
    <t>For Consrtuction (Chain saw)</t>
  </si>
  <si>
    <t xml:space="preserve">2T </t>
  </si>
  <si>
    <t>Monthly reuqisition for Fuel (Feb)</t>
  </si>
  <si>
    <t>DV.3.33</t>
  </si>
  <si>
    <t>Planner Blade</t>
  </si>
  <si>
    <t>Stamp S-22</t>
  </si>
  <si>
    <t xml:space="preserve">Office Stationary </t>
  </si>
  <si>
    <t xml:space="preserve">Printing Point </t>
  </si>
  <si>
    <t xml:space="preserve">Other Materials </t>
  </si>
  <si>
    <t xml:space="preserve">For Fuel storage </t>
  </si>
  <si>
    <t>26/336</t>
  </si>
  <si>
    <t xml:space="preserve">Table Planner Blade </t>
  </si>
  <si>
    <t>For Construction site</t>
  </si>
  <si>
    <t>GST</t>
  </si>
  <si>
    <t>Oil &amp; Lubricants</t>
  </si>
  <si>
    <t xml:space="preserve">For Machineries Repairements </t>
  </si>
  <si>
    <t xml:space="preserve">For MAchineries Repairements </t>
  </si>
  <si>
    <t xml:space="preserve">Replacement of Mixture Machine </t>
  </si>
  <si>
    <t>Oil Seal</t>
  </si>
  <si>
    <t>Engine Oil</t>
  </si>
  <si>
    <t xml:space="preserve">For Sawmill </t>
  </si>
  <si>
    <t>Tax</t>
  </si>
  <si>
    <t>DV.12.185</t>
  </si>
  <si>
    <t>Construction of Dormitory</t>
  </si>
  <si>
    <t>DV.1.58</t>
  </si>
  <si>
    <t>Hiring Charges of Tripper truck (BP-1-A4466)for Dec</t>
  </si>
  <si>
    <t xml:space="preserve">For Construction Site </t>
  </si>
  <si>
    <t>Hiring Charges of Tripper truck (BP-1-A4537)for Dec</t>
  </si>
  <si>
    <t>For Construction Site</t>
  </si>
  <si>
    <t>Hiring Charges of Tripper truck (BP-1-A3049) for Dec</t>
  </si>
  <si>
    <t>For COnstruction Site</t>
  </si>
  <si>
    <t>Hiring Charges of Tripper truck (BP-1-A4929 for Dec</t>
  </si>
  <si>
    <t>Hiring Charges of Tripper truck (BP-2-B0584</t>
  </si>
  <si>
    <t>DV.1.63</t>
  </si>
  <si>
    <t>Hiring Charges of Cement (BP-1-A4949)</t>
  </si>
  <si>
    <t xml:space="preserve">Transporation Charges </t>
  </si>
  <si>
    <t xml:space="preserve">South Hall Cement Agent </t>
  </si>
  <si>
    <t>For V-Shaped Drain</t>
  </si>
  <si>
    <t>DV.1.64</t>
  </si>
  <si>
    <t>Transportation charges of 20mm Aggregate</t>
  </si>
  <si>
    <t xml:space="preserve">South Hall </t>
  </si>
  <si>
    <t>For The RCC Footing, RCC Column, RCC beam</t>
  </si>
  <si>
    <t>DV.1.65</t>
  </si>
  <si>
    <t>DV.1.67</t>
  </si>
  <si>
    <t>Transportation Charges for Sand</t>
  </si>
  <si>
    <t>For The Plastering works, RCC works,PCC works.</t>
  </si>
  <si>
    <t>Transportation Charges of Sand</t>
  </si>
  <si>
    <t xml:space="preserve">TRansporation Charges </t>
  </si>
  <si>
    <t xml:space="preserve">Transportation Charges of Sand </t>
  </si>
  <si>
    <t>DV.1.68</t>
  </si>
  <si>
    <t xml:space="preserve">Planner Machine </t>
  </si>
  <si>
    <t xml:space="preserve">Jigsel Enterprise </t>
  </si>
  <si>
    <t xml:space="preserve">For the Construction of 8 Nos. of Dormitory </t>
  </si>
  <si>
    <t>DV.1.69</t>
  </si>
  <si>
    <t xml:space="preserve">Transportation Charges of ROD </t>
  </si>
  <si>
    <t>Nails 1 1/2"</t>
  </si>
  <si>
    <t xml:space="preserve">For wood work of Construction for Dormitory </t>
  </si>
  <si>
    <t>Nails 4" &amp; 5"</t>
  </si>
  <si>
    <t xml:space="preserve">Hiring Charges of  Farm Tractor </t>
  </si>
  <si>
    <t>Hiring Charges of Farm Tractor</t>
  </si>
  <si>
    <t>For Land Clearing</t>
  </si>
  <si>
    <t>DV.1.72</t>
  </si>
  <si>
    <t>Hiring Charges of JCB 205 (BG-3-A0761)</t>
  </si>
  <si>
    <t>Hiring Charges of Kobelco (BG-3-A0034)</t>
  </si>
  <si>
    <t>Hiring Charges of JCB 130 (BG-3-A0068)</t>
  </si>
  <si>
    <t>DV.1.73</t>
  </si>
  <si>
    <t>Hiring Charges of Excavator (BG-2-A0059)</t>
  </si>
  <si>
    <t>FMCL (Charges without fuel)</t>
  </si>
  <si>
    <t>DV.1.74</t>
  </si>
  <si>
    <t>Hiring Charges of Farm Tractor (BG-3-A0005)</t>
  </si>
  <si>
    <t>Hiring Charges of Tractor (BG-1-A0034)</t>
  </si>
  <si>
    <t>DV.1.75</t>
  </si>
  <si>
    <t>TMT Rod 08mm</t>
  </si>
  <si>
    <t xml:space="preserve">Rod and Iron </t>
  </si>
  <si>
    <t>MTrs</t>
  </si>
  <si>
    <t>Perfect Eneterprise, Wangdi</t>
  </si>
  <si>
    <t>TMT Rod 10mm</t>
  </si>
  <si>
    <t>TMT Rod 12mm</t>
  </si>
  <si>
    <t>TMT Rod 16mm</t>
  </si>
  <si>
    <t>DV.1.6</t>
  </si>
  <si>
    <t xml:space="preserve">Damchen Pvt </t>
  </si>
  <si>
    <t xml:space="preserve">For Daily and Monthly issue </t>
  </si>
  <si>
    <t>2nd Hand Mobil</t>
  </si>
  <si>
    <t>For JCB Backhoe</t>
  </si>
  <si>
    <t>DV.1.7</t>
  </si>
  <si>
    <t>Electricity Bill</t>
  </si>
  <si>
    <t>Kwh</t>
  </si>
  <si>
    <t>Electricty Bill</t>
  </si>
  <si>
    <t>DV.2.60</t>
  </si>
  <si>
    <t xml:space="preserve">GST Applied </t>
  </si>
  <si>
    <t>Rajesh Automobile</t>
  </si>
  <si>
    <t>DV.2.59</t>
  </si>
  <si>
    <t>Hiring Charges of Farm Tractor (BG-1-A0055)</t>
  </si>
  <si>
    <t>Hiring Tractor for the month of DEC, 2025</t>
  </si>
  <si>
    <t>Land Department (For the month of Dec,2025)</t>
  </si>
  <si>
    <t>DV.2.58</t>
  </si>
  <si>
    <t>Hiring Charges of Hitachi Excavator (BG-3-A0109)</t>
  </si>
  <si>
    <t>Hiring  of Hitachi Excavator 210 HG for Dec,2025</t>
  </si>
  <si>
    <t>Hiring charges of JCB Backhoe for Dec, 2025</t>
  </si>
  <si>
    <t>DV.2.56</t>
  </si>
  <si>
    <t xml:space="preserve">Transportation charges of Cement </t>
  </si>
  <si>
    <t>CRM Wall Foundation, RCC works, Plinth beam</t>
  </si>
  <si>
    <t>DV.2.8</t>
  </si>
  <si>
    <t>Usage of Farm Tractor for Dec, 2025</t>
  </si>
  <si>
    <t>Hiring Charges of Excavator 225 (BG-2-A0059)</t>
  </si>
  <si>
    <t>Usage of Excavator for the month of Dec, 2025</t>
  </si>
  <si>
    <t>DV.2.7</t>
  </si>
  <si>
    <t>Pana Wrench Set</t>
  </si>
  <si>
    <t>Repair and Maintenance</t>
  </si>
  <si>
    <t>Yangjung Sonam Trading</t>
  </si>
  <si>
    <t xml:space="preserve">Machine Maintenance </t>
  </si>
  <si>
    <t xml:space="preserve">Socket Wrench </t>
  </si>
  <si>
    <t xml:space="preserve">Greasing Machine </t>
  </si>
  <si>
    <t>Ring Wrench</t>
  </si>
  <si>
    <t>Eye Safety Glass</t>
  </si>
  <si>
    <t>yangjung Sonam Trading</t>
  </si>
  <si>
    <t>Sawmill Blade (5bdls)</t>
  </si>
  <si>
    <t>Ft</t>
  </si>
  <si>
    <t>Welding Rod No. 10</t>
  </si>
  <si>
    <t>Weilding Sheild</t>
  </si>
  <si>
    <t>Grinding Stone</t>
  </si>
  <si>
    <t xml:space="preserve">Band Saw Blade </t>
  </si>
  <si>
    <t>For New Sawmill</t>
  </si>
  <si>
    <t>Delta Mortor Starter (415 Volts.050 HZ AC)</t>
  </si>
  <si>
    <t xml:space="preserve">Sharpening Machine </t>
  </si>
  <si>
    <t>Rail Track 2.90Meter</t>
  </si>
  <si>
    <t>Sowaga</t>
  </si>
  <si>
    <t>Brass Sheet (GM)</t>
  </si>
  <si>
    <t>gm</t>
  </si>
  <si>
    <t>Vice</t>
  </si>
  <si>
    <t>DV.2.3</t>
  </si>
  <si>
    <t xml:space="preserve">Khadar </t>
  </si>
  <si>
    <t xml:space="preserve">Rituals </t>
  </si>
  <si>
    <t xml:space="preserve">Sephub Sangay Tshonkhang </t>
  </si>
  <si>
    <t>Purchased during Executive meeting at Yarju</t>
  </si>
  <si>
    <t>Carpet</t>
  </si>
  <si>
    <t>Beshundhara Napkin paper</t>
  </si>
  <si>
    <t>Jigme Mart Olakha</t>
  </si>
  <si>
    <t>Detol Soap 100g</t>
  </si>
  <si>
    <t>Gapur Poe Desho</t>
  </si>
  <si>
    <t>Harpic 500ml</t>
  </si>
  <si>
    <t xml:space="preserve">OPal Tissue Paper </t>
  </si>
  <si>
    <t>DV.2.2</t>
  </si>
  <si>
    <t>For the month of Jan 2026</t>
  </si>
  <si>
    <t>STCBL (5% GST Applied)</t>
  </si>
  <si>
    <t>Issued for the month of Jan 2026.</t>
  </si>
  <si>
    <t>DV.3.69</t>
  </si>
  <si>
    <t>Hiring Charges of Tripper (BP-1-A4466)</t>
  </si>
  <si>
    <t xml:space="preserve">Khenphen (KD Hiring Agent </t>
  </si>
  <si>
    <t xml:space="preserve">Deployed at Yarju Construction Site </t>
  </si>
  <si>
    <t>Hiring Charges of Tripper (BP-1-A4357)</t>
  </si>
  <si>
    <t>Hiring Charges of Tripper (BP-1-A3049)</t>
  </si>
  <si>
    <t>Hiring Charges of Tripper (BP-1-A4929)</t>
  </si>
  <si>
    <t>Hiring CHarges of Tripeer (BP-2-B0584)</t>
  </si>
  <si>
    <t>DV.3.73</t>
  </si>
  <si>
    <t xml:space="preserve">Transportation Charges of Cement </t>
  </si>
  <si>
    <t xml:space="preserve">Transportation Charges </t>
  </si>
  <si>
    <t xml:space="preserve">Bags </t>
  </si>
  <si>
    <t xml:space="preserve">For the 8 block dormitory </t>
  </si>
  <si>
    <t>DV.3.83</t>
  </si>
  <si>
    <t xml:space="preserve">Diamond cutter blade 14 Inch </t>
  </si>
  <si>
    <t xml:space="preserve">SK Enterprise </t>
  </si>
  <si>
    <t>For the 8 block dormitory (5% GST Added)</t>
  </si>
  <si>
    <t>Rod Cutter Blade 14inch 105x1x16mm</t>
  </si>
  <si>
    <t xml:space="preserve">Sk Enterprise </t>
  </si>
  <si>
    <t>Metal Grinding Wheel 100mm</t>
  </si>
  <si>
    <t>DV.3.68</t>
  </si>
  <si>
    <t>Pol vehicle bill for Jan &amp; Feb 2026</t>
  </si>
  <si>
    <t>Vehicle Bill (RBP-2536)</t>
  </si>
  <si>
    <t>For Pol Vehicle Bill Jan &amp; Feb 2026</t>
  </si>
  <si>
    <t>Vehicle Bill (RBP-18077)</t>
  </si>
  <si>
    <t>DV.3.70</t>
  </si>
  <si>
    <t>Horizontal Bandsaw Machine (42")</t>
  </si>
  <si>
    <t xml:space="preserve">Tools and Equipments </t>
  </si>
  <si>
    <t xml:space="preserve">Yangjung Sonam Trading </t>
  </si>
  <si>
    <t xml:space="preserve">Timber Processing and brick productions </t>
  </si>
  <si>
    <t>Vertical Bandsaw Machine (42")</t>
  </si>
  <si>
    <t>DV.3.71</t>
  </si>
  <si>
    <t>Tashi BOD  (5% GST added)</t>
  </si>
  <si>
    <t>Fuel &amp; Lubricant for the month of feb,2026</t>
  </si>
  <si>
    <t>fuel &amp; Lubricant for the month of feb,2026</t>
  </si>
  <si>
    <t>DV.3.72</t>
  </si>
  <si>
    <t>Electrucity Bill for Jan 2026</t>
  </si>
  <si>
    <t>For Yarju OAP Electricity Bill</t>
  </si>
  <si>
    <t xml:space="preserve">Transportation Charges of Bricks </t>
  </si>
  <si>
    <t xml:space="preserve">Bricks for Construction site </t>
  </si>
  <si>
    <t>DV.3.91</t>
  </si>
  <si>
    <t>Hiring Charges of Farm Tractor (BG-3-A0034)</t>
  </si>
  <si>
    <t>Usage of Tractors for the month of October 2026</t>
  </si>
  <si>
    <t>DV.3.92</t>
  </si>
  <si>
    <t>HDPE druk pipe 20mm</t>
  </si>
  <si>
    <t xml:space="preserve">Radak Phunsum Enterprise </t>
  </si>
  <si>
    <t xml:space="preserve">For 8 blocks dormitory </t>
  </si>
  <si>
    <t>HDPE druk pipe 25mm</t>
  </si>
  <si>
    <t>PVC 90 degree bend 25mm</t>
  </si>
  <si>
    <t>DV.3.93</t>
  </si>
  <si>
    <t xml:space="preserve">UG Cable 35 sqmm 4 core </t>
  </si>
  <si>
    <t xml:space="preserve">JD Enterprise </t>
  </si>
  <si>
    <t xml:space="preserve">For 8 Blocks dormitory </t>
  </si>
  <si>
    <t>DV.3.96</t>
  </si>
  <si>
    <t xml:space="preserve">P.R Enterprise </t>
  </si>
  <si>
    <t xml:space="preserve">Construction of 8 nos of dormitory </t>
  </si>
  <si>
    <t xml:space="preserve">GST </t>
  </si>
  <si>
    <t>Hume Pipe 900mm</t>
  </si>
  <si>
    <t xml:space="preserve">For Drainage </t>
  </si>
  <si>
    <t>Hume Pipe collar 900mm</t>
  </si>
  <si>
    <t xml:space="preserve">Hume pipe joint </t>
  </si>
  <si>
    <t>DV.3.94</t>
  </si>
  <si>
    <t xml:space="preserve">TPN DB box double door 12 way </t>
  </si>
  <si>
    <t xml:space="preserve">Eletrical Items </t>
  </si>
  <si>
    <t xml:space="preserve">PP Traders </t>
  </si>
  <si>
    <t xml:space="preserve">Electrical items for 8 blocks dormitory </t>
  </si>
  <si>
    <t>Plastic Sheet Black 58.5 Sqmm=1 Roll</t>
  </si>
  <si>
    <t>22sqm</t>
  </si>
  <si>
    <t xml:space="preserve">For the plastering &amp; laying of tiles for 8 Blocks Dorm </t>
  </si>
  <si>
    <t xml:space="preserve">Flexible Pipe </t>
  </si>
  <si>
    <t xml:space="preserve">For curing of the concrete work </t>
  </si>
  <si>
    <t>DV.3.95</t>
  </si>
  <si>
    <t>Gypsum Screw (50x6)</t>
  </si>
  <si>
    <t xml:space="preserve">Fastening/Joining Materials </t>
  </si>
  <si>
    <t>Sangay Sales</t>
  </si>
  <si>
    <t>Gypsum Screw (38x6)</t>
  </si>
  <si>
    <t>Copper Wire 10 Sqmm (Mescab)</t>
  </si>
  <si>
    <t xml:space="preserve">Electrical Items </t>
  </si>
  <si>
    <t>DV.3.97</t>
  </si>
  <si>
    <t>Copper Wire 2.5 Sqmm x 90 Mtr(Gee-n)</t>
  </si>
  <si>
    <t xml:space="preserve">Siya Enterprise </t>
  </si>
  <si>
    <t>For wiring of extended PIU Conference Hall.</t>
  </si>
  <si>
    <t>Copper wire 1.5Sqmm x90 mtr</t>
  </si>
  <si>
    <t>Led Tubelight 4ft x20 Watt Hpl</t>
  </si>
  <si>
    <t xml:space="preserve">SIya Enterprise </t>
  </si>
  <si>
    <t>S.s Combine Box x 16a</t>
  </si>
  <si>
    <t>Casing 15mmx6ft (geecab)</t>
  </si>
  <si>
    <t>F.t Switch (anchor)</t>
  </si>
  <si>
    <t>Metal Exhuast Fan 150mm 42 Watt (Usha)</t>
  </si>
  <si>
    <t>Corrugated Pipe 20mmx50mtr</t>
  </si>
  <si>
    <t>DV.3.90</t>
  </si>
  <si>
    <t>RRM wall Construction (Road Unit)</t>
  </si>
  <si>
    <t>DV.3.74</t>
  </si>
  <si>
    <t>Red Bricks (sita)</t>
  </si>
  <si>
    <t xml:space="preserve">RCC works for 8 blocks dormitory </t>
  </si>
  <si>
    <t>DV.3.75</t>
  </si>
  <si>
    <t>Led Panel 6w/230volts/6000k</t>
  </si>
  <si>
    <t xml:space="preserve">Electrical items procured for 8 blocks dormitory </t>
  </si>
  <si>
    <t>Led panel 18/20 230w/6000k</t>
  </si>
  <si>
    <t>MCCB 4 pole 36KA/160A/415volts</t>
  </si>
  <si>
    <t>5/6 pin socket 20A</t>
  </si>
  <si>
    <t>Ceiling for 230volts 1200mm/3 blade</t>
  </si>
  <si>
    <t xml:space="preserve">GSt Applied </t>
  </si>
  <si>
    <t>Rod bender 8mm</t>
  </si>
  <si>
    <t>For the construction of 8 blcoks dormitory and 1BHK</t>
  </si>
  <si>
    <t>Rod bender 10mm</t>
  </si>
  <si>
    <t>Rod bender 12mm</t>
  </si>
  <si>
    <t xml:space="preserve">Gst Applied </t>
  </si>
  <si>
    <t>DV.3.100</t>
  </si>
  <si>
    <t>The fuel &amp; lubricant are reuested for Feb month 2026</t>
  </si>
  <si>
    <t>STCBL (GST added)</t>
  </si>
  <si>
    <t>DV.3.99</t>
  </si>
  <si>
    <t xml:space="preserve">For PIU Office </t>
  </si>
  <si>
    <t>DV.3.89</t>
  </si>
  <si>
    <t xml:space="preserve">Tansportation Charges </t>
  </si>
  <si>
    <t xml:space="preserve">For Palstering and laying tiles of BL 8 dormitory </t>
  </si>
  <si>
    <t>DV.3.88</t>
  </si>
  <si>
    <t xml:space="preserve">KD Hiring </t>
  </si>
  <si>
    <t xml:space="preserve">Yarju OAP Site </t>
  </si>
  <si>
    <t>Hiring Charges of Tripper (BP-2-B0584)</t>
  </si>
  <si>
    <t>DV.3.87</t>
  </si>
  <si>
    <t>2 Way MS Modular Box Crabtree</t>
  </si>
  <si>
    <t xml:space="preserve">Lilly Traders </t>
  </si>
  <si>
    <t>3 Ways MS Modular Box Crabtree</t>
  </si>
  <si>
    <t>DV.3.86</t>
  </si>
  <si>
    <t xml:space="preserve">Transportation Charges For Aggregate </t>
  </si>
  <si>
    <t>DV.3.85</t>
  </si>
  <si>
    <t>12 Module metal box</t>
  </si>
  <si>
    <t xml:space="preserve">1/2 Module plate &amp; Frame </t>
  </si>
  <si>
    <t>3 Module plates &amp; frame</t>
  </si>
  <si>
    <t xml:space="preserve">12 Module Plates &amp; frame </t>
  </si>
  <si>
    <t xml:space="preserve">Sprit Level </t>
  </si>
  <si>
    <t xml:space="preserve">Plastering and laying of tiles for 8 block dormitory </t>
  </si>
  <si>
    <t>DV.4.35</t>
  </si>
  <si>
    <t>Hole Drilling</t>
  </si>
  <si>
    <t>Holes</t>
  </si>
  <si>
    <t>Dharzen Fabrication</t>
  </si>
  <si>
    <t>FOr Construction Purpose</t>
  </si>
  <si>
    <t>DV.3.84</t>
  </si>
  <si>
    <t xml:space="preserve">Transportation Charges for Sand </t>
  </si>
  <si>
    <t>For The plastering of 8 Blcoks Dormitory</t>
  </si>
  <si>
    <t>For The plastering of 8 Blocks Dormitory</t>
  </si>
  <si>
    <t>DV.3.76</t>
  </si>
  <si>
    <t>Fuel requested for the month of Feb 2026</t>
  </si>
  <si>
    <t>STCB (GST added)</t>
  </si>
  <si>
    <t>DV.3.77</t>
  </si>
  <si>
    <t>E Clip</t>
  </si>
  <si>
    <t xml:space="preserve">MM Tools Service </t>
  </si>
  <si>
    <t xml:space="preserve">For Chain saw repaire &amp; Maintainance </t>
  </si>
  <si>
    <t>Washer</t>
  </si>
  <si>
    <t>Chain Sawing &amp; Cutting (10 each)</t>
  </si>
  <si>
    <t>File for P/Chain</t>
  </si>
  <si>
    <t>Bar for P/Chain</t>
  </si>
  <si>
    <t>Clutch drum for P/Chain</t>
  </si>
  <si>
    <t>DV.3.82</t>
  </si>
  <si>
    <t>C/Saw Machine KS 120</t>
  </si>
  <si>
    <t xml:space="preserve">For Construction of 8 bL dormitory </t>
  </si>
  <si>
    <t>C/Saw Machine GKS 130</t>
  </si>
  <si>
    <t>DV.3.207</t>
  </si>
  <si>
    <t xml:space="preserve">Rod Cutter Blade </t>
  </si>
  <si>
    <t xml:space="preserve">MS Enterprise </t>
  </si>
  <si>
    <t>To repaire wheel barrow at Yarju</t>
  </si>
  <si>
    <t>.</t>
  </si>
  <si>
    <t xml:space="preserve">For welding works </t>
  </si>
  <si>
    <t>Welding Rod No 10</t>
  </si>
  <si>
    <t>Iron MS</t>
  </si>
  <si>
    <t>Recollect</t>
  </si>
  <si>
    <t>To repaire 10 Nos of wheel barrow at Yarju</t>
  </si>
  <si>
    <t xml:space="preserve">MS Angle Pole </t>
  </si>
  <si>
    <t xml:space="preserve">Pema Namgay Scrap Dealer </t>
  </si>
  <si>
    <t>Required for construction unit</t>
  </si>
  <si>
    <t>DV.3.206</t>
  </si>
  <si>
    <t xml:space="preserve">Olakha Lubricant </t>
  </si>
  <si>
    <t>Fuel and Lubricant are requetsed for the month of March 2026</t>
  </si>
  <si>
    <t>Black Oil(2nd oil)</t>
  </si>
  <si>
    <t>Choeda Automobile Worksho</t>
  </si>
  <si>
    <t>For the month of March 2026</t>
  </si>
  <si>
    <t>Fuel for March Month 2026</t>
  </si>
  <si>
    <t xml:space="preserve">Hiring Of HP Tractor </t>
  </si>
  <si>
    <t>Hiring of Tractor</t>
  </si>
  <si>
    <t>DV.3.163</t>
  </si>
  <si>
    <t xml:space="preserve">Rubber barrel </t>
  </si>
  <si>
    <t xml:space="preserve">Fuel Storage </t>
  </si>
  <si>
    <t>HD Diesel</t>
  </si>
  <si>
    <t>Requested for the month of March 2026</t>
  </si>
  <si>
    <t>HS Diesel</t>
  </si>
  <si>
    <t>DV.3.136</t>
  </si>
  <si>
    <t>Hiring of Hitachi Excavator (BG-3A-0109)</t>
  </si>
  <si>
    <t>DV.3.137</t>
  </si>
  <si>
    <t>Eleectrical items for 8 blcoks dormitory</t>
  </si>
  <si>
    <t>Copper wire 2.5 Sqmm x 90 Mtr</t>
  </si>
  <si>
    <t>Copper wire 1 sqmm x 90 Mtrsc(ge</t>
  </si>
  <si>
    <t>Electrical itmes for 8 blocks dormitory</t>
  </si>
  <si>
    <t>DV.3.138</t>
  </si>
  <si>
    <t>Hiring of Kobelco (BG-3-A0034</t>
  </si>
  <si>
    <t>Hiring of JCB (BG-3-A0068)</t>
  </si>
  <si>
    <t>Dyas</t>
  </si>
  <si>
    <t>Hiring of Cat 311(BG-1-A0510)</t>
  </si>
  <si>
    <t>Hiring of Backhoe (BG-1-A0038)</t>
  </si>
  <si>
    <t>Hiring Charges of JCB205 (BG-3-A0761)</t>
  </si>
  <si>
    <t>DV.3.139</t>
  </si>
  <si>
    <t>Hiring of Excavator (BG-2-A0059)</t>
  </si>
  <si>
    <t>Hiring of Farm Tractor (BG-3-A0005)</t>
  </si>
  <si>
    <t>DV.3.140</t>
  </si>
  <si>
    <t xml:space="preserve">Mud Rammer </t>
  </si>
  <si>
    <t>Bhutan Trading</t>
  </si>
  <si>
    <t>Hosepipe yellow 2mm 100 mtrs Roll</t>
  </si>
  <si>
    <t>Air Compressor 30HP,7Bar,Brand ELGI</t>
  </si>
  <si>
    <t>Tank for Compressor 1000Ltr</t>
  </si>
  <si>
    <t>Extra Fittings</t>
  </si>
  <si>
    <t>DV.3.113</t>
  </si>
  <si>
    <t>Electrucity Bill for Feb 2026</t>
  </si>
  <si>
    <t>Monthly Bill</t>
  </si>
  <si>
    <t>Monthly bill for Feb 2026</t>
  </si>
  <si>
    <t>GST Applied</t>
  </si>
  <si>
    <t>DV.4.173</t>
  </si>
  <si>
    <t xml:space="preserve">Trasnportation Charge of Sand </t>
  </si>
  <si>
    <t xml:space="preserve">For road construction </t>
  </si>
  <si>
    <t>DV.3.102</t>
  </si>
  <si>
    <t>Mesuring Tape Estino 5m</t>
  </si>
  <si>
    <t>Drukyul Hardware</t>
  </si>
  <si>
    <t>Eledctrical purpose for 8 blocks dormitory</t>
  </si>
  <si>
    <t>DV.3.103</t>
  </si>
  <si>
    <t>Plumb Mob</t>
  </si>
  <si>
    <t xml:space="preserve">For the plastering and laying of tiles of 8 blcoks dormitory </t>
  </si>
  <si>
    <t>Mason Thread (1Kg)</t>
  </si>
  <si>
    <t>GSt Applied</t>
  </si>
  <si>
    <t>DV.3.104</t>
  </si>
  <si>
    <t>File Ambassador</t>
  </si>
  <si>
    <t>File L folder</t>
  </si>
  <si>
    <t>DV.3.101</t>
  </si>
  <si>
    <t>Claw Hammer 500gm</t>
  </si>
  <si>
    <t>For Carpentary Unit</t>
  </si>
  <si>
    <t>DV.3.105</t>
  </si>
  <si>
    <t>Sharpening stone 8"</t>
  </si>
  <si>
    <t>DV.3.106</t>
  </si>
  <si>
    <t xml:space="preserve">Photocopy paper A4 size </t>
  </si>
  <si>
    <t>Dejung Enterprise</t>
  </si>
  <si>
    <t xml:space="preserve">For PIU office Purpose </t>
  </si>
  <si>
    <t>Correcting fluid</t>
  </si>
  <si>
    <t>DV.3.107</t>
  </si>
  <si>
    <t>PVC junction box 1 way 20mm</t>
  </si>
  <si>
    <t xml:space="preserve">For 8 Unit Dormitory </t>
  </si>
  <si>
    <t>PVC junction box 2 way 20mm</t>
  </si>
  <si>
    <t>PVC junction boc 3 way 20mm</t>
  </si>
  <si>
    <t>PVC junction box 4 way 20mm</t>
  </si>
  <si>
    <t>Saddle</t>
  </si>
  <si>
    <t>Gst Applied</t>
  </si>
  <si>
    <t>wiring of extended PIU Conference Hall</t>
  </si>
  <si>
    <t>Pitol (yellow copper)</t>
  </si>
  <si>
    <t>For Joining the sawing blade</t>
  </si>
  <si>
    <t>Suhaga (borax)</t>
  </si>
  <si>
    <t xml:space="preserve">To join then bend saw blade </t>
  </si>
  <si>
    <t>Fuel Pump</t>
  </si>
  <si>
    <t>Use during issue of fuel</t>
  </si>
  <si>
    <t>DV.3.108</t>
  </si>
  <si>
    <t>Transportation charges for Sawn timber</t>
  </si>
  <si>
    <t>682/683</t>
  </si>
  <si>
    <t>Transportation charges of Hume pipe</t>
  </si>
  <si>
    <t>Hume pipe transportation</t>
  </si>
  <si>
    <t>DV.3.109</t>
  </si>
  <si>
    <t xml:space="preserve">Transportation charges of sand </t>
  </si>
  <si>
    <t xml:space="preserve">Construction of 8 blocks dormitory </t>
  </si>
  <si>
    <t>DV.3.110</t>
  </si>
  <si>
    <t xml:space="preserve">Tshering Norlha Enterprise </t>
  </si>
  <si>
    <t xml:space="preserve">Tiles cutter machine </t>
  </si>
  <si>
    <t>DV.3.111</t>
  </si>
  <si>
    <t>Wire nail 2"</t>
  </si>
  <si>
    <t>Siya Enterprise</t>
  </si>
  <si>
    <t>For Construction of dormitory</t>
  </si>
  <si>
    <t>Wire nail 3"</t>
  </si>
  <si>
    <t>Wire nail 4"</t>
  </si>
  <si>
    <t>KGs</t>
  </si>
  <si>
    <t>Wire nail 5"</t>
  </si>
  <si>
    <t>Wire nail 6"</t>
  </si>
  <si>
    <t>Bus bar 100a Horson</t>
  </si>
  <si>
    <t xml:space="preserve">For Temporary Shed </t>
  </si>
  <si>
    <t>Copper wire 4Sqmm 90m</t>
  </si>
  <si>
    <t>DV.3.112</t>
  </si>
  <si>
    <t>Thimble 35mm (Aluminium)</t>
  </si>
  <si>
    <t>MS enterprise</t>
  </si>
  <si>
    <t>Electrical purpose for 8 blocks dormitory</t>
  </si>
  <si>
    <t>Reuqusted for temporary shed</t>
  </si>
  <si>
    <t>Thimble 25mm (Aluminium)</t>
  </si>
  <si>
    <t>Ms enterprise</t>
  </si>
  <si>
    <t xml:space="preserve">Leather Gloves </t>
  </si>
  <si>
    <t xml:space="preserve">Safety Measures </t>
  </si>
  <si>
    <t xml:space="preserve">For the sawmill workers </t>
  </si>
  <si>
    <t>safety Helmets</t>
  </si>
  <si>
    <t>DV.3.115</t>
  </si>
  <si>
    <t xml:space="preserve">Gee slab earthing </t>
  </si>
  <si>
    <t>Woezer Enterprise</t>
  </si>
  <si>
    <t>GI wire 4mm dia (8swg)</t>
  </si>
  <si>
    <t>DV.3.117</t>
  </si>
  <si>
    <t>Transportation charges of aggregate</t>
  </si>
  <si>
    <t xml:space="preserve">For 8 blcoks dormitory </t>
  </si>
  <si>
    <t>DV.4.171</t>
  </si>
  <si>
    <t>Binding wire 25 Kg</t>
  </si>
  <si>
    <t xml:space="preserve">Requested for 1BHK construction. </t>
  </si>
  <si>
    <t>DV.4.172</t>
  </si>
  <si>
    <t xml:space="preserve">Wood Pink Primer </t>
  </si>
  <si>
    <t>Requested for dormitory blocks</t>
  </si>
  <si>
    <t>Synthetic paint golden brown</t>
  </si>
  <si>
    <t>DV.4.166</t>
  </si>
  <si>
    <t>Hiring Charges of Cat 311 (BG-1-A0510)</t>
  </si>
  <si>
    <t>Hiring Charges of Backhoe (BG-1-A0038)</t>
  </si>
  <si>
    <t>Hiring Charges of Hitachi 210 (BG-3-A0109)</t>
  </si>
  <si>
    <t>tax</t>
  </si>
  <si>
    <t>Hiring Charges of Tractor (BG-3-A0005)</t>
  </si>
  <si>
    <t>DV.4.175</t>
  </si>
  <si>
    <t>MS Angle 50x50x5mm 20 pcs</t>
  </si>
  <si>
    <t xml:space="preserve">Ms. Perfect Builders </t>
  </si>
  <si>
    <t>For Mud Ramping at Construction</t>
  </si>
  <si>
    <t>DV.4.177</t>
  </si>
  <si>
    <t>GI Pipe 32mm x 6Mtr</t>
  </si>
  <si>
    <t>For Construction Unit</t>
  </si>
  <si>
    <t>Rod Cutter blade 14inch (polymark)</t>
  </si>
  <si>
    <t>DV.4.174</t>
  </si>
  <si>
    <t>Trnsportation Charges of Sawn Timber</t>
  </si>
  <si>
    <t xml:space="preserve">Requested for 8 blocks dormitory </t>
  </si>
  <si>
    <t>DV.3.118</t>
  </si>
  <si>
    <t xml:space="preserve">Transportation Charges of Sawn Timber </t>
  </si>
  <si>
    <t xml:space="preserve">For 8 blcoks dormitory construction </t>
  </si>
  <si>
    <t>For the construction of 8 blcoks dormitory</t>
  </si>
  <si>
    <t>DV.3.116</t>
  </si>
  <si>
    <t>Ms Nut &amp; Bolt 16mm x 3inch (50Nos)</t>
  </si>
  <si>
    <t>For Mud Ramping at Construction site.</t>
  </si>
  <si>
    <t>Ms Nut &amp; Bolt 16mm x 4inch (50Nos)</t>
  </si>
  <si>
    <t>Ms Nut &amp; Bolt 16mm x 32 Inch(100 Nos)</t>
  </si>
  <si>
    <t>Grinding Wheel 103mm Grit 100</t>
  </si>
  <si>
    <t>Flap Disk Grit 100</t>
  </si>
  <si>
    <t>Diamond Cutter Blade 14 inch - Xtra power</t>
  </si>
  <si>
    <t>Stone cutter machine is required for construction unit.</t>
  </si>
  <si>
    <t>GSt</t>
  </si>
  <si>
    <t>Trolley Wheel</t>
  </si>
  <si>
    <t>Sawmil Unit</t>
  </si>
  <si>
    <t>29 feb 2026</t>
  </si>
  <si>
    <t>DV.3.129</t>
  </si>
  <si>
    <t>Hiring of Chain Excavator (BP-1-A0691) Dec</t>
  </si>
  <si>
    <t>AS Hiring Agency</t>
  </si>
  <si>
    <t xml:space="preserve">For Constrution </t>
  </si>
  <si>
    <t>Hiring of Chain Excavator (BP-1-A0691) Jan</t>
  </si>
  <si>
    <t>Sand required for 8 blocks dormitory</t>
  </si>
  <si>
    <t xml:space="preserve">Transportation Charge of Sand </t>
  </si>
  <si>
    <t xml:space="preserve">For 8 blcoks dormitory and 1 unit staff quarter </t>
  </si>
  <si>
    <t>For 8 blcoks dormitory and 1BHK</t>
  </si>
  <si>
    <t>For 8 blocks dormitory and 1BHK</t>
  </si>
  <si>
    <t>U-Clip  25mm</t>
  </si>
  <si>
    <t xml:space="preserve">Electrical works for 8 blocks dormitory </t>
  </si>
  <si>
    <t>U-clip 20mm</t>
  </si>
  <si>
    <t>Trowel (s)</t>
  </si>
  <si>
    <t>Trowel (m)</t>
  </si>
  <si>
    <t>Tarpaulin 18 x 24</t>
  </si>
  <si>
    <t>For construction Unit</t>
  </si>
  <si>
    <t>DV.3.124</t>
  </si>
  <si>
    <t>PVC bend 25 mm</t>
  </si>
  <si>
    <t>PVC bend 20mm</t>
  </si>
  <si>
    <t>Hacksaw Blade</t>
  </si>
  <si>
    <t>Hacksw frame</t>
  </si>
  <si>
    <t>DV.3.127</t>
  </si>
  <si>
    <t>Torjen wire (12mm)</t>
  </si>
  <si>
    <t xml:space="preserve">For Log Extraction </t>
  </si>
  <si>
    <t>Crowbar 29mmx1650mm</t>
  </si>
  <si>
    <t>For the movement of logs</t>
  </si>
  <si>
    <t>DV.3.128</t>
  </si>
  <si>
    <t>Chain sawing/cutting (20each)</t>
  </si>
  <si>
    <t xml:space="preserve">Used for ALD and repaire and maintaiance </t>
  </si>
  <si>
    <t>Triangle File</t>
  </si>
  <si>
    <t>File for Power chain</t>
  </si>
  <si>
    <t xml:space="preserve">Needle cage for power chain </t>
  </si>
  <si>
    <t xml:space="preserve">For power chain repaire and maintainance </t>
  </si>
  <si>
    <t>Front handle guard</t>
  </si>
  <si>
    <t>Oil filter cap</t>
  </si>
  <si>
    <t>Fuel filter cap</t>
  </si>
  <si>
    <t xml:space="preserve">Recoil stand assembly </t>
  </si>
  <si>
    <t>Chain cover nuts</t>
  </si>
  <si>
    <t>Starter pawl spring washer</t>
  </si>
  <si>
    <t>DV.4.168</t>
  </si>
  <si>
    <t xml:space="preserve">For the construction of 4 blocks dormitory </t>
  </si>
  <si>
    <t>Copper wire 10 sqmm</t>
  </si>
  <si>
    <t xml:space="preserve">For shuttering of the Ram </t>
  </si>
  <si>
    <t>DV.4.176</t>
  </si>
  <si>
    <t>PPGI sheet (green 12ft)</t>
  </si>
  <si>
    <t>PPGI sheet green 11ft</t>
  </si>
  <si>
    <t>PPGI sheet Green 8ft</t>
  </si>
  <si>
    <t xml:space="preserve">PPGI sheet Ridge 8ft x 24 inches </t>
  </si>
  <si>
    <t>DV.4.34</t>
  </si>
  <si>
    <t>Rubber Hand Gloves</t>
  </si>
  <si>
    <t xml:space="preserve">For The construction of mushroom shed. </t>
  </si>
  <si>
    <t>DV.4.71</t>
  </si>
  <si>
    <t xml:space="preserve">Nana Enterprise </t>
  </si>
  <si>
    <t xml:space="preserve">Requested by Yarju office </t>
  </si>
  <si>
    <t>Stapler machine 24/6</t>
  </si>
  <si>
    <t>Stapler pin 24/6</t>
  </si>
  <si>
    <t xml:space="preserve">Dust bin </t>
  </si>
  <si>
    <t xml:space="preserve">nana Enterprise </t>
  </si>
  <si>
    <t>Dot pen</t>
  </si>
  <si>
    <t>DV.3.119</t>
  </si>
  <si>
    <t xml:space="preserve">Advance for Plantation ar Yarju </t>
  </si>
  <si>
    <t xml:space="preserve">Advances </t>
  </si>
  <si>
    <t xml:space="preserve">Deposited in CD Acc </t>
  </si>
  <si>
    <t xml:space="preserve">Deposited in Wangdi Dzongkhag Forest Division Lobesa </t>
  </si>
  <si>
    <t>DV.4.185</t>
  </si>
  <si>
    <t>TA/DA</t>
  </si>
  <si>
    <t>RBP</t>
  </si>
  <si>
    <t>Paid to Phuntsho Wangdi (P no. 9355) Rank AE RBP HQ</t>
  </si>
  <si>
    <t>DV.4.167</t>
  </si>
  <si>
    <t>Hiring of Tripper (BP-1-A4466)For Mar 2026</t>
  </si>
  <si>
    <t>Khuenphel Delek KD Hiring</t>
  </si>
  <si>
    <t>Deployed at Construction site.</t>
  </si>
  <si>
    <t>Hiring of Tripper (BP-1-A4357)For Mar 2026</t>
  </si>
  <si>
    <t>Hiring of Tripper(BP-1-A3049)For Mar 2026</t>
  </si>
  <si>
    <t>Hiring of Tripper(BP-1-A4929)for Mar 2026</t>
  </si>
  <si>
    <t>Hiring of Tripper(BP-2-B0584) For Mar 2026</t>
  </si>
  <si>
    <t>DV.4.151</t>
  </si>
  <si>
    <t>V Belt A76</t>
  </si>
  <si>
    <t xml:space="preserve">Babesa Trading </t>
  </si>
  <si>
    <t xml:space="preserve">Used for Construction unit. </t>
  </si>
  <si>
    <t>V Belt A65</t>
  </si>
  <si>
    <t>V Belt B73</t>
  </si>
  <si>
    <t>For construction of 8 Blocks Dormitory &amp; 1BHK</t>
  </si>
  <si>
    <t>DV.4.65</t>
  </si>
  <si>
    <t>DV.4.66</t>
  </si>
  <si>
    <t xml:space="preserve">For the construcion of road. </t>
  </si>
  <si>
    <t>For the construction of road</t>
  </si>
  <si>
    <t>trucks</t>
  </si>
  <si>
    <t>DV.4.67</t>
  </si>
  <si>
    <t>Transportation Charge of Sawn Timber</t>
  </si>
  <si>
    <t>DV.4.68</t>
  </si>
  <si>
    <t xml:space="preserve">Transportation Charge of Cement </t>
  </si>
  <si>
    <t>South hall Cement Agent</t>
  </si>
  <si>
    <t xml:space="preserve">For the road construction </t>
  </si>
  <si>
    <t>DV.4.38</t>
  </si>
  <si>
    <t>39/95</t>
  </si>
  <si>
    <t>RK Enterprise</t>
  </si>
  <si>
    <t xml:space="preserve">Electrical wire for 8 blocks dormitory </t>
  </si>
  <si>
    <t>DV.4.36</t>
  </si>
  <si>
    <t>Issue Challan book</t>
  </si>
  <si>
    <t>Tshangpa Priting Press</t>
  </si>
  <si>
    <t xml:space="preserve">For office use Yarju </t>
  </si>
  <si>
    <t>DV.4.58</t>
  </si>
  <si>
    <t>HDPE Pipe 50mmxpn6</t>
  </si>
  <si>
    <t xml:space="preserve">Required for water sourcing </t>
  </si>
  <si>
    <t>DV.4.60</t>
  </si>
  <si>
    <t xml:space="preserve">Student Attendance Register </t>
  </si>
  <si>
    <t>Yudrai Gatshal Enterprise</t>
  </si>
  <si>
    <t>DV.4.61</t>
  </si>
  <si>
    <t>Tonner 208K</t>
  </si>
  <si>
    <t>Priting documents for store, Yarju</t>
  </si>
  <si>
    <t>DV.3.47</t>
  </si>
  <si>
    <t>Correction Pen -Saya</t>
  </si>
  <si>
    <t>Gems Clip : 35mm</t>
  </si>
  <si>
    <t>Scissors :8.5" Ordinary</t>
  </si>
  <si>
    <t>Scale 30CM :Camel</t>
  </si>
  <si>
    <t>DV.4.62</t>
  </si>
  <si>
    <t>Starter pawl set</t>
  </si>
  <si>
    <t>For ALD and construction unit</t>
  </si>
  <si>
    <t>DV.4.63</t>
  </si>
  <si>
    <t>required for 8 blocks dormitory construction</t>
  </si>
  <si>
    <t xml:space="preserve">fastening/Joining Materials </t>
  </si>
  <si>
    <t>Wire nil 5"</t>
  </si>
  <si>
    <t>DV.4.64</t>
  </si>
  <si>
    <t>10a Switch Roma</t>
  </si>
  <si>
    <t xml:space="preserve">Electrical items required for 8 blocks dormitory </t>
  </si>
  <si>
    <t>20a Switch Roma</t>
  </si>
  <si>
    <t xml:space="preserve">Busbar 200a Horson </t>
  </si>
  <si>
    <t>Mcb 10 Amp Spn Legrand</t>
  </si>
  <si>
    <t>Conduit Circular Box2way 25mm</t>
  </si>
  <si>
    <t>Conduit Circular Box 3 way 25mm</t>
  </si>
  <si>
    <t>Conduit Circular Box 4 way 25mm</t>
  </si>
  <si>
    <t>Conduit Circular Box 4 way 20mm</t>
  </si>
  <si>
    <t>Mcb 16 Amp Sp Legrand Rx3</t>
  </si>
  <si>
    <t>DV.4.69</t>
  </si>
  <si>
    <t>Shutterinbg Ply 12mm</t>
  </si>
  <si>
    <t xml:space="preserve">Cutter blade </t>
  </si>
  <si>
    <t>DV.4.70</t>
  </si>
  <si>
    <t>Kitchen sink (drain board)</t>
  </si>
  <si>
    <t xml:space="preserve">For guest house kicthen repaire </t>
  </si>
  <si>
    <t xml:space="preserve">Coupling with waste pipe </t>
  </si>
  <si>
    <t>Stone Cutter Machine 355polymark</t>
  </si>
  <si>
    <t>For construction unit</t>
  </si>
  <si>
    <t>Jerrycan 20 Ltrs</t>
  </si>
  <si>
    <t>For Fuel and Oil</t>
  </si>
  <si>
    <t>Cutter blade 14"</t>
  </si>
  <si>
    <t xml:space="preserve">For mud ramping at construction site </t>
  </si>
  <si>
    <t>For mud ramping at construction site</t>
  </si>
  <si>
    <t>DV.4.169</t>
  </si>
  <si>
    <t>Monthly issue</t>
  </si>
  <si>
    <t>DV.4.204</t>
  </si>
  <si>
    <t>Power Strip 1.5</t>
  </si>
  <si>
    <t xml:space="preserve">Norling Electrical </t>
  </si>
  <si>
    <t>For office purpose yarju</t>
  </si>
  <si>
    <t>DV.4.205</t>
  </si>
  <si>
    <t xml:space="preserve">For 1BHK family quarter </t>
  </si>
  <si>
    <t>DV.4.207</t>
  </si>
  <si>
    <t xml:space="preserve">MS C section </t>
  </si>
  <si>
    <t xml:space="preserve">Namgay Scrap Dealer </t>
  </si>
  <si>
    <t>Rwquired for Sawmill and main entrance gate</t>
  </si>
  <si>
    <t>MS sheet</t>
  </si>
  <si>
    <t>DV.4.170</t>
  </si>
  <si>
    <t>Bills</t>
  </si>
  <si>
    <t>kwh</t>
  </si>
  <si>
    <t>BBPC</t>
  </si>
  <si>
    <t>Electricity bills for the month of Feb 2026</t>
  </si>
  <si>
    <t>DV.4.208</t>
  </si>
  <si>
    <t>Tashi Oil Distributor</t>
  </si>
  <si>
    <t>For Machineraries and Chainsaw for April 2026</t>
  </si>
  <si>
    <t>Olakha Lubricant</t>
  </si>
  <si>
    <t>Mobil Oil</t>
  </si>
  <si>
    <t>Choeda Automobile workshop</t>
  </si>
  <si>
    <t>DV.4.210</t>
  </si>
  <si>
    <t>Petrol (GST Added)</t>
  </si>
  <si>
    <t>For machineraries and Chainsaw for April 2026</t>
  </si>
  <si>
    <t>DV.4.209</t>
  </si>
  <si>
    <t xml:space="preserve">BOD </t>
  </si>
  <si>
    <t>DV.4.206</t>
  </si>
  <si>
    <t xml:space="preserve">Selra IT Solution Centre </t>
  </si>
  <si>
    <t xml:space="preserve">Required for construction unit. </t>
  </si>
  <si>
    <t>DV.4.203</t>
  </si>
  <si>
    <t>Handset (Alinco DJ-A11)</t>
  </si>
  <si>
    <t>Security Gadgets</t>
  </si>
  <si>
    <t xml:space="preserve">Geserling Enterprise </t>
  </si>
  <si>
    <t>For duty personal at Yarju</t>
  </si>
  <si>
    <t xml:space="preserve">Daily and monthly issue for Powerchain </t>
  </si>
  <si>
    <t>HS Diesel (GST Added)</t>
  </si>
  <si>
    <t>DV.5.61</t>
  </si>
  <si>
    <t xml:space="preserve">Sawn timber </t>
  </si>
  <si>
    <t>cft</t>
  </si>
  <si>
    <t>Rinchen Khuenphen Sawmil</t>
  </si>
  <si>
    <t>Construction of 8 blocks dormitory</t>
  </si>
  <si>
    <t>Sawn timber (13x5x6.5=102 pcs)</t>
  </si>
  <si>
    <t>Sawn timber (14x5x6.5=73 pcs)</t>
  </si>
  <si>
    <t>Sawn Timber (641.23 cft of sawn blue pine)</t>
  </si>
  <si>
    <t>Sawn Timber (14x6.5x6.5=102 pcs)</t>
  </si>
  <si>
    <t>Sawn Timber (16x12x2.5=3pcs</t>
  </si>
  <si>
    <t>Sawn Timber(12x12x2.5=2pcs)</t>
  </si>
  <si>
    <t>Sawn Timber(15x132x2.5=5pcs)</t>
  </si>
  <si>
    <t>sawn Timber(16x11x2.5=1 pcs</t>
  </si>
  <si>
    <t>Sawn Timber(15x6.5x5=30pcs)</t>
  </si>
  <si>
    <t>rinchen Khuenphen Sawmil</t>
  </si>
  <si>
    <t>Sawn Timber(14x6.5x6.5=12 pcs)</t>
  </si>
  <si>
    <t>Sawn Timber(12x5x6.5=1pcs)</t>
  </si>
  <si>
    <t>Sawn Timber(10x6.5x6.5=1pcs)</t>
  </si>
  <si>
    <t>Sawn Timber(14x10x1.5=3pcs)</t>
  </si>
  <si>
    <t>Sawn Timber(15x10x1.5=28pcs)</t>
  </si>
  <si>
    <t>Sawn Timber(15x12x1.5=2pcs)</t>
  </si>
  <si>
    <t>Sawn Timber(15x8x1.5=37pcs)</t>
  </si>
  <si>
    <t>Sawn Timber(14x8x1.5=8pcs)</t>
  </si>
  <si>
    <t>Sawn Timber(14x11x1.5=1pcs)</t>
  </si>
  <si>
    <t>Sawn Timber(10x10x1.5=1pcs)</t>
  </si>
  <si>
    <t>Sawn Timber(12x10x1.5=1pcs)</t>
  </si>
  <si>
    <t>Sawn Timber(14x12x1.5=2pcs)</t>
  </si>
  <si>
    <t>Sawn Timber(15x2x3=174pcs)</t>
  </si>
  <si>
    <t>Sawn Timber(14x2x3=29pcs)</t>
  </si>
  <si>
    <t>Sawn Timber(10x2x3=10pcs)</t>
  </si>
  <si>
    <t>Sawn Timber(9x2x3=11pcs)</t>
  </si>
  <si>
    <t>Sawn Timber(14x6.5x6.5=99pcs)</t>
  </si>
  <si>
    <t>Sawn Timber(15x2x3=29pcs)</t>
  </si>
  <si>
    <t>Sawn Timber(14x2x3=44pcs)</t>
  </si>
  <si>
    <t>Sawn Timbe4r(9x2x3=16pcs)</t>
  </si>
  <si>
    <t>Sawn Timber (blue pine)</t>
  </si>
  <si>
    <t>Sawn Timber(10x6.5x6.5=19pcs)</t>
  </si>
  <si>
    <t>Sawn Timber(8x6.5x6.5=1pcs)</t>
  </si>
  <si>
    <t>Sawn Timber(10x6.5x5=112pcs)</t>
  </si>
  <si>
    <t>Sawn Timber(8x6.5x5=30pcs)</t>
  </si>
  <si>
    <t>Sawn Timber(12x6.5x5=1pcs)</t>
  </si>
  <si>
    <t>Sawn Timber(11x6.5x5=1pcs)</t>
  </si>
  <si>
    <t>Sawn Timber(blue pine)</t>
  </si>
  <si>
    <t>Rod Cutter watt Gco 220 bo</t>
  </si>
  <si>
    <t>Requested for cutting TMT rod at construction site</t>
  </si>
  <si>
    <t>20a switch Roma</t>
  </si>
  <si>
    <t>siya Enterprise</t>
  </si>
  <si>
    <t>Busbar 200a Horson</t>
  </si>
  <si>
    <t xml:space="preserve">MCB 10 Amp Spn Legrand </t>
  </si>
  <si>
    <t>Conduit Circular Box 2way 25mm</t>
  </si>
  <si>
    <t>Conduit Circular Box 4way 25mm</t>
  </si>
  <si>
    <t>Conduit Circular Box 4way 20mm</t>
  </si>
  <si>
    <t>Mcb 16Amp Sp Legrand Rx3</t>
  </si>
  <si>
    <t>DV.5.83</t>
  </si>
  <si>
    <t>Steel Almirah 48"x30"x17"</t>
  </si>
  <si>
    <t>B.M Enterprise</t>
  </si>
  <si>
    <t>for office purpose at Yarju</t>
  </si>
  <si>
    <t>DV.5.82</t>
  </si>
  <si>
    <t>Split Clutch Drum</t>
  </si>
  <si>
    <t xml:space="preserve">Required  for power chain maintaiance </t>
  </si>
  <si>
    <t>Rim Sprocket Washer -Clip</t>
  </si>
  <si>
    <t>Rim Sprocket</t>
  </si>
  <si>
    <t>Oil Pump for powerchain</t>
  </si>
  <si>
    <t>Required for power chain</t>
  </si>
  <si>
    <t>DV.5.80</t>
  </si>
  <si>
    <t>Wire Nail 3inch</t>
  </si>
  <si>
    <t>Wire Nail 4inch</t>
  </si>
  <si>
    <t>Wire Nail 5inch</t>
  </si>
  <si>
    <t>Wire Nail 6inch</t>
  </si>
  <si>
    <t>Conduit Circular Box 1way 20mm</t>
  </si>
  <si>
    <t>Electrical items for 4 Nos of 1BHK</t>
  </si>
  <si>
    <t>Conduit Circular Box 2way 20mm</t>
  </si>
  <si>
    <t>Conduit Circular Box 3way 20mm</t>
  </si>
  <si>
    <t>Conduit Circular Box 1way 25mm</t>
  </si>
  <si>
    <t>Conduit Circular Box 2 way 25mm</t>
  </si>
  <si>
    <t>DV.5.79</t>
  </si>
  <si>
    <t>CGI Sheet 63Mmx12"</t>
  </si>
  <si>
    <t>required for Sawmil</t>
  </si>
  <si>
    <t>DV.5.78</t>
  </si>
  <si>
    <t>Self inking seal</t>
  </si>
  <si>
    <t xml:space="preserve">Ms Printing Point </t>
  </si>
  <si>
    <t>DV.5.81</t>
  </si>
  <si>
    <t>3MP Battery PTZSolar Camera 128GB</t>
  </si>
  <si>
    <t>New Device Technology</t>
  </si>
  <si>
    <t xml:space="preserve">Administartion Yarju </t>
  </si>
  <si>
    <t>BT260115000180</t>
  </si>
  <si>
    <t>DV.4.211</t>
  </si>
  <si>
    <t>SIM Card for CCTV</t>
  </si>
  <si>
    <t>CCTV</t>
  </si>
  <si>
    <t>Bhutan Telecom Ltd</t>
  </si>
  <si>
    <t xml:space="preserve">For Yarju CCTV simcard </t>
  </si>
  <si>
    <t>BT260304000162</t>
  </si>
  <si>
    <t>Usim Card 128K (prepaid) combi (900049)</t>
  </si>
  <si>
    <t>Bhutan Telecom Ltd(GSt added</t>
  </si>
  <si>
    <t>Usim Card 128K(prepaid) combi(900049)</t>
  </si>
  <si>
    <t>Bhutan Telecom (GST added )</t>
  </si>
  <si>
    <t>DV.5.32</t>
  </si>
  <si>
    <t>Thimphu to Hebisa</t>
  </si>
  <si>
    <t>TD/DA</t>
  </si>
  <si>
    <t>Phuntsho Wangdi (enigneer, P# 9355)</t>
  </si>
  <si>
    <t xml:space="preserve">Inspection of ongoing work at Yarju. </t>
  </si>
  <si>
    <t>DV,5.31</t>
  </si>
  <si>
    <t>Chencho Tshering (AE, P #6618)</t>
  </si>
  <si>
    <t>DV.5.60</t>
  </si>
  <si>
    <t xml:space="preserve">Lunch at Cafe </t>
  </si>
  <si>
    <t xml:space="preserve">Meeting Expenses </t>
  </si>
  <si>
    <t>Cafe, Chamgang</t>
  </si>
  <si>
    <t xml:space="preserve">during PIU, PMU &amp; Engineer (HQ Yarju meeting at Chamgang </t>
  </si>
  <si>
    <t>DV.3.191</t>
  </si>
  <si>
    <t xml:space="preserve">Fuel advance for Yarju project </t>
  </si>
  <si>
    <t>Advance for Fuel</t>
  </si>
  <si>
    <t>Advance Funds for Yarju Project (Fuel CD Account)</t>
  </si>
  <si>
    <t>DV.4.186</t>
  </si>
  <si>
    <t xml:space="preserve">Advance to South Hall </t>
  </si>
  <si>
    <t>Advance</t>
  </si>
  <si>
    <t>Advance Pament to South Hall</t>
  </si>
  <si>
    <t>DV.5.104</t>
  </si>
  <si>
    <t>Sawing/Cutting Chain (5 nos each)</t>
  </si>
  <si>
    <t xml:space="preserve">Round File </t>
  </si>
  <si>
    <t>DV.5.103</t>
  </si>
  <si>
    <t>Remula R3x25 W-40</t>
  </si>
  <si>
    <t>DV.5.105</t>
  </si>
  <si>
    <t>HSD(GST added)</t>
  </si>
  <si>
    <t>Bhutan Oil distributor</t>
  </si>
  <si>
    <t>For BP-1G-0518 to reach construction materials to Yarju</t>
  </si>
  <si>
    <t>HSD (GST added)</t>
  </si>
  <si>
    <t>DV.5.97</t>
  </si>
  <si>
    <t xml:space="preserve">Tashi Oil Distributor </t>
  </si>
  <si>
    <t>Required for Machineries and Chainsaw for the month of April</t>
  </si>
  <si>
    <t>HSD Diesel</t>
  </si>
  <si>
    <t>Fuel for machinaries , sawmill and power chain</t>
  </si>
  <si>
    <t>DV.4.24</t>
  </si>
  <si>
    <t>Hammer (10Kg)</t>
  </si>
  <si>
    <t>Construction of Mushroom Shed</t>
  </si>
  <si>
    <t>260326/12</t>
  </si>
  <si>
    <t>DV.4.28</t>
  </si>
  <si>
    <t>Gumboot</t>
  </si>
  <si>
    <t>Safety Gear</t>
  </si>
  <si>
    <t>Modi Thread</t>
  </si>
  <si>
    <t>Metal Float</t>
  </si>
  <si>
    <t>Measuring Tape 5mtrs</t>
  </si>
  <si>
    <t>GST 5%</t>
  </si>
  <si>
    <t>260225/23</t>
  </si>
  <si>
    <t>MCB 63Dp</t>
  </si>
  <si>
    <t>DV.4.29</t>
  </si>
  <si>
    <t>Areal Cable 10sqmm</t>
  </si>
  <si>
    <t>JD Enterprise</t>
  </si>
  <si>
    <t>DV.4.31</t>
  </si>
  <si>
    <t>BusBar 63 Amp</t>
  </si>
  <si>
    <t>DV.4.32</t>
  </si>
  <si>
    <t>206/205</t>
  </si>
  <si>
    <t>Copper wire 1.5 sqmm X 90 mtrs</t>
  </si>
  <si>
    <t>SIYA enterprise</t>
  </si>
  <si>
    <t>Bed Switch</t>
  </si>
  <si>
    <t>DV.4.33</t>
  </si>
  <si>
    <t>PVC Tape</t>
  </si>
  <si>
    <t>MS Enterprise</t>
  </si>
  <si>
    <t>Socket</t>
  </si>
  <si>
    <t>DV.4.23</t>
  </si>
  <si>
    <t xml:space="preserve">Transportation Charge of Aggregate </t>
  </si>
  <si>
    <t>Construction of mushroom shed</t>
  </si>
  <si>
    <t xml:space="preserve">Transportation Charges of Aggregate </t>
  </si>
  <si>
    <t>DV.4.25</t>
  </si>
  <si>
    <t>Transportation Charge of Boulder</t>
  </si>
  <si>
    <t>DV.4.30</t>
  </si>
  <si>
    <t xml:space="preserve">Plumbing Items </t>
  </si>
  <si>
    <t xml:space="preserve">Nos </t>
  </si>
  <si>
    <t>Radak Phunsum</t>
  </si>
  <si>
    <t xml:space="preserve">For Temp shed of Mushroom worker </t>
  </si>
  <si>
    <t>9 watt Bulb</t>
  </si>
  <si>
    <t>DV.3.169</t>
  </si>
  <si>
    <t>CGI sheet , 63mm 12 ft</t>
  </si>
  <si>
    <t xml:space="preserve">Drukyul Hardware </t>
  </si>
  <si>
    <t>Brass Bobcock</t>
  </si>
  <si>
    <t>DV.5.85</t>
  </si>
  <si>
    <t>Wheel Barrow(Palak)Red and Green</t>
  </si>
  <si>
    <t>For Construction of Mushroom shed</t>
  </si>
  <si>
    <t>DV.5.75</t>
  </si>
  <si>
    <t xml:space="preserve">Transportation Charge of Boulder </t>
  </si>
  <si>
    <t>Transportation Cahrge of Boulder</t>
  </si>
  <si>
    <t>DV.5.74</t>
  </si>
  <si>
    <t>Tarpulin 18x24</t>
  </si>
  <si>
    <t xml:space="preserve">For Mushroom shed </t>
  </si>
  <si>
    <t>DV.5.73</t>
  </si>
  <si>
    <t xml:space="preserve">Oil &amp; Lubricant </t>
  </si>
  <si>
    <t>Petrol (GST added)</t>
  </si>
  <si>
    <t>Tashi BOD</t>
  </si>
  <si>
    <t>q</t>
  </si>
  <si>
    <t>Name Of Party</t>
  </si>
  <si>
    <t>Challan No.</t>
  </si>
  <si>
    <t>Material Description</t>
  </si>
  <si>
    <t>Received Qty</t>
  </si>
  <si>
    <t>Remarks</t>
  </si>
  <si>
    <t>PMU/PSD</t>
  </si>
  <si>
    <t>15/02/2026</t>
  </si>
  <si>
    <t xml:space="preserve">mobile </t>
  </si>
  <si>
    <t>23/02/2026</t>
  </si>
  <si>
    <t>27/02/2026</t>
  </si>
  <si>
    <t>Mobil (Used)</t>
  </si>
  <si>
    <t>Disel</t>
  </si>
  <si>
    <t>13/03/2026</t>
  </si>
  <si>
    <t>17/03/2026</t>
  </si>
  <si>
    <t xml:space="preserve">Diesel </t>
  </si>
  <si>
    <t>23/03/2026</t>
  </si>
  <si>
    <t xml:space="preserve">Mobil </t>
  </si>
  <si>
    <t>Mobil(2nd Hand)</t>
  </si>
  <si>
    <t>19/04/2026</t>
  </si>
  <si>
    <t>Mushroom Shed Construction</t>
  </si>
  <si>
    <t>Mobil(New)</t>
  </si>
  <si>
    <t>Mobil New</t>
  </si>
  <si>
    <t>Mobil Second Hand</t>
  </si>
  <si>
    <t>29/05/2026</t>
  </si>
  <si>
    <t>Copper wire 4 Sqmm</t>
  </si>
  <si>
    <t>MCB Box 5 Ways</t>
  </si>
  <si>
    <t>Hack saw Frame</t>
  </si>
  <si>
    <t>Plain Sheet</t>
  </si>
  <si>
    <t>Penden Holder</t>
  </si>
  <si>
    <t>Nail 3" &amp;5''</t>
  </si>
  <si>
    <t>Hammar</t>
  </si>
  <si>
    <t>Plastice Bucket</t>
  </si>
  <si>
    <t>Box</t>
  </si>
  <si>
    <t>Rechargeable Torch</t>
  </si>
  <si>
    <t>CC Cable</t>
  </si>
  <si>
    <t>DP Box</t>
  </si>
  <si>
    <t>Tarpualin 24x18</t>
  </si>
  <si>
    <t>Jaricane</t>
  </si>
  <si>
    <t xml:space="preserve">Power Chain </t>
  </si>
  <si>
    <t>Spark Chock</t>
  </si>
  <si>
    <t>Powerchain Chain</t>
  </si>
  <si>
    <t>File for chainsaw</t>
  </si>
  <si>
    <t>Paint Red</t>
  </si>
  <si>
    <t>Paint White</t>
  </si>
  <si>
    <t>SS Sliding Bolt</t>
  </si>
  <si>
    <t>CGI Sheet 8ft</t>
  </si>
  <si>
    <t>SS tower Bolt</t>
  </si>
  <si>
    <t>Water Pipe</t>
  </si>
  <si>
    <t xml:space="preserve"> Bib Cock</t>
  </si>
  <si>
    <t>Painting Brush</t>
  </si>
  <si>
    <t>Tarpualin 24x19</t>
  </si>
  <si>
    <t>Handsaw</t>
  </si>
  <si>
    <t>Hinges (Door Kabja)</t>
  </si>
  <si>
    <t>Thread</t>
  </si>
  <si>
    <t>Red Mud paint</t>
  </si>
  <si>
    <t>Bulb</t>
  </si>
  <si>
    <t>Hammer 10kg</t>
  </si>
  <si>
    <t>Crow bar big size</t>
  </si>
  <si>
    <t>Crowbar big size</t>
  </si>
  <si>
    <t>Shuttering Plastic</t>
  </si>
  <si>
    <t>Measuring Tap</t>
  </si>
  <si>
    <t xml:space="preserve">Calculator </t>
  </si>
  <si>
    <t>pairs</t>
  </si>
  <si>
    <t>Weighing Machine</t>
  </si>
  <si>
    <t xml:space="preserve">Screw driver </t>
  </si>
  <si>
    <t>CGI  screw</t>
  </si>
  <si>
    <t>Sanding Paper P120</t>
  </si>
  <si>
    <t>Sanding Paper P60</t>
  </si>
  <si>
    <t>Sharpening Stone</t>
  </si>
  <si>
    <t>Drill Machine</t>
  </si>
  <si>
    <t>Router Machine</t>
  </si>
  <si>
    <t>European Toilet Pot</t>
  </si>
  <si>
    <t>Clamp 56ft</t>
  </si>
  <si>
    <t>Torque Wrench</t>
  </si>
  <si>
    <t>Bar for Chain saw</t>
  </si>
  <si>
    <t>Powerchain chain</t>
  </si>
  <si>
    <t>CGI Sheet 6ft</t>
  </si>
  <si>
    <t>Pipe Wrench</t>
  </si>
  <si>
    <t>Paper A4</t>
  </si>
  <si>
    <t>Ruled Paper</t>
  </si>
  <si>
    <t>Scissors</t>
  </si>
  <si>
    <t>Stapler</t>
  </si>
  <si>
    <t>pkts</t>
  </si>
  <si>
    <t>Portable Sawmill 31" daimteter</t>
  </si>
  <si>
    <t>Plumb Bob</t>
  </si>
  <si>
    <t>Generator</t>
  </si>
  <si>
    <t>Rapid Crack</t>
  </si>
  <si>
    <t>Black Mud paint</t>
  </si>
  <si>
    <t>Pipe Level</t>
  </si>
  <si>
    <t>Chisel 1/2"</t>
  </si>
  <si>
    <t>Chisel 1&amp;1/2"</t>
  </si>
  <si>
    <t>Bip Cock</t>
  </si>
  <si>
    <t>Pencil Battery</t>
  </si>
  <si>
    <t xml:space="preserve">sawing chain </t>
  </si>
  <si>
    <t xml:space="preserve">2 Core Service Cable </t>
  </si>
  <si>
    <t>LED Bulkb</t>
  </si>
  <si>
    <t>Hand Saw</t>
  </si>
  <si>
    <t>Laddle</t>
  </si>
  <si>
    <t>Pot 34":</t>
  </si>
  <si>
    <t>Pot Small</t>
  </si>
  <si>
    <t>Spatula</t>
  </si>
  <si>
    <t>Hammer 3kg</t>
  </si>
  <si>
    <t>Hammer 5kg</t>
  </si>
  <si>
    <t>Shurttering Ply (red) 12mm</t>
  </si>
  <si>
    <t>volleyball</t>
  </si>
  <si>
    <t>Volleyball net</t>
  </si>
  <si>
    <t>pump</t>
  </si>
  <si>
    <t>football</t>
  </si>
  <si>
    <t>Red Mud Paint</t>
  </si>
  <si>
    <t>PPGI Sheet 50mm*28ft</t>
  </si>
  <si>
    <t>PPGI Sheet 50mm*21ft</t>
  </si>
  <si>
    <t>PPGI Sheet 50mm*19ft</t>
  </si>
  <si>
    <t>Ridging 8ft</t>
  </si>
  <si>
    <t>8 mm plywood</t>
  </si>
  <si>
    <t>Angle Scale</t>
  </si>
  <si>
    <t>Measuring tape 5 Mtrs</t>
  </si>
  <si>
    <t>Sharpen Stone</t>
  </si>
  <si>
    <t>jerrycan</t>
  </si>
  <si>
    <t>Hand Saw file</t>
  </si>
  <si>
    <t>Shuttering Ply 12mm</t>
  </si>
  <si>
    <t xml:space="preserve">Sign Board </t>
  </si>
  <si>
    <t>Serveing charge</t>
  </si>
  <si>
    <t>Carom Board</t>
  </si>
  <si>
    <t xml:space="preserve">Volley ball </t>
  </si>
  <si>
    <t>Volley ball Net</t>
  </si>
  <si>
    <t>GI Reducer</t>
  </si>
  <si>
    <t>GI Tee</t>
  </si>
  <si>
    <t>GI Socket(1/2)</t>
  </si>
  <si>
    <t>Self drilling screw 25</t>
  </si>
  <si>
    <t>Cordless Drill Machine</t>
  </si>
  <si>
    <t>Drill rod (3ft)</t>
  </si>
  <si>
    <t>screw</t>
  </si>
  <si>
    <t xml:space="preserve"> Sliding Bolt</t>
  </si>
  <si>
    <t>Stainless steel bolt</t>
  </si>
  <si>
    <t>CGI Sheet 9ft</t>
  </si>
  <si>
    <t>CGI Sheet 10ft</t>
  </si>
  <si>
    <t>Ridging</t>
  </si>
  <si>
    <t>Busbur 100A</t>
  </si>
  <si>
    <t>Combination Plier</t>
  </si>
  <si>
    <t>screw driver</t>
  </si>
  <si>
    <t>sets</t>
  </si>
  <si>
    <t>Gibson Screw</t>
  </si>
  <si>
    <t>Toilet Pot cover</t>
  </si>
  <si>
    <t>3 way switch</t>
  </si>
  <si>
    <t>4 Way switch</t>
  </si>
  <si>
    <t xml:space="preserve">2 way switch </t>
  </si>
  <si>
    <t xml:space="preserve">1 way switch </t>
  </si>
  <si>
    <t>DP MCB 63</t>
  </si>
  <si>
    <t>1 way switch</t>
  </si>
  <si>
    <t>Ceilling fan</t>
  </si>
  <si>
    <t>Earthing wire</t>
  </si>
  <si>
    <t>Thimble 50</t>
  </si>
  <si>
    <t>Thimble 25</t>
  </si>
  <si>
    <t>Cutter Blade (grinder)</t>
  </si>
  <si>
    <t>barrel</t>
  </si>
  <si>
    <t>Glass  107//70</t>
  </si>
  <si>
    <t>Glass  107/71</t>
  </si>
  <si>
    <t>Glass  42/104</t>
  </si>
  <si>
    <t>Glass 106/70</t>
  </si>
  <si>
    <t>Glass 108/71</t>
  </si>
  <si>
    <t>glass 53/105</t>
  </si>
  <si>
    <t xml:space="preserve">Hume Pipe </t>
  </si>
  <si>
    <t>cement glue (regular0</t>
  </si>
  <si>
    <t>CPVC elbow 25m</t>
  </si>
  <si>
    <t>CPVC Pipe 20mm</t>
  </si>
  <si>
    <t>Giser 35 ltrs</t>
  </si>
  <si>
    <t xml:space="preserve">Indian Toilet </t>
  </si>
  <si>
    <t>PVC Pipe 4''</t>
  </si>
  <si>
    <t>Elbow 25mm</t>
  </si>
  <si>
    <t>Tee 25mm</t>
  </si>
  <si>
    <t xml:space="preserve">joining fitting </t>
  </si>
  <si>
    <t>CPVC couper</t>
  </si>
  <si>
    <t xml:space="preserve">Mixture </t>
  </si>
  <si>
    <t>Casing</t>
  </si>
  <si>
    <t>2 core service cable</t>
  </si>
  <si>
    <t>Bus bar 100A</t>
  </si>
  <si>
    <t>Ceiling Rose</t>
  </si>
  <si>
    <t>Gang box 2"</t>
  </si>
  <si>
    <t>Gang box 1"</t>
  </si>
  <si>
    <t>MCB Box 2 way</t>
  </si>
  <si>
    <t>Hanging holder</t>
  </si>
  <si>
    <t>Fan Regulater</t>
  </si>
  <si>
    <t>Blocking Chisel</t>
  </si>
  <si>
    <t>Thimble 35</t>
  </si>
  <si>
    <t>Wash Basin</t>
  </si>
  <si>
    <t>Nail 1"</t>
  </si>
  <si>
    <t>Window fence wire</t>
  </si>
  <si>
    <t>Sanding Machine</t>
  </si>
  <si>
    <t>Door Handle</t>
  </si>
  <si>
    <t>Roller Brush</t>
  </si>
  <si>
    <t>Tarpin</t>
  </si>
  <si>
    <t>Mini Busbar 100A</t>
  </si>
  <si>
    <t>DP 4way</t>
  </si>
  <si>
    <t>MCCB 63Amp</t>
  </si>
  <si>
    <t>GI sendle clamp</t>
  </si>
  <si>
    <t>pkt</t>
  </si>
  <si>
    <t>Piant white Shamilar</t>
  </si>
  <si>
    <t>Paint brown Shamilar</t>
  </si>
  <si>
    <t>Hose Pipe</t>
  </si>
  <si>
    <t>wash absin cock</t>
  </si>
  <si>
    <t>Mesuring tap</t>
  </si>
  <si>
    <t>4 core UG cable</t>
  </si>
  <si>
    <t>File for p/chain</t>
  </si>
  <si>
    <t>Brass elbow3/4</t>
  </si>
  <si>
    <t>CGI Sheet 12ft</t>
  </si>
  <si>
    <t>Screw for Kabja</t>
  </si>
  <si>
    <t xml:space="preserve">power chain </t>
  </si>
  <si>
    <t>MCB 63A</t>
  </si>
  <si>
    <t>HDPE socket</t>
  </si>
  <si>
    <t>Ariel service cable 16sqm</t>
  </si>
  <si>
    <t>Copper wire 4 sqmm</t>
  </si>
  <si>
    <t>DP MCCB 63A</t>
  </si>
  <si>
    <t>TPN63A with box</t>
  </si>
  <si>
    <t>Sawmill blade</t>
  </si>
  <si>
    <t>Planner machine blade</t>
  </si>
  <si>
    <t>Planner machine belt</t>
  </si>
  <si>
    <t>Chemical</t>
  </si>
  <si>
    <t>tube</t>
  </si>
  <si>
    <t xml:space="preserve"> Heating plate 8"</t>
  </si>
  <si>
    <t>Register</t>
  </si>
  <si>
    <t>Stapler pin</t>
  </si>
  <si>
    <t>Stop cock 25mm</t>
  </si>
  <si>
    <t>Stop cock40mm</t>
  </si>
  <si>
    <t>Tee 1"</t>
  </si>
  <si>
    <t>Union1"</t>
  </si>
  <si>
    <t>Rulled paper</t>
  </si>
  <si>
    <t>reams</t>
  </si>
  <si>
    <t>Bed sheet</t>
  </si>
  <si>
    <t>Matress Double</t>
  </si>
  <si>
    <t>Pillow</t>
  </si>
  <si>
    <t>Footmate</t>
  </si>
  <si>
    <t>Pot mix sizes</t>
  </si>
  <si>
    <t>Grass stove</t>
  </si>
  <si>
    <t>Fork</t>
  </si>
  <si>
    <t xml:space="preserve">water Glass </t>
  </si>
  <si>
    <t xml:space="preserve">Container </t>
  </si>
  <si>
    <t>Curry cup</t>
  </si>
  <si>
    <t>Flash</t>
  </si>
  <si>
    <t>Frying pan</t>
  </si>
  <si>
    <t>ladle</t>
  </si>
  <si>
    <t>Pressure cooker</t>
  </si>
  <si>
    <t>Tea sieve</t>
  </si>
  <si>
    <t>Water Boiler</t>
  </si>
  <si>
    <t>karia</t>
  </si>
  <si>
    <t>Drug Test kit</t>
  </si>
  <si>
    <t>carbon</t>
  </si>
  <si>
    <t>Circular Saw Blade</t>
  </si>
  <si>
    <t>Jig saw blade</t>
  </si>
  <si>
    <t>Door Bolt</t>
  </si>
  <si>
    <t>2 core 10 sqmm</t>
  </si>
  <si>
    <t>Street light 100w</t>
  </si>
  <si>
    <t>Welding Machine</t>
  </si>
  <si>
    <t xml:space="preserve">HDPE Pipe </t>
  </si>
  <si>
    <t>Tarpaulin 24×18</t>
  </si>
  <si>
    <t xml:space="preserve">insulation tape </t>
  </si>
  <si>
    <t xml:space="preserve">spade </t>
  </si>
  <si>
    <t>U bolt big</t>
  </si>
  <si>
    <t>kick rope</t>
  </si>
  <si>
    <t>power chain bar</t>
  </si>
  <si>
    <t>Powerchain chain file</t>
  </si>
  <si>
    <t>welding rod</t>
  </si>
  <si>
    <t>Speed level</t>
  </si>
  <si>
    <t>U bolt 20 mm</t>
  </si>
  <si>
    <t>U bolt 25 mm</t>
  </si>
  <si>
    <t>Wire Rob</t>
  </si>
  <si>
    <t>Range(21-23)</t>
  </si>
  <si>
    <t>Wrench 18-19</t>
  </si>
  <si>
    <t>Wrenndy Pulley</t>
  </si>
  <si>
    <t>GI union 32 mm</t>
  </si>
  <si>
    <t>Computer Toner</t>
  </si>
  <si>
    <t>StoneHammer</t>
  </si>
  <si>
    <t>Ring</t>
  </si>
  <si>
    <t xml:space="preserve">Sprocket </t>
  </si>
  <si>
    <t>Starter Spring</t>
  </si>
  <si>
    <t>Carbonator with drum</t>
  </si>
  <si>
    <t>Bip  cock</t>
  </si>
  <si>
    <t>cement solvent</t>
  </si>
  <si>
    <t>TEE 20mm</t>
  </si>
  <si>
    <t>threading tape</t>
  </si>
  <si>
    <t>HDPE pipe 225 mm</t>
  </si>
  <si>
    <t>HDPE pipe elbow</t>
  </si>
  <si>
    <t xml:space="preserve">PVC glue </t>
  </si>
  <si>
    <t>Ml</t>
  </si>
  <si>
    <t>MCCB 10KA</t>
  </si>
  <si>
    <t>Chain</t>
  </si>
  <si>
    <t>Sawmill belt</t>
  </si>
  <si>
    <t>Wire Mesh 4mm Chain Link</t>
  </si>
  <si>
    <t>Wire Mesh 4mm Chainlink</t>
  </si>
  <si>
    <t>Mixer Machine</t>
  </si>
  <si>
    <t>GI Tee 32 mm</t>
  </si>
  <si>
    <t>ceiling rose</t>
  </si>
  <si>
    <t>LED Tube</t>
  </si>
  <si>
    <t>Nail Hammer</t>
  </si>
  <si>
    <t>Tower Bolt</t>
  </si>
  <si>
    <t>angle holder</t>
  </si>
  <si>
    <t>MCB Box 10 way</t>
  </si>
  <si>
    <t>torjan wire</t>
  </si>
  <si>
    <t xml:space="preserve">file for power chain </t>
  </si>
  <si>
    <t>Metal box</t>
  </si>
  <si>
    <t>Gypsum Screw 1.5mm</t>
  </si>
  <si>
    <t>Starter rope</t>
  </si>
  <si>
    <t>Sawing chain</t>
  </si>
  <si>
    <t>Cutting chain</t>
  </si>
  <si>
    <t>Fate File</t>
  </si>
  <si>
    <t>Sprocket rim</t>
  </si>
  <si>
    <t>Toilet pot</t>
  </si>
  <si>
    <t>Cashing &amp; capping</t>
  </si>
  <si>
    <t>MCCB160 A</t>
  </si>
  <si>
    <t>Earthing wire 0.75sqmm</t>
  </si>
  <si>
    <t>CPVC pipe 20 mm</t>
  </si>
  <si>
    <t>CPVC Tee 20 mm</t>
  </si>
  <si>
    <t>Angle Elbow</t>
  </si>
  <si>
    <t xml:space="preserve">Brass Bik cock </t>
  </si>
  <si>
    <t>Brass elbow 20 mm</t>
  </si>
  <si>
    <t>Plain Socket 30 mm</t>
  </si>
  <si>
    <t>cassing and capping</t>
  </si>
  <si>
    <t>GI Tee 1"</t>
  </si>
  <si>
    <t>Nipple 1"</t>
  </si>
  <si>
    <t>PVC elbow</t>
  </si>
  <si>
    <t>Socket 1"</t>
  </si>
  <si>
    <t>union 1"</t>
  </si>
  <si>
    <t>Control ball</t>
  </si>
  <si>
    <t>UG cable 4 core 25 sq</t>
  </si>
  <si>
    <t>Ariel cable 16 sqmm</t>
  </si>
  <si>
    <t>Self drilling screw 2"</t>
  </si>
  <si>
    <t>Gabin wire 1x1x1.5mtrs</t>
  </si>
  <si>
    <t>binding wire</t>
  </si>
  <si>
    <t>Router Bit</t>
  </si>
  <si>
    <t>Ariel cable 10sqm</t>
  </si>
  <si>
    <t>Crowbar b size</t>
  </si>
  <si>
    <t>Stone hammer 5kg</t>
  </si>
  <si>
    <t>Motar pan</t>
  </si>
  <si>
    <t>file for chainsaw</t>
  </si>
  <si>
    <t>sanding pad</t>
  </si>
  <si>
    <t>Sanding paper P100</t>
  </si>
  <si>
    <t xml:space="preserve">Sanding paper P80 </t>
  </si>
  <si>
    <t>Clamp 8ft</t>
  </si>
  <si>
    <t>Troch</t>
  </si>
  <si>
    <t>P-trap</t>
  </si>
  <si>
    <t>Toilet pot cover</t>
  </si>
  <si>
    <t>1 way gang box</t>
  </si>
  <si>
    <t>Plain sheet</t>
  </si>
  <si>
    <t>Waste pipe</t>
  </si>
  <si>
    <t>sharping stone</t>
  </si>
  <si>
    <t>Angle Grindig Machine</t>
  </si>
  <si>
    <t>Circular Saw</t>
  </si>
  <si>
    <t>Circular blade</t>
  </si>
  <si>
    <t>wire mesh</t>
  </si>
  <si>
    <t>bundle</t>
  </si>
  <si>
    <t>Grinder blade</t>
  </si>
  <si>
    <t>Latch</t>
  </si>
  <si>
    <t>Lock and key</t>
  </si>
  <si>
    <t>fevicol</t>
  </si>
  <si>
    <t>kupling</t>
  </si>
  <si>
    <t>Sand</t>
  </si>
  <si>
    <t>T/L</t>
  </si>
  <si>
    <t>CPVC pipe20mm</t>
  </si>
  <si>
    <t>CPVCsocket 20mm</t>
  </si>
  <si>
    <t>Female Adaptor</t>
  </si>
  <si>
    <t>MCCB 6A</t>
  </si>
  <si>
    <t>chain saw file</t>
  </si>
  <si>
    <t xml:space="preserve">Jerrican </t>
  </si>
  <si>
    <t>cartridge 88A</t>
  </si>
  <si>
    <t>copper wire 4sqmm</t>
  </si>
  <si>
    <t xml:space="preserve">Switch </t>
  </si>
  <si>
    <t xml:space="preserve">switch 1 way </t>
  </si>
  <si>
    <t xml:space="preserve">switch 2way </t>
  </si>
  <si>
    <t>insulation tape</t>
  </si>
  <si>
    <t xml:space="preserve">Bulb </t>
  </si>
  <si>
    <t xml:space="preserve">Gypsum Screw </t>
  </si>
  <si>
    <t>Wire mesh</t>
  </si>
  <si>
    <t>HDPE Pipe 1"/25mm</t>
  </si>
  <si>
    <t xml:space="preserve">Pump for chain </t>
  </si>
  <si>
    <t xml:space="preserve">Drill machine </t>
  </si>
  <si>
    <t>Glue</t>
  </si>
  <si>
    <t xml:space="preserve">PVC pipe clip </t>
  </si>
  <si>
    <t xml:space="preserve">pipe cutter </t>
  </si>
  <si>
    <t>Sintex Tank 3000ltrs</t>
  </si>
  <si>
    <t>LED flood light 100w</t>
  </si>
  <si>
    <t>Plywood Pin</t>
  </si>
  <si>
    <t>Hinges/Kabja 3"</t>
  </si>
  <si>
    <t>Window Handle</t>
  </si>
  <si>
    <t>Bottle</t>
  </si>
  <si>
    <t>Geyser 50 Ltrs</t>
  </si>
  <si>
    <t>Showering Head</t>
  </si>
  <si>
    <t>Plywood 6mm</t>
  </si>
  <si>
    <t>Angle Valve</t>
  </si>
  <si>
    <t>Basin with water mixture</t>
  </si>
  <si>
    <t>CP connecting Pipe</t>
  </si>
  <si>
    <t>Water mixture/Bib Cock</t>
  </si>
  <si>
    <t>Chinese Carpet</t>
  </si>
  <si>
    <t>Door Curtain</t>
  </si>
  <si>
    <t>Window Curton</t>
  </si>
  <si>
    <t>Refrigator</t>
  </si>
  <si>
    <t>Jute Footmat</t>
  </si>
  <si>
    <t>Yoe Ghi Thab</t>
  </si>
  <si>
    <t>GI Union 20mm</t>
  </si>
  <si>
    <t>shovel</t>
  </si>
  <si>
    <t>sawmill chain</t>
  </si>
  <si>
    <t>Wheel Barroww</t>
  </si>
  <si>
    <t>Sintex tank 1000 ltrs</t>
  </si>
  <si>
    <t>Chain for P/Chain</t>
  </si>
  <si>
    <t>Sawmil belt</t>
  </si>
  <si>
    <t>Valley ball</t>
  </si>
  <si>
    <t>Valley ball Net</t>
  </si>
  <si>
    <t>Foot ball</t>
  </si>
  <si>
    <t>Black Profile Carpet</t>
  </si>
  <si>
    <t>Door Curtains</t>
  </si>
  <si>
    <t>Window Curtains</t>
  </si>
  <si>
    <t>Hings 3''</t>
  </si>
  <si>
    <t>window handle</t>
  </si>
  <si>
    <t>Gypsum Screw</t>
  </si>
  <si>
    <t>Shuttery Ply 12mm</t>
  </si>
  <si>
    <t>Bench Matters</t>
  </si>
  <si>
    <t>Copper Wire 4Sq</t>
  </si>
  <si>
    <t>Copper Wire 1.5Sq</t>
  </si>
  <si>
    <t>Drill bit 4mm, 6,8,10 (12mm)</t>
  </si>
  <si>
    <t>HDPE pipe 20mm</t>
  </si>
  <si>
    <t>Brass bib</t>
  </si>
  <si>
    <t>GI Nipple 20mm</t>
  </si>
  <si>
    <t>Hacksaw blade</t>
  </si>
  <si>
    <t>Nail 2''</t>
  </si>
  <si>
    <t>Nail 4''</t>
  </si>
  <si>
    <t>Nail 5''</t>
  </si>
  <si>
    <t>Nail 6''</t>
  </si>
  <si>
    <t xml:space="preserve">Toilet </t>
  </si>
  <si>
    <t xml:space="preserve">sand </t>
  </si>
  <si>
    <t xml:space="preserve">Sand </t>
  </si>
  <si>
    <t>Binding wire</t>
  </si>
  <si>
    <t>Rod binder 10mm</t>
  </si>
  <si>
    <t>Rod binder 16mm</t>
  </si>
  <si>
    <t>Rod binder 20mm</t>
  </si>
  <si>
    <t>Rod Cutter Blade</t>
  </si>
  <si>
    <t>Rod cutter Machine</t>
  </si>
  <si>
    <t>Safety helmet</t>
  </si>
  <si>
    <t>Oil Pump</t>
  </si>
  <si>
    <t>Gas cylinder</t>
  </si>
  <si>
    <t>Power Chain</t>
  </si>
  <si>
    <t>White Boaed with Stand</t>
  </si>
  <si>
    <t>PVC Pipe 110mm</t>
  </si>
  <si>
    <t>Dial wrench</t>
  </si>
  <si>
    <t>Sawmil belt A41</t>
  </si>
  <si>
    <t>sawmill belt A65</t>
  </si>
  <si>
    <t>Steel Measuring tap 8mtrs</t>
  </si>
  <si>
    <t xml:space="preserve">MS rod </t>
  </si>
  <si>
    <t xml:space="preserve">Sawmill belt  </t>
  </si>
  <si>
    <t>Nylan rope</t>
  </si>
  <si>
    <t>Water Pump 2HP</t>
  </si>
  <si>
    <t xml:space="preserve">Coucrete Vibrator </t>
  </si>
  <si>
    <t>stamp pad</t>
  </si>
  <si>
    <t>roll</t>
  </si>
  <si>
    <t>Extension code/power strip</t>
  </si>
  <si>
    <t>Street light 200w</t>
  </si>
  <si>
    <t>Hume Pipe 600m</t>
  </si>
  <si>
    <t>Hume Pipe 450m</t>
  </si>
  <si>
    <t>Collar 600m</t>
  </si>
  <si>
    <t>Collar 450m</t>
  </si>
  <si>
    <t>Posang 2kg</t>
  </si>
  <si>
    <t>Karmi Kom</t>
  </si>
  <si>
    <t>Serkhem Phecho</t>
  </si>
  <si>
    <t>Desktop computer</t>
  </si>
  <si>
    <t xml:space="preserve">Computer Monitor </t>
  </si>
  <si>
    <t>BusBar 200A</t>
  </si>
  <si>
    <t>socket with box</t>
  </si>
  <si>
    <t>self drilling screw 3"</t>
  </si>
  <si>
    <t>Copper wire 6sqmm</t>
  </si>
  <si>
    <t>MCB 160A</t>
  </si>
  <si>
    <t>Laddle 18ft</t>
  </si>
  <si>
    <t xml:space="preserve">leveling pipe </t>
  </si>
  <si>
    <t xml:space="preserve">rolls </t>
  </si>
  <si>
    <t>HDPE pipe 25mm</t>
  </si>
  <si>
    <t>circular machine</t>
  </si>
  <si>
    <t>jigsaw</t>
  </si>
  <si>
    <t>water pump</t>
  </si>
  <si>
    <t>concrete Vibrater</t>
  </si>
  <si>
    <t>Crowbar 5kg</t>
  </si>
  <si>
    <t>Bib Cock brass</t>
  </si>
  <si>
    <t>Grinder Carbon</t>
  </si>
  <si>
    <t>Planner Carbon</t>
  </si>
  <si>
    <t>Circular carbon</t>
  </si>
  <si>
    <t xml:space="preserve"> white Piant Shamilar</t>
  </si>
  <si>
    <t xml:space="preserve"> Brush Painting</t>
  </si>
  <si>
    <t>Round File for p/chain</t>
  </si>
  <si>
    <t>Traingular File for p/chain</t>
  </si>
  <si>
    <t>Computer Printer</t>
  </si>
  <si>
    <t>Computer Toner 59A</t>
  </si>
  <si>
    <t>Marker Pen</t>
  </si>
  <si>
    <t>a4 size paper</t>
  </si>
  <si>
    <t>Water Level Pipe</t>
  </si>
  <si>
    <t>Hand gloves</t>
  </si>
  <si>
    <t>Showel</t>
  </si>
  <si>
    <t>1 way switch box</t>
  </si>
  <si>
    <t>Brass bib cock</t>
  </si>
  <si>
    <t>Basbar 200A</t>
  </si>
  <si>
    <t>Gypsam Screw 3''</t>
  </si>
  <si>
    <t>Copper wire 4sq</t>
  </si>
  <si>
    <t>Copper wire 1.5 sq</t>
  </si>
  <si>
    <t>Powerchain</t>
  </si>
  <si>
    <t xml:space="preserve"> Chain  for Powerchain</t>
  </si>
  <si>
    <t>Round File</t>
  </si>
  <si>
    <t>Powerchain Bar</t>
  </si>
  <si>
    <t>UG Cavle 4 Core 50sqmm</t>
  </si>
  <si>
    <t>Symtex (2000L)</t>
  </si>
  <si>
    <t>CGI Sheet 63mm/ 12 ft</t>
  </si>
  <si>
    <t>Sawmill Chain</t>
  </si>
  <si>
    <t>Sawmill Belt</t>
  </si>
  <si>
    <t>Screw Driver</t>
  </si>
  <si>
    <t>Allen key</t>
  </si>
  <si>
    <t xml:space="preserve">Combination Plier </t>
  </si>
  <si>
    <t>Tester</t>
  </si>
  <si>
    <t>LCD Projecter</t>
  </si>
  <si>
    <t>UG Cable 4 croe 25 Sqmm</t>
  </si>
  <si>
    <t>Copper Wire 4sqmm</t>
  </si>
  <si>
    <t>Copper Wire 1.5sqmm</t>
  </si>
  <si>
    <t>Stand Fan</t>
  </si>
  <si>
    <t>Copper Wire 0.75sqmm</t>
  </si>
  <si>
    <t>MCB 32AMP</t>
  </si>
  <si>
    <t>MCB Box 4 Way</t>
  </si>
  <si>
    <t>Extension Cord</t>
  </si>
  <si>
    <t>Footmat</t>
  </si>
  <si>
    <t>Tank Nipple</t>
  </si>
  <si>
    <t>Brass Bib Cock</t>
  </si>
  <si>
    <t>CPVC Elbow</t>
  </si>
  <si>
    <t>CPVC Solvent</t>
  </si>
  <si>
    <t>CPVC Female Adaptor</t>
  </si>
  <si>
    <t>CPVC Socket 20mm</t>
  </si>
  <si>
    <t>Torjan Wire</t>
  </si>
  <si>
    <t>Cassing &amp; Cappjng</t>
  </si>
  <si>
    <t>Revolving Chair</t>
  </si>
  <si>
    <t>Visiting Chair</t>
  </si>
  <si>
    <t>Meeting Table</t>
  </si>
  <si>
    <t>White Board</t>
  </si>
  <si>
    <t>Handset</t>
  </si>
  <si>
    <t>Cutter Blade/Disk</t>
  </si>
  <si>
    <t>Powerchain File</t>
  </si>
  <si>
    <t>Register No.20</t>
  </si>
  <si>
    <t>Scale</t>
  </si>
  <si>
    <t>Water Indicator/Scale</t>
  </si>
  <si>
    <t>Cutting Disk</t>
  </si>
  <si>
    <t>Attendance Register</t>
  </si>
  <si>
    <t>Computer</t>
  </si>
  <si>
    <t>Block Chisel</t>
  </si>
  <si>
    <t>Printer</t>
  </si>
  <si>
    <t>Hard Broom</t>
  </si>
  <si>
    <t>Soft Broom</t>
  </si>
  <si>
    <t>Armature for rod cutter</t>
  </si>
  <si>
    <t>HDPE pipe 63.55mm</t>
  </si>
  <si>
    <t>Gi Nipple 20mm</t>
  </si>
  <si>
    <t>Bench Matress</t>
  </si>
  <si>
    <t>Stone Cutter</t>
  </si>
  <si>
    <t xml:space="preserve">Instulation Tap </t>
  </si>
  <si>
    <t>rols</t>
  </si>
  <si>
    <t>Combanation Plier</t>
  </si>
  <si>
    <t>Gypsam Screw1/2</t>
  </si>
  <si>
    <t>SS wire mash 4ft</t>
  </si>
  <si>
    <t>Arch  File</t>
  </si>
  <si>
    <t>Selotap</t>
  </si>
  <si>
    <t xml:space="preserve">A4 Size Paper </t>
  </si>
  <si>
    <t>Rims</t>
  </si>
  <si>
    <t>Drak Despach Register</t>
  </si>
  <si>
    <t>Phinol</t>
  </si>
  <si>
    <t>bottles</t>
  </si>
  <si>
    <t>Jute Rope</t>
  </si>
  <si>
    <t>Bundles</t>
  </si>
  <si>
    <t xml:space="preserve">Stone Cutter Blade </t>
  </si>
  <si>
    <t>Armatrue</t>
  </si>
  <si>
    <t>Fuel Coil</t>
  </si>
  <si>
    <t>Bering</t>
  </si>
  <si>
    <t>Mnos</t>
  </si>
  <si>
    <t>Grander Machine 7''</t>
  </si>
  <si>
    <t>Grander Machine Blade</t>
  </si>
  <si>
    <t>Self Inking Seal</t>
  </si>
  <si>
    <t>Envelop</t>
  </si>
  <si>
    <t>Envalop file sizes</t>
  </si>
  <si>
    <t>LED Flood light 100A</t>
  </si>
  <si>
    <t>Y Way Jungction box 20mm</t>
  </si>
  <si>
    <t>Y Way Jungction box 25mm</t>
  </si>
  <si>
    <t>T Way Jungction box 20mm</t>
  </si>
  <si>
    <t>T- Way Jungction box 25mm</t>
  </si>
  <si>
    <t>Copper Wire 1.5Sqmm</t>
  </si>
  <si>
    <t>Plastice Shed</t>
  </si>
  <si>
    <t>Powerchain C&amp;S</t>
  </si>
  <si>
    <t>Cricular Machine</t>
  </si>
  <si>
    <t>Planner Machaine</t>
  </si>
  <si>
    <t>Drill Bit 20mm</t>
  </si>
  <si>
    <t>Jungction box 2 way</t>
  </si>
  <si>
    <t>Jungction box 1 way</t>
  </si>
  <si>
    <t>Junction box (L)</t>
  </si>
  <si>
    <t xml:space="preserve">Binding Wire </t>
  </si>
  <si>
    <t>Messuring Tap</t>
  </si>
  <si>
    <t>Dimond Cutter 14 ''</t>
  </si>
  <si>
    <t xml:space="preserve">Mason thread </t>
  </si>
  <si>
    <t>Piston ring</t>
  </si>
  <si>
    <t>Spilt Cluth dram</t>
  </si>
  <si>
    <t xml:space="preserve">Rim Sporket </t>
  </si>
  <si>
    <t>Rim Sporket Washar clip</t>
  </si>
  <si>
    <t xml:space="preserve">Rim Sporket Washar </t>
  </si>
  <si>
    <t xml:space="preserve">Piston </t>
  </si>
  <si>
    <t xml:space="preserve">Clutch </t>
  </si>
  <si>
    <t>Copper wire 4SQmm</t>
  </si>
  <si>
    <t>Arial Cable 10 Sqmm</t>
  </si>
  <si>
    <t>Sawmil Chain</t>
  </si>
  <si>
    <t>Amearture for Planner</t>
  </si>
  <si>
    <t>Amearture for Circular</t>
  </si>
  <si>
    <t>Adoptor</t>
  </si>
  <si>
    <t>Flat Screw 12''</t>
  </si>
  <si>
    <t>Cutting Plier 8''</t>
  </si>
  <si>
    <t>Measuring Tap 30 m</t>
  </si>
  <si>
    <t xml:space="preserve">Mixture Machine </t>
  </si>
  <si>
    <t>Register No.30</t>
  </si>
  <si>
    <t xml:space="preserve">Pencil  </t>
  </si>
  <si>
    <t>MB book</t>
  </si>
  <si>
    <t>Armature for grinder</t>
  </si>
  <si>
    <t>Armature for drill machine</t>
  </si>
  <si>
    <t>Nail 1 1/2 "</t>
  </si>
  <si>
    <t>Planner Machaine 18ft</t>
  </si>
  <si>
    <t>Junction box 1 way</t>
  </si>
  <si>
    <t>Junction box 2 way</t>
  </si>
  <si>
    <t>Junction box 3 way</t>
  </si>
  <si>
    <t>Junction box 4 way</t>
  </si>
  <si>
    <t>Helmat</t>
  </si>
  <si>
    <t>Plum BOB</t>
  </si>
  <si>
    <t>nOS</t>
  </si>
  <si>
    <t>Mason hammer 1 Kg</t>
  </si>
  <si>
    <t>Gypsum Screw 2''</t>
  </si>
  <si>
    <t>Gypsum Screw 1 or half ''</t>
  </si>
  <si>
    <t>Cutting or Sawing Chain</t>
  </si>
  <si>
    <t>File for P/Chain (Round)</t>
  </si>
  <si>
    <t>Trangular File</t>
  </si>
  <si>
    <t>PVC bend 25mm</t>
  </si>
  <si>
    <t xml:space="preserve">Hack Saw frame </t>
  </si>
  <si>
    <t>Seal for OC</t>
  </si>
  <si>
    <t>Needle Cape</t>
  </si>
  <si>
    <t>Front haldle Gurd</t>
  </si>
  <si>
    <t>Fuel Filter Cap</t>
  </si>
  <si>
    <t>Recoil Starter Assy</t>
  </si>
  <si>
    <t>Chain Cuver Nuts</t>
  </si>
  <si>
    <t>Stater Pawl Spring Washar</t>
  </si>
  <si>
    <t>Circular machine</t>
  </si>
  <si>
    <t>Planner machine Bosch-650</t>
  </si>
  <si>
    <t>Paper</t>
  </si>
  <si>
    <t>Fate file</t>
  </si>
  <si>
    <t>Correction fluid</t>
  </si>
  <si>
    <t>Toner no. 59A</t>
  </si>
  <si>
    <t>PVC 90 degree</t>
  </si>
  <si>
    <t>1 way module switch 10A</t>
  </si>
  <si>
    <t>1 way module switch 20A</t>
  </si>
  <si>
    <t>MCB single pole 6/10A</t>
  </si>
  <si>
    <t>MCB single pole 16/20A</t>
  </si>
  <si>
    <t>Junction box 2 way 25mm</t>
  </si>
  <si>
    <t>Junction box 3 way 25mm</t>
  </si>
  <si>
    <t>Junction box 4 way 25mm</t>
  </si>
  <si>
    <t>Junction box 4 way 20mm</t>
  </si>
  <si>
    <t>Coupling with pipe</t>
  </si>
  <si>
    <t>TPN DP box 12 way,415Volt</t>
  </si>
  <si>
    <t>Hume pipe 900mm</t>
  </si>
  <si>
    <t>Collar 900mm</t>
  </si>
  <si>
    <t>Sawmill machine 15 HP</t>
  </si>
  <si>
    <t>Pana Wrench</t>
  </si>
  <si>
    <t>Socket wrench</t>
  </si>
  <si>
    <t>Ring wrench</t>
  </si>
  <si>
    <t>Safety glass</t>
  </si>
  <si>
    <t>Welding shield</t>
  </si>
  <si>
    <t>Grinding stone</t>
  </si>
  <si>
    <t>Greasing machine</t>
  </si>
  <si>
    <t>Band saw blade</t>
  </si>
  <si>
    <t>Delta Motor 415 Volt</t>
  </si>
  <si>
    <t>Sharping stone machine</t>
  </si>
  <si>
    <t>Rail trak 2.9mm</t>
  </si>
  <si>
    <t>Brass sheet</t>
  </si>
  <si>
    <t>Grams</t>
  </si>
  <si>
    <t>Plastic sheed</t>
  </si>
  <si>
    <t>E-clip for power chain</t>
  </si>
  <si>
    <t>Washier for power chain</t>
  </si>
  <si>
    <t>Clutch for power chain</t>
  </si>
  <si>
    <t>Rod cutter blade 14"</t>
  </si>
  <si>
    <t>stone cutter blad14"</t>
  </si>
  <si>
    <t>grinding blade</t>
  </si>
  <si>
    <t xml:space="preserve">Sharping stone  </t>
  </si>
  <si>
    <t>Khader</t>
  </si>
  <si>
    <t>Tolitries items</t>
  </si>
  <si>
    <t>Hand towel</t>
  </si>
  <si>
    <t>Cup</t>
  </si>
  <si>
    <t>Polish</t>
  </si>
  <si>
    <t>5x9</t>
  </si>
  <si>
    <t xml:space="preserve">Socket  </t>
  </si>
  <si>
    <t>Exhust fan</t>
  </si>
  <si>
    <t>12 module metal box</t>
  </si>
  <si>
    <t>1/2 modue plate &amp; frame</t>
  </si>
  <si>
    <t>3 module plate &amp; frame</t>
  </si>
  <si>
    <t>12 module plate &amp; frame</t>
  </si>
  <si>
    <t>1/2 module metal box</t>
  </si>
  <si>
    <t>3 module metal box</t>
  </si>
  <si>
    <t>Tiles cutter machine</t>
  </si>
  <si>
    <t>Armature for circular</t>
  </si>
  <si>
    <t>LED panel 6W</t>
  </si>
  <si>
    <t>LED panel 18/20W</t>
  </si>
  <si>
    <t>MCCB 4 pole 36KA</t>
  </si>
  <si>
    <t>5/6 pin socket</t>
  </si>
  <si>
    <t>Jerrycan 20L</t>
  </si>
  <si>
    <t>Torjen wire 12mm</t>
  </si>
  <si>
    <t>Rod bender 08mm</t>
  </si>
  <si>
    <t>Trawel (S &amp; M)</t>
  </si>
  <si>
    <t>Pitol</t>
  </si>
  <si>
    <t>Subaga (box)</t>
  </si>
  <si>
    <t>U-Clip 25m</t>
  </si>
  <si>
    <t>U-Clip 20m</t>
  </si>
  <si>
    <t>Gypsum Screw 1 &amp; half inch</t>
  </si>
  <si>
    <t>Copper Wire 10Sq mm</t>
  </si>
  <si>
    <t>Cutting /Sawing chain</t>
  </si>
  <si>
    <t>PVC band 20 mm</t>
  </si>
  <si>
    <t>PVC band 25 mm</t>
  </si>
  <si>
    <t>Hacksaw Frame</t>
  </si>
  <si>
    <t>Seal for Yarju OC</t>
  </si>
  <si>
    <t>BOSCH Rod Cutter Machine</t>
  </si>
  <si>
    <t>Rechargable Torch</t>
  </si>
  <si>
    <t>Rod Cutter Machine</t>
  </si>
  <si>
    <t>Tarpaulin18*24</t>
  </si>
  <si>
    <t>MS Angle</t>
  </si>
  <si>
    <t>Cutter Blade</t>
  </si>
  <si>
    <t>Weilding Rod</t>
  </si>
  <si>
    <t>Grinder Wheel</t>
  </si>
  <si>
    <t>Flap Disk</t>
  </si>
  <si>
    <t>Nut Bolt 16x3"</t>
  </si>
  <si>
    <t>Nut Bolt 16x4"</t>
  </si>
  <si>
    <t>Nut Bolt 16x32"</t>
  </si>
  <si>
    <t>Shuttering Ply</t>
  </si>
  <si>
    <t>Cutter Blade 14''</t>
  </si>
  <si>
    <t>Grander Wheel</t>
  </si>
  <si>
    <t>Nut bolt 16*3''</t>
  </si>
  <si>
    <t>Use for Mud ramping</t>
  </si>
  <si>
    <t>Nut bolt 16*4''</t>
  </si>
  <si>
    <t>Nut bolt 16*32</t>
  </si>
  <si>
    <t>UG Cable 4 Core 35 Sqmm</t>
  </si>
  <si>
    <t>Trowel/Karney</t>
  </si>
  <si>
    <t>Brass Sheet/Pitol</t>
  </si>
  <si>
    <t>Borax</t>
  </si>
  <si>
    <t>UG Clip</t>
  </si>
  <si>
    <t>Panel Blade</t>
  </si>
  <si>
    <t>Copper wire 0.75sqmm</t>
  </si>
  <si>
    <t>Spirit Level</t>
  </si>
  <si>
    <t>Measuring Tap 5 m</t>
  </si>
  <si>
    <t>GEE Slap earthing</t>
  </si>
  <si>
    <t>GI wire 4mm/8SWG</t>
  </si>
  <si>
    <t>Mud Rammor</t>
  </si>
  <si>
    <t>Hose Pipe 2mm</t>
  </si>
  <si>
    <t xml:space="preserve">use for compressor </t>
  </si>
  <si>
    <t>Air commpressor 7 bar</t>
  </si>
  <si>
    <t>Tank compessor 1000Ltrs</t>
  </si>
  <si>
    <t>Extra fitting</t>
  </si>
  <si>
    <t>Computon toner 208k</t>
  </si>
  <si>
    <t>Stone cutter machine no.355 ploymak</t>
  </si>
  <si>
    <t>Mixturer machine belt</t>
  </si>
  <si>
    <t>Planner belt no,A-1960</t>
  </si>
  <si>
    <t>Planner belt no,A-1680</t>
  </si>
  <si>
    <t xml:space="preserve">Photo copy paper </t>
  </si>
  <si>
    <t>Starter powl clip</t>
  </si>
  <si>
    <t xml:space="preserve">Nos  </t>
  </si>
  <si>
    <t>Mushroom shed const</t>
  </si>
  <si>
    <t>Bulb 9w</t>
  </si>
  <si>
    <t>Bad switch</t>
  </si>
  <si>
    <t>MCB 63 DP</t>
  </si>
  <si>
    <t>Ariel cable 10sq</t>
  </si>
  <si>
    <t>Busbar 63 A</t>
  </si>
  <si>
    <t>CGI Sheet 63m 12ft</t>
  </si>
  <si>
    <t>Handgloves</t>
  </si>
  <si>
    <t>MS Angle Pole For Mud Ramping</t>
  </si>
  <si>
    <t>For Mud Ramping</t>
  </si>
  <si>
    <t>Pvc Exhaust Fan</t>
  </si>
  <si>
    <t>Celing Rose</t>
  </si>
  <si>
    <t>RCCB 4 Pok 36A,415V</t>
  </si>
  <si>
    <t>63Amp Sent CCP</t>
  </si>
  <si>
    <t>Attendence Register</t>
  </si>
  <si>
    <t>Issue Challen Book</t>
  </si>
  <si>
    <t>use for store</t>
  </si>
  <si>
    <t>Leveling Pipe 5 Mtrs</t>
  </si>
  <si>
    <t>Rubber Gloves</t>
  </si>
  <si>
    <t>Hammer 10 Kg</t>
  </si>
  <si>
    <t>Gum Boot</t>
  </si>
  <si>
    <t>Correction Pen</t>
  </si>
  <si>
    <t>Gem Clip</t>
  </si>
  <si>
    <t>Scissor</t>
  </si>
  <si>
    <t>Stapler 24/6</t>
  </si>
  <si>
    <t>Dot Pen</t>
  </si>
  <si>
    <t>Self Drilling Screw 3"</t>
  </si>
  <si>
    <t xml:space="preserve">PPGI Rigiding </t>
  </si>
  <si>
    <t>PPGI Sheet 12 ft</t>
  </si>
  <si>
    <t>PPGI Sheet 11 ft</t>
  </si>
  <si>
    <t>PPGI Sheet 08 ft</t>
  </si>
  <si>
    <t>HDPE pipe 50mm</t>
  </si>
  <si>
    <t>Binding Wire</t>
  </si>
  <si>
    <t>Rod Cutter Blade 14"</t>
  </si>
  <si>
    <t>Gi Pipe 32mm</t>
  </si>
  <si>
    <t>Wood Primer Pink</t>
  </si>
  <si>
    <t>Synthetic Paint Golden Brown</t>
  </si>
  <si>
    <t>Paint Brush 4"</t>
  </si>
  <si>
    <t>Tarpauline</t>
  </si>
  <si>
    <t>Mushroom Shed</t>
  </si>
  <si>
    <t xml:space="preserve">Wheel Barrow </t>
  </si>
  <si>
    <t>13/04/2026</t>
  </si>
  <si>
    <t>Rim Sprocket Washer</t>
  </si>
  <si>
    <t>Rim Sprocket Washer E-Clip</t>
  </si>
  <si>
    <t>14/04/2026</t>
  </si>
  <si>
    <t>Camera 3mp PT2</t>
  </si>
  <si>
    <t>Steel Almrah</t>
  </si>
  <si>
    <t>MS Pole</t>
  </si>
  <si>
    <t xml:space="preserve">Seal </t>
  </si>
  <si>
    <t>16/04/2026</t>
  </si>
  <si>
    <t>Carrom Board</t>
  </si>
  <si>
    <t>Chain (Sawing / Cutting)</t>
  </si>
  <si>
    <t>Chainsaw Bar</t>
  </si>
  <si>
    <t>Plastic Sheet</t>
  </si>
  <si>
    <t>Hand set (Alinco)</t>
  </si>
  <si>
    <t>24/04/2026</t>
  </si>
  <si>
    <t>CGI Sheet 0.63m 12ft</t>
  </si>
  <si>
    <t>1 Way Junction 20mm</t>
  </si>
  <si>
    <t>2 Way Junction 20mm</t>
  </si>
  <si>
    <t>3 Way Junction 20mm</t>
  </si>
  <si>
    <t>4 Way Junction 20mm</t>
  </si>
  <si>
    <t>1 Way Junction 25mm</t>
  </si>
  <si>
    <t>2 Way Junction 25mm</t>
  </si>
  <si>
    <t>3 Way Junction 25mm</t>
  </si>
  <si>
    <t>4 Way Junction 25mm</t>
  </si>
  <si>
    <t xml:space="preserve">Cutter Blade </t>
  </si>
  <si>
    <t>Grinding Wheel</t>
  </si>
  <si>
    <t>Pvc Bend 20mm</t>
  </si>
  <si>
    <t>Pvc Bend 25mm</t>
  </si>
  <si>
    <t>Trowel Large</t>
  </si>
  <si>
    <t>Trowel Small</t>
  </si>
  <si>
    <t>Measuring Tap 50m</t>
  </si>
  <si>
    <t xml:space="preserve">Bricks </t>
  </si>
  <si>
    <t>Self Drilling Screw 40mm</t>
  </si>
  <si>
    <t>UG Cable 4 Core 16 Sqmm</t>
  </si>
  <si>
    <t>Site Order Book</t>
  </si>
  <si>
    <t>DAK Register</t>
  </si>
  <si>
    <t xml:space="preserve">Water Leveling Pipe </t>
  </si>
  <si>
    <t>Bearing For Sawmill</t>
  </si>
  <si>
    <t>26/05/2026</t>
  </si>
  <si>
    <t>Mccb 4pole</t>
  </si>
  <si>
    <t xml:space="preserve">Mushroom Shed </t>
  </si>
  <si>
    <t>Coconut Rope</t>
  </si>
  <si>
    <t>Planner Blade 24''</t>
  </si>
  <si>
    <t>Angle Grinder Blade 8''</t>
  </si>
  <si>
    <t>Not Received</t>
  </si>
  <si>
    <t>Drug Testing</t>
  </si>
  <si>
    <t>Marker pen</t>
  </si>
  <si>
    <t>Clip Board</t>
  </si>
  <si>
    <t>Self Drilling Screw 3''</t>
  </si>
  <si>
    <t>Pink Primer</t>
  </si>
  <si>
    <t>Golden Brown</t>
  </si>
  <si>
    <t xml:space="preserve">Cordless Drill </t>
  </si>
  <si>
    <t>Hex Heah /Magetic nut Socket</t>
  </si>
  <si>
    <t>Requestion No.</t>
  </si>
  <si>
    <t>Supply Order No.</t>
  </si>
  <si>
    <t>Items Description</t>
  </si>
  <si>
    <t>Specifications</t>
  </si>
  <si>
    <t>Remarks By Store</t>
  </si>
  <si>
    <t xml:space="preserve">Balence </t>
  </si>
  <si>
    <t>Remarks By PMU</t>
  </si>
  <si>
    <t>266/830</t>
  </si>
  <si>
    <t>STHIL Brand</t>
  </si>
  <si>
    <t>Received only 5 nos sawaing chain on 13/04/2026 (C-No.1047) recived without Challen, 08 No. sawang on 06/05/2026</t>
  </si>
  <si>
    <t xml:space="preserve">As per Yarju OC instruction we have sent only 5 Nos </t>
  </si>
  <si>
    <t>Balance</t>
  </si>
  <si>
    <t>Received only 5 nos cutting chain on 17/04/2027 (C-No. 1047) recived without challen, 5 nos cutting on 06/05/2026</t>
  </si>
  <si>
    <t xml:space="preserve">Done </t>
  </si>
  <si>
    <t>Received On 19/04/2026(C-No.1047)</t>
  </si>
  <si>
    <t>Done</t>
  </si>
  <si>
    <t>Pending</t>
  </si>
  <si>
    <t>Standard</t>
  </si>
  <si>
    <t>Received 20 Nos On 17/04/2026(C-No.1047) recived without challen, 09 Nos on 06/05/2026</t>
  </si>
  <si>
    <t>Not approved</t>
  </si>
  <si>
    <t xml:space="preserve">Register Book </t>
  </si>
  <si>
    <t>Received on 14/4/2026 (C-No.1047)</t>
  </si>
  <si>
    <t xml:space="preserve">  </t>
  </si>
  <si>
    <t>15/4/2026</t>
  </si>
  <si>
    <t>Safety Helmet</t>
  </si>
  <si>
    <t>High Quality</t>
  </si>
  <si>
    <t>Approved and Under process</t>
  </si>
  <si>
    <t>Safety Goggles</t>
  </si>
  <si>
    <t>Safety Boot(Steel Toe)</t>
  </si>
  <si>
    <t>Size:6</t>
  </si>
  <si>
    <t>Rubber Boot</t>
  </si>
  <si>
    <t>Size:7</t>
  </si>
  <si>
    <t>Size:8</t>
  </si>
  <si>
    <t>Size:9</t>
  </si>
  <si>
    <t>23/4/2026</t>
  </si>
  <si>
    <t>Hume Pipe with Necessary Fittings</t>
  </si>
  <si>
    <t>450mm dia</t>
  </si>
  <si>
    <t>Approved by PD and waiting for supply</t>
  </si>
  <si>
    <t xml:space="preserve">Fine Sand </t>
  </si>
  <si>
    <t>To be sent after approval form OC Yarju</t>
  </si>
  <si>
    <t>Aggregate</t>
  </si>
  <si>
    <t>20mm</t>
  </si>
  <si>
    <t>Hume Pipe with necessary fittings</t>
  </si>
  <si>
    <t>600mm dia</t>
  </si>
  <si>
    <t>3kg</t>
  </si>
  <si>
    <t>5mtrs</t>
  </si>
  <si>
    <t>Brick trowel</t>
  </si>
  <si>
    <t>50mtrs</t>
  </si>
  <si>
    <t>Coconut rope</t>
  </si>
  <si>
    <t>4 Inch</t>
  </si>
  <si>
    <t>5 Inch</t>
  </si>
  <si>
    <t>Coconut Jute Rope</t>
  </si>
  <si>
    <t>Received on 26/5/2026 (challan no 1061)</t>
  </si>
  <si>
    <t>Mason Towel</t>
  </si>
  <si>
    <t>High Quality Stainless Steel</t>
  </si>
  <si>
    <t>Received 49 on 12/5/26 (challan no 1057) 1 no not received</t>
  </si>
  <si>
    <t xml:space="preserve">Tip Headed Stainless Steel </t>
  </si>
  <si>
    <t>Received on 12/5/2026 (challan no 1057)</t>
  </si>
  <si>
    <t>Weight-1kg</t>
  </si>
  <si>
    <t>27/4/2026</t>
  </si>
  <si>
    <t xml:space="preserve">Carrom </t>
  </si>
  <si>
    <t>NA</t>
  </si>
  <si>
    <t>Table Tennis</t>
  </si>
  <si>
    <t>Chainsaw Chain</t>
  </si>
  <si>
    <t>For Cutting</t>
  </si>
  <si>
    <t>Received 05 nos of cutting chain on 06/05/26 (c-no</t>
  </si>
  <si>
    <t>For Sawing</t>
  </si>
  <si>
    <t>Received 08 nos of Sawing chain on 06/05/26 challan no 1056</t>
  </si>
  <si>
    <t>7/32</t>
  </si>
  <si>
    <t>Received 09 nos on 06/05/26  Challan no 1056</t>
  </si>
  <si>
    <t>8inches</t>
  </si>
  <si>
    <t>Received 09 nos on 06/05/26  challan no-1056</t>
  </si>
  <si>
    <t>Find sand</t>
  </si>
  <si>
    <t>16A,3/5 pin</t>
  </si>
  <si>
    <t>Not approved and under process</t>
  </si>
  <si>
    <t>20W,1200mm</t>
  </si>
  <si>
    <t>15W</t>
  </si>
  <si>
    <t>Ceiling Mounting</t>
  </si>
  <si>
    <t xml:space="preserve">1 Way Switch </t>
  </si>
  <si>
    <t>6A</t>
  </si>
  <si>
    <t>2 Modular Switch box</t>
  </si>
  <si>
    <t>PVC Box</t>
  </si>
  <si>
    <t>Ceiling Fan</t>
  </si>
  <si>
    <t>1400rpm,1200mmsweep</t>
  </si>
  <si>
    <t xml:space="preserve">copper wire </t>
  </si>
  <si>
    <t>1.5 sq. mm</t>
  </si>
  <si>
    <t>4 sqmm</t>
  </si>
  <si>
    <t xml:space="preserve">MCB </t>
  </si>
  <si>
    <t>32 A, B-type</t>
  </si>
  <si>
    <t xml:space="preserve">Nail </t>
  </si>
  <si>
    <t>2 inches</t>
  </si>
  <si>
    <t xml:space="preserve">Urgent </t>
  </si>
  <si>
    <t>4 inches</t>
  </si>
  <si>
    <t>5 inches</t>
  </si>
  <si>
    <t>OPC</t>
  </si>
  <si>
    <t xml:space="preserve">CGI Sheet </t>
  </si>
  <si>
    <t>12 feet</t>
  </si>
  <si>
    <t>Plywood</t>
  </si>
  <si>
    <t>4'x8'x12mm thick</t>
  </si>
  <si>
    <t>Playwood</t>
  </si>
  <si>
    <t>Woodwork</t>
  </si>
  <si>
    <t>2'x3'x12'</t>
  </si>
  <si>
    <t>3'x3'''x8'</t>
  </si>
  <si>
    <t>1.5''x12''x8'</t>
  </si>
  <si>
    <t>Received on 12/5/2026 challan no 1056</t>
  </si>
  <si>
    <t>Flat File (yellow)</t>
  </si>
  <si>
    <t>Yellow</t>
  </si>
  <si>
    <t>Dispatch Rigester</t>
  </si>
  <si>
    <t>DAK</t>
  </si>
  <si>
    <t xml:space="preserve">No </t>
  </si>
  <si>
    <t>Received on 19/5/2026 challan no 1059</t>
  </si>
  <si>
    <t>A4 Paper</t>
  </si>
  <si>
    <t>k.one</t>
  </si>
  <si>
    <t>Cartoon</t>
  </si>
  <si>
    <t>Received on 19/5/2026 without Challan</t>
  </si>
  <si>
    <t>Permanent Marker Pen</t>
  </si>
  <si>
    <t>Black/Blue</t>
  </si>
  <si>
    <t>Plastic File</t>
  </si>
  <si>
    <t>White</t>
  </si>
  <si>
    <t>Blue/Green</t>
  </si>
  <si>
    <t>Hard Stone</t>
  </si>
  <si>
    <t>Waterproof paint</t>
  </si>
  <si>
    <t>a. Red</t>
  </si>
  <si>
    <t>Waterproof</t>
  </si>
  <si>
    <t>Not Approved</t>
  </si>
  <si>
    <t>Not Approved by Dy.PD</t>
  </si>
  <si>
    <t>b. Blue</t>
  </si>
  <si>
    <t>c. Yellow</t>
  </si>
  <si>
    <t>d. Green</t>
  </si>
  <si>
    <t>e. Orange</t>
  </si>
  <si>
    <t>f. white</t>
  </si>
  <si>
    <t>Fabrica</t>
  </si>
  <si>
    <t>a. Black</t>
  </si>
  <si>
    <t>fabric paints</t>
  </si>
  <si>
    <t>b. White</t>
  </si>
  <si>
    <t>Yellow Distemper</t>
  </si>
  <si>
    <t>water-based paint</t>
  </si>
  <si>
    <t>Polish Glossy</t>
  </si>
  <si>
    <t>1 litres volume</t>
  </si>
  <si>
    <t>Round Painting brush</t>
  </si>
  <si>
    <t>Size 00</t>
  </si>
  <si>
    <t>Size 01</t>
  </si>
  <si>
    <t>Size 02</t>
  </si>
  <si>
    <t>Size 03</t>
  </si>
  <si>
    <t>Size 04</t>
  </si>
  <si>
    <t>Size 05</t>
  </si>
  <si>
    <t>Size 10</t>
  </si>
  <si>
    <t>ST thump</t>
  </si>
  <si>
    <t>Red colour</t>
  </si>
  <si>
    <t>Orange</t>
  </si>
  <si>
    <t>Blue</t>
  </si>
  <si>
    <t>Green</t>
  </si>
  <si>
    <t>Plate brush</t>
  </si>
  <si>
    <t>Tracing Paper</t>
  </si>
  <si>
    <t>A4 size</t>
  </si>
  <si>
    <t>Red Bricks</t>
  </si>
  <si>
    <t>Second class</t>
  </si>
  <si>
    <t>Received on 12/5/2026 (challan no 1056)</t>
  </si>
  <si>
    <t>MS 380</t>
  </si>
  <si>
    <t>Not Approved By PD</t>
  </si>
  <si>
    <t>Sawing Chain MS 380</t>
  </si>
  <si>
    <t>Received on 20/5/2026 (challan no 216</t>
  </si>
  <si>
    <t>Nails</t>
  </si>
  <si>
    <t>6 inches</t>
  </si>
  <si>
    <t>Tarpaulin</t>
  </si>
  <si>
    <t>24x18</t>
  </si>
  <si>
    <t>Received 1No. on 19/5/2026 (challan no 216</t>
  </si>
  <si>
    <t>MCCB 4 Pole</t>
  </si>
  <si>
    <t>160Amps, 36KA,415Volt</t>
  </si>
  <si>
    <t>Received on 26/5/2026 (challan no 217)</t>
  </si>
  <si>
    <t>UG Aluminium Cable</t>
  </si>
  <si>
    <t>16 sq.mm, 4- Core 1.1KV grade, PVC insulated and sheathed Aluminium conductor armoured power cables.</t>
  </si>
  <si>
    <t>Nill</t>
  </si>
  <si>
    <t>Fuel Barrel</t>
  </si>
  <si>
    <t>Received 1 No. on 12/5/2026 (challan no 1056) &amp; Received 1 No. on 19/5/2026 (Challan No.1059)</t>
  </si>
  <si>
    <t>Standard, Kuensel Printing Press</t>
  </si>
  <si>
    <t>Self-Drilling Screw With Washer</t>
  </si>
  <si>
    <t>40mm Long</t>
  </si>
  <si>
    <t>Approved and under process</t>
  </si>
  <si>
    <t>4'x8'x12mm</t>
  </si>
  <si>
    <t>Pending(Urgent Mushroom Shed)</t>
  </si>
  <si>
    <t>19/05/2026</t>
  </si>
  <si>
    <t>Thickness- 6mm. Length – 610mm
 (High class wood working machineries wood surface &amp; thickness plainer (multi purpose) Akal company</t>
  </si>
  <si>
    <t>Received on 29/5/2026 challan no 1063</t>
  </si>
  <si>
    <t>BOSCH company, IRWIN classic series 24 T framing/ Ripping, 7 ½ (134mm)</t>
  </si>
  <si>
    <t>Wood marking pencil/ normal pencil</t>
  </si>
  <si>
    <t>18/05/2026</t>
  </si>
  <si>
    <t>Thrust Bearing</t>
  </si>
  <si>
    <t>Size 0-14-ST, Thrust Bearing</t>
  </si>
  <si>
    <t>Received on 19/5/2026 (Challan No.1059)</t>
  </si>
  <si>
    <t>Wood Primer Paint</t>
  </si>
  <si>
    <t>Normal Wood Primer(Pink Primer)</t>
  </si>
  <si>
    <t>Received on 29/5/2026 (Challan No.1063)</t>
  </si>
  <si>
    <t xml:space="preserve">Synthetic Enamel Paint </t>
  </si>
  <si>
    <t>Golden Brown Colour (Light Colour)</t>
  </si>
  <si>
    <t>Size: 4"(100mm) Length:57mm Thickness:17.5mm Wooden handle packed by plastic bag</t>
  </si>
  <si>
    <t>Self Drilling Screw</t>
  </si>
  <si>
    <t>GI Self Drilling Screw 3 Inch</t>
  </si>
  <si>
    <t>Fevicol Glue</t>
  </si>
  <si>
    <t>1 Kg Weight</t>
  </si>
  <si>
    <t>Normal Register</t>
  </si>
  <si>
    <t>Double A(A+)</t>
  </si>
  <si>
    <t xml:space="preserve">Normal Ruled </t>
  </si>
  <si>
    <t>PPGI Sheet (25G)</t>
  </si>
  <si>
    <t>8feet long</t>
  </si>
  <si>
    <t>10feet long</t>
  </si>
  <si>
    <t>11feet long</t>
  </si>
  <si>
    <t>PPGI Ridge</t>
  </si>
  <si>
    <t>600mm ridges</t>
  </si>
  <si>
    <t>Received on 29/5/2026 (Challan No.218)</t>
  </si>
  <si>
    <t>Drilling machine</t>
  </si>
  <si>
    <t>Cordless drill with drill bit set - 18V with two 3Ah batteries and 1 fast 18V charger Capacity Steel - Wood 13 - 38 mm Chuck Capacity 1 5 – 13 mm 1 -16 – 1 -2inch No Load Speed RPM High - Low 0 – 2 000 - 0 – 500 Max Fastening Torque Hard - Soft 54 - 30 Nm 480 - 270 in lbs Max lock torque 60 N·m 530 in lb Dimensions L - W - H 172-79-261 mm 6-3 -4inch -3-1 -8inch-10-1 -4inch Net weight 1 5 – 1 8 kg 3 3 – 4 0 lbs Hss- 2 3 4 5 6 8mm Masonry- 3 4 5 6 7 8 9 10 wood- 3 4 5 6 7 8 9 10</t>
  </si>
  <si>
    <t>Received on 29/5/2026 (Without Challan)</t>
  </si>
  <si>
    <t>Drilling screw head</t>
  </si>
  <si>
    <t>Orbix 5.5 x 25 Hex Head Self Drilling Screws (Pack of 100)</t>
  </si>
  <si>
    <t>This sheet should remain hidden.</t>
  </si>
  <si>
    <t>Chart Labels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</si>
</sst>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&quot;-&quot;mmm&quot;-&quot;yy"/>
    <numFmt numFmtId="165" formatCode="_(* #,##0.00_);_(* \(#,##0.00\);_(* &quot;-&quot;??_);_(@_)"/>
    <numFmt numFmtId="166" formatCode="d mmm yyyy"/>
    <numFmt numFmtId="167" formatCode="d mmmm yyyy"/>
    <numFmt numFmtId="168" formatCode="d-mmm-yyyy"/>
    <numFmt numFmtId="169" formatCode="#,##0.00;(#,##0.00)"/>
    <numFmt numFmtId="170" formatCode="d-mmm-yy"/>
    <numFmt numFmtId="171" formatCode="d mmm yy"/>
    <numFmt numFmtId="172" formatCode="dd mmmm yyyy"/>
    <numFmt numFmtId="173" formatCode="d&quot;-&quot;mmm&quot;-&quot;yyyy"/>
    <numFmt numFmtId="174" formatCode="dd mmm yyyy"/>
    <numFmt numFmtId="175" formatCode="mm dd yyyy"/>
    <numFmt numFmtId="176" formatCode="dd/mm/yyyy"/>
    <numFmt numFmtId="177" formatCode="dd&quot;/&quot;mm&quot;/&quot;yyyy"/>
    <numFmt numFmtId="178" formatCode="m/d/yyyy"/>
    <numFmt numFmtId="179" formatCode="mm/dd/yyyy"/>
  </numFmts>
  <fonts count="43">
    <font>
      <sz val="12.0"/>
      <color rgb="FF2C3239"/>
      <name val="Times New Roman"/>
      <scheme val="minor"/>
    </font>
    <font>
      <sz val="28.0"/>
      <color rgb="FFE9ECEC"/>
      <name val="Arial Black"/>
    </font>
    <font/>
    <font>
      <sz val="14.0"/>
      <color rgb="FFE9ECEC"/>
      <name val="Arial Black"/>
    </font>
    <font>
      <sz val="18.0"/>
      <color rgb="FFE9ECEC"/>
      <name val="Arial Black"/>
    </font>
    <font>
      <sz val="11.0"/>
      <color rgb="FFC45111"/>
      <name val="Arial Black"/>
    </font>
    <font>
      <b/>
      <sz val="14.0"/>
      <color rgb="FF2C3239"/>
      <name val="Times New Roman"/>
    </font>
    <font>
      <color theme="1"/>
      <name val="Times New Roman"/>
      <scheme val="minor"/>
    </font>
    <font>
      <sz val="12.0"/>
      <color rgb="FFC45111"/>
      <name val="Arial Black"/>
    </font>
    <font>
      <sz val="12.0"/>
      <color rgb="FF2C3239"/>
      <name val="Times New Roman"/>
    </font>
    <font>
      <sz val="12.0"/>
      <color rgb="FF000000"/>
      <name val="&quot;Times New Roman&quot;"/>
    </font>
    <font>
      <sz val="12.0"/>
      <color rgb="FF2C3239"/>
      <name val="&quot;Times New Roman&quot;"/>
    </font>
    <font>
      <sz val="12.0"/>
      <color theme="1"/>
      <name val="Times New Roman"/>
    </font>
    <font>
      <sz val="11.0"/>
      <color rgb="FF000000"/>
      <name val="&quot;Times New Roman&quot;"/>
    </font>
    <font>
      <sz val="14.0"/>
      <color rgb="FF2C3239"/>
      <name val="Times New Roman"/>
    </font>
    <font>
      <sz val="16.0"/>
      <color rgb="FF000000"/>
      <name val="&quot;Times New Roman&quot;"/>
    </font>
    <font>
      <sz val="12.0"/>
      <color rgb="FF9C0006"/>
      <name val="&quot;Times New Roman&quot;"/>
    </font>
    <font>
      <sz val="12.0"/>
      <color rgb="FF2C3239"/>
      <name val="&quot;\0022Times New Roman\0022&quot;"/>
    </font>
    <font>
      <sz val="14.0"/>
      <color theme="1"/>
      <name val="Times New Roman"/>
      <scheme val="minor"/>
    </font>
    <font>
      <sz val="12.0"/>
      <color rgb="FFE9ECEC"/>
      <name val="Arial Black"/>
    </font>
    <font>
      <b/>
      <sz val="12.0"/>
      <color rgb="FF2C3239"/>
      <name val="Times New Roman"/>
    </font>
    <font>
      <sz val="12.0"/>
      <color theme="1"/>
      <name val="Times New Roman"/>
      <scheme val="minor"/>
    </font>
    <font>
      <sz val="12.0"/>
      <color rgb="FF2C3238"/>
      <name val="&quot;Times New Roman&quot;"/>
    </font>
    <font>
      <i/>
      <sz val="12.0"/>
      <color theme="1"/>
      <name val="Times New Roman"/>
    </font>
    <font>
      <b/>
      <color theme="1"/>
      <name val="Times New Roman"/>
      <scheme val="minor"/>
    </font>
    <font>
      <b/>
      <sz val="11.0"/>
      <color rgb="FFFFFFFF"/>
      <name val="Times New Roman"/>
    </font>
    <font>
      <b/>
      <sz val="11.0"/>
      <color theme="0"/>
      <name val="Times New Roman"/>
    </font>
    <font>
      <sz val="11.0"/>
      <color theme="1"/>
      <name val="Times New Roman"/>
    </font>
    <font>
      <sz val="11.0"/>
      <color rgb="FFFF0000"/>
      <name val="Times New Roman"/>
    </font>
    <font>
      <sz val="11.0"/>
      <color theme="1"/>
      <name val="&quot;Times New Roman&quot;"/>
    </font>
    <font>
      <sz val="11.0"/>
      <color rgb="FFFF0000"/>
      <name val="&quot;Times New Roman&quot;"/>
    </font>
    <font>
      <sz val="11.0"/>
      <color rgb="FF000000"/>
      <name val="Times New Roman"/>
    </font>
    <font>
      <color rgb="FFFF0000"/>
      <name val="Times New Roman"/>
      <scheme val="minor"/>
    </font>
    <font>
      <b/>
      <sz val="11.0"/>
      <color theme="1"/>
      <name val="Times New Roman"/>
    </font>
    <font>
      <sz val="11.0"/>
      <color theme="1"/>
      <name val="Calibri"/>
    </font>
    <font>
      <color theme="1"/>
      <name val="Times New Roman"/>
    </font>
    <font>
      <color rgb="FFFF0000"/>
      <name val="Times New Roman"/>
    </font>
    <font>
      <color rgb="FF1F1F1F"/>
      <name val="Times New Roman"/>
      <scheme val="minor"/>
    </font>
    <font>
      <color theme="1"/>
      <name val="&quot;Times New Roman&quot;"/>
    </font>
    <font>
      <sz val="12.0"/>
      <color theme="1"/>
      <name val="&quot;Times New Roman&quot;"/>
    </font>
    <font>
      <b/>
      <sz val="9.0"/>
      <color rgb="FF333333"/>
      <name val="&quot;Arial&quot;"/>
    </font>
    <font>
      <color rgb="FF000000"/>
      <name val="Times New Roman"/>
      <scheme val="minor"/>
    </font>
    <font>
      <sz val="12.0"/>
      <color theme="4"/>
      <name val="Times New Roman"/>
    </font>
  </fonts>
  <fills count="2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586572"/>
        <bgColor rgb="FF586572"/>
      </patternFill>
    </fill>
    <fill>
      <patternFill patternType="solid">
        <fgColor rgb="FFB7E1CD"/>
        <bgColor rgb="FFB7E1CD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45F06"/>
        <bgColor rgb="FFB45F0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</fills>
  <borders count="32">
    <border/>
    <border>
      <left/>
      <top/>
    </border>
    <border>
      <right/>
      <top/>
    </border>
    <border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</border>
    <border>
      <right/>
    </border>
    <border>
      <left/>
      <bottom/>
    </border>
    <border>
      <right/>
      <bottom/>
    </border>
    <border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bottom style="thick">
        <color theme="4"/>
      </bottom>
    </border>
  </borders>
  <cellStyleXfs count="1">
    <xf borderId="0" fillId="0" fontId="0" numFmtId="0" applyAlignment="1" applyFont="1"/>
  </cellStyleXfs>
  <cellXfs count="721">
    <xf borderId="0" fillId="0" fontId="0" numFmtId="0" xfId="0" applyAlignment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left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right" shrinkToFit="0" vertical="center" wrapText="1"/>
    </xf>
    <xf borderId="4" fillId="2" fontId="3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0" fillId="3" fontId="5" numFmtId="0" xfId="0" applyAlignment="1" applyFill="1" applyFont="1">
      <alignment horizontal="left" shrinkToFit="0" vertical="bottom" wrapText="0"/>
    </xf>
    <xf borderId="0" fillId="3" fontId="5" numFmtId="0" xfId="0" applyAlignment="1" applyFont="1">
      <alignment horizontal="left" shrinkToFit="0" vertical="bottom" wrapText="0"/>
    </xf>
    <xf borderId="10" fillId="0" fontId="2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0" fillId="3" fontId="6" numFmtId="40" xfId="0" applyAlignment="1" applyFont="1" applyNumberFormat="1">
      <alignment horizontal="left" shrinkToFit="0" vertical="top" wrapText="0"/>
    </xf>
    <xf borderId="0" fillId="3" fontId="6" numFmtId="40" xfId="0" applyAlignment="1" applyFont="1" applyNumberFormat="1">
      <alignment horizontal="left" readingOrder="0" shrinkToFit="0" vertical="top" wrapText="0"/>
    </xf>
    <xf borderId="0" fillId="3" fontId="6" numFmtId="4" xfId="0" applyAlignment="1" applyFont="1" applyNumberFormat="1">
      <alignment horizontal="left" shrinkToFit="0" vertical="top" wrapText="0"/>
    </xf>
    <xf borderId="0" fillId="3" fontId="6" numFmtId="40" xfId="0" applyAlignment="1" applyFont="1" applyNumberFormat="1">
      <alignment horizontal="right" shrinkToFit="0" vertical="top" wrapText="0"/>
    </xf>
    <xf borderId="0" fillId="3" fontId="7" numFmtId="0" xfId="0" applyAlignment="1" applyFont="1">
      <alignment horizontal="left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3" fillId="0" fontId="8" numFmtId="164" xfId="0" applyAlignment="1" applyBorder="1" applyFont="1" applyNumberFormat="1">
      <alignment horizontal="center" readingOrder="0" shrinkToFit="0" vertical="center" wrapText="1"/>
    </xf>
    <xf borderId="14" fillId="0" fontId="8" numFmtId="0" xfId="0" applyAlignment="1" applyBorder="1" applyFont="1">
      <alignment horizontal="center" readingOrder="0" shrinkToFit="0" vertical="bottom" wrapText="0"/>
    </xf>
    <xf borderId="14" fillId="0" fontId="8" numFmtId="0" xfId="0" applyAlignment="1" applyBorder="1" applyFont="1">
      <alignment horizontal="center" shrinkToFit="0" vertical="bottom" wrapText="0"/>
    </xf>
    <xf borderId="14" fillId="0" fontId="8" numFmtId="4" xfId="0" applyAlignment="1" applyBorder="1" applyFont="1" applyNumberFormat="1">
      <alignment horizontal="center" shrinkToFit="0" vertical="bottom" wrapText="0"/>
    </xf>
    <xf borderId="13" fillId="0" fontId="8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 shrinkToFit="0" vertical="center" wrapText="1"/>
    </xf>
    <xf borderId="13" fillId="0" fontId="10" numFmtId="0" xfId="0" applyAlignment="1" applyBorder="1" applyFont="1">
      <alignment horizontal="center" readingOrder="0" shrinkToFit="0" vertical="center" wrapText="0"/>
    </xf>
    <xf borderId="13" fillId="0" fontId="10" numFmtId="15" xfId="0" applyAlignment="1" applyBorder="1" applyFont="1" applyNumberFormat="1">
      <alignment horizontal="center" readingOrder="0" shrinkToFit="0" vertical="center" wrapText="0"/>
    </xf>
    <xf borderId="13" fillId="0" fontId="10" numFmtId="0" xfId="0" applyAlignment="1" applyBorder="1" applyFont="1">
      <alignment horizontal="left" readingOrder="0" shrinkToFit="0" vertical="center" wrapText="0"/>
    </xf>
    <xf borderId="13" fillId="0" fontId="11" numFmtId="0" xfId="0" applyAlignment="1" applyBorder="1" applyFont="1">
      <alignment horizontal="left" readingOrder="0" shrinkToFit="0" vertical="center" wrapText="1"/>
    </xf>
    <xf borderId="13" fillId="0" fontId="10" numFmtId="165" xfId="0" applyAlignment="1" applyBorder="1" applyFont="1" applyNumberFormat="1">
      <alignment horizontal="center" readingOrder="0" shrinkToFit="0" vertical="center" wrapText="0"/>
    </xf>
    <xf borderId="13" fillId="0" fontId="11" numFmtId="4" xfId="0" applyAlignment="1" applyBorder="1" applyFont="1" applyNumberFormat="1">
      <alignment horizontal="right" readingOrder="0" shrinkToFit="0" vertical="center" wrapText="0"/>
    </xf>
    <xf borderId="13" fillId="0" fontId="11" numFmtId="165" xfId="0" applyAlignment="1" applyBorder="1" applyFont="1" applyNumberFormat="1">
      <alignment horizontal="right" shrinkToFit="0" vertical="center" wrapText="0"/>
    </xf>
    <xf borderId="13" fillId="0" fontId="10" numFmtId="166" xfId="0" applyAlignment="1" applyBorder="1" applyFont="1" applyNumberFormat="1">
      <alignment horizontal="left" readingOrder="0" shrinkToFit="0" vertical="center" wrapText="0"/>
    </xf>
    <xf borderId="13" fillId="0" fontId="10" numFmtId="164" xfId="0" applyAlignment="1" applyBorder="1" applyFont="1" applyNumberFormat="1">
      <alignment horizontal="center" readingOrder="0" shrinkToFit="0" vertical="center" wrapText="0"/>
    </xf>
    <xf borderId="13" fillId="0" fontId="10" numFmtId="4" xfId="0" applyAlignment="1" applyBorder="1" applyFont="1" applyNumberFormat="1">
      <alignment horizontal="center" readingOrder="0" shrinkToFit="0" vertical="center" wrapText="0"/>
    </xf>
    <xf borderId="13" fillId="0" fontId="11" numFmtId="165" xfId="0" applyAlignment="1" applyBorder="1" applyFont="1" applyNumberFormat="1">
      <alignment horizontal="right" readingOrder="0" shrinkToFit="0" vertical="center" wrapText="0"/>
    </xf>
    <xf borderId="15" fillId="0" fontId="10" numFmtId="0" xfId="0" applyAlignment="1" applyBorder="1" applyFont="1">
      <alignment horizontal="center" readingOrder="0" shrinkToFit="0" vertical="center" wrapText="0"/>
    </xf>
    <xf borderId="15" fillId="0" fontId="10" numFmtId="15" xfId="0" applyAlignment="1" applyBorder="1" applyFont="1" applyNumberFormat="1">
      <alignment horizontal="center" readingOrder="0" shrinkToFit="0" vertical="center" wrapText="0"/>
    </xf>
    <xf borderId="15" fillId="0" fontId="10" numFmtId="166" xfId="0" applyAlignment="1" applyBorder="1" applyFont="1" applyNumberFormat="1">
      <alignment horizontal="left" readingOrder="0" shrinkToFit="0" vertical="center" wrapText="0"/>
    </xf>
    <xf borderId="13" fillId="0" fontId="12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15" fillId="0" fontId="2" numFmtId="0" xfId="0" applyAlignment="1" applyBorder="1" applyFont="1">
      <alignment horizontal="left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3" fillId="0" fontId="13" numFmtId="0" xfId="0" applyAlignment="1" applyBorder="1" applyFont="1">
      <alignment horizontal="left" readingOrder="0" shrinkToFit="0" vertical="center" wrapText="1"/>
    </xf>
    <xf borderId="13" fillId="0" fontId="13" numFmtId="0" xfId="0" applyAlignment="1" applyBorder="1" applyFont="1">
      <alignment horizontal="left" readingOrder="0" shrinkToFit="0" vertical="bottom" wrapText="0"/>
    </xf>
    <xf borderId="16" fillId="0" fontId="10" numFmtId="0" xfId="0" applyAlignment="1" applyBorder="1" applyFont="1">
      <alignment horizontal="center" readingOrder="0" shrinkToFit="0" vertical="center" wrapText="0"/>
    </xf>
    <xf borderId="17" fillId="0" fontId="11" numFmtId="0" xfId="0" applyAlignment="1" applyBorder="1" applyFont="1">
      <alignment horizontal="center" readingOrder="0" shrinkToFit="0" vertical="center" wrapText="1"/>
    </xf>
    <xf borderId="17" fillId="0" fontId="10" numFmtId="15" xfId="0" applyAlignment="1" applyBorder="1" applyFont="1" applyNumberFormat="1">
      <alignment horizontal="center" readingOrder="0" shrinkToFit="0" vertical="center" wrapText="1"/>
    </xf>
    <xf borderId="17" fillId="0" fontId="10" numFmtId="0" xfId="0" applyAlignment="1" applyBorder="1" applyFont="1">
      <alignment horizontal="center" readingOrder="0" shrinkToFit="0" vertical="center" wrapText="1"/>
    </xf>
    <xf borderId="17" fillId="0" fontId="10" numFmtId="0" xfId="0" applyAlignment="1" applyBorder="1" applyFont="1">
      <alignment horizontal="left" readingOrder="0" shrinkToFit="0" vertical="center" wrapText="0"/>
    </xf>
    <xf borderId="13" fillId="0" fontId="10" numFmtId="165" xfId="0" applyAlignment="1" applyBorder="1" applyFont="1" applyNumberFormat="1">
      <alignment horizontal="right" readingOrder="0" shrinkToFit="0" vertical="center" wrapText="0"/>
    </xf>
    <xf borderId="15" fillId="0" fontId="10" numFmtId="164" xfId="0" applyAlignment="1" applyBorder="1" applyFont="1" applyNumberFormat="1">
      <alignment horizontal="center" readingOrder="0" shrinkToFit="0" vertical="center" wrapText="0"/>
    </xf>
    <xf borderId="16" fillId="0" fontId="10" numFmtId="166" xfId="0" applyAlignment="1" applyBorder="1" applyFont="1" applyNumberFormat="1">
      <alignment horizontal="left" readingOrder="0" shrinkToFit="0" vertical="center" wrapText="0"/>
    </xf>
    <xf borderId="16" fillId="0" fontId="10" numFmtId="0" xfId="0" applyAlignment="1" applyBorder="1" applyFont="1">
      <alignment horizontal="left" readingOrder="0" shrinkToFit="0" vertical="center" wrapText="0"/>
    </xf>
    <xf borderId="13" fillId="4" fontId="10" numFmtId="0" xfId="0" applyAlignment="1" applyBorder="1" applyFill="1" applyFont="1">
      <alignment horizontal="left" readingOrder="0" shrinkToFit="0" vertical="center" wrapText="0"/>
    </xf>
    <xf borderId="13" fillId="0" fontId="10" numFmtId="0" xfId="0" applyAlignment="1" applyBorder="1" applyFont="1">
      <alignment horizontal="center" shrinkToFit="0" vertical="center" wrapText="0"/>
    </xf>
    <xf borderId="13" fillId="0" fontId="10" numFmtId="165" xfId="0" applyAlignment="1" applyBorder="1" applyFont="1" applyNumberFormat="1">
      <alignment horizontal="right" shrinkToFit="0" vertical="center" wrapText="0"/>
    </xf>
    <xf borderId="13" fillId="0" fontId="10" numFmtId="0" xfId="0" applyAlignment="1" applyBorder="1" applyFont="1">
      <alignment horizontal="left" readingOrder="0" shrinkToFit="0" vertical="bottom" wrapText="0"/>
    </xf>
    <xf borderId="13" fillId="0" fontId="10" numFmtId="0" xfId="0" applyAlignment="1" applyBorder="1" applyFont="1">
      <alignment horizontal="center" shrinkToFit="0" vertical="bottom" wrapText="0"/>
    </xf>
    <xf borderId="13" fillId="0" fontId="10" numFmtId="165" xfId="0" applyAlignment="1" applyBorder="1" applyFont="1" applyNumberFormat="1">
      <alignment horizontal="right" readingOrder="0" shrinkToFit="0" vertical="bottom" wrapText="0"/>
    </xf>
    <xf borderId="18" fillId="0" fontId="10" numFmtId="0" xfId="0" applyAlignment="1" applyBorder="1" applyFont="1">
      <alignment horizontal="center" readingOrder="0" shrinkToFit="0" vertical="center" wrapText="0"/>
    </xf>
    <xf borderId="18" fillId="0" fontId="10" numFmtId="166" xfId="0" applyAlignment="1" applyBorder="1" applyFont="1" applyNumberFormat="1">
      <alignment horizontal="left" readingOrder="0" shrinkToFit="0" vertical="center" wrapText="0"/>
    </xf>
    <xf borderId="14" fillId="0" fontId="10" numFmtId="0" xfId="0" applyAlignment="1" applyBorder="1" applyFont="1">
      <alignment horizontal="center" readingOrder="0" shrinkToFit="0" vertical="center" wrapText="0"/>
    </xf>
    <xf borderId="14" fillId="0" fontId="10" numFmtId="166" xfId="0" applyAlignment="1" applyBorder="1" applyFont="1" applyNumberFormat="1">
      <alignment horizontal="left" readingOrder="0" shrinkToFit="0" vertical="center" wrapText="0"/>
    </xf>
    <xf borderId="18" fillId="0" fontId="10" numFmtId="0" xfId="0" applyAlignment="1" applyBorder="1" applyFont="1">
      <alignment horizontal="left" readingOrder="0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shrinkToFit="0" vertical="center" wrapText="1"/>
    </xf>
    <xf borderId="13" fillId="0" fontId="12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15" fillId="0" fontId="10" numFmtId="0" xfId="0" applyAlignment="1" applyBorder="1" applyFont="1">
      <alignment horizontal="center" readingOrder="0" shrinkToFit="0" vertical="center" wrapText="1"/>
    </xf>
    <xf borderId="15" fillId="0" fontId="10" numFmtId="167" xfId="0" applyAlignment="1" applyBorder="1" applyFont="1" applyNumberFormat="1">
      <alignment horizontal="left" readingOrder="0" shrinkToFit="0" vertical="center" wrapText="0"/>
    </xf>
    <xf borderId="13" fillId="0" fontId="10" numFmtId="0" xfId="0" applyAlignment="1" applyBorder="1" applyFont="1">
      <alignment horizontal="center" readingOrder="0" shrinkToFit="0" vertical="bottom" wrapText="0"/>
    </xf>
    <xf borderId="13" fillId="0" fontId="10" numFmtId="4" xfId="0" applyAlignment="1" applyBorder="1" applyFont="1" applyNumberFormat="1">
      <alignment horizontal="right" readingOrder="0" shrinkToFit="0" vertical="bottom" wrapText="0"/>
    </xf>
    <xf borderId="13" fillId="0" fontId="11" numFmtId="0" xfId="0" applyAlignment="1" applyBorder="1" applyFont="1">
      <alignment horizontal="center" readingOrder="0" shrinkToFit="0" vertical="center" wrapText="1"/>
    </xf>
    <xf borderId="13" fillId="0" fontId="10" numFmtId="15" xfId="0" applyAlignment="1" applyBorder="1" applyFont="1" applyNumberFormat="1">
      <alignment horizontal="center" readingOrder="0" shrinkToFit="0" vertical="center" wrapText="1"/>
    </xf>
    <xf borderId="13" fillId="0" fontId="10" numFmtId="167" xfId="0" applyAlignment="1" applyBorder="1" applyFont="1" applyNumberFormat="1">
      <alignment horizontal="left" readingOrder="0" shrinkToFit="0" vertical="center" wrapText="0"/>
    </xf>
    <xf borderId="13" fillId="0" fontId="10" numFmtId="4" xfId="0" applyAlignment="1" applyBorder="1" applyFont="1" applyNumberFormat="1">
      <alignment horizontal="right" readingOrder="0" shrinkToFit="0" vertical="center" wrapText="0"/>
    </xf>
    <xf borderId="13" fillId="0" fontId="11" numFmtId="15" xfId="0" applyAlignment="1" applyBorder="1" applyFont="1" applyNumberFormat="1">
      <alignment horizontal="center" readingOrder="0" shrinkToFit="0" vertical="center" wrapText="1"/>
    </xf>
    <xf borderId="15" fillId="0" fontId="10" numFmtId="167" xfId="0" applyAlignment="1" applyBorder="1" applyFont="1" applyNumberFormat="1">
      <alignment horizontal="left" readingOrder="0" shrinkToFit="0" vertical="center" wrapText="1"/>
    </xf>
    <xf borderId="13" fillId="0" fontId="10" numFmtId="0" xfId="0" applyAlignment="1" applyBorder="1" applyFont="1">
      <alignment horizontal="left" readingOrder="0" shrinkToFit="0" vertical="center" wrapText="1"/>
    </xf>
    <xf borderId="13" fillId="0" fontId="10" numFmtId="167" xfId="0" applyAlignment="1" applyBorder="1" applyFont="1" applyNumberFormat="1">
      <alignment horizontal="left" readingOrder="0" shrinkToFit="0" vertical="bottom" wrapText="0"/>
    </xf>
    <xf borderId="13" fillId="0" fontId="10" numFmtId="165" xfId="0" applyAlignment="1" applyBorder="1" applyFont="1" applyNumberFormat="1">
      <alignment horizontal="left" shrinkToFit="0" vertical="center" wrapText="1"/>
    </xf>
    <xf borderId="13" fillId="0" fontId="10" numFmtId="0" xfId="0" applyAlignment="1" applyBorder="1" applyFont="1">
      <alignment horizontal="center" readingOrder="0" shrinkToFit="0" vertical="center" wrapText="1"/>
    </xf>
    <xf borderId="13" fillId="0" fontId="10" numFmtId="164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13" fillId="0" fontId="10" numFmtId="167" xfId="0" applyAlignment="1" applyBorder="1" applyFont="1" applyNumberFormat="1">
      <alignment horizontal="left" readingOrder="0" shrinkToFit="0" vertical="center" wrapText="1"/>
    </xf>
    <xf borderId="17" fillId="0" fontId="10" numFmtId="167" xfId="0" applyAlignment="1" applyBorder="1" applyFont="1" applyNumberFormat="1">
      <alignment horizontal="left" readingOrder="0" shrinkToFit="0" vertical="bottom" wrapText="0"/>
    </xf>
    <xf borderId="13" fillId="0" fontId="10" numFmtId="15" xfId="0" applyAlignment="1" applyBorder="1" applyFont="1" applyNumberFormat="1">
      <alignment horizontal="center" readingOrder="0" shrinkToFit="0" vertical="bottom" wrapText="0"/>
    </xf>
    <xf borderId="13" fillId="0" fontId="10" numFmtId="164" xfId="0" applyAlignment="1" applyBorder="1" applyFont="1" applyNumberFormat="1">
      <alignment horizontal="center" readingOrder="0" shrinkToFit="0" vertical="bottom" wrapText="0"/>
    </xf>
    <xf borderId="17" fillId="0" fontId="11" numFmtId="15" xfId="0" applyAlignment="1" applyBorder="1" applyFont="1" applyNumberFormat="1">
      <alignment horizontal="center" readingOrder="0" shrinkToFit="0" vertical="center" wrapText="1"/>
    </xf>
    <xf borderId="17" fillId="0" fontId="11" numFmtId="164" xfId="0" applyAlignment="1" applyBorder="1" applyFont="1" applyNumberFormat="1">
      <alignment horizontal="center" readingOrder="0" shrinkToFit="0" vertical="center" wrapText="1"/>
    </xf>
    <xf borderId="13" fillId="0" fontId="10" numFmtId="167" xfId="0" applyAlignment="1" applyBorder="1" applyFont="1" applyNumberFormat="1">
      <alignment horizontal="left" readingOrder="0" shrinkToFit="0" vertical="center" wrapText="0"/>
    </xf>
    <xf borderId="13" fillId="0" fontId="12" numFmtId="0" xfId="0" applyAlignment="1" applyBorder="1" applyFont="1">
      <alignment horizontal="center" readingOrder="0" shrinkToFit="0" vertical="center" wrapText="0"/>
    </xf>
    <xf borderId="13" fillId="0" fontId="9" numFmtId="0" xfId="0" applyAlignment="1" applyBorder="1" applyFont="1">
      <alignment horizontal="center" shrinkToFit="0" vertical="center" wrapText="1"/>
    </xf>
    <xf borderId="13" fillId="0" fontId="9" numFmtId="168" xfId="0" applyAlignment="1" applyBorder="1" applyFont="1" applyNumberFormat="1">
      <alignment horizontal="center" shrinkToFit="0" vertical="center" wrapText="1"/>
    </xf>
    <xf borderId="13" fillId="0" fontId="9" numFmtId="15" xfId="0" applyAlignment="1" applyBorder="1" applyFont="1" applyNumberFormat="1">
      <alignment horizontal="center" shrinkToFit="0" vertical="center" wrapText="1"/>
    </xf>
    <xf borderId="13" fillId="0" fontId="12" numFmtId="0" xfId="0" applyAlignment="1" applyBorder="1" applyFont="1">
      <alignment horizontal="left" shrinkToFit="0" vertical="center" wrapText="1"/>
    </xf>
    <xf borderId="13" fillId="0" fontId="9" numFmtId="0" xfId="0" applyAlignment="1" applyBorder="1" applyFont="1">
      <alignment horizontal="left" shrinkToFit="0" vertical="center" wrapText="1"/>
    </xf>
    <xf borderId="13" fillId="0" fontId="9" numFmtId="169" xfId="0" applyAlignment="1" applyBorder="1" applyFont="1" applyNumberFormat="1">
      <alignment horizontal="right" shrinkToFit="0" vertical="center" wrapText="1"/>
    </xf>
    <xf borderId="13" fillId="0" fontId="9" numFmtId="165" xfId="0" applyAlignment="1" applyBorder="1" applyFont="1" applyNumberFormat="1">
      <alignment horizontal="right" shrinkToFit="0" vertical="center" wrapText="0"/>
    </xf>
    <xf borderId="13" fillId="0" fontId="9" numFmtId="165" xfId="0" applyAlignment="1" applyBorder="1" applyFont="1" applyNumberFormat="1">
      <alignment horizontal="right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3" fillId="0" fontId="9" numFmtId="167" xfId="0" applyAlignment="1" applyBorder="1" applyFont="1" applyNumberFormat="1">
      <alignment horizontal="left" readingOrder="0" shrinkToFit="0" vertical="center" wrapText="1"/>
    </xf>
    <xf borderId="13" fillId="0" fontId="9" numFmtId="0" xfId="0" applyAlignment="1" applyBorder="1" applyFont="1">
      <alignment horizontal="left" shrinkToFit="0" vertical="center" wrapText="1"/>
    </xf>
    <xf borderId="13" fillId="0" fontId="9" numFmtId="0" xfId="0" applyAlignment="1" applyBorder="1" applyFont="1">
      <alignment horizontal="left" shrinkToFit="0" vertical="center" wrapText="1"/>
    </xf>
    <xf borderId="13" fillId="0" fontId="9" numFmtId="0" xfId="0" applyAlignment="1" applyBorder="1" applyFont="1">
      <alignment horizontal="left" readingOrder="0" shrinkToFit="0" vertical="center" wrapText="1"/>
    </xf>
    <xf borderId="13" fillId="0" fontId="9" numFmtId="164" xfId="0" applyAlignment="1" applyBorder="1" applyFont="1" applyNumberFormat="1">
      <alignment horizontal="left" shrinkToFit="0" vertical="center" wrapText="1"/>
    </xf>
    <xf borderId="16" fillId="0" fontId="9" numFmtId="0" xfId="0" applyAlignment="1" applyBorder="1" applyFont="1">
      <alignment horizontal="left" shrinkToFit="0" vertical="center" wrapText="1"/>
    </xf>
    <xf borderId="16" fillId="0" fontId="9" numFmtId="0" xfId="0" applyAlignment="1" applyBorder="1" applyFont="1">
      <alignment horizontal="left" readingOrder="0" shrinkToFit="0" vertical="center" wrapText="1"/>
    </xf>
    <xf borderId="14" fillId="0" fontId="9" numFmtId="0" xfId="0" applyAlignment="1" applyBorder="1" applyFont="1">
      <alignment horizontal="right" shrinkToFit="0" vertical="center" wrapText="1"/>
    </xf>
    <xf borderId="0" fillId="0" fontId="9" numFmtId="0" xfId="0" applyAlignment="1" applyFont="1">
      <alignment horizontal="left" shrinkToFit="0" vertical="center" wrapText="1"/>
    </xf>
    <xf borderId="16" fillId="0" fontId="9" numFmtId="4" xfId="0" applyAlignment="1" applyBorder="1" applyFont="1" applyNumberFormat="1">
      <alignment horizontal="right" readingOrder="0" shrinkToFit="0" vertical="center" wrapText="0"/>
    </xf>
    <xf borderId="13" fillId="0" fontId="14" numFmtId="0" xfId="0" applyAlignment="1" applyBorder="1" applyFont="1">
      <alignment horizontal="left" shrinkToFit="0" vertical="center" wrapText="1"/>
    </xf>
    <xf borderId="13" fillId="0" fontId="14" numFmtId="164" xfId="0" applyAlignment="1" applyBorder="1" applyFont="1" applyNumberFormat="1">
      <alignment horizontal="left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6" fillId="0" fontId="14" numFmtId="0" xfId="0" applyAlignment="1" applyBorder="1" applyFont="1">
      <alignment horizontal="left" shrinkToFit="0" vertical="center" wrapText="1"/>
    </xf>
    <xf borderId="16" fillId="0" fontId="6" numFmtId="4" xfId="0" applyAlignment="1" applyBorder="1" applyFont="1" applyNumberFormat="1">
      <alignment horizontal="right" shrinkToFit="0" vertical="center" wrapText="0"/>
    </xf>
    <xf borderId="14" fillId="0" fontId="14" numFmtId="0" xfId="0" applyAlignment="1" applyBorder="1" applyFont="1">
      <alignment horizontal="right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7" numFmtId="164" xfId="0" applyAlignment="1" applyFont="1" applyNumberFormat="1">
      <alignment horizontal="left" shrinkToFit="0" vertical="center" wrapText="1"/>
    </xf>
    <xf borderId="0" fillId="0" fontId="9" numFmtId="4" xfId="0" applyAlignment="1" applyFont="1" applyNumberFormat="1">
      <alignment horizontal="left" shrinkToFit="0" vertical="center" wrapText="1"/>
    </xf>
    <xf borderId="0" fillId="0" fontId="9" numFmtId="0" xfId="0" applyAlignment="1" applyFont="1">
      <alignment horizontal="right" shrinkToFit="0" vertical="center" wrapText="1"/>
    </xf>
    <xf borderId="19" fillId="2" fontId="1" numFmtId="0" xfId="0" applyAlignment="1" applyBorder="1" applyFont="1">
      <alignment horizontal="center" shrinkToFit="0" vertical="center" wrapText="0"/>
    </xf>
    <xf borderId="20" fillId="0" fontId="2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3" fillId="2" fontId="3" numFmtId="0" xfId="0" applyAlignment="1" applyBorder="1" applyFont="1">
      <alignment horizontal="left" shrinkToFit="0" vertical="center" wrapText="1"/>
    </xf>
    <xf borderId="22" fillId="2" fontId="3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  <xf borderId="13" fillId="2" fontId="3" numFmtId="0" xfId="0" applyAlignment="1" applyBorder="1" applyFont="1">
      <alignment horizontal="center" shrinkToFit="0" vertical="center" wrapText="1"/>
    </xf>
    <xf borderId="13" fillId="2" fontId="3" numFmtId="0" xfId="0" applyAlignment="1" applyBorder="1" applyFont="1">
      <alignment horizontal="left" shrinkToFit="0" vertical="center" wrapText="1"/>
    </xf>
    <xf borderId="25" fillId="0" fontId="2" numFmtId="0" xfId="0" applyAlignment="1" applyBorder="1" applyFont="1">
      <alignment horizontal="left" shrinkToFit="0" vertical="center" wrapText="1"/>
    </xf>
    <xf borderId="13" fillId="3" fontId="5" numFmtId="0" xfId="0" applyAlignment="1" applyBorder="1" applyFont="1">
      <alignment horizontal="left" shrinkToFit="0" vertical="center" wrapText="0"/>
    </xf>
    <xf borderId="13" fillId="3" fontId="5" numFmtId="0" xfId="0" applyAlignment="1" applyBorder="1" applyFont="1">
      <alignment horizontal="left" shrinkToFit="0" vertical="bottom" wrapText="0"/>
    </xf>
    <xf borderId="22" fillId="3" fontId="5" numFmtId="0" xfId="0" applyAlignment="1" applyBorder="1" applyFont="1">
      <alignment horizontal="left" shrinkToFit="0" vertical="bottom" wrapText="0"/>
    </xf>
    <xf borderId="13" fillId="0" fontId="7" numFmtId="0" xfId="0" applyAlignment="1" applyBorder="1" applyFont="1">
      <alignment horizontal="left" shrinkToFit="0" vertical="center" wrapText="1"/>
    </xf>
    <xf borderId="26" fillId="0" fontId="2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left" shrinkToFit="0" vertical="center" wrapText="1"/>
    </xf>
    <xf borderId="13" fillId="3" fontId="6" numFmtId="40" xfId="0" applyAlignment="1" applyBorder="1" applyFont="1" applyNumberFormat="1">
      <alignment horizontal="left" shrinkToFit="0" vertical="center" wrapText="0"/>
    </xf>
    <xf borderId="13" fillId="3" fontId="15" numFmtId="0" xfId="0" applyAlignment="1" applyBorder="1" applyFont="1">
      <alignment horizontal="right" readingOrder="0" shrinkToFit="0" vertical="bottom" wrapText="0"/>
    </xf>
    <xf borderId="13" fillId="3" fontId="6" numFmtId="40" xfId="0" applyAlignment="1" applyBorder="1" applyFont="1" applyNumberFormat="1">
      <alignment horizontal="left" shrinkToFit="0" vertical="top" wrapText="0"/>
    </xf>
    <xf borderId="22" fillId="3" fontId="6" numFmtId="40" xfId="0" applyAlignment="1" applyBorder="1" applyFont="1" applyNumberFormat="1">
      <alignment horizontal="left" shrinkToFit="0" vertical="top" wrapText="0"/>
    </xf>
    <xf borderId="13" fillId="0" fontId="9" numFmtId="0" xfId="0" applyAlignment="1" applyBorder="1" applyFont="1">
      <alignment horizontal="center" shrinkToFit="0" vertical="center" wrapText="1"/>
    </xf>
    <xf borderId="14" fillId="0" fontId="10" numFmtId="15" xfId="0" applyAlignment="1" applyBorder="1" applyFont="1" applyNumberFormat="1">
      <alignment horizontal="center" readingOrder="0" shrinkToFit="0" vertical="center" wrapText="0"/>
    </xf>
    <xf borderId="14" fillId="0" fontId="10" numFmtId="166" xfId="0" applyAlignment="1" applyBorder="1" applyFont="1" applyNumberFormat="1">
      <alignment horizontal="left" readingOrder="0" shrinkToFit="0" vertical="center" wrapText="0"/>
    </xf>
    <xf borderId="13" fillId="0" fontId="10" numFmtId="1" xfId="0" applyAlignment="1" applyBorder="1" applyFont="1" applyNumberFormat="1">
      <alignment horizontal="center" readingOrder="0" shrinkToFit="0" vertical="bottom" wrapText="0"/>
    </xf>
    <xf borderId="13" fillId="0" fontId="10" numFmtId="165" xfId="0" applyAlignment="1" applyBorder="1" applyFont="1" applyNumberFormat="1">
      <alignment horizontal="center" readingOrder="0" shrinkToFit="0" vertical="bottom" wrapText="0"/>
    </xf>
    <xf borderId="13" fillId="5" fontId="10" numFmtId="0" xfId="0" applyAlignment="1" applyBorder="1" applyFill="1" applyFont="1">
      <alignment horizontal="left" readingOrder="0" shrinkToFit="0" vertical="bottom" wrapText="0"/>
    </xf>
    <xf borderId="13" fillId="6" fontId="16" numFmtId="0" xfId="0" applyAlignment="1" applyBorder="1" applyFill="1" applyFont="1">
      <alignment horizontal="center" readingOrder="0" shrinkToFit="0" vertical="center" wrapText="0"/>
    </xf>
    <xf borderId="13" fillId="0" fontId="10" numFmtId="170" xfId="0" applyAlignment="1" applyBorder="1" applyFont="1" applyNumberFormat="1">
      <alignment horizontal="center" readingOrder="0" shrinkToFit="0" vertical="center" wrapText="0"/>
    </xf>
    <xf borderId="13" fillId="0" fontId="10" numFmtId="0" xfId="0" applyAlignment="1" applyBorder="1" applyFont="1">
      <alignment horizontal="left" readingOrder="0" shrinkToFit="0" vertical="center" wrapText="0"/>
    </xf>
    <xf borderId="13" fillId="0" fontId="10" numFmtId="1" xfId="0" applyAlignment="1" applyBorder="1" applyFont="1" applyNumberFormat="1">
      <alignment horizontal="center" shrinkToFit="0" vertical="bottom" wrapText="0"/>
    </xf>
    <xf borderId="13" fillId="0" fontId="10" numFmtId="165" xfId="0" applyAlignment="1" applyBorder="1" applyFont="1" applyNumberFormat="1">
      <alignment horizontal="center" shrinkToFit="0" vertical="bottom" wrapText="0"/>
    </xf>
    <xf borderId="13" fillId="0" fontId="10" numFmtId="166" xfId="0" applyAlignment="1" applyBorder="1" applyFont="1" applyNumberFormat="1">
      <alignment horizontal="left" readingOrder="0" shrinkToFit="0" vertical="center" wrapText="0"/>
    </xf>
    <xf borderId="13" fillId="0" fontId="10" numFmtId="1" xfId="0" applyAlignment="1" applyBorder="1" applyFont="1" applyNumberFormat="1">
      <alignment horizontal="center" readingOrder="0" shrinkToFit="0" vertical="center" wrapText="0"/>
    </xf>
    <xf borderId="13" fillId="0" fontId="10" numFmtId="165" xfId="0" applyAlignment="1" applyBorder="1" applyFont="1" applyNumberFormat="1">
      <alignment horizontal="left" readingOrder="0" shrinkToFit="0" vertical="center" wrapText="1"/>
    </xf>
    <xf borderId="13" fillId="0" fontId="17" numFmtId="4" xfId="0" applyAlignment="1" applyBorder="1" applyFont="1" applyNumberFormat="1">
      <alignment horizontal="right" readingOrder="0" shrinkToFit="0" vertical="center" wrapText="0"/>
    </xf>
    <xf borderId="14" fillId="0" fontId="10" numFmtId="166" xfId="0" applyAlignment="1" applyBorder="1" applyFont="1" applyNumberFormat="1">
      <alignment horizontal="center" readingOrder="0" shrinkToFit="0" vertical="center" wrapText="0"/>
    </xf>
    <xf borderId="13" fillId="5" fontId="11" numFmtId="0" xfId="0" applyAlignment="1" applyBorder="1" applyFont="1">
      <alignment horizontal="left" readingOrder="0" shrinkToFit="0" vertical="center" wrapText="1"/>
    </xf>
    <xf borderId="13" fillId="5" fontId="10" numFmtId="1" xfId="0" applyAlignment="1" applyBorder="1" applyFont="1" applyNumberFormat="1">
      <alignment horizontal="center" readingOrder="0" shrinkToFit="0" vertical="bottom" wrapText="0"/>
    </xf>
    <xf borderId="13" fillId="5" fontId="10" numFmtId="0" xfId="0" applyAlignment="1" applyBorder="1" applyFont="1">
      <alignment horizontal="center" readingOrder="0" shrinkToFit="0" vertical="bottom" wrapText="0"/>
    </xf>
    <xf borderId="14" fillId="0" fontId="10" numFmtId="15" xfId="0" applyAlignment="1" applyBorder="1" applyFont="1" applyNumberFormat="1">
      <alignment horizontal="center" readingOrder="0" shrinkToFit="0" vertical="center" wrapText="1"/>
    </xf>
    <xf borderId="14" fillId="0" fontId="10" numFmtId="0" xfId="0" applyAlignment="1" applyBorder="1" applyFont="1">
      <alignment horizontal="center" readingOrder="0" shrinkToFit="0" vertical="center" wrapText="1"/>
    </xf>
    <xf borderId="13" fillId="0" fontId="10" numFmtId="4" xfId="0" applyAlignment="1" applyBorder="1" applyFont="1" applyNumberFormat="1">
      <alignment horizontal="center" readingOrder="0" shrinkToFit="0" vertical="bottom" wrapText="0"/>
    </xf>
    <xf borderId="14" fillId="0" fontId="10" numFmtId="170" xfId="0" applyAlignment="1" applyBorder="1" applyFont="1" applyNumberFormat="1">
      <alignment horizontal="center" readingOrder="0" shrinkToFit="0" vertical="center" wrapText="0"/>
    </xf>
    <xf borderId="14" fillId="0" fontId="10" numFmtId="171" xfId="0" applyAlignment="1" applyBorder="1" applyFont="1" applyNumberFormat="1">
      <alignment horizontal="left" readingOrder="0" shrinkToFit="0" vertical="center" wrapText="0"/>
    </xf>
    <xf borderId="13" fillId="4" fontId="10" numFmtId="0" xfId="0" applyAlignment="1" applyBorder="1" applyFont="1">
      <alignment horizontal="left" readingOrder="0" shrinkToFit="0" vertical="bottom" wrapText="0"/>
    </xf>
    <xf borderId="14" fillId="0" fontId="10" numFmtId="170" xfId="0" applyAlignment="1" applyBorder="1" applyFont="1" applyNumberFormat="1">
      <alignment horizontal="center" readingOrder="0" shrinkToFit="0" vertical="center" wrapText="1"/>
    </xf>
    <xf borderId="14" fillId="0" fontId="11" numFmtId="0" xfId="0" applyAlignment="1" applyBorder="1" applyFont="1">
      <alignment horizontal="center" readingOrder="0" shrinkToFit="0" vertical="center" wrapText="1"/>
    </xf>
    <xf borderId="14" fillId="0" fontId="11" numFmtId="15" xfId="0" applyAlignment="1" applyBorder="1" applyFont="1" applyNumberFormat="1">
      <alignment horizontal="center" readingOrder="0" shrinkToFit="0" vertical="center" wrapText="1"/>
    </xf>
    <xf borderId="14" fillId="0" fontId="10" numFmtId="167" xfId="0" applyAlignment="1" applyBorder="1" applyFont="1" applyNumberFormat="1">
      <alignment horizontal="left" readingOrder="0" shrinkToFit="0" vertical="center" wrapText="0"/>
    </xf>
    <xf borderId="13" fillId="0" fontId="6" numFmtId="0" xfId="0" applyAlignment="1" applyBorder="1" applyFont="1">
      <alignment horizontal="left" shrinkToFit="0" vertical="center" wrapText="1"/>
    </xf>
    <xf borderId="13" fillId="0" fontId="6" numFmtId="165" xfId="0" applyAlignment="1" applyBorder="1" applyFont="1" applyNumberFormat="1">
      <alignment horizontal="right" shrinkToFit="0" vertical="center" wrapText="0"/>
    </xf>
    <xf borderId="13" fillId="0" fontId="18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19" fillId="2" fontId="19" numFmtId="0" xfId="0" applyAlignment="1" applyBorder="1" applyFont="1">
      <alignment horizontal="center" shrinkToFit="0" vertical="center" wrapText="0"/>
    </xf>
    <xf borderId="19" fillId="2" fontId="19" numFmtId="168" xfId="0" applyAlignment="1" applyBorder="1" applyFont="1" applyNumberFormat="1">
      <alignment horizontal="center" shrinkToFit="0" vertical="center" wrapText="1"/>
    </xf>
    <xf borderId="13" fillId="2" fontId="19" numFmtId="0" xfId="0" applyAlignment="1" applyBorder="1" applyFont="1">
      <alignment horizontal="center" shrinkToFit="0" vertical="center" wrapText="1"/>
    </xf>
    <xf borderId="22" fillId="2" fontId="19" numFmtId="0" xfId="0" applyAlignment="1" applyBorder="1" applyFont="1">
      <alignment horizontal="center" shrinkToFit="0" vertical="center" wrapText="1"/>
    </xf>
    <xf borderId="13" fillId="2" fontId="19" numFmtId="0" xfId="0" applyAlignment="1" applyBorder="1" applyFont="1">
      <alignment horizontal="right" shrinkToFit="0" vertical="center" wrapText="1"/>
    </xf>
    <xf borderId="13" fillId="2" fontId="19" numFmtId="0" xfId="0" applyAlignment="1" applyBorder="1" applyFont="1">
      <alignment horizontal="left" shrinkToFit="0" vertical="center" wrapText="1"/>
    </xf>
    <xf borderId="13" fillId="3" fontId="8" numFmtId="0" xfId="0" applyAlignment="1" applyBorder="1" applyFont="1">
      <alignment horizontal="left" shrinkToFit="0" vertical="center" wrapText="0"/>
    </xf>
    <xf borderId="13" fillId="3" fontId="8" numFmtId="0" xfId="0" applyAlignment="1" applyBorder="1" applyFont="1">
      <alignment horizontal="left" shrinkToFit="0" vertical="bottom" wrapText="0"/>
    </xf>
    <xf borderId="13" fillId="3" fontId="8" numFmtId="0" xfId="0" applyAlignment="1" applyBorder="1" applyFont="1">
      <alignment horizontal="center" shrinkToFit="0" vertical="bottom" wrapText="0"/>
    </xf>
    <xf borderId="22" fillId="3" fontId="8" numFmtId="0" xfId="0" applyAlignment="1" applyBorder="1" applyFont="1">
      <alignment horizontal="center" shrinkToFit="0" vertical="bottom" wrapText="0"/>
    </xf>
    <xf borderId="23" fillId="0" fontId="8" numFmtId="0" xfId="0" applyAlignment="1" applyBorder="1" applyFont="1">
      <alignment horizontal="right" shrinkToFit="0" vertical="bottom" wrapText="0"/>
    </xf>
    <xf borderId="24" fillId="0" fontId="8" numFmtId="0" xfId="0" applyAlignment="1" applyBorder="1" applyFont="1">
      <alignment horizontal="left" shrinkToFit="0" vertical="bottom" wrapText="0"/>
    </xf>
    <xf borderId="13" fillId="3" fontId="20" numFmtId="40" xfId="0" applyAlignment="1" applyBorder="1" applyFont="1" applyNumberFormat="1">
      <alignment horizontal="left" shrinkToFit="0" vertical="center" wrapText="0"/>
    </xf>
    <xf borderId="13" fillId="3" fontId="20" numFmtId="40" xfId="0" applyAlignment="1" applyBorder="1" applyFont="1" applyNumberFormat="1">
      <alignment horizontal="left" readingOrder="0" shrinkToFit="0" vertical="top" wrapText="0"/>
    </xf>
    <xf borderId="13" fillId="3" fontId="20" numFmtId="40" xfId="0" applyAlignment="1" applyBorder="1" applyFont="1" applyNumberFormat="1">
      <alignment horizontal="left" shrinkToFit="0" vertical="top" wrapText="0"/>
    </xf>
    <xf borderId="13" fillId="3" fontId="20" numFmtId="40" xfId="0" applyAlignment="1" applyBorder="1" applyFont="1" applyNumberFormat="1">
      <alignment horizontal="center" shrinkToFit="0" vertical="top" wrapText="0"/>
    </xf>
    <xf borderId="22" fillId="3" fontId="20" numFmtId="40" xfId="0" applyAlignment="1" applyBorder="1" applyFont="1" applyNumberFormat="1">
      <alignment horizontal="center" shrinkToFit="0" vertical="top" wrapText="0"/>
    </xf>
    <xf borderId="13" fillId="0" fontId="20" numFmtId="40" xfId="0" applyAlignment="1" applyBorder="1" applyFont="1" applyNumberFormat="1">
      <alignment horizontal="right" shrinkToFit="0" vertical="top" wrapText="0"/>
    </xf>
    <xf borderId="13" fillId="0" fontId="21" numFmtId="0" xfId="0" applyAlignment="1" applyBorder="1" applyFont="1">
      <alignment horizontal="left" shrinkToFit="0" vertical="center" wrapText="1"/>
    </xf>
    <xf borderId="13" fillId="0" fontId="8" numFmtId="168" xfId="0" applyAlignment="1" applyBorder="1" applyFont="1" applyNumberForma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0"/>
    </xf>
    <xf borderId="13" fillId="0" fontId="8" numFmtId="169" xfId="0" applyAlignment="1" applyBorder="1" applyFont="1" applyNumberFormat="1">
      <alignment horizontal="right" shrinkToFit="0" vertical="bottom" wrapText="0"/>
    </xf>
    <xf borderId="13" fillId="0" fontId="8" numFmtId="0" xfId="0" applyAlignment="1" applyBorder="1" applyFont="1">
      <alignment horizontal="right" shrinkToFit="0" vertical="bottom" wrapText="0"/>
    </xf>
    <xf borderId="13" fillId="0" fontId="8" numFmtId="0" xfId="0" applyAlignment="1" applyBorder="1" applyFont="1">
      <alignment horizontal="center" readingOrder="0" shrinkToFit="0" vertical="bottom" wrapText="0"/>
    </xf>
    <xf borderId="13" fillId="0" fontId="10" numFmtId="0" xfId="0" applyAlignment="1" applyBorder="1" applyFont="1">
      <alignment horizontal="center" readingOrder="0" shrinkToFit="0" vertical="center" wrapText="1"/>
    </xf>
    <xf borderId="13" fillId="0" fontId="10" numFmtId="168" xfId="0" applyAlignment="1" applyBorder="1" applyFont="1" applyNumberFormat="1">
      <alignment horizontal="center" readingOrder="0" shrinkToFit="0" vertical="center" wrapText="0"/>
    </xf>
    <xf borderId="13" fillId="0" fontId="10" numFmtId="169" xfId="0" applyAlignment="1" applyBorder="1" applyFont="1" applyNumberFormat="1">
      <alignment horizontal="right" readingOrder="0" shrinkToFit="0" vertical="bottom" wrapText="0"/>
    </xf>
    <xf borderId="13" fillId="0" fontId="10" numFmtId="0" xfId="0" applyAlignment="1" applyBorder="1" applyFont="1">
      <alignment horizontal="left" shrinkToFit="0" vertical="center" wrapText="1"/>
    </xf>
    <xf borderId="15" fillId="0" fontId="10" numFmtId="0" xfId="0" applyAlignment="1" applyBorder="1" applyFont="1">
      <alignment horizontal="center" readingOrder="0" shrinkToFit="0" vertical="center" wrapText="1"/>
    </xf>
    <xf borderId="15" fillId="0" fontId="10" numFmtId="168" xfId="0" applyAlignment="1" applyBorder="1" applyFont="1" applyNumberFormat="1">
      <alignment horizontal="center" readingOrder="0" shrinkToFit="0" vertical="center" wrapText="0"/>
    </xf>
    <xf borderId="15" fillId="0" fontId="10" numFmtId="166" xfId="0" applyAlignment="1" applyBorder="1" applyFont="1" applyNumberFormat="1">
      <alignment horizontal="left" readingOrder="0" shrinkToFit="0" vertical="center" wrapText="0"/>
    </xf>
    <xf borderId="15" fillId="0" fontId="10" numFmtId="168" xfId="0" applyAlignment="1" applyBorder="1" applyFont="1" applyNumberFormat="1">
      <alignment horizontal="center" readingOrder="0" shrinkToFit="0" vertical="center" wrapText="1"/>
    </xf>
    <xf borderId="16" fillId="0" fontId="10" numFmtId="0" xfId="0" applyAlignment="1" applyBorder="1" applyFont="1">
      <alignment horizontal="left" readingOrder="0" shrinkToFit="0" vertical="center" wrapText="0"/>
    </xf>
    <xf borderId="14" fillId="6" fontId="16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readingOrder="0" shrinkToFit="0" vertical="bottom" wrapText="1"/>
    </xf>
    <xf borderId="13" fillId="0" fontId="10" numFmtId="168" xfId="0" applyAlignment="1" applyBorder="1" applyFont="1" applyNumberFormat="1">
      <alignment horizontal="center" readingOrder="0" shrinkToFit="0" vertical="bottom" wrapText="0"/>
    </xf>
    <xf borderId="13" fillId="0" fontId="10" numFmtId="165" xfId="0" applyAlignment="1" applyBorder="1" applyFont="1" applyNumberFormat="1">
      <alignment horizontal="right" readingOrder="0" shrinkToFit="0" vertical="center" wrapText="1"/>
    </xf>
    <xf borderId="16" fillId="0" fontId="10" numFmtId="166" xfId="0" applyAlignment="1" applyBorder="1" applyFont="1" applyNumberFormat="1">
      <alignment horizontal="left" readingOrder="0" shrinkToFit="0" vertical="center" wrapText="0"/>
    </xf>
    <xf borderId="13" fillId="0" fontId="10" numFmtId="165" xfId="0" applyAlignment="1" applyBorder="1" applyFont="1" applyNumberFormat="1">
      <alignment horizontal="right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13" fillId="6" fontId="16" numFmtId="0" xfId="0" applyAlignment="1" applyBorder="1" applyFont="1">
      <alignment horizontal="center" readingOrder="0" shrinkToFit="0" vertical="center" wrapText="1"/>
    </xf>
    <xf borderId="16" fillId="0" fontId="10" numFmtId="0" xfId="0" applyAlignment="1" applyBorder="1" applyFont="1">
      <alignment horizontal="center" readingOrder="0" shrinkToFit="0" vertical="center" wrapText="1"/>
    </xf>
    <xf borderId="13" fillId="0" fontId="10" numFmtId="169" xfId="0" applyAlignment="1" applyBorder="1" applyFont="1" applyNumberFormat="1">
      <alignment horizontal="right" readingOrder="0" shrinkToFit="0" vertical="center" wrapText="0"/>
    </xf>
    <xf borderId="0" fillId="0" fontId="10" numFmtId="0" xfId="0" applyAlignment="1" applyFont="1">
      <alignment horizontal="left" shrinkToFit="0" vertical="center" wrapText="1"/>
    </xf>
    <xf borderId="13" fillId="0" fontId="10" numFmtId="168" xfId="0" applyAlignment="1" applyBorder="1" applyFont="1" applyNumberFormat="1">
      <alignment horizontal="center" readingOrder="0" shrinkToFit="0" vertical="center" wrapText="1"/>
    </xf>
    <xf borderId="13" fillId="0" fontId="11" numFmtId="0" xfId="0" applyAlignment="1" applyBorder="1" applyFont="1">
      <alignment horizontal="center" readingOrder="0" shrinkToFit="0" vertical="center" wrapText="1"/>
    </xf>
    <xf borderId="13" fillId="0" fontId="11" numFmtId="168" xfId="0" applyAlignment="1" applyBorder="1" applyFont="1" applyNumberFormat="1">
      <alignment horizontal="center" readingOrder="0" shrinkToFit="0" vertical="center" wrapText="1"/>
    </xf>
    <xf borderId="15" fillId="0" fontId="11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readingOrder="0" shrinkToFit="0" vertical="center" wrapText="1"/>
    </xf>
    <xf borderId="15" fillId="0" fontId="11" numFmtId="168" xfId="0" applyAlignment="1" applyBorder="1" applyFont="1" applyNumberFormat="1">
      <alignment horizontal="center" readingOrder="0" shrinkToFit="0" vertical="center" wrapText="1"/>
    </xf>
    <xf borderId="15" fillId="0" fontId="10" numFmtId="172" xfId="0" applyAlignment="1" applyBorder="1" applyFont="1" applyNumberFormat="1">
      <alignment horizontal="left" readingOrder="0" shrinkToFit="0" vertical="center" wrapText="0"/>
    </xf>
    <xf borderId="13" fillId="0" fontId="22" numFmtId="0" xfId="0" applyAlignment="1" applyBorder="1" applyFont="1">
      <alignment horizontal="center" readingOrder="0" shrinkToFit="0" vertical="center" wrapText="1"/>
    </xf>
    <xf borderId="13" fillId="0" fontId="22" numFmtId="168" xfId="0" applyAlignment="1" applyBorder="1" applyFont="1" applyNumberFormat="1">
      <alignment horizontal="center" readingOrder="0" shrinkToFit="0" vertical="center" wrapText="1"/>
    </xf>
    <xf borderId="13" fillId="0" fontId="11" numFmtId="169" xfId="0" applyAlignment="1" applyBorder="1" applyFont="1" applyNumberFormat="1">
      <alignment horizontal="right" readingOrder="0" shrinkToFit="0" vertical="center" wrapText="0"/>
    </xf>
    <xf borderId="13" fillId="0" fontId="11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horizontal="left" readingOrder="0" shrinkToFit="0" vertical="center" wrapText="1"/>
    </xf>
    <xf borderId="16" fillId="0" fontId="10" numFmtId="167" xfId="0" applyAlignment="1" applyBorder="1" applyFont="1" applyNumberFormat="1">
      <alignment horizontal="left" readingOrder="0" shrinkToFit="0" vertical="center" wrapText="0"/>
    </xf>
    <xf borderId="20" fillId="0" fontId="11" numFmtId="0" xfId="0" applyAlignment="1" applyBorder="1" applyFont="1">
      <alignment horizontal="left" readingOrder="0" shrinkToFit="0" vertical="center" wrapText="1"/>
    </xf>
    <xf borderId="16" fillId="0" fontId="11" numFmtId="0" xfId="0" applyAlignment="1" applyBorder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shrinkToFit="0" vertical="center" wrapText="1"/>
    </xf>
    <xf borderId="15" fillId="0" fontId="22" numFmtId="0" xfId="0" applyAlignment="1" applyBorder="1" applyFont="1">
      <alignment horizontal="center" readingOrder="0" shrinkToFit="0" vertical="center" wrapText="1"/>
    </xf>
    <xf borderId="15" fillId="0" fontId="22" numFmtId="168" xfId="0" applyAlignment="1" applyBorder="1" applyFont="1" applyNumberFormat="1">
      <alignment horizontal="center" readingOrder="0" shrinkToFit="0" vertical="center" wrapText="1"/>
    </xf>
    <xf borderId="16" fillId="0" fontId="10" numFmtId="167" xfId="0" applyAlignment="1" applyBorder="1" applyFont="1" applyNumberFormat="1">
      <alignment horizontal="left" readingOrder="0" shrinkToFit="0" vertical="center" wrapText="1"/>
    </xf>
    <xf borderId="15" fillId="0" fontId="10" numFmtId="167" xfId="0" applyAlignment="1" applyBorder="1" applyFont="1" applyNumberFormat="1">
      <alignment horizontal="left" readingOrder="0" shrinkToFit="0" vertical="center" wrapText="1"/>
    </xf>
    <xf borderId="13" fillId="0" fontId="10" numFmtId="0" xfId="0" applyAlignment="1" applyBorder="1" applyFont="1">
      <alignment horizontal="left" readingOrder="0" shrinkToFit="0" vertical="bottom" wrapText="1"/>
    </xf>
    <xf borderId="13" fillId="5" fontId="10" numFmtId="0" xfId="0" applyAlignment="1" applyBorder="1" applyFont="1">
      <alignment horizontal="center" readingOrder="0" shrinkToFit="0" vertical="center" wrapText="0"/>
    </xf>
    <xf borderId="13" fillId="5" fontId="11" numFmtId="0" xfId="0" applyAlignment="1" applyBorder="1" applyFont="1">
      <alignment horizontal="center" readingOrder="0" shrinkToFit="0" vertical="center" wrapText="1"/>
    </xf>
    <xf borderId="13" fillId="5" fontId="10" numFmtId="168" xfId="0" applyAlignment="1" applyBorder="1" applyFont="1" applyNumberFormat="1">
      <alignment horizontal="center" readingOrder="0" shrinkToFit="0" vertical="center" wrapText="1"/>
    </xf>
    <xf borderId="13" fillId="5" fontId="11" numFmtId="168" xfId="0" applyAlignment="1" applyBorder="1" applyFont="1" applyNumberFormat="1">
      <alignment horizontal="center" readingOrder="0" shrinkToFit="0" vertical="center" wrapText="1"/>
    </xf>
    <xf borderId="13" fillId="5" fontId="11" numFmtId="0" xfId="0" applyAlignment="1" applyBorder="1" applyFont="1">
      <alignment horizontal="center" readingOrder="0" shrinkToFit="0" vertical="center" wrapText="1"/>
    </xf>
    <xf borderId="13" fillId="5" fontId="10" numFmtId="0" xfId="0" applyAlignment="1" applyBorder="1" applyFont="1">
      <alignment horizontal="left" readingOrder="0" shrinkToFit="0" vertical="center" wrapText="0"/>
    </xf>
    <xf borderId="13" fillId="5" fontId="10" numFmtId="169" xfId="0" applyAlignment="1" applyBorder="1" applyFont="1" applyNumberFormat="1">
      <alignment horizontal="right" readingOrder="0" shrinkToFit="0" vertical="bottom" wrapText="0"/>
    </xf>
    <xf borderId="13" fillId="0" fontId="10" numFmtId="0" xfId="0" applyAlignment="1" applyBorder="1" applyFont="1">
      <alignment horizontal="left" readingOrder="0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3" fillId="0" fontId="9" numFmtId="168" xfId="0" applyAlignment="1" applyBorder="1" applyFont="1" applyNumberFormat="1">
      <alignment horizontal="center" readingOrder="0" shrinkToFit="0" vertical="center" wrapText="1"/>
    </xf>
    <xf borderId="13" fillId="0" fontId="9" numFmtId="169" xfId="0" applyAlignment="1" applyBorder="1" applyFont="1" applyNumberFormat="1">
      <alignment horizontal="right" readingOrder="0" shrinkToFit="0" vertical="center" wrapText="1"/>
    </xf>
    <xf borderId="13" fillId="0" fontId="9" numFmtId="0" xfId="0" applyAlignment="1" applyBorder="1" applyFont="1">
      <alignment horizontal="right" readingOrder="0" shrinkToFit="0" vertical="center" wrapText="1"/>
    </xf>
    <xf borderId="13" fillId="0" fontId="10" numFmtId="167" xfId="0" applyAlignment="1" applyBorder="1" applyFont="1" applyNumberFormat="1">
      <alignment horizontal="left" readingOrder="0" shrinkToFit="0" vertical="center" wrapText="1"/>
    </xf>
    <xf borderId="13" fillId="0" fontId="10" numFmtId="169" xfId="0" applyAlignment="1" applyBorder="1" applyFont="1" applyNumberFormat="1">
      <alignment horizontal="right" readingOrder="0" shrinkToFit="0" vertical="center" wrapText="1"/>
    </xf>
    <xf borderId="13" fillId="0" fontId="11" numFmtId="0" xfId="0" applyAlignment="1" applyBorder="1" applyFont="1">
      <alignment horizontal="right" readingOrder="0" shrinkToFit="0" vertical="center" wrapText="1"/>
    </xf>
    <xf borderId="18" fillId="0" fontId="11" numFmtId="0" xfId="0" applyAlignment="1" applyBorder="1" applyFont="1">
      <alignment horizontal="center" readingOrder="0" shrinkToFit="0" vertical="center" wrapText="1"/>
    </xf>
    <xf borderId="18" fillId="0" fontId="11" numFmtId="168" xfId="0" applyAlignment="1" applyBorder="1" applyFont="1" applyNumberFormat="1">
      <alignment horizontal="center" readingOrder="0" shrinkToFit="0" vertical="center" wrapText="1"/>
    </xf>
    <xf borderId="20" fillId="0" fontId="11" numFmtId="0" xfId="0" applyAlignment="1" applyBorder="1" applyFont="1">
      <alignment horizontal="center" readingOrder="0" shrinkToFit="0" vertical="center" wrapText="1"/>
    </xf>
    <xf borderId="20" fillId="0" fontId="11" numFmtId="168" xfId="0" applyAlignment="1" applyBorder="1" applyFont="1" applyNumberFormat="1">
      <alignment horizontal="center" readingOrder="0" shrinkToFit="0" vertical="center" wrapText="1"/>
    </xf>
    <xf borderId="13" fillId="0" fontId="9" numFmtId="167" xfId="0" applyAlignment="1" applyBorder="1" applyFont="1" applyNumberFormat="1">
      <alignment horizontal="left" readingOrder="0" shrinkToFit="0" vertical="center" wrapText="1"/>
    </xf>
    <xf borderId="15" fillId="0" fontId="10" numFmtId="0" xfId="0" applyAlignment="1" applyBorder="1" applyFont="1">
      <alignment horizontal="center" readingOrder="0" shrinkToFit="0" vertical="bottom" wrapText="1"/>
    </xf>
    <xf borderId="15" fillId="0" fontId="10" numFmtId="168" xfId="0" applyAlignment="1" applyBorder="1" applyFont="1" applyNumberFormat="1">
      <alignment horizontal="center" readingOrder="0" shrinkToFit="0" vertical="bottom" wrapText="0"/>
    </xf>
    <xf borderId="15" fillId="0" fontId="10" numFmtId="0" xfId="0" applyAlignment="1" applyBorder="1" applyFont="1">
      <alignment horizontal="center" readingOrder="0" shrinkToFit="0" vertical="bottom" wrapText="0"/>
    </xf>
    <xf borderId="13" fillId="0" fontId="9" numFmtId="167" xfId="0" applyAlignment="1" applyBorder="1" applyFont="1" applyNumberFormat="1">
      <alignment horizontal="center" readingOrder="0" shrinkToFit="0" vertical="center" wrapText="1"/>
    </xf>
    <xf borderId="16" fillId="0" fontId="9" numFmtId="0" xfId="0" applyAlignment="1" applyBorder="1" applyFont="1">
      <alignment horizontal="center" readingOrder="0" shrinkToFit="0" vertical="center" wrapText="1"/>
    </xf>
    <xf borderId="16" fillId="0" fontId="9" numFmtId="168" xfId="0" applyAlignment="1" applyBorder="1" applyFont="1" applyNumberFormat="1">
      <alignment horizontal="center" readingOrder="0" shrinkToFit="0" vertical="center" wrapText="1"/>
    </xf>
    <xf borderId="13" fillId="0" fontId="9" numFmtId="166" xfId="0" applyAlignment="1" applyBorder="1" applyFont="1" applyNumberFormat="1">
      <alignment horizontal="center" readingOrder="0" shrinkToFit="0" vertical="center" wrapText="1"/>
    </xf>
    <xf borderId="14" fillId="0" fontId="9" numFmtId="0" xfId="0" applyAlignment="1" applyBorder="1" applyFont="1">
      <alignment horizontal="center" readingOrder="0" shrinkToFit="0" vertical="center" wrapText="1"/>
    </xf>
    <xf borderId="14" fillId="0" fontId="9" numFmtId="168" xfId="0" applyAlignment="1" applyBorder="1" applyFont="1" applyNumberFormat="1">
      <alignment horizontal="center" readingOrder="0" shrinkToFit="0" vertical="center" wrapText="1"/>
    </xf>
    <xf borderId="14" fillId="0" fontId="9" numFmtId="167" xfId="0" applyAlignment="1" applyBorder="1" applyFont="1" applyNumberFormat="1">
      <alignment horizontal="left" readingOrder="0" shrinkToFit="0" vertical="center" wrapText="1"/>
    </xf>
    <xf borderId="0" fillId="0" fontId="21" numFmtId="0" xfId="0" applyAlignment="1" applyFont="1">
      <alignment horizontal="left" shrinkToFit="0" vertical="center" wrapText="1"/>
    </xf>
    <xf borderId="13" fillId="0" fontId="9" numFmtId="168" xfId="0" applyAlignment="1" applyBorder="1" applyFont="1" applyNumberFormat="1">
      <alignment horizontal="center" shrinkToFit="0" vertical="center" wrapText="1"/>
    </xf>
    <xf borderId="13" fillId="0" fontId="20" numFmtId="0" xfId="0" applyAlignment="1" applyBorder="1" applyFont="1">
      <alignment horizontal="left" shrinkToFit="0" vertical="center" wrapText="1"/>
    </xf>
    <xf borderId="13" fillId="0" fontId="9" numFmtId="169" xfId="0" applyAlignment="1" applyBorder="1" applyFont="1" applyNumberFormat="1">
      <alignment horizontal="right" shrinkToFit="0" vertical="center" wrapText="1"/>
    </xf>
    <xf borderId="13" fillId="0" fontId="20" numFmtId="165" xfId="0" applyAlignment="1" applyBorder="1" applyFont="1" applyNumberFormat="1">
      <alignment horizontal="right" shrinkToFit="0" vertical="center" wrapText="0"/>
    </xf>
    <xf borderId="13" fillId="0" fontId="9" numFmtId="0" xfId="0" applyAlignment="1" applyBorder="1" applyFont="1">
      <alignment horizontal="right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9" numFmtId="168" xfId="0" applyAlignment="1" applyFont="1" applyNumberFormat="1">
      <alignment horizontal="center" shrinkToFit="0" vertical="center" wrapText="1"/>
    </xf>
    <xf borderId="0" fillId="0" fontId="20" numFmtId="0" xfId="0" applyAlignment="1" applyFont="1">
      <alignment horizontal="left" shrinkToFit="0" vertical="center" wrapText="1"/>
    </xf>
    <xf borderId="0" fillId="0" fontId="9" numFmtId="169" xfId="0" applyAlignment="1" applyFont="1" applyNumberFormat="1">
      <alignment horizontal="right" shrinkToFit="0" vertical="center" wrapText="1"/>
    </xf>
    <xf borderId="0" fillId="0" fontId="20" numFmtId="165" xfId="0" applyAlignment="1" applyFont="1" applyNumberFormat="1">
      <alignment horizontal="right" shrinkToFit="0" vertical="center" wrapText="0"/>
    </xf>
    <xf borderId="0" fillId="0" fontId="7" numFmtId="168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69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right" shrinkToFit="0" vertical="center" wrapText="1"/>
    </xf>
    <xf borderId="19" fillId="7" fontId="19" numFmtId="0" xfId="0" applyAlignment="1" applyBorder="1" applyFill="1" applyFont="1">
      <alignment horizontal="center" shrinkToFit="0" vertical="center" wrapText="0"/>
    </xf>
    <xf borderId="19" fillId="7" fontId="19" numFmtId="173" xfId="0" applyAlignment="1" applyBorder="1" applyFont="1" applyNumberFormat="1">
      <alignment horizontal="center" shrinkToFit="0" vertical="center" wrapText="0"/>
    </xf>
    <xf borderId="13" fillId="7" fontId="19" numFmtId="173" xfId="0" applyAlignment="1" applyBorder="1" applyFont="1" applyNumberFormat="1">
      <alignment horizontal="center" shrinkToFit="0" vertical="center" wrapText="0"/>
    </xf>
    <xf borderId="22" fillId="7" fontId="19" numFmtId="0" xfId="0" applyAlignment="1" applyBorder="1" applyFont="1">
      <alignment horizontal="center" shrinkToFit="0" vertical="center" wrapText="0"/>
    </xf>
    <xf borderId="13" fillId="7" fontId="12" numFmtId="0" xfId="0" applyAlignment="1" applyBorder="1" applyFont="1">
      <alignment horizontal="left" shrinkToFit="0" vertical="center" wrapText="0"/>
    </xf>
    <xf borderId="13" fillId="7" fontId="12" numFmtId="0" xfId="0" applyAlignment="1" applyBorder="1" applyFont="1">
      <alignment horizontal="left" shrinkToFit="0" vertical="center" wrapText="0"/>
    </xf>
    <xf borderId="0" fillId="0" fontId="12" numFmtId="0" xfId="0" applyAlignment="1" applyFont="1">
      <alignment horizontal="left" shrinkToFit="0" vertical="center" wrapText="0"/>
    </xf>
    <xf borderId="13" fillId="3" fontId="8" numFmtId="173" xfId="0" applyAlignment="1" applyBorder="1" applyFont="1" applyNumberFormat="1">
      <alignment horizontal="left" shrinkToFit="0" vertical="bottom" wrapText="0"/>
    </xf>
    <xf borderId="13" fillId="3" fontId="8" numFmtId="0" xfId="0" applyAlignment="1" applyBorder="1" applyFont="1">
      <alignment horizontal="left" shrinkToFit="0" vertical="bottom" wrapText="0"/>
    </xf>
    <xf borderId="13" fillId="3" fontId="12" numFmtId="0" xfId="0" applyAlignment="1" applyBorder="1" applyFont="1">
      <alignment horizontal="left" shrinkToFit="0" vertical="bottom" wrapText="0"/>
    </xf>
    <xf borderId="22" fillId="3" fontId="8" numFmtId="0" xfId="0" applyAlignment="1" applyBorder="1" applyFont="1">
      <alignment horizontal="center" shrinkToFit="0" vertical="bottom" wrapText="0"/>
    </xf>
    <xf borderId="13" fillId="0" fontId="12" numFmtId="0" xfId="0" applyAlignment="1" applyBorder="1" applyFont="1">
      <alignment horizontal="left" shrinkToFit="0" vertical="bottom" wrapText="0"/>
    </xf>
    <xf borderId="13" fillId="0" fontId="12" numFmtId="0" xfId="0" applyAlignment="1" applyBorder="1" applyFont="1">
      <alignment horizontal="left" shrinkToFit="0" vertical="bottom" wrapText="0"/>
    </xf>
    <xf borderId="13" fillId="3" fontId="20" numFmtId="173" xfId="0" applyAlignment="1" applyBorder="1" applyFont="1" applyNumberFormat="1">
      <alignment horizontal="left" readingOrder="0" shrinkToFit="0" vertical="top" wrapText="0"/>
    </xf>
    <xf borderId="13" fillId="3" fontId="20" numFmtId="40" xfId="0" applyAlignment="1" applyBorder="1" applyFont="1" applyNumberFormat="1">
      <alignment horizontal="left" readingOrder="0" shrinkToFit="0" vertical="top" wrapText="0"/>
    </xf>
    <xf borderId="13" fillId="3" fontId="20" numFmtId="40" xfId="0" applyAlignment="1" applyBorder="1" applyFont="1" applyNumberFormat="1">
      <alignment horizontal="left" shrinkToFit="0" vertical="top" wrapText="0"/>
    </xf>
    <xf borderId="13" fillId="3" fontId="12" numFmtId="40" xfId="0" applyAlignment="1" applyBorder="1" applyFont="1" applyNumberFormat="1">
      <alignment horizontal="left" shrinkToFit="0" vertical="top" wrapText="0"/>
    </xf>
    <xf borderId="13" fillId="0" fontId="12" numFmtId="40" xfId="0" applyAlignment="1" applyBorder="1" applyFont="1" applyNumberFormat="1">
      <alignment horizontal="left" shrinkToFit="0" vertical="top" wrapText="0"/>
    </xf>
    <xf borderId="13" fillId="0" fontId="12" numFmtId="0" xfId="0" applyAlignment="1" applyBorder="1" applyFont="1">
      <alignment horizontal="left" shrinkToFit="0" vertical="center" wrapText="0"/>
    </xf>
    <xf borderId="13" fillId="0" fontId="8" numFmtId="0" xfId="0" applyAlignment="1" applyBorder="1" applyFont="1">
      <alignment horizontal="center" shrinkToFit="0" vertical="center" wrapText="1"/>
    </xf>
    <xf borderId="13" fillId="0" fontId="8" numFmtId="173" xfId="0" applyAlignment="1" applyBorder="1" applyFont="1" applyNumberFormat="1">
      <alignment horizontal="center" shrinkToFit="0" vertical="center" wrapText="1"/>
    </xf>
    <xf borderId="13" fillId="0" fontId="8" numFmtId="168" xfId="0" applyAlignment="1" applyBorder="1" applyFont="1" applyNumberFormat="1">
      <alignment horizontal="center" shrinkToFit="0" vertical="center" wrapText="1"/>
    </xf>
    <xf borderId="13" fillId="0" fontId="8" numFmtId="173" xfId="0" applyAlignment="1" applyBorder="1" applyFont="1" applyNumberFormat="1">
      <alignment horizontal="center" readingOrder="0" shrinkToFit="0" vertical="center" wrapText="1"/>
    </xf>
    <xf borderId="13" fillId="0" fontId="8" numFmtId="169" xfId="0" applyAlignment="1" applyBorder="1" applyFont="1" applyNumberFormat="1">
      <alignment horizontal="right" shrinkToFit="0" vertical="center" wrapText="1"/>
    </xf>
    <xf borderId="13" fillId="0" fontId="8" numFmtId="0" xfId="0" applyAlignment="1" applyBorder="1" applyFont="1">
      <alignment horizontal="right" shrinkToFit="0" vertical="center" wrapText="1"/>
    </xf>
    <xf borderId="13" fillId="0" fontId="8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13" fillId="0" fontId="9" numFmtId="0" xfId="0" applyAlignment="1" applyBorder="1" applyFont="1">
      <alignment horizontal="center" shrinkToFit="0" vertical="center" wrapText="0"/>
    </xf>
    <xf borderId="13" fillId="0" fontId="9" numFmtId="173" xfId="0" applyAlignment="1" applyBorder="1" applyFont="1" applyNumberFormat="1">
      <alignment horizontal="center" shrinkToFit="0" vertical="center" wrapText="0"/>
    </xf>
    <xf borderId="13" fillId="0" fontId="9" numFmtId="168" xfId="0" applyAlignment="1" applyBorder="1" applyFont="1" applyNumberFormat="1">
      <alignment horizontal="center" shrinkToFit="0" vertical="center" wrapText="0"/>
    </xf>
    <xf borderId="13" fillId="0" fontId="9" numFmtId="173" xfId="0" applyAlignment="1" applyBorder="1" applyFont="1" applyNumberFormat="1">
      <alignment horizontal="left" readingOrder="0" shrinkToFit="0" vertical="center" wrapText="0"/>
    </xf>
    <xf borderId="13" fillId="0" fontId="9" numFmtId="0" xfId="0" applyAlignment="1" applyBorder="1" applyFont="1">
      <alignment horizontal="left" shrinkToFit="0" vertical="center" wrapText="0"/>
    </xf>
    <xf borderId="13" fillId="0" fontId="9" numFmtId="169" xfId="0" applyAlignment="1" applyBorder="1" applyFont="1" applyNumberFormat="1">
      <alignment horizontal="right" shrinkToFit="0" vertical="center" wrapText="0"/>
    </xf>
    <xf borderId="13" fillId="0" fontId="9" numFmtId="0" xfId="0" applyAlignment="1" applyBorder="1" applyFont="1">
      <alignment horizontal="left" shrinkToFit="0" vertical="center" wrapText="0"/>
    </xf>
    <xf borderId="13" fillId="8" fontId="9" numFmtId="0" xfId="0" applyAlignment="1" applyBorder="1" applyFill="1" applyFont="1">
      <alignment horizontal="center" shrinkToFit="0" vertical="center" wrapText="0"/>
    </xf>
    <xf borderId="14" fillId="0" fontId="12" numFmtId="0" xfId="0" applyAlignment="1" applyBorder="1" applyFont="1">
      <alignment horizontal="left" shrinkToFit="0" vertical="center" wrapText="0"/>
    </xf>
    <xf borderId="14" fillId="0" fontId="9" numFmtId="0" xfId="0" applyAlignment="1" applyBorder="1" applyFont="1">
      <alignment horizontal="center" shrinkToFit="0" vertical="center" wrapText="0"/>
    </xf>
    <xf borderId="14" fillId="0" fontId="9" numFmtId="173" xfId="0" applyAlignment="1" applyBorder="1" applyFont="1" applyNumberFormat="1">
      <alignment horizontal="center" shrinkToFit="0" vertical="center" wrapText="0"/>
    </xf>
    <xf borderId="14" fillId="0" fontId="9" numFmtId="168" xfId="0" applyAlignment="1" applyBorder="1" applyFont="1" applyNumberFormat="1">
      <alignment horizontal="center" shrinkToFit="0" vertical="center" wrapText="0"/>
    </xf>
    <xf borderId="13" fillId="0" fontId="9" numFmtId="173" xfId="0" applyAlignment="1" applyBorder="1" applyFont="1" applyNumberFormat="1">
      <alignment horizontal="left" shrinkToFit="0" vertical="center" wrapText="0"/>
    </xf>
    <xf borderId="14" fillId="0" fontId="9" numFmtId="173" xfId="0" applyAlignment="1" applyBorder="1" applyFont="1" applyNumberFormat="1">
      <alignment horizontal="left" readingOrder="0" shrinkToFit="0" vertical="center" wrapText="0"/>
    </xf>
    <xf borderId="14" fillId="0" fontId="9" numFmtId="0" xfId="0" applyAlignment="1" applyBorder="1" applyFont="1">
      <alignment horizontal="center" readingOrder="0" shrinkToFit="0" vertical="center" wrapText="0"/>
    </xf>
    <xf borderId="13" fillId="0" fontId="9" numFmtId="0" xfId="0" applyAlignment="1" applyBorder="1" applyFont="1">
      <alignment horizontal="left" readingOrder="0" shrinkToFit="0" vertical="center" wrapText="0"/>
    </xf>
    <xf borderId="13" fillId="0" fontId="9" numFmtId="0" xfId="0" applyAlignment="1" applyBorder="1" applyFont="1">
      <alignment horizontal="center" readingOrder="0" shrinkToFit="0" vertical="center" wrapText="0"/>
    </xf>
    <xf borderId="14" fillId="8" fontId="9" numFmtId="0" xfId="0" applyAlignment="1" applyBorder="1" applyFont="1">
      <alignment horizontal="center" shrinkToFit="0" vertical="center" wrapText="0"/>
    </xf>
    <xf borderId="13" fillId="0" fontId="12" numFmtId="0" xfId="0" applyAlignment="1" applyBorder="1" applyFont="1">
      <alignment horizontal="left" readingOrder="0" shrinkToFit="0" vertical="center" wrapText="0"/>
    </xf>
    <xf borderId="13" fillId="0" fontId="12" numFmtId="0" xfId="0" applyAlignment="1" applyBorder="1" applyFont="1">
      <alignment horizontal="left" shrinkToFit="0" vertical="center" wrapText="0"/>
    </xf>
    <xf borderId="14" fillId="0" fontId="9" numFmtId="0" xfId="0" applyAlignment="1" applyBorder="1" applyFont="1">
      <alignment horizontal="left" shrinkToFit="0" vertical="center" wrapText="0"/>
    </xf>
    <xf borderId="13" fillId="0" fontId="12" numFmtId="0" xfId="0" applyAlignment="1" applyBorder="1" applyFont="1">
      <alignment horizontal="center" readingOrder="0" shrinkToFit="0" vertical="center" wrapText="0"/>
    </xf>
    <xf borderId="13" fillId="0" fontId="9" numFmtId="3" xfId="0" applyAlignment="1" applyBorder="1" applyFont="1" applyNumberFormat="1">
      <alignment horizontal="center" shrinkToFit="0" vertical="center" wrapText="0"/>
    </xf>
    <xf borderId="13" fillId="0" fontId="12" numFmtId="173" xfId="0" applyAlignment="1" applyBorder="1" applyFont="1" applyNumberFormat="1">
      <alignment horizontal="left" readingOrder="0" shrinkToFit="0" vertical="center" wrapText="0"/>
    </xf>
    <xf borderId="13" fillId="0" fontId="12" numFmtId="168" xfId="0" applyAlignment="1" applyBorder="1" applyFont="1" applyNumberFormat="1">
      <alignment horizontal="left" readingOrder="0" shrinkToFit="0" vertical="center" wrapText="0"/>
    </xf>
    <xf borderId="13" fillId="0" fontId="12" numFmtId="169" xfId="0" applyAlignment="1" applyBorder="1" applyFont="1" applyNumberFormat="1">
      <alignment horizontal="right" readingOrder="0" shrinkToFit="0" vertical="center" wrapText="0"/>
    </xf>
    <xf borderId="13" fillId="0" fontId="12" numFmtId="0" xfId="0" applyAlignment="1" applyBorder="1" applyFont="1">
      <alignment horizontal="left" readingOrder="0" shrinkToFit="0" vertical="center" wrapText="0"/>
    </xf>
    <xf borderId="14" fillId="0" fontId="12" numFmtId="0" xfId="0" applyAlignment="1" applyBorder="1" applyFont="1">
      <alignment horizontal="left" readingOrder="0" shrinkToFit="0" vertical="center" wrapText="0"/>
    </xf>
    <xf borderId="14" fillId="0" fontId="12" numFmtId="173" xfId="0" applyAlignment="1" applyBorder="1" applyFont="1" applyNumberFormat="1">
      <alignment horizontal="left" readingOrder="0" shrinkToFit="0" vertical="center" wrapText="0"/>
    </xf>
    <xf borderId="14" fillId="0" fontId="12" numFmtId="168" xfId="0" applyAlignment="1" applyBorder="1" applyFont="1" applyNumberFormat="1">
      <alignment horizontal="left" readingOrder="0" shrinkToFit="0" vertical="center" wrapText="0"/>
    </xf>
    <xf borderId="14" fillId="0" fontId="12" numFmtId="0" xfId="0" applyAlignment="1" applyBorder="1" applyFont="1">
      <alignment horizontal="center" readingOrder="0" shrinkToFit="0" vertical="center" wrapText="0"/>
    </xf>
    <xf borderId="13" fillId="0" fontId="9" numFmtId="165" xfId="0" applyAlignment="1" applyBorder="1" applyFont="1" applyNumberFormat="1">
      <alignment horizontal="right" readingOrder="0" shrinkToFit="0" vertical="center" wrapText="0"/>
    </xf>
    <xf borderId="13" fillId="0" fontId="10" numFmtId="0" xfId="0" applyAlignment="1" applyBorder="1" applyFont="1">
      <alignment horizontal="left" shrinkToFit="0" vertical="bottom" wrapText="0"/>
    </xf>
    <xf borderId="14" fillId="0" fontId="10" numFmtId="173" xfId="0" applyAlignment="1" applyBorder="1" applyFont="1" applyNumberFormat="1">
      <alignment horizontal="center" readingOrder="0" shrinkToFit="0" vertical="center" wrapText="0"/>
    </xf>
    <xf borderId="14" fillId="0" fontId="10" numFmtId="168" xfId="0" applyAlignment="1" applyBorder="1" applyFont="1" applyNumberFormat="1">
      <alignment horizontal="center" readingOrder="0" shrinkToFit="0" vertical="center" wrapText="0"/>
    </xf>
    <xf borderId="13" fillId="0" fontId="11" numFmtId="173" xfId="0" applyAlignment="1" applyBorder="1" applyFont="1" applyNumberFormat="1">
      <alignment horizontal="left" readingOrder="0" shrinkToFit="0" vertical="center" wrapText="0"/>
    </xf>
    <xf borderId="13" fillId="0" fontId="11" numFmtId="0" xfId="0" applyAlignment="1" applyBorder="1" applyFont="1">
      <alignment horizontal="left" readingOrder="0" shrinkToFit="0" vertical="center" wrapText="0"/>
    </xf>
    <xf borderId="13" fillId="0" fontId="11" numFmtId="0" xfId="0" applyAlignment="1" applyBorder="1" applyFont="1">
      <alignment horizontal="center" readingOrder="0" shrinkToFit="0" vertical="center" wrapText="0"/>
    </xf>
    <xf borderId="13" fillId="0" fontId="10" numFmtId="0" xfId="0" applyAlignment="1" applyBorder="1" applyFont="1">
      <alignment horizontal="left" readingOrder="0" shrinkToFit="0" vertical="center" wrapText="1"/>
    </xf>
    <xf borderId="13" fillId="0" fontId="10" numFmtId="0" xfId="0" applyAlignment="1" applyBorder="1" applyFont="1">
      <alignment horizontal="left" shrinkToFit="0" vertical="center" wrapText="0"/>
    </xf>
    <xf borderId="14" fillId="0" fontId="11" numFmtId="173" xfId="0" applyAlignment="1" applyBorder="1" applyFont="1" applyNumberFormat="1">
      <alignment horizontal="left" readingOrder="0" shrinkToFit="0" vertical="center" wrapText="0"/>
    </xf>
    <xf borderId="13" fillId="0" fontId="7" numFmtId="0" xfId="0" applyAlignment="1" applyBorder="1" applyFont="1">
      <alignment horizontal="left" readingOrder="0" shrinkToFit="0" vertical="center" wrapText="1"/>
    </xf>
    <xf borderId="13" fillId="0" fontId="7" numFmtId="173" xfId="0" applyAlignment="1" applyBorder="1" applyFont="1" applyNumberFormat="1">
      <alignment horizontal="left" readingOrder="0" shrinkToFit="0" vertical="center" wrapText="1"/>
    </xf>
    <xf borderId="13" fillId="0" fontId="7" numFmtId="168" xfId="0" applyAlignment="1" applyBorder="1" applyFont="1" applyNumberFormat="1">
      <alignment horizontal="left" readingOrder="0" shrinkToFit="0" vertical="center" wrapText="1"/>
    </xf>
    <xf borderId="14" fillId="0" fontId="12" numFmtId="172" xfId="0" applyAlignment="1" applyBorder="1" applyFont="1" applyNumberFormat="1">
      <alignment horizontal="left" readingOrder="0" shrinkToFit="0" vertical="center" wrapText="0"/>
    </xf>
    <xf borderId="13" fillId="0" fontId="12" numFmtId="9" xfId="0" applyAlignment="1" applyBorder="1" applyFont="1" applyNumberFormat="1">
      <alignment horizontal="left" readingOrder="0" shrinkToFit="0" vertical="center" wrapText="0"/>
    </xf>
    <xf borderId="13" fillId="0" fontId="12" numFmtId="173" xfId="0" applyAlignment="1" applyBorder="1" applyFont="1" applyNumberFormat="1">
      <alignment horizontal="left" shrinkToFit="0" vertical="center" wrapText="0"/>
    </xf>
    <xf borderId="13" fillId="0" fontId="12" numFmtId="168" xfId="0" applyAlignment="1" applyBorder="1" applyFont="1" applyNumberFormat="1">
      <alignment horizontal="left" shrinkToFit="0" vertical="center" wrapText="0"/>
    </xf>
    <xf borderId="13" fillId="0" fontId="12" numFmtId="0" xfId="0" applyAlignment="1" applyBorder="1" applyFont="1">
      <alignment horizontal="center" shrinkToFit="0" vertical="center" wrapText="0"/>
    </xf>
    <xf borderId="13" fillId="0" fontId="12" numFmtId="167" xfId="0" applyAlignment="1" applyBorder="1" applyFont="1" applyNumberFormat="1">
      <alignment horizontal="left" readingOrder="0" shrinkToFit="0" vertical="center" wrapText="0"/>
    </xf>
    <xf borderId="13" fillId="0" fontId="12" numFmtId="174" xfId="0" applyAlignment="1" applyBorder="1" applyFont="1" applyNumberFormat="1">
      <alignment horizontal="left" readingOrder="0" shrinkToFit="0" vertical="center" wrapText="0"/>
    </xf>
    <xf borderId="14" fillId="0" fontId="12" numFmtId="174" xfId="0" applyAlignment="1" applyBorder="1" applyFont="1" applyNumberFormat="1">
      <alignment horizontal="left" readingOrder="0" shrinkToFit="0" vertical="center" wrapText="0"/>
    </xf>
    <xf borderId="13" fillId="0" fontId="12" numFmtId="9" xfId="0" applyAlignment="1" applyBorder="1" applyFont="1" applyNumberFormat="1">
      <alignment horizontal="right" readingOrder="0" shrinkToFit="0" vertical="center" wrapText="0"/>
    </xf>
    <xf borderId="14" fillId="0" fontId="12" numFmtId="166" xfId="0" applyAlignment="1" applyBorder="1" applyFont="1" applyNumberFormat="1">
      <alignment horizontal="left" readingOrder="0" shrinkToFit="0" vertical="center" wrapText="0"/>
    </xf>
    <xf borderId="13" fillId="0" fontId="12" numFmtId="166" xfId="0" applyAlignment="1" applyBorder="1" applyFont="1" applyNumberFormat="1">
      <alignment horizontal="left" readingOrder="0" shrinkToFit="0" vertical="center" wrapText="0"/>
    </xf>
    <xf borderId="13" fillId="0" fontId="12" numFmtId="169" xfId="0" applyAlignment="1" applyBorder="1" applyFont="1" applyNumberFormat="1">
      <alignment horizontal="right" shrinkToFit="0" vertical="center" wrapText="0"/>
    </xf>
    <xf borderId="13" fillId="0" fontId="20" numFmtId="173" xfId="0" applyAlignment="1" applyBorder="1" applyFont="1" applyNumberFormat="1">
      <alignment horizontal="left" shrinkToFit="0" vertical="center" wrapText="0"/>
    </xf>
    <xf borderId="13" fillId="0" fontId="20" numFmtId="0" xfId="0" applyAlignment="1" applyBorder="1" applyFont="1">
      <alignment horizontal="left" shrinkToFit="0" vertical="center" wrapText="0"/>
    </xf>
    <xf borderId="13" fillId="0" fontId="20" numFmtId="165" xfId="0" applyAlignment="1" applyBorder="1" applyFont="1" applyNumberFormat="1">
      <alignment horizontal="right" shrinkToFit="0" vertical="center" wrapText="0"/>
    </xf>
    <xf borderId="0" fillId="0" fontId="12" numFmtId="173" xfId="0" applyAlignment="1" applyFont="1" applyNumberFormat="1">
      <alignment horizontal="left" shrinkToFit="0" vertical="center" wrapText="0"/>
    </xf>
    <xf borderId="0" fillId="0" fontId="12" numFmtId="168" xfId="0" applyAlignment="1" applyFont="1" applyNumberFormat="1">
      <alignment horizontal="left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2" numFmtId="169" xfId="0" applyAlignment="1" applyFont="1" applyNumberFormat="1">
      <alignment horizontal="right" shrinkToFit="0" vertical="center" wrapText="0"/>
    </xf>
    <xf borderId="0" fillId="0" fontId="12" numFmtId="0" xfId="0" applyAlignment="1" applyFont="1">
      <alignment horizontal="left" shrinkToFit="0" vertical="center" wrapText="0"/>
    </xf>
    <xf borderId="19" fillId="7" fontId="19" numFmtId="168" xfId="0" applyAlignment="1" applyBorder="1" applyFont="1" applyNumberFormat="1">
      <alignment horizontal="center" shrinkToFit="0" vertical="center" wrapText="0"/>
    </xf>
    <xf borderId="13" fillId="7" fontId="19" numFmtId="0" xfId="0" applyAlignment="1" applyBorder="1" applyFont="1">
      <alignment horizontal="center" shrinkToFit="0" vertical="center" wrapText="0"/>
    </xf>
    <xf borderId="13" fillId="3" fontId="12" numFmtId="0" xfId="0" applyAlignment="1" applyBorder="1" applyFont="1">
      <alignment horizontal="center" shrinkToFit="0" vertical="bottom" wrapText="0"/>
    </xf>
    <xf borderId="13" fillId="3" fontId="12" numFmtId="40" xfId="0" applyAlignment="1" applyBorder="1" applyFont="1" applyNumberFormat="1">
      <alignment horizontal="center" shrinkToFit="0" vertical="top" wrapText="0"/>
    </xf>
    <xf borderId="14" fillId="0" fontId="9" numFmtId="168" xfId="0" applyAlignment="1" applyBorder="1" applyFont="1" applyNumberFormat="1">
      <alignment horizontal="center" readingOrder="0" shrinkToFit="0" vertical="center" wrapText="0"/>
    </xf>
    <xf borderId="14" fillId="0" fontId="9" numFmtId="166" xfId="0" applyAlignment="1" applyBorder="1" applyFont="1" applyNumberFormat="1">
      <alignment horizontal="left" readingOrder="0" shrinkToFit="0" vertical="center" wrapText="0"/>
    </xf>
    <xf borderId="13" fillId="0" fontId="9" numFmtId="169" xfId="0" applyAlignment="1" applyBorder="1" applyFont="1" applyNumberFormat="1">
      <alignment horizontal="right" readingOrder="0" shrinkToFit="0" vertical="center" wrapText="0"/>
    </xf>
    <xf borderId="13" fillId="0" fontId="9" numFmtId="0" xfId="0" applyAlignment="1" applyBorder="1" applyFont="1">
      <alignment horizontal="left" readingOrder="0" shrinkToFit="0" vertical="center" wrapText="0"/>
    </xf>
    <xf borderId="13" fillId="0" fontId="9" numFmtId="0" xfId="0" applyAlignment="1" applyBorder="1" applyFont="1">
      <alignment horizontal="left" readingOrder="0" shrinkToFit="0" vertical="center" wrapText="0"/>
    </xf>
    <xf borderId="14" fillId="0" fontId="9" numFmtId="174" xfId="0" applyAlignment="1" applyBorder="1" applyFont="1" applyNumberFormat="1">
      <alignment horizontal="left" readingOrder="0" shrinkToFit="0" vertical="center" wrapText="0"/>
    </xf>
    <xf borderId="13" fillId="0" fontId="9" numFmtId="166" xfId="0" applyAlignment="1" applyBorder="1" applyFont="1" applyNumberFormat="1">
      <alignment horizontal="left" readingOrder="0" shrinkToFit="0" vertical="center" wrapText="0"/>
    </xf>
    <xf borderId="13" fillId="0" fontId="12" numFmtId="0" xfId="0" applyAlignment="1" applyBorder="1" applyFont="1">
      <alignment horizontal="right" readingOrder="0" shrinkToFit="0" vertical="center" wrapText="0"/>
    </xf>
    <xf borderId="14" fillId="0" fontId="9" numFmtId="175" xfId="0" applyAlignment="1" applyBorder="1" applyFont="1" applyNumberFormat="1">
      <alignment horizontal="left" readingOrder="0" shrinkToFit="0" vertical="center" wrapText="0"/>
    </xf>
    <xf borderId="13" fillId="0" fontId="9" numFmtId="174" xfId="0" applyAlignment="1" applyBorder="1" applyFont="1" applyNumberFormat="1">
      <alignment horizontal="left" readingOrder="0" shrinkToFit="0" vertical="center" wrapText="0"/>
    </xf>
    <xf borderId="14" fillId="0" fontId="9" numFmtId="172" xfId="0" applyAlignment="1" applyBorder="1" applyFont="1" applyNumberFormat="1">
      <alignment horizontal="left" readingOrder="0" shrinkToFit="0" vertical="center" wrapText="0"/>
    </xf>
    <xf borderId="14" fillId="0" fontId="9" numFmtId="0" xfId="0" applyAlignment="1" applyBorder="1" applyFont="1">
      <alignment horizontal="left" readingOrder="0" shrinkToFit="0" vertical="center" wrapText="0"/>
    </xf>
    <xf borderId="14" fillId="4" fontId="12" numFmtId="0" xfId="0" applyAlignment="1" applyBorder="1" applyFont="1">
      <alignment horizontal="left" readingOrder="0" shrinkToFit="0" vertical="center" wrapText="0"/>
    </xf>
    <xf borderId="13" fillId="0" fontId="23" numFmtId="0" xfId="0" applyAlignment="1" applyBorder="1" applyFont="1">
      <alignment horizontal="left" readingOrder="0" shrinkToFit="0" vertical="center" wrapText="0"/>
    </xf>
    <xf borderId="14" fillId="0" fontId="9" numFmtId="167" xfId="0" applyAlignment="1" applyBorder="1" applyFont="1" applyNumberFormat="1">
      <alignment horizontal="left" readingOrder="0" shrinkToFit="0" vertical="center" wrapText="0"/>
    </xf>
    <xf borderId="13" fillId="0" fontId="9" numFmtId="172" xfId="0" applyAlignment="1" applyBorder="1" applyFont="1" applyNumberFormat="1">
      <alignment horizontal="left" readingOrder="0" shrinkToFit="0" vertical="center" wrapText="0"/>
    </xf>
    <xf borderId="13" fillId="0" fontId="9" numFmtId="167" xfId="0" applyAlignment="1" applyBorder="1" applyFont="1" applyNumberFormat="1">
      <alignment horizontal="left" readingOrder="0" shrinkToFit="0" vertical="center" wrapText="0"/>
    </xf>
    <xf borderId="15" fillId="0" fontId="9" numFmtId="167" xfId="0" applyAlignment="1" applyBorder="1" applyFont="1" applyNumberFormat="1">
      <alignment horizontal="left" readingOrder="0" shrinkToFit="0" vertical="center" wrapText="0"/>
    </xf>
    <xf borderId="14" fillId="0" fontId="12" numFmtId="167" xfId="0" applyAlignment="1" applyBorder="1" applyFont="1" applyNumberFormat="1">
      <alignment horizontal="left" readingOrder="0" shrinkToFit="0" vertical="center" wrapText="0"/>
    </xf>
    <xf borderId="13" fillId="0" fontId="12" numFmtId="172" xfId="0" applyAlignment="1" applyBorder="1" applyFont="1" applyNumberFormat="1">
      <alignment horizontal="left" readingOrder="0" shrinkToFit="0" vertical="center" wrapText="0"/>
    </xf>
    <xf borderId="13" fillId="9" fontId="12" numFmtId="0" xfId="0" applyAlignment="1" applyBorder="1" applyFill="1" applyFont="1">
      <alignment horizontal="center" readingOrder="0" shrinkToFit="0" vertical="center" wrapText="0"/>
    </xf>
    <xf borderId="13" fillId="9" fontId="12" numFmtId="0" xfId="0" applyAlignment="1" applyBorder="1" applyFont="1">
      <alignment horizontal="left" readingOrder="0" shrinkToFit="0" vertical="center" wrapText="0"/>
    </xf>
    <xf borderId="13" fillId="4" fontId="12" numFmtId="0" xfId="0" applyAlignment="1" applyBorder="1" applyFont="1">
      <alignment horizontal="center" readingOrder="0" shrinkToFit="0" vertical="center" wrapText="0"/>
    </xf>
    <xf borderId="13" fillId="4" fontId="12" numFmtId="0" xfId="0" applyAlignment="1" applyBorder="1" applyFont="1">
      <alignment horizontal="left" readingOrder="0" shrinkToFit="0" vertical="center" wrapText="0"/>
    </xf>
    <xf borderId="13" fillId="3" fontId="8" numFmtId="0" xfId="0" applyAlignment="1" applyBorder="1" applyFont="1">
      <alignment horizontal="center" shrinkToFit="0" vertical="bottom" wrapText="0"/>
    </xf>
    <xf borderId="13" fillId="3" fontId="20" numFmtId="40" xfId="0" applyAlignment="1" applyBorder="1" applyFont="1" applyNumberFormat="1">
      <alignment horizontal="center" readingOrder="0" shrinkToFit="0" vertical="top" wrapText="0"/>
    </xf>
    <xf borderId="13" fillId="0" fontId="8" numFmtId="169" xfId="0" applyAlignment="1" applyBorder="1" applyFont="1" applyNumberFormat="1">
      <alignment horizontal="center" shrinkToFit="0" vertical="center" wrapText="1"/>
    </xf>
    <xf borderId="13" fillId="0" fontId="12" numFmtId="166" xfId="0" applyAlignment="1" applyBorder="1" applyFont="1" applyNumberFormat="1">
      <alignment horizontal="center" readingOrder="0" shrinkToFit="0" vertical="center" wrapText="0"/>
    </xf>
    <xf borderId="13" fillId="0" fontId="12" numFmtId="167" xfId="0" applyAlignment="1" applyBorder="1" applyFont="1" applyNumberFormat="1">
      <alignment horizontal="center" readingOrder="0" shrinkToFit="0" vertical="center" wrapText="0"/>
    </xf>
    <xf borderId="14" fillId="0" fontId="12" numFmtId="166" xfId="0" applyAlignment="1" applyBorder="1" applyFont="1" applyNumberFormat="1">
      <alignment horizontal="center" readingOrder="0" shrinkToFit="0" vertical="center" wrapText="0"/>
    </xf>
    <xf borderId="14" fillId="0" fontId="12" numFmtId="167" xfId="0" applyAlignment="1" applyBorder="1" applyFont="1" applyNumberFormat="1">
      <alignment horizontal="center" readingOrder="0" shrinkToFit="0" vertical="center" wrapText="0"/>
    </xf>
    <xf borderId="13" fillId="0" fontId="7" numFmtId="9" xfId="0" applyAlignment="1" applyBorder="1" applyFont="1" applyNumberFormat="1">
      <alignment horizontal="center" readingOrder="0" shrinkToFit="0" vertical="center" wrapText="1"/>
    </xf>
    <xf borderId="13" fillId="0" fontId="12" numFmtId="9" xfId="0" applyAlignment="1" applyBorder="1" applyFont="1" applyNumberFormat="1">
      <alignment horizontal="center" readingOrder="0" shrinkToFit="0" vertical="center" wrapText="0"/>
    </xf>
    <xf borderId="13" fillId="0" fontId="7" numFmtId="0" xfId="0" applyAlignment="1" applyBorder="1" applyFont="1">
      <alignment horizontal="center" shrinkToFit="0" vertical="center" wrapText="1"/>
    </xf>
    <xf borderId="13" fillId="0" fontId="7" numFmtId="166" xfId="0" applyAlignment="1" applyBorder="1" applyFont="1" applyNumberFormat="1">
      <alignment horizontal="center" readingOrder="0" shrinkToFit="0" vertical="center" wrapText="1"/>
    </xf>
    <xf borderId="13" fillId="0" fontId="7" numFmtId="167" xfId="0" applyAlignment="1" applyBorder="1" applyFont="1" applyNumberFormat="1">
      <alignment horizontal="center" readingOrder="0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14" fillId="0" fontId="7" numFmtId="166" xfId="0" applyAlignment="1" applyBorder="1" applyFont="1" applyNumberFormat="1">
      <alignment horizontal="center" readingOrder="0" shrinkToFit="0" vertical="center" wrapText="1"/>
    </xf>
    <xf borderId="14" fillId="0" fontId="7" numFmtId="172" xfId="0" applyAlignment="1" applyBorder="1" applyFont="1" applyNumberFormat="1">
      <alignment horizontal="center" readingOrder="0" shrinkToFit="0" vertical="center" wrapText="1"/>
    </xf>
    <xf borderId="14" fillId="0" fontId="7" numFmtId="174" xfId="0" applyAlignment="1" applyBorder="1" applyFont="1" applyNumberFormat="1">
      <alignment horizontal="center" readingOrder="0" shrinkToFit="0" vertical="center" wrapText="1"/>
    </xf>
    <xf borderId="14" fillId="0" fontId="7" numFmtId="167" xfId="0" applyAlignment="1" applyBorder="1" applyFont="1" applyNumberFormat="1">
      <alignment horizontal="center" readingOrder="0" shrinkToFit="0" vertical="center" wrapText="1"/>
    </xf>
    <xf borderId="13" fillId="0" fontId="7" numFmtId="174" xfId="0" applyAlignment="1" applyBorder="1" applyFont="1" applyNumberFormat="1">
      <alignment horizontal="center" readingOrder="0" shrinkToFit="0" vertical="center" wrapText="1"/>
    </xf>
    <xf borderId="0" fillId="0" fontId="24" numFmtId="169" xfId="0" applyAlignment="1" applyFont="1" applyNumberFormat="1">
      <alignment horizontal="right" shrinkToFit="0" vertical="center" wrapText="1"/>
    </xf>
    <xf borderId="17" fillId="0" fontId="25" numFmtId="176" xfId="0" applyAlignment="1" applyBorder="1" applyFont="1" applyNumberFormat="1">
      <alignment horizontal="left" readingOrder="0" shrinkToFit="0" vertical="center" wrapText="1"/>
    </xf>
    <xf borderId="16" fillId="0" fontId="25" numFmtId="0" xfId="0" applyAlignment="1" applyBorder="1" applyFont="1">
      <alignment horizontal="center" shrinkToFit="0" vertical="center" wrapText="1"/>
    </xf>
    <xf borderId="16" fillId="0" fontId="26" numFmtId="0" xfId="0" applyAlignment="1" applyBorder="1" applyFont="1">
      <alignment horizontal="center" shrinkToFit="0" vertical="center" wrapText="1"/>
    </xf>
    <xf borderId="16" fillId="0" fontId="25" numFmtId="4" xfId="0" applyAlignment="1" applyBorder="1" applyFont="1" applyNumberFormat="1">
      <alignment horizontal="right" shrinkToFit="0" vertical="center" wrapText="1"/>
    </xf>
    <xf borderId="26" fillId="0" fontId="25" numFmtId="165" xfId="0" applyAlignment="1" applyBorder="1" applyFont="1" applyNumberFormat="1">
      <alignment horizontal="center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16" fillId="0" fontId="27" numFmtId="176" xfId="0" applyAlignment="1" applyBorder="1" applyFont="1" applyNumberFormat="1">
      <alignment horizontal="left" shrinkToFit="0" vertical="center" wrapText="1"/>
    </xf>
    <xf borderId="16" fillId="0" fontId="27" numFmtId="0" xfId="0" applyAlignment="1" applyBorder="1" applyFont="1">
      <alignment horizontal="left" readingOrder="0" shrinkToFit="0" vertical="center" wrapText="1"/>
    </xf>
    <xf borderId="16" fillId="0" fontId="28" numFmtId="0" xfId="0" applyAlignment="1" applyBorder="1" applyFont="1">
      <alignment horizontal="center" shrinkToFit="0" vertical="center" wrapText="1"/>
    </xf>
    <xf borderId="16" fillId="0" fontId="27" numFmtId="0" xfId="0" applyAlignment="1" applyBorder="1" applyFont="1">
      <alignment horizontal="left" shrinkToFit="0" vertical="center" wrapText="1"/>
    </xf>
    <xf borderId="16" fillId="0" fontId="27" numFmtId="4" xfId="0" applyAlignment="1" applyBorder="1" applyFont="1" applyNumberFormat="1">
      <alignment horizontal="right" shrinkToFit="0" vertical="center" wrapText="1"/>
    </xf>
    <xf borderId="22" fillId="0" fontId="27" numFmtId="165" xfId="0" applyAlignment="1" applyBorder="1" applyFont="1" applyNumberFormat="1">
      <alignment horizontal="left" shrinkToFit="0" vertical="center" wrapText="1"/>
    </xf>
    <xf borderId="0" fillId="0" fontId="27" numFmtId="0" xfId="0" applyAlignment="1" applyFont="1">
      <alignment horizontal="left" shrinkToFit="0" vertical="center" wrapText="1"/>
    </xf>
    <xf borderId="13" fillId="0" fontId="27" numFmtId="176" xfId="0" applyAlignment="1" applyBorder="1" applyFont="1" applyNumberFormat="1">
      <alignment horizontal="left" shrinkToFit="0" vertical="center" wrapText="1"/>
    </xf>
    <xf borderId="13" fillId="0" fontId="28" numFmtId="0" xfId="0" applyAlignment="1" applyBorder="1" applyFont="1">
      <alignment horizontal="center" shrinkToFit="0" vertical="center" wrapText="1"/>
    </xf>
    <xf borderId="13" fillId="0" fontId="27" numFmtId="0" xfId="0" applyAlignment="1" applyBorder="1" applyFont="1">
      <alignment horizontal="left" shrinkToFit="0" vertical="center" wrapText="1"/>
    </xf>
    <xf borderId="13" fillId="0" fontId="27" numFmtId="4" xfId="0" applyAlignment="1" applyBorder="1" applyFont="1" applyNumberFormat="1">
      <alignment horizontal="right" shrinkToFit="0" vertical="center" wrapText="1"/>
    </xf>
    <xf borderId="22" fillId="0" fontId="27" numFmtId="176" xfId="0" applyAlignment="1" applyBorder="1" applyFont="1" applyNumberFormat="1">
      <alignment horizontal="left" shrinkToFit="0" vertical="center" wrapText="1"/>
    </xf>
    <xf borderId="13" fillId="0" fontId="12" numFmtId="176" xfId="0" applyAlignment="1" applyBorder="1" applyFont="1" applyNumberFormat="1">
      <alignment horizontal="left" shrinkToFit="0" vertical="center" wrapText="1"/>
    </xf>
    <xf borderId="13" fillId="0" fontId="28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left" shrinkToFit="0" vertical="center" wrapText="1"/>
    </xf>
    <xf borderId="13" fillId="0" fontId="12" numFmtId="4" xfId="0" applyAlignment="1" applyBorder="1" applyFont="1" applyNumberFormat="1">
      <alignment horizontal="right" shrinkToFit="0" vertical="center" wrapText="1"/>
    </xf>
    <xf borderId="14" fillId="0" fontId="27" numFmtId="176" xfId="0" applyAlignment="1" applyBorder="1" applyFont="1" applyNumberFormat="1">
      <alignment horizontal="left" shrinkToFit="0" vertical="center" wrapText="1"/>
    </xf>
    <xf borderId="14" fillId="0" fontId="28" numFmtId="0" xfId="0" applyAlignment="1" applyBorder="1" applyFont="1">
      <alignment horizontal="center" shrinkToFit="0" vertical="center" wrapText="1"/>
    </xf>
    <xf borderId="14" fillId="0" fontId="27" numFmtId="0" xfId="0" applyAlignment="1" applyBorder="1" applyFont="1">
      <alignment horizontal="left" shrinkToFit="0" vertical="center" wrapText="1"/>
    </xf>
    <xf borderId="14" fillId="0" fontId="27" numFmtId="4" xfId="0" applyAlignment="1" applyBorder="1" applyFont="1" applyNumberFormat="1">
      <alignment horizontal="right" shrinkToFit="0" vertical="center" wrapText="1"/>
    </xf>
    <xf borderId="19" fillId="0" fontId="27" numFmtId="165" xfId="0" applyAlignment="1" applyBorder="1" applyFont="1" applyNumberFormat="1">
      <alignment horizontal="left" shrinkToFit="0" vertical="center" wrapText="1"/>
    </xf>
    <xf borderId="13" fillId="0" fontId="27" numFmtId="176" xfId="0" applyAlignment="1" applyBorder="1" applyFont="1" applyNumberFormat="1">
      <alignment horizontal="left" shrinkToFit="0" vertical="center" wrapText="1"/>
    </xf>
    <xf borderId="13" fillId="0" fontId="27" numFmtId="0" xfId="0" applyAlignment="1" applyBorder="1" applyFont="1">
      <alignment horizontal="left" shrinkToFit="0" vertical="center" wrapText="1"/>
    </xf>
    <xf borderId="13" fillId="0" fontId="27" numFmtId="4" xfId="0" applyAlignment="1" applyBorder="1" applyFont="1" applyNumberFormat="1">
      <alignment horizontal="right" shrinkToFit="0" vertical="center" wrapText="1"/>
    </xf>
    <xf borderId="13" fillId="0" fontId="27" numFmtId="176" xfId="0" applyAlignment="1" applyBorder="1" applyFont="1" applyNumberFormat="1">
      <alignment horizontal="left" readingOrder="0" shrinkToFit="0" vertical="center" wrapText="1"/>
    </xf>
    <xf borderId="13" fillId="0" fontId="28" numFmtId="0" xfId="0" applyAlignment="1" applyBorder="1" applyFont="1">
      <alignment horizontal="center" readingOrder="0" shrinkToFit="0" vertical="center" wrapText="1"/>
    </xf>
    <xf borderId="13" fillId="0" fontId="27" numFmtId="0" xfId="0" applyAlignment="1" applyBorder="1" applyFont="1">
      <alignment horizontal="left" readingOrder="0" shrinkToFit="0" vertical="center" wrapText="1"/>
    </xf>
    <xf borderId="13" fillId="0" fontId="27" numFmtId="4" xfId="0" applyAlignment="1" applyBorder="1" applyFont="1" applyNumberFormat="1">
      <alignment horizontal="right" readingOrder="0" shrinkToFit="0" vertical="center" wrapText="1"/>
    </xf>
    <xf borderId="22" fillId="0" fontId="27" numFmtId="165" xfId="0" applyAlignment="1" applyBorder="1" applyFont="1" applyNumberFormat="1">
      <alignment horizontal="left" readingOrder="0" shrinkToFit="0" vertical="center" wrapText="1"/>
    </xf>
    <xf borderId="0" fillId="0" fontId="27" numFmtId="0" xfId="0" applyAlignment="1" applyFont="1">
      <alignment horizontal="left" readingOrder="0" shrinkToFit="0" vertical="center" wrapText="1"/>
    </xf>
    <xf borderId="13" fillId="0" fontId="27" numFmtId="165" xfId="0" applyAlignment="1" applyBorder="1" applyFont="1" applyNumberFormat="1">
      <alignment horizontal="left" shrinkToFit="0" vertical="center" wrapText="1"/>
    </xf>
    <xf borderId="13" fillId="0" fontId="27" numFmtId="0" xfId="0" applyAlignment="1" applyBorder="1" applyFont="1">
      <alignment horizontal="left" readingOrder="0" shrinkToFit="0" vertical="center" wrapText="1"/>
    </xf>
    <xf borderId="13" fillId="0" fontId="29" numFmtId="176" xfId="0" applyAlignment="1" applyBorder="1" applyFont="1" applyNumberFormat="1">
      <alignment horizontal="left" readingOrder="0" shrinkToFit="0" vertical="center" wrapText="1"/>
    </xf>
    <xf borderId="13" fillId="0" fontId="30" numFmtId="3" xfId="0" applyAlignment="1" applyBorder="1" applyFont="1" applyNumberFormat="1">
      <alignment horizontal="center" readingOrder="0" shrinkToFit="0" vertical="center" wrapText="1"/>
    </xf>
    <xf borderId="13" fillId="0" fontId="29" numFmtId="0" xfId="0" applyAlignment="1" applyBorder="1" applyFont="1">
      <alignment horizontal="left" readingOrder="0" shrinkToFit="0" vertical="center" wrapText="1"/>
    </xf>
    <xf borderId="13" fillId="0" fontId="29" numFmtId="4" xfId="0" applyAlignment="1" applyBorder="1" applyFont="1" applyNumberFormat="1">
      <alignment horizontal="right" readingOrder="0" shrinkToFit="0" vertical="center" wrapText="1"/>
    </xf>
    <xf borderId="13" fillId="0" fontId="13" numFmtId="0" xfId="0" applyAlignment="1" applyBorder="1" applyFon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13" fillId="0" fontId="29" numFmtId="176" xfId="0" applyAlignment="1" applyBorder="1" applyFont="1" applyNumberFormat="1">
      <alignment horizontal="left" readingOrder="0" shrinkToFit="0" vertical="center" wrapText="1"/>
    </xf>
    <xf borderId="13" fillId="0" fontId="30" numFmtId="0" xfId="0" applyAlignment="1" applyBorder="1" applyFont="1">
      <alignment horizontal="center" readingOrder="0" shrinkToFit="0" vertical="center" wrapText="1"/>
    </xf>
    <xf borderId="13" fillId="0" fontId="29" numFmtId="0" xfId="0" applyAlignment="1" applyBorder="1" applyFont="1">
      <alignment horizontal="left" readingOrder="0" shrinkToFit="0" vertical="center" wrapText="1"/>
    </xf>
    <xf borderId="13" fillId="0" fontId="29" numFmtId="4" xfId="0" applyAlignment="1" applyBorder="1" applyFont="1" applyNumberFormat="1">
      <alignment horizontal="right" readingOrder="0" shrinkToFit="0" vertical="center" wrapText="1"/>
    </xf>
    <xf borderId="13" fillId="0" fontId="13" numFmtId="0" xfId="0" applyAlignment="1" applyBorder="1" applyFont="1">
      <alignment horizontal="left" readingOrder="0" shrinkToFit="0" vertical="center" wrapText="0"/>
    </xf>
    <xf borderId="13" fillId="5" fontId="29" numFmtId="4" xfId="0" applyAlignment="1" applyBorder="1" applyFont="1" applyNumberFormat="1">
      <alignment horizontal="right" readingOrder="0" shrinkToFit="0" vertical="center" wrapText="1"/>
    </xf>
    <xf borderId="13" fillId="0" fontId="30" numFmtId="0" xfId="0" applyAlignment="1" applyBorder="1" applyFont="1">
      <alignment horizontal="center" readingOrder="0" shrinkToFit="0" vertical="center" wrapText="1"/>
    </xf>
    <xf borderId="13" fillId="5" fontId="7" numFmtId="4" xfId="0" applyAlignment="1" applyBorder="1" applyFont="1" applyNumberFormat="1">
      <alignment horizontal="righ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13" fillId="0" fontId="31" numFmtId="176" xfId="0" applyAlignment="1" applyBorder="1" applyFont="1" applyNumberFormat="1">
      <alignment horizontal="left" readingOrder="0" shrinkToFit="0" vertical="bottom" wrapText="1"/>
    </xf>
    <xf borderId="13" fillId="0" fontId="28" numFmtId="3" xfId="0" applyAlignment="1" applyBorder="1" applyFont="1" applyNumberFormat="1">
      <alignment horizontal="center" readingOrder="0" shrinkToFit="0" vertical="bottom" wrapText="1"/>
    </xf>
    <xf borderId="13" fillId="0" fontId="27" numFmtId="0" xfId="0" applyAlignment="1" applyBorder="1" applyFont="1">
      <alignment horizontal="left" readingOrder="0" shrinkToFit="0" vertical="bottom" wrapText="1"/>
    </xf>
    <xf borderId="13" fillId="0" fontId="27" numFmtId="165" xfId="0" applyAlignment="1" applyBorder="1" applyFont="1" applyNumberFormat="1">
      <alignment horizontal="left" readingOrder="0" shrinkToFit="0" vertical="bottom" wrapText="1"/>
    </xf>
    <xf borderId="0" fillId="0" fontId="27" numFmtId="0" xfId="0" applyAlignment="1" applyFont="1">
      <alignment horizontal="left" readingOrder="0" shrinkToFit="0" vertical="bottom" wrapText="1"/>
    </xf>
    <xf borderId="13" fillId="0" fontId="27" numFmtId="176" xfId="0" applyAlignment="1" applyBorder="1" applyFont="1" applyNumberFormat="1">
      <alignment horizontal="left" readingOrder="0" shrinkToFit="0" vertical="bottom" wrapText="1"/>
    </xf>
    <xf borderId="13" fillId="10" fontId="27" numFmtId="176" xfId="0" applyAlignment="1" applyBorder="1" applyFill="1" applyFont="1" applyNumberFormat="1">
      <alignment horizontal="left" readingOrder="0" shrinkToFit="0" vertical="bottom" wrapText="1"/>
    </xf>
    <xf borderId="0" fillId="0" fontId="7" numFmtId="166" xfId="0" applyAlignment="1" applyFont="1" applyNumberFormat="1">
      <alignment horizontal="left" readingOrder="0" shrinkToFit="0" vertical="center" wrapText="1"/>
    </xf>
    <xf borderId="13" fillId="10" fontId="28" numFmtId="3" xfId="0" applyAlignment="1" applyBorder="1" applyFont="1" applyNumberFormat="1">
      <alignment horizontal="left" readingOrder="0" shrinkToFit="0" vertical="bottom" wrapText="1"/>
    </xf>
    <xf borderId="13" fillId="10" fontId="27" numFmtId="0" xfId="0" applyAlignment="1" applyBorder="1" applyFont="1">
      <alignment horizontal="left" readingOrder="0" shrinkToFit="0" vertical="bottom" wrapText="1"/>
    </xf>
    <xf borderId="13" fillId="10" fontId="27" numFmtId="4" xfId="0" applyAlignment="1" applyBorder="1" applyFont="1" applyNumberFormat="1">
      <alignment horizontal="center" readingOrder="0" shrinkToFit="0" vertical="bottom" wrapText="1"/>
    </xf>
    <xf borderId="13" fillId="10" fontId="27" numFmtId="165" xfId="0" applyAlignment="1" applyBorder="1" applyFont="1" applyNumberFormat="1">
      <alignment horizontal="left" readingOrder="0" shrinkToFit="0" vertical="bottom" wrapText="1"/>
    </xf>
    <xf borderId="13" fillId="10" fontId="27" numFmtId="0" xfId="0" applyAlignment="1" applyBorder="1" applyFont="1">
      <alignment horizontal="left" readingOrder="0" shrinkToFit="0" vertical="bottom" wrapText="1"/>
    </xf>
    <xf borderId="0" fillId="10" fontId="27" numFmtId="0" xfId="0" applyAlignment="1" applyFont="1">
      <alignment horizontal="left" readingOrder="0" shrinkToFit="0" vertical="bottom" wrapText="1"/>
    </xf>
    <xf borderId="0" fillId="10" fontId="27" numFmtId="0" xfId="0" applyAlignment="1" applyFont="1">
      <alignment horizontal="left" readingOrder="0" shrinkToFit="0" vertical="bottom" wrapText="1"/>
    </xf>
    <xf borderId="13" fillId="0" fontId="32" numFmtId="0" xfId="0" applyAlignment="1" applyBorder="1" applyFont="1">
      <alignment horizontal="center" shrinkToFit="0" vertical="center" wrapText="1"/>
    </xf>
    <xf borderId="13" fillId="0" fontId="7" numFmtId="4" xfId="0" applyAlignment="1" applyBorder="1" applyFont="1" applyNumberFormat="1">
      <alignment horizontal="right" readingOrder="0" shrinkToFit="0" vertical="center" wrapText="1"/>
    </xf>
    <xf borderId="13" fillId="0" fontId="7" numFmtId="176" xfId="0" applyAlignment="1" applyBorder="1" applyFont="1" applyNumberFormat="1">
      <alignment horizontal="left" shrinkToFit="0" vertical="center" wrapText="1"/>
    </xf>
    <xf borderId="13" fillId="0" fontId="7" numFmtId="4" xfId="0" applyAlignment="1" applyBorder="1" applyFont="1" applyNumberFormat="1">
      <alignment horizontal="right" shrinkToFit="0" vertical="center" wrapText="1"/>
    </xf>
    <xf borderId="0" fillId="0" fontId="7" numFmtId="176" xfId="0" applyAlignment="1" applyFont="1" applyNumberFormat="1">
      <alignment horizontal="left"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28" fillId="11" fontId="33" numFmtId="177" xfId="0" applyAlignment="1" applyBorder="1" applyFill="1" applyFont="1" applyNumberFormat="1">
      <alignment horizontal="right" shrinkToFit="0" vertical="center" wrapText="1"/>
    </xf>
    <xf borderId="29" fillId="11" fontId="33" numFmtId="0" xfId="0" applyAlignment="1" applyBorder="1" applyFont="1">
      <alignment horizontal="center" shrinkToFit="0" vertical="center" wrapText="1"/>
    </xf>
    <xf borderId="29" fillId="11" fontId="28" numFmtId="0" xfId="0" applyAlignment="1" applyBorder="1" applyFont="1">
      <alignment horizontal="left" shrinkToFit="0" vertical="center" wrapText="1"/>
    </xf>
    <xf borderId="29" fillId="11" fontId="33" numFmtId="4" xfId="0" applyAlignment="1" applyBorder="1" applyFont="1" applyNumberFormat="1">
      <alignment horizontal="center" shrinkToFit="0" vertical="center" wrapText="1"/>
    </xf>
    <xf borderId="30" fillId="11" fontId="33" numFmtId="165" xfId="0" applyAlignment="1" applyBorder="1" applyFont="1" applyNumberFormat="1">
      <alignment horizontal="left" shrinkToFit="0" vertical="center" wrapText="1"/>
    </xf>
    <xf borderId="13" fillId="12" fontId="33" numFmtId="165" xfId="0" applyAlignment="1" applyBorder="1" applyFill="1" applyFont="1" applyNumberFormat="1">
      <alignment horizontal="left" readingOrder="0" shrinkToFit="0" vertical="center" wrapText="1"/>
    </xf>
    <xf borderId="24" fillId="13" fontId="27" numFmtId="177" xfId="0" applyAlignment="1" applyBorder="1" applyFill="1" applyFont="1" applyNumberFormat="1">
      <alignment horizontal="right" shrinkToFit="0" vertical="center" wrapText="1"/>
    </xf>
    <xf borderId="13" fillId="13" fontId="27" numFmtId="0" xfId="0" applyAlignment="1" applyBorder="1" applyFont="1">
      <alignment horizontal="left" readingOrder="0" shrinkToFit="0" vertical="bottom" wrapText="1"/>
    </xf>
    <xf borderId="13" fillId="13" fontId="28" numFmtId="0" xfId="0" applyAlignment="1" applyBorder="1" applyFont="1">
      <alignment horizontal="left" shrinkToFit="0" vertical="center" wrapText="1"/>
    </xf>
    <xf borderId="13" fillId="13" fontId="27" numFmtId="0" xfId="0" applyAlignment="1" applyBorder="1" applyFont="1">
      <alignment horizontal="left" shrinkToFit="0" vertical="center" wrapText="1"/>
    </xf>
    <xf borderId="13" fillId="13" fontId="27" numFmtId="4" xfId="0" applyAlignment="1" applyBorder="1" applyFont="1" applyNumberFormat="1">
      <alignment horizontal="center" shrinkToFit="0" vertical="center" wrapText="1"/>
    </xf>
    <xf borderId="22" fillId="13" fontId="27" numFmtId="165" xfId="0" applyAlignment="1" applyBorder="1" applyFont="1" applyNumberFormat="1">
      <alignment horizontal="left" shrinkToFit="0" vertical="center" wrapText="1"/>
    </xf>
    <xf borderId="24" fillId="12" fontId="27" numFmtId="177" xfId="0" applyAlignment="1" applyBorder="1" applyFont="1" applyNumberFormat="1">
      <alignment horizontal="right" shrinkToFit="0" vertical="center" wrapText="1"/>
    </xf>
    <xf borderId="13" fillId="12" fontId="27" numFmtId="0" xfId="0" applyAlignment="1" applyBorder="1" applyFont="1">
      <alignment horizontal="left" readingOrder="0" shrinkToFit="0" vertical="bottom" wrapText="1"/>
    </xf>
    <xf borderId="13" fillId="12" fontId="28" numFmtId="0" xfId="0" applyAlignment="1" applyBorder="1" applyFont="1">
      <alignment horizontal="left" shrinkToFit="0" vertical="center" wrapText="1"/>
    </xf>
    <xf borderId="13" fillId="12" fontId="27" numFmtId="0" xfId="0" applyAlignment="1" applyBorder="1" applyFont="1">
      <alignment horizontal="left" shrinkToFit="0" vertical="center" wrapText="1"/>
    </xf>
    <xf borderId="13" fillId="12" fontId="27" numFmtId="4" xfId="0" applyAlignment="1" applyBorder="1" applyFont="1" applyNumberFormat="1">
      <alignment horizontal="center" shrinkToFit="0" vertical="center" wrapText="1"/>
    </xf>
    <xf borderId="22" fillId="12" fontId="27" numFmtId="165" xfId="0" applyAlignment="1" applyBorder="1" applyFont="1" applyNumberFormat="1">
      <alignment horizontal="left" shrinkToFit="0" vertical="center" wrapText="1"/>
    </xf>
    <xf borderId="13" fillId="13" fontId="27" numFmtId="0" xfId="0" applyAlignment="1" applyBorder="1" applyFont="1">
      <alignment horizontal="left" shrinkToFit="0" vertical="center" wrapText="1"/>
    </xf>
    <xf borderId="24" fillId="12" fontId="27" numFmtId="177" xfId="0" applyAlignment="1" applyBorder="1" applyFont="1" applyNumberFormat="1">
      <alignment horizontal="right" shrinkToFit="0" vertical="bottom" wrapText="1"/>
    </xf>
    <xf borderId="13" fillId="12" fontId="28" numFmtId="0" xfId="0" applyAlignment="1" applyBorder="1" applyFont="1">
      <alignment horizontal="left" shrinkToFit="0" vertical="bottom" wrapText="1"/>
    </xf>
    <xf borderId="13" fillId="12" fontId="27" numFmtId="0" xfId="0" applyAlignment="1" applyBorder="1" applyFont="1">
      <alignment horizontal="left" shrinkToFit="0" vertical="bottom" wrapText="1"/>
    </xf>
    <xf borderId="13" fillId="12" fontId="27" numFmtId="4" xfId="0" applyAlignment="1" applyBorder="1" applyFont="1" applyNumberFormat="1">
      <alignment horizontal="center" shrinkToFit="0" vertical="bottom" wrapText="1"/>
    </xf>
    <xf borderId="22" fillId="12" fontId="27" numFmtId="165" xfId="0" applyAlignment="1" applyBorder="1" applyFont="1" applyNumberFormat="1">
      <alignment horizontal="left" shrinkToFit="0" vertical="bottom" wrapText="1"/>
    </xf>
    <xf borderId="13" fillId="12" fontId="27" numFmtId="0" xfId="0" applyAlignment="1" applyBorder="1" applyFont="1">
      <alignment horizontal="left" readingOrder="0" shrinkToFit="0" vertical="bottom" wrapText="1"/>
    </xf>
    <xf borderId="24" fillId="12" fontId="27" numFmtId="177" xfId="0" applyAlignment="1" applyBorder="1" applyFont="1" applyNumberFormat="1">
      <alignment horizontal="right" shrinkToFit="0" vertical="bottom" wrapText="1"/>
    </xf>
    <xf borderId="24" fillId="13" fontId="27" numFmtId="177" xfId="0" applyAlignment="1" applyBorder="1" applyFont="1" applyNumberFormat="1">
      <alignment horizontal="right" shrinkToFit="0" vertical="center" wrapText="1"/>
    </xf>
    <xf borderId="13" fillId="13" fontId="27" numFmtId="4" xfId="0" applyAlignment="1" applyBorder="1" applyFont="1" applyNumberFormat="1">
      <alignment horizontal="center" shrinkToFit="0" vertical="center" wrapText="1"/>
    </xf>
    <xf borderId="24" fillId="12" fontId="27" numFmtId="177" xfId="0" applyAlignment="1" applyBorder="1" applyFont="1" applyNumberFormat="1">
      <alignment horizontal="right" shrinkToFit="0" vertical="center" wrapText="1"/>
    </xf>
    <xf borderId="13" fillId="12" fontId="27" numFmtId="0" xfId="0" applyAlignment="1" applyBorder="1" applyFont="1">
      <alignment horizontal="left" shrinkToFit="0" vertical="center" wrapText="1"/>
    </xf>
    <xf borderId="13" fillId="12" fontId="27" numFmtId="4" xfId="0" applyAlignment="1" applyBorder="1" applyFont="1" applyNumberFormat="1">
      <alignment horizontal="center" shrinkToFit="0" vertical="center" wrapText="1"/>
    </xf>
    <xf borderId="24" fillId="13" fontId="27" numFmtId="177" xfId="0" applyAlignment="1" applyBorder="1" applyFont="1" applyNumberFormat="1">
      <alignment horizontal="right" shrinkToFit="0" vertical="bottom" wrapText="1"/>
    </xf>
    <xf borderId="13" fillId="13" fontId="28" numFmtId="0" xfId="0" applyAlignment="1" applyBorder="1" applyFont="1">
      <alignment horizontal="left" shrinkToFit="0" vertical="bottom" wrapText="1"/>
    </xf>
    <xf borderId="13" fillId="13" fontId="27" numFmtId="0" xfId="0" applyAlignment="1" applyBorder="1" applyFont="1">
      <alignment horizontal="left" shrinkToFit="0" vertical="bottom" wrapText="1"/>
    </xf>
    <xf borderId="13" fillId="13" fontId="27" numFmtId="4" xfId="0" applyAlignment="1" applyBorder="1" applyFont="1" applyNumberFormat="1">
      <alignment horizontal="center" shrinkToFit="0" vertical="bottom" wrapText="1"/>
    </xf>
    <xf borderId="22" fillId="13" fontId="27" numFmtId="165" xfId="0" applyAlignment="1" applyBorder="1" applyFont="1" applyNumberFormat="1">
      <alignment horizontal="left" shrinkToFit="0" vertical="bottom" wrapText="1"/>
    </xf>
    <xf borderId="13" fillId="13" fontId="27" numFmtId="0" xfId="0" applyAlignment="1" applyBorder="1" applyFont="1">
      <alignment horizontal="left" readingOrder="0" shrinkToFit="0" vertical="bottom" wrapText="1"/>
    </xf>
    <xf borderId="22" fillId="13" fontId="27" numFmtId="165" xfId="0" applyAlignment="1" applyBorder="1" applyFont="1" applyNumberFormat="1">
      <alignment horizontal="left" shrinkToFit="0" vertical="center" wrapText="1"/>
    </xf>
    <xf borderId="13" fillId="12" fontId="27" numFmtId="0" xfId="0" applyAlignment="1" applyBorder="1" applyFont="1">
      <alignment horizontal="left" shrinkToFit="0" vertical="bottom" wrapText="1"/>
    </xf>
    <xf borderId="13" fillId="12" fontId="27" numFmtId="4" xfId="0" applyAlignment="1" applyBorder="1" applyFont="1" applyNumberFormat="1">
      <alignment horizontal="center" shrinkToFit="0" vertical="bottom" wrapText="1"/>
    </xf>
    <xf borderId="22" fillId="12" fontId="27" numFmtId="165" xfId="0" applyAlignment="1" applyBorder="1" applyFont="1" applyNumberFormat="1">
      <alignment horizontal="left" shrinkToFit="0" vertical="center" wrapText="1"/>
    </xf>
    <xf borderId="13" fillId="14" fontId="27" numFmtId="4" xfId="0" applyAlignment="1" applyBorder="1" applyFill="1" applyFont="1" applyNumberFormat="1">
      <alignment horizontal="center" shrinkToFit="0" vertical="center" wrapText="1"/>
    </xf>
    <xf borderId="24" fillId="13" fontId="27" numFmtId="177" xfId="0" applyAlignment="1" applyBorder="1" applyFont="1" applyNumberFormat="1">
      <alignment horizontal="right" shrinkToFit="0" vertical="bottom" wrapText="1"/>
    </xf>
    <xf borderId="13" fillId="13" fontId="27" numFmtId="0" xfId="0" applyAlignment="1" applyBorder="1" applyFont="1">
      <alignment horizontal="left" shrinkToFit="0" vertical="bottom" wrapText="1"/>
    </xf>
    <xf borderId="13" fillId="15" fontId="27" numFmtId="4" xfId="0" applyAlignment="1" applyBorder="1" applyFill="1" applyFont="1" applyNumberFormat="1">
      <alignment horizontal="center" shrinkToFit="0" vertical="bottom" wrapText="1"/>
    </xf>
    <xf borderId="13" fillId="16" fontId="27" numFmtId="4" xfId="0" applyAlignment="1" applyBorder="1" applyFill="1" applyFont="1" applyNumberFormat="1">
      <alignment horizontal="center" shrinkToFit="0" vertical="bottom" wrapText="1"/>
    </xf>
    <xf borderId="22" fillId="12" fontId="27" numFmtId="165" xfId="0" applyAlignment="1" applyBorder="1" applyFont="1" applyNumberFormat="1">
      <alignment horizontal="left" shrinkToFit="0" vertical="bottom" wrapText="1"/>
    </xf>
    <xf borderId="13" fillId="15" fontId="27" numFmtId="4" xfId="0" applyAlignment="1" applyBorder="1" applyFont="1" applyNumberFormat="1">
      <alignment horizontal="center" shrinkToFit="0" vertical="bottom" wrapText="1"/>
    </xf>
    <xf borderId="13" fillId="15" fontId="27" numFmtId="4" xfId="0" applyAlignment="1" applyBorder="1" applyFont="1" applyNumberFormat="1">
      <alignment horizontal="center" shrinkToFit="0" vertical="center" wrapText="1"/>
    </xf>
    <xf borderId="13" fillId="16" fontId="27" numFmtId="4" xfId="0" applyAlignment="1" applyBorder="1" applyFont="1" applyNumberFormat="1">
      <alignment horizontal="center" shrinkToFit="0" vertical="center" wrapText="1"/>
    </xf>
    <xf borderId="13" fillId="12" fontId="28" numFmtId="0" xfId="0" applyAlignment="1" applyBorder="1" applyFont="1">
      <alignment horizontal="left" shrinkToFit="0" vertical="center" wrapText="1"/>
    </xf>
    <xf borderId="13" fillId="13" fontId="28" numFmtId="0" xfId="0" applyAlignment="1" applyBorder="1" applyFont="1">
      <alignment horizontal="left" shrinkToFit="0" vertical="center" wrapText="1"/>
    </xf>
    <xf borderId="13" fillId="16" fontId="27" numFmtId="4" xfId="0" applyAlignment="1" applyBorder="1" applyFont="1" applyNumberFormat="1">
      <alignment horizontal="center" shrinkToFit="0" vertical="bottom" wrapText="1"/>
    </xf>
    <xf borderId="13" fillId="13" fontId="27" numFmtId="165" xfId="0" applyAlignment="1" applyBorder="1" applyFont="1" applyNumberFormat="1">
      <alignment horizontal="left" shrinkToFit="0" vertical="bottom" wrapText="1"/>
    </xf>
    <xf borderId="13" fillId="13" fontId="27" numFmtId="4" xfId="0" applyAlignment="1" applyBorder="1" applyFont="1" applyNumberFormat="1">
      <alignment horizontal="center" shrinkToFit="0" vertical="bottom" wrapText="1"/>
    </xf>
    <xf borderId="13" fillId="15" fontId="27" numFmtId="4" xfId="0" applyAlignment="1" applyBorder="1" applyFont="1" applyNumberFormat="1">
      <alignment horizontal="center" readingOrder="0" shrinkToFit="0" vertical="center" wrapText="1"/>
    </xf>
    <xf borderId="13" fillId="12" fontId="28" numFmtId="0" xfId="0" applyAlignment="1" applyBorder="1" applyFont="1">
      <alignment horizontal="left" shrinkToFit="0" vertical="bottom" wrapText="1"/>
    </xf>
    <xf borderId="22" fillId="13" fontId="27" numFmtId="165" xfId="0" applyAlignment="1" applyBorder="1" applyFont="1" applyNumberFormat="1">
      <alignment horizontal="left" shrinkToFit="0" vertical="bottom" wrapText="1"/>
    </xf>
    <xf borderId="0" fillId="12" fontId="7" numFmtId="0" xfId="0" applyAlignment="1" applyFont="1">
      <alignment horizontal="left" shrinkToFit="0" vertical="center" wrapText="1"/>
    </xf>
    <xf borderId="13" fillId="13" fontId="28" numFmtId="0" xfId="0" applyAlignment="1" applyBorder="1" applyFont="1">
      <alignment horizontal="left" shrinkToFit="0" vertical="bottom" wrapText="1"/>
    </xf>
    <xf borderId="22" fillId="12" fontId="34" numFmtId="165" xfId="0" applyAlignment="1" applyBorder="1" applyFont="1" applyNumberFormat="1">
      <alignment horizontal="left" shrinkToFit="0" vertical="center" wrapText="1"/>
    </xf>
    <xf borderId="13" fillId="12" fontId="34" numFmtId="0" xfId="0" applyAlignment="1" applyBorder="1" applyFont="1">
      <alignment horizontal="left" shrinkToFit="0" vertical="bottom" wrapText="1"/>
    </xf>
    <xf borderId="13" fillId="16" fontId="27" numFmtId="4" xfId="0" applyAlignment="1" applyBorder="1" applyFont="1" applyNumberFormat="1">
      <alignment horizontal="center" readingOrder="0" shrinkToFit="0" vertical="bottom" wrapText="1"/>
    </xf>
    <xf borderId="22" fillId="16" fontId="27" numFmtId="165" xfId="0" applyAlignment="1" applyBorder="1" applyFont="1" applyNumberFormat="1">
      <alignment horizontal="left" shrinkToFit="0" vertical="bottom" wrapText="1"/>
    </xf>
    <xf borderId="13" fillId="17" fontId="27" numFmtId="4" xfId="0" applyAlignment="1" applyBorder="1" applyFill="1" applyFont="1" applyNumberFormat="1">
      <alignment horizontal="center" shrinkToFit="0" vertical="bottom" wrapText="1"/>
    </xf>
    <xf borderId="13" fillId="18" fontId="27" numFmtId="4" xfId="0" applyAlignment="1" applyBorder="1" applyFill="1" applyFont="1" applyNumberFormat="1">
      <alignment horizontal="center" shrinkToFit="0" vertical="center" wrapText="1"/>
    </xf>
    <xf borderId="13" fillId="13" fontId="33" numFmtId="4" xfId="0" applyAlignment="1" applyBorder="1" applyFont="1" applyNumberFormat="1">
      <alignment horizontal="center" shrinkToFit="0" vertical="center" wrapText="1"/>
    </xf>
    <xf borderId="13" fillId="13" fontId="27" numFmtId="4" xfId="0" applyAlignment="1" applyBorder="1" applyFont="1" applyNumberFormat="1">
      <alignment horizontal="center" readingOrder="0" shrinkToFit="0" vertical="bottom" wrapText="1"/>
    </xf>
    <xf borderId="22" fillId="13" fontId="27" numFmtId="165" xfId="0" applyAlignment="1" applyBorder="1" applyFont="1" applyNumberFormat="1">
      <alignment horizontal="left" readingOrder="0" shrinkToFit="0" vertical="bottom" wrapText="1"/>
    </xf>
    <xf borderId="13" fillId="13" fontId="27" numFmtId="0" xfId="0" applyAlignment="1" applyBorder="1" applyFont="1">
      <alignment horizontal="left" readingOrder="0" shrinkToFit="0" vertical="bottom" wrapText="1"/>
    </xf>
    <xf borderId="13" fillId="12" fontId="27" numFmtId="4" xfId="0" applyAlignment="1" applyBorder="1" applyFont="1" applyNumberFormat="1">
      <alignment horizontal="center" readingOrder="0" shrinkToFit="0" vertical="bottom" wrapText="1"/>
    </xf>
    <xf borderId="22" fillId="12" fontId="27" numFmtId="165" xfId="0" applyAlignment="1" applyBorder="1" applyFont="1" applyNumberFormat="1">
      <alignment horizontal="left" readingOrder="0" shrinkToFit="0" vertical="bottom" wrapText="1"/>
    </xf>
    <xf borderId="13" fillId="12" fontId="27" numFmtId="0" xfId="0" applyAlignment="1" applyBorder="1" applyFont="1">
      <alignment horizontal="left" readingOrder="0" shrinkToFit="0" vertical="bottom" wrapText="1"/>
    </xf>
    <xf borderId="13" fillId="13" fontId="27" numFmtId="165" xfId="0" applyAlignment="1" applyBorder="1" applyFont="1" applyNumberFormat="1">
      <alignment horizontal="left" shrinkToFit="0" vertical="center" wrapText="1"/>
    </xf>
    <xf borderId="13" fillId="12" fontId="27" numFmtId="165" xfId="0" applyAlignment="1" applyBorder="1" applyFont="1" applyNumberFormat="1">
      <alignment horizontal="left" shrinkToFit="0" vertical="center" wrapText="1"/>
    </xf>
    <xf borderId="13" fillId="13" fontId="33" numFmtId="4" xfId="0" applyAlignment="1" applyBorder="1" applyFont="1" applyNumberFormat="1">
      <alignment horizontal="center" shrinkToFit="0" vertical="bottom" wrapText="1"/>
    </xf>
    <xf borderId="22" fillId="13" fontId="27" numFmtId="4" xfId="0" applyAlignment="1" applyBorder="1" applyFont="1" applyNumberFormat="1">
      <alignment horizontal="center" shrinkToFit="0" vertical="bottom" wrapText="1"/>
    </xf>
    <xf borderId="22" fillId="13" fontId="34" numFmtId="165" xfId="0" applyAlignment="1" applyBorder="1" applyFont="1" applyNumberFormat="1">
      <alignment horizontal="left" shrinkToFit="0" vertical="center" wrapText="1"/>
    </xf>
    <xf borderId="13" fillId="13" fontId="34" numFmtId="0" xfId="0" applyAlignment="1" applyBorder="1" applyFont="1">
      <alignment horizontal="left" shrinkToFit="0" vertical="bottom" wrapText="1"/>
    </xf>
    <xf borderId="13" fillId="12" fontId="27" numFmtId="165" xfId="0" applyAlignment="1" applyBorder="1" applyFont="1" applyNumberFormat="1">
      <alignment horizontal="left" shrinkToFit="0" vertical="bottom" wrapText="1"/>
    </xf>
    <xf borderId="24" fillId="13" fontId="35" numFmtId="177" xfId="0" applyAlignment="1" applyBorder="1" applyFont="1" applyNumberFormat="1">
      <alignment horizontal="right" shrinkToFit="0" vertical="center" wrapText="1"/>
    </xf>
    <xf borderId="13" fillId="13" fontId="36" numFmtId="0" xfId="0" applyAlignment="1" applyBorder="1" applyFont="1">
      <alignment horizontal="left" shrinkToFit="0" vertical="center" wrapText="1"/>
    </xf>
    <xf borderId="13" fillId="13" fontId="35" numFmtId="4" xfId="0" applyAlignment="1" applyBorder="1" applyFont="1" applyNumberFormat="1">
      <alignment horizontal="center" shrinkToFit="0" vertical="center" wrapText="1"/>
    </xf>
    <xf borderId="13" fillId="12" fontId="27" numFmtId="177" xfId="0" applyAlignment="1" applyBorder="1" applyFont="1" applyNumberFormat="1">
      <alignment horizontal="right" shrinkToFit="0" vertical="center" wrapText="1"/>
    </xf>
    <xf borderId="13" fillId="12" fontId="27" numFmtId="165" xfId="0" applyAlignment="1" applyBorder="1" applyFont="1" applyNumberFormat="1">
      <alignment horizontal="left" shrinkToFit="0" vertical="bottom" wrapText="1"/>
    </xf>
    <xf borderId="13" fillId="13" fontId="27" numFmtId="177" xfId="0" applyAlignment="1" applyBorder="1" applyFont="1" applyNumberFormat="1">
      <alignment horizontal="right" shrinkToFit="0" vertical="center" wrapText="1"/>
    </xf>
    <xf borderId="13" fillId="13" fontId="27" numFmtId="165" xfId="0" applyAlignment="1" applyBorder="1" applyFont="1" applyNumberFormat="1">
      <alignment horizontal="left" shrinkToFit="0" vertical="bottom" wrapText="1"/>
    </xf>
    <xf borderId="13" fillId="13" fontId="35" numFmtId="177" xfId="0" applyAlignment="1" applyBorder="1" applyFont="1" applyNumberFormat="1">
      <alignment horizontal="right" shrinkToFit="0" vertical="center" wrapText="1"/>
    </xf>
    <xf borderId="13" fillId="12" fontId="27" numFmtId="177" xfId="0" applyAlignment="1" applyBorder="1" applyFont="1" applyNumberFormat="1">
      <alignment horizontal="right" shrinkToFit="0" vertical="bottom" wrapText="1"/>
    </xf>
    <xf borderId="13" fillId="13" fontId="27" numFmtId="177" xfId="0" applyAlignment="1" applyBorder="1" applyFont="1" applyNumberFormat="1">
      <alignment horizontal="right" shrinkToFit="0" vertical="center" wrapText="1"/>
    </xf>
    <xf borderId="13" fillId="12" fontId="27" numFmtId="177" xfId="0" applyAlignment="1" applyBorder="1" applyFont="1" applyNumberFormat="1">
      <alignment horizontal="right" shrinkToFit="0" vertical="center" wrapText="1"/>
    </xf>
    <xf borderId="13" fillId="13" fontId="27" numFmtId="177" xfId="0" applyAlignment="1" applyBorder="1" applyFont="1" applyNumberFormat="1">
      <alignment horizontal="right" shrinkToFit="0" vertical="bottom" wrapText="1"/>
    </xf>
    <xf borderId="13" fillId="13" fontId="27" numFmtId="165" xfId="0" applyAlignment="1" applyBorder="1" applyFont="1" applyNumberFormat="1">
      <alignment horizontal="left" shrinkToFit="0" vertical="center" wrapText="1"/>
    </xf>
    <xf borderId="13" fillId="13" fontId="27" numFmtId="177" xfId="0" applyAlignment="1" applyBorder="1" applyFont="1" applyNumberFormat="1">
      <alignment horizontal="right" shrinkToFit="0" vertical="bottom" wrapText="1"/>
    </xf>
    <xf borderId="13" fillId="12" fontId="27" numFmtId="177" xfId="0" applyAlignment="1" applyBorder="1" applyFont="1" applyNumberFormat="1">
      <alignment horizontal="right" shrinkToFit="0" vertical="bottom" wrapText="1"/>
    </xf>
    <xf borderId="13" fillId="12" fontId="33" numFmtId="4" xfId="0" applyAlignment="1" applyBorder="1" applyFont="1" applyNumberFormat="1">
      <alignment horizontal="center" shrinkToFit="0" vertical="center" wrapText="1"/>
    </xf>
    <xf borderId="13" fillId="12" fontId="27" numFmtId="165" xfId="0" applyAlignment="1" applyBorder="1" applyFont="1" applyNumberFormat="1">
      <alignment horizontal="left" shrinkToFit="0" vertical="center" wrapText="1"/>
    </xf>
    <xf borderId="13" fillId="12" fontId="34" numFmtId="165" xfId="0" applyAlignment="1" applyBorder="1" applyFont="1" applyNumberFormat="1">
      <alignment horizontal="left" shrinkToFit="0" vertical="bottom" wrapText="1"/>
    </xf>
    <xf borderId="13" fillId="12" fontId="35" numFmtId="177" xfId="0" applyAlignment="1" applyBorder="1" applyFont="1" applyNumberFormat="1">
      <alignment horizontal="right" shrinkToFit="0" vertical="bottom" wrapText="1"/>
    </xf>
    <xf borderId="13" fillId="12" fontId="36" numFmtId="0" xfId="0" applyAlignment="1" applyBorder="1" applyFont="1">
      <alignment horizontal="left" shrinkToFit="0" vertical="center" wrapText="1"/>
    </xf>
    <xf borderId="13" fillId="12" fontId="35" numFmtId="4" xfId="0" applyAlignment="1" applyBorder="1" applyFont="1" applyNumberFormat="1">
      <alignment horizontal="center" shrinkToFit="0" vertical="center" wrapText="1"/>
    </xf>
    <xf borderId="13" fillId="13" fontId="35" numFmtId="177" xfId="0" applyAlignment="1" applyBorder="1" applyFont="1" applyNumberFormat="1">
      <alignment horizontal="right" shrinkToFit="0" vertical="bottom" wrapText="1"/>
    </xf>
    <xf borderId="13" fillId="13" fontId="36" numFmtId="0" xfId="0" applyAlignment="1" applyBorder="1" applyFont="1">
      <alignment horizontal="left" shrinkToFit="0" vertical="center" wrapText="1"/>
    </xf>
    <xf borderId="13" fillId="12" fontId="35" numFmtId="177" xfId="0" applyAlignment="1" applyBorder="1" applyFont="1" applyNumberFormat="1">
      <alignment horizontal="right" shrinkToFit="0" vertical="center" wrapText="1"/>
    </xf>
    <xf borderId="13" fillId="12" fontId="36" numFmtId="0" xfId="0" applyAlignment="1" applyBorder="1" applyFont="1">
      <alignment horizontal="left" shrinkToFit="0" vertical="center" wrapText="1"/>
    </xf>
    <xf borderId="13" fillId="12" fontId="27" numFmtId="177" xfId="0" applyAlignment="1" applyBorder="1" applyFont="1" applyNumberFormat="1">
      <alignment horizontal="right" readingOrder="0" shrinkToFit="0" vertical="bottom" wrapText="1"/>
    </xf>
    <xf borderId="13" fillId="12" fontId="28" numFmtId="0" xfId="0" applyAlignment="1" applyBorder="1" applyFont="1">
      <alignment horizontal="left" readingOrder="0" shrinkToFit="0" vertical="bottom" wrapText="1"/>
    </xf>
    <xf borderId="13" fillId="12" fontId="27" numFmtId="4" xfId="0" applyAlignment="1" applyBorder="1" applyFont="1" applyNumberFormat="1">
      <alignment horizontal="center" readingOrder="0" shrinkToFit="0" vertical="bottom" wrapText="1"/>
    </xf>
    <xf borderId="13" fillId="12" fontId="27" numFmtId="165" xfId="0" applyAlignment="1" applyBorder="1" applyFont="1" applyNumberFormat="1">
      <alignment horizontal="left" readingOrder="0" shrinkToFit="0" vertical="bottom" wrapText="1"/>
    </xf>
    <xf borderId="13" fillId="13" fontId="27" numFmtId="177" xfId="0" applyAlignment="1" applyBorder="1" applyFont="1" applyNumberFormat="1">
      <alignment horizontal="right" readingOrder="0" shrinkToFit="0" vertical="bottom" wrapText="1"/>
    </xf>
    <xf borderId="13" fillId="13" fontId="28" numFmtId="0" xfId="0" applyAlignment="1" applyBorder="1" applyFont="1">
      <alignment horizontal="left" readingOrder="0" shrinkToFit="0" vertical="bottom" wrapText="1"/>
    </xf>
    <xf borderId="13" fillId="13" fontId="27" numFmtId="4" xfId="0" applyAlignment="1" applyBorder="1" applyFont="1" applyNumberFormat="1">
      <alignment horizontal="center" readingOrder="0" shrinkToFit="0" vertical="bottom" wrapText="1"/>
    </xf>
    <xf borderId="13" fillId="13" fontId="27" numFmtId="165" xfId="0" applyAlignment="1" applyBorder="1" applyFont="1" applyNumberFormat="1">
      <alignment horizontal="left" readingOrder="0" shrinkToFit="0" vertical="bottom" wrapText="1"/>
    </xf>
    <xf borderId="13" fillId="12" fontId="27" numFmtId="0" xfId="0" applyAlignment="1" applyBorder="1" applyFont="1">
      <alignment horizontal="left" readingOrder="0" shrinkToFit="0" vertical="bottom" wrapText="1"/>
    </xf>
    <xf borderId="13" fillId="13" fontId="27" numFmtId="0" xfId="0" applyAlignment="1" applyBorder="1" applyFont="1">
      <alignment horizontal="left" readingOrder="0" shrinkToFit="0" vertical="bottom" wrapText="1"/>
    </xf>
    <xf borderId="13" fillId="12" fontId="27" numFmtId="177" xfId="0" applyAlignment="1" applyBorder="1" applyFont="1" applyNumberFormat="1">
      <alignment horizontal="center" shrinkToFit="0" vertical="bottom" wrapText="1"/>
    </xf>
    <xf borderId="13" fillId="13" fontId="27" numFmtId="177" xfId="0" applyAlignment="1" applyBorder="1" applyFont="1" applyNumberFormat="1">
      <alignment horizontal="center" shrinkToFit="0" vertical="bottom" wrapText="1"/>
    </xf>
    <xf quotePrefix="1" borderId="13" fillId="13" fontId="27" numFmtId="0" xfId="0" applyAlignment="1" applyBorder="1" applyFont="1">
      <alignment horizontal="left" shrinkToFit="0" vertical="bottom" wrapText="1"/>
    </xf>
    <xf quotePrefix="1" borderId="13" fillId="12" fontId="27" numFmtId="0" xfId="0" applyAlignment="1" applyBorder="1" applyFont="1">
      <alignment horizontal="left" shrinkToFit="0" vertical="bottom" wrapText="1"/>
    </xf>
    <xf borderId="13" fillId="12" fontId="27" numFmtId="0" xfId="0" applyAlignment="1" applyBorder="1" applyFont="1">
      <alignment horizontal="right" readingOrder="0" shrinkToFit="0" vertical="bottom" wrapText="1"/>
    </xf>
    <xf borderId="13" fillId="13" fontId="27" numFmtId="0" xfId="0" applyAlignment="1" applyBorder="1" applyFont="1">
      <alignment horizontal="right" readingOrder="0" shrinkToFit="0" vertical="bottom" wrapText="1"/>
    </xf>
    <xf borderId="13" fillId="19" fontId="13" numFmtId="177" xfId="0" applyAlignment="1" applyBorder="1" applyFill="1" applyFont="1" applyNumberFormat="1">
      <alignment horizontal="right" readingOrder="0" shrinkToFit="0" vertical="bottom" wrapText="0"/>
    </xf>
    <xf borderId="13" fillId="19" fontId="30" numFmtId="0" xfId="0" applyAlignment="1" applyBorder="1" applyFont="1">
      <alignment horizontal="left" readingOrder="0" shrinkToFit="0" vertical="center" wrapText="0"/>
    </xf>
    <xf borderId="13" fillId="19" fontId="13" numFmtId="0" xfId="0" applyAlignment="1" applyBorder="1" applyFont="1">
      <alignment horizontal="left" readingOrder="0" shrinkToFit="0" vertical="bottom" wrapText="0"/>
    </xf>
    <xf borderId="13" fillId="19" fontId="13" numFmtId="4" xfId="0" applyAlignment="1" applyBorder="1" applyFont="1" applyNumberFormat="1">
      <alignment horizontal="center" readingOrder="0" shrinkToFit="0" vertical="bottom" wrapText="0"/>
    </xf>
    <xf borderId="13" fillId="19" fontId="13" numFmtId="165" xfId="0" applyAlignment="1" applyBorder="1" applyFont="1" applyNumberFormat="1">
      <alignment horizontal="left" readingOrder="0" shrinkToFit="0" vertical="bottom" wrapText="0"/>
    </xf>
    <xf borderId="13" fillId="13" fontId="13" numFmtId="0" xfId="0" applyAlignment="1" applyBorder="1" applyFont="1">
      <alignment horizontal="left" readingOrder="0" shrinkToFit="0" vertical="bottom" wrapText="0"/>
    </xf>
    <xf borderId="13" fillId="20" fontId="13" numFmtId="177" xfId="0" applyAlignment="1" applyBorder="1" applyFill="1" applyFont="1" applyNumberFormat="1">
      <alignment horizontal="right" readingOrder="0" shrinkToFit="0" vertical="bottom" wrapText="0"/>
    </xf>
    <xf borderId="13" fillId="20" fontId="30" numFmtId="0" xfId="0" applyAlignment="1" applyBorder="1" applyFont="1">
      <alignment horizontal="left" readingOrder="0" shrinkToFit="0" vertical="center" wrapText="0"/>
    </xf>
    <xf borderId="13" fillId="20" fontId="13" numFmtId="0" xfId="0" applyAlignment="1" applyBorder="1" applyFont="1">
      <alignment horizontal="left" readingOrder="0" shrinkToFit="0" vertical="bottom" wrapText="0"/>
    </xf>
    <xf borderId="13" fillId="20" fontId="13" numFmtId="4" xfId="0" applyAlignment="1" applyBorder="1" applyFont="1" applyNumberFormat="1">
      <alignment horizontal="center" readingOrder="0" shrinkToFit="0" vertical="bottom" wrapText="0"/>
    </xf>
    <xf borderId="13" fillId="20" fontId="13" numFmtId="165" xfId="0" applyAlignment="1" applyBorder="1" applyFont="1" applyNumberFormat="1">
      <alignment horizontal="left" readingOrder="0" shrinkToFit="0" vertical="bottom" wrapText="0"/>
    </xf>
    <xf borderId="13" fillId="12" fontId="13" numFmtId="0" xfId="0" applyAlignment="1" applyBorder="1" applyFont="1">
      <alignment horizontal="left" readingOrder="0" shrinkToFit="0" vertical="bottom" wrapText="0"/>
    </xf>
    <xf borderId="13" fillId="12" fontId="13" numFmtId="0" xfId="0" applyAlignment="1" applyBorder="1" applyFont="1">
      <alignment horizontal="left" readingOrder="0" shrinkToFit="0" vertical="bottom" wrapText="0"/>
    </xf>
    <xf borderId="13" fillId="13" fontId="30" numFmtId="0" xfId="0" applyAlignment="1" applyBorder="1" applyFont="1">
      <alignment horizontal="left" readingOrder="0" shrinkToFit="0" vertical="center" wrapText="0"/>
    </xf>
    <xf borderId="13" fillId="13" fontId="13" numFmtId="4" xfId="0" applyAlignment="1" applyBorder="1" applyFont="1" applyNumberFormat="1">
      <alignment horizontal="center" readingOrder="0" shrinkToFit="0" vertical="bottom" wrapText="0"/>
    </xf>
    <xf borderId="13" fillId="13" fontId="13" numFmtId="165" xfId="0" applyAlignment="1" applyBorder="1" applyFont="1" applyNumberFormat="1">
      <alignment horizontal="left" readingOrder="0" shrinkToFit="0" vertical="bottom" wrapText="0"/>
    </xf>
    <xf borderId="13" fillId="13" fontId="13" numFmtId="0" xfId="0" applyAlignment="1" applyBorder="1" applyFont="1">
      <alignment horizontal="left" readingOrder="0" shrinkToFit="0" vertical="bottom" wrapText="0"/>
    </xf>
    <xf borderId="13" fillId="12" fontId="30" numFmtId="0" xfId="0" applyAlignment="1" applyBorder="1" applyFont="1">
      <alignment horizontal="left" readingOrder="0" shrinkToFit="0" vertical="center" wrapText="0"/>
    </xf>
    <xf borderId="13" fillId="12" fontId="13" numFmtId="4" xfId="0" applyAlignment="1" applyBorder="1" applyFont="1" applyNumberFormat="1">
      <alignment horizontal="center" readingOrder="0" shrinkToFit="0" vertical="bottom" wrapText="0"/>
    </xf>
    <xf borderId="13" fillId="12" fontId="13" numFmtId="165" xfId="0" applyAlignment="1" applyBorder="1" applyFont="1" applyNumberFormat="1">
      <alignment horizontal="left" readingOrder="0" shrinkToFit="0" vertical="bottom" wrapText="0"/>
    </xf>
    <xf borderId="13" fillId="12" fontId="32" numFmtId="0" xfId="0" applyAlignment="1" applyBorder="1" applyFont="1">
      <alignment horizontal="left" readingOrder="0" shrinkToFit="0" vertical="center" wrapText="1"/>
    </xf>
    <xf borderId="13" fillId="12" fontId="7" numFmtId="0" xfId="0" applyAlignment="1" applyBorder="1" applyFont="1">
      <alignment horizontal="left" readingOrder="0" shrinkToFit="0" vertical="center" wrapText="1"/>
    </xf>
    <xf borderId="13" fillId="12" fontId="7" numFmtId="4" xfId="0" applyAlignment="1" applyBorder="1" applyFont="1" applyNumberFormat="1">
      <alignment horizontal="center" readingOrder="0" shrinkToFit="0" vertical="center" wrapText="1"/>
    </xf>
    <xf borderId="13" fillId="13" fontId="32" numFmtId="0" xfId="0" applyAlignment="1" applyBorder="1" applyFont="1">
      <alignment horizontal="left" readingOrder="0" shrinkToFit="0" vertical="center" wrapText="1"/>
    </xf>
    <xf borderId="13" fillId="13" fontId="7" numFmtId="0" xfId="0" applyAlignment="1" applyBorder="1" applyFont="1">
      <alignment horizontal="left" readingOrder="0" shrinkToFit="0" vertical="center" wrapText="1"/>
    </xf>
    <xf borderId="13" fillId="13" fontId="7" numFmtId="4" xfId="0" applyAlignment="1" applyBorder="1" applyFont="1" applyNumberFormat="1">
      <alignment horizontal="center" readingOrder="0" shrinkToFit="0" vertical="center" wrapText="1"/>
    </xf>
    <xf borderId="13" fillId="12" fontId="27" numFmtId="178" xfId="0" applyAlignment="1" applyBorder="1" applyFont="1" applyNumberFormat="1">
      <alignment horizontal="right" readingOrder="0" shrinkToFit="0" vertical="bottom" wrapText="1"/>
    </xf>
    <xf borderId="13" fillId="13" fontId="27" numFmtId="178" xfId="0" applyAlignment="1" applyBorder="1" applyFont="1" applyNumberFormat="1">
      <alignment horizontal="right" readingOrder="0" shrinkToFit="0" vertical="bottom" wrapText="1"/>
    </xf>
    <xf borderId="13" fillId="13" fontId="27" numFmtId="15" xfId="0" applyAlignment="1" applyBorder="1" applyFont="1" applyNumberFormat="1">
      <alignment horizontal="left" shrinkToFit="0" vertical="bottom" wrapText="1"/>
    </xf>
    <xf borderId="13" fillId="12" fontId="27" numFmtId="15" xfId="0" applyAlignment="1" applyBorder="1" applyFont="1" applyNumberFormat="1">
      <alignment horizontal="left" shrinkToFit="0" vertical="bottom" wrapText="1"/>
    </xf>
    <xf borderId="13" fillId="12" fontId="24" numFmtId="3" xfId="0" applyAlignment="1" applyBorder="1" applyFont="1" applyNumberFormat="1">
      <alignment horizontal="left" readingOrder="0" shrinkToFit="0" vertical="bottom" wrapText="1"/>
    </xf>
    <xf borderId="13" fillId="12" fontId="24" numFmtId="0" xfId="0" applyAlignment="1" applyBorder="1" applyFont="1">
      <alignment horizontal="left" readingOrder="0" shrinkToFit="0" vertical="bottom" wrapText="1"/>
    </xf>
    <xf borderId="13" fillId="12" fontId="24" numFmtId="4" xfId="0" applyAlignment="1" applyBorder="1" applyFont="1" applyNumberFormat="1">
      <alignment horizontal="left" readingOrder="0" shrinkToFit="0" vertical="bottom" wrapText="1"/>
    </xf>
    <xf borderId="0" fillId="12" fontId="24" numFmtId="0" xfId="0" applyAlignment="1" applyFont="1">
      <alignment horizontal="left" shrinkToFit="0" vertical="bottom" wrapText="1"/>
    </xf>
    <xf borderId="13" fillId="12" fontId="7" numFmtId="3" xfId="0" applyAlignment="1" applyBorder="1" applyFont="1" applyNumberFormat="1">
      <alignment horizontal="left" readingOrder="0" shrinkToFit="0" vertical="bottom" wrapText="1"/>
    </xf>
    <xf borderId="13" fillId="12" fontId="7" numFmtId="179" xfId="0" applyAlignment="1" applyBorder="1" applyFont="1" applyNumberFormat="1">
      <alignment horizontal="left" readingOrder="0" shrinkToFit="0" vertical="bottom" wrapText="1"/>
    </xf>
    <xf borderId="13" fillId="12" fontId="7" numFmtId="0" xfId="0" applyAlignment="1" applyBorder="1" applyFont="1">
      <alignment horizontal="left" readingOrder="0" shrinkToFit="0" vertical="bottom" wrapText="1"/>
    </xf>
    <xf borderId="13" fillId="12" fontId="7" numFmtId="4" xfId="0" applyAlignment="1" applyBorder="1" applyFont="1" applyNumberFormat="1">
      <alignment horizontal="left" readingOrder="0" shrinkToFit="0" vertical="bottom" wrapText="1"/>
    </xf>
    <xf borderId="13" fillId="5" fontId="7" numFmtId="0" xfId="0" applyAlignment="1" applyBorder="1" applyFont="1">
      <alignment horizontal="left" readingOrder="0" shrinkToFit="0" vertical="bottom" wrapText="1"/>
    </xf>
    <xf borderId="0" fillId="21" fontId="7" numFmtId="0" xfId="0" applyAlignment="1" applyFill="1" applyFont="1">
      <alignment horizontal="left" shrinkToFit="0" vertical="bottom" wrapText="1"/>
    </xf>
    <xf borderId="0" fillId="12" fontId="7" numFmtId="0" xfId="0" applyAlignment="1" applyFont="1">
      <alignment horizontal="left" readingOrder="0" shrinkToFit="0" vertical="bottom" wrapText="1"/>
    </xf>
    <xf borderId="0" fillId="12" fontId="7" numFmtId="0" xfId="0" applyAlignment="1" applyFont="1">
      <alignment horizontal="left" shrinkToFit="0" vertical="bottom" wrapText="1"/>
    </xf>
    <xf borderId="0" fillId="22" fontId="7" numFmtId="0" xfId="0" applyAlignment="1" applyFill="1" applyFont="1">
      <alignment horizontal="left" shrinkToFit="0" vertical="bottom" wrapText="1"/>
    </xf>
    <xf borderId="13" fillId="3" fontId="7" numFmtId="0" xfId="0" applyAlignment="1" applyBorder="1" applyFont="1">
      <alignment horizontal="left" readingOrder="0" shrinkToFit="0" vertical="bottom" wrapText="1"/>
    </xf>
    <xf borderId="0" fillId="23" fontId="7" numFmtId="0" xfId="0" applyAlignment="1" applyFill="1" applyFont="1">
      <alignment horizontal="left" shrinkToFit="0" vertical="bottom" wrapText="1"/>
    </xf>
    <xf borderId="0" fillId="4" fontId="7" numFmtId="0" xfId="0" applyAlignment="1" applyFont="1">
      <alignment horizontal="left" shrinkToFit="0" vertical="bottom" wrapText="1"/>
    </xf>
    <xf borderId="13" fillId="24" fontId="7" numFmtId="3" xfId="0" applyAlignment="1" applyBorder="1" applyFill="1" applyFont="1" applyNumberFormat="1">
      <alignment horizontal="left" readingOrder="0" shrinkToFit="0" vertical="bottom" wrapText="1"/>
    </xf>
    <xf borderId="13" fillId="24" fontId="7" numFmtId="0" xfId="0" applyAlignment="1" applyBorder="1" applyFont="1">
      <alignment horizontal="left" shrinkToFit="0" vertical="bottom" wrapText="1"/>
    </xf>
    <xf borderId="13" fillId="24" fontId="7" numFmtId="4" xfId="0" applyAlignment="1" applyBorder="1" applyFont="1" applyNumberFormat="1">
      <alignment horizontal="left" shrinkToFit="0" vertical="bottom" wrapText="1"/>
    </xf>
    <xf borderId="13" fillId="25" fontId="7" numFmtId="0" xfId="0" applyAlignment="1" applyBorder="1" applyFill="1" applyFont="1">
      <alignment horizontal="left" readingOrder="0" shrinkToFit="0" vertical="bottom" wrapText="1"/>
    </xf>
    <xf borderId="13" fillId="12" fontId="7" numFmtId="0" xfId="0" applyAlignment="1" applyBorder="1" applyFont="1">
      <alignment horizontal="left" shrinkToFit="0" vertical="bottom" wrapText="1"/>
    </xf>
    <xf borderId="13" fillId="24" fontId="7" numFmtId="0" xfId="0" applyAlignment="1" applyBorder="1" applyFont="1">
      <alignment horizontal="left" readingOrder="0" shrinkToFit="0" vertical="bottom" wrapText="1"/>
    </xf>
    <xf borderId="13" fillId="24" fontId="7" numFmtId="4" xfId="0" applyAlignment="1" applyBorder="1" applyFont="1" applyNumberFormat="1">
      <alignment horizontal="left" readingOrder="0" shrinkToFit="0" vertical="bottom" wrapText="1"/>
    </xf>
    <xf borderId="13" fillId="12" fontId="7" numFmtId="3" xfId="0" applyAlignment="1" applyBorder="1" applyFont="1" applyNumberFormat="1">
      <alignment horizontal="left" readingOrder="0" shrinkToFit="0" vertical="center" wrapText="1"/>
    </xf>
    <xf borderId="13" fillId="12" fontId="7" numFmtId="0" xfId="0" applyAlignment="1" applyBorder="1" applyFont="1">
      <alignment horizontal="left" readingOrder="0" shrinkToFit="0" vertical="center" wrapText="1"/>
    </xf>
    <xf borderId="13" fillId="12" fontId="7" numFmtId="4" xfId="0" applyAlignment="1" applyBorder="1" applyFont="1" applyNumberFormat="1">
      <alignment horizontal="left" readingOrder="0" shrinkToFit="0" vertical="center" wrapText="1"/>
    </xf>
    <xf borderId="13" fillId="25" fontId="7" numFmtId="0" xfId="0" applyAlignment="1" applyBorder="1" applyFont="1">
      <alignment horizontal="left" readingOrder="0" shrinkToFit="0" vertical="center" wrapText="1"/>
    </xf>
    <xf borderId="13" fillId="12" fontId="7" numFmtId="0" xfId="0" applyAlignment="1" applyBorder="1" applyFont="1">
      <alignment horizontal="left" shrinkToFit="0" vertical="center" wrapText="1"/>
    </xf>
    <xf borderId="0" fillId="12" fontId="7" numFmtId="0" xfId="0" applyAlignment="1" applyFont="1">
      <alignment horizontal="left" shrinkToFit="0" vertical="center" wrapText="1"/>
    </xf>
    <xf borderId="13" fillId="26" fontId="7" numFmtId="3" xfId="0" applyAlignment="1" applyBorder="1" applyFill="1" applyFont="1" applyNumberFormat="1">
      <alignment horizontal="left" readingOrder="0" shrinkToFit="0" vertical="bottom" wrapText="1"/>
    </xf>
    <xf borderId="13" fillId="26" fontId="7" numFmtId="0" xfId="0" applyAlignment="1" applyBorder="1" applyFont="1">
      <alignment horizontal="left" readingOrder="0" shrinkToFit="0" vertical="bottom" wrapText="1"/>
    </xf>
    <xf borderId="13" fillId="26" fontId="7" numFmtId="4" xfId="0" applyAlignment="1" applyBorder="1" applyFont="1" applyNumberFormat="1">
      <alignment horizontal="left" readingOrder="0" shrinkToFit="0" vertical="bottom" wrapText="1"/>
    </xf>
    <xf borderId="13" fillId="26" fontId="7" numFmtId="0" xfId="0" applyAlignment="1" applyBorder="1" applyFont="1">
      <alignment horizontal="left" shrinkToFit="0" vertical="bottom" wrapText="1"/>
    </xf>
    <xf borderId="13" fillId="26" fontId="7" numFmtId="4" xfId="0" applyAlignment="1" applyBorder="1" applyFont="1" applyNumberFormat="1">
      <alignment horizontal="left" shrinkToFit="0" vertical="bottom" wrapText="1"/>
    </xf>
    <xf borderId="13" fillId="0" fontId="7" numFmtId="0" xfId="0" applyAlignment="1" applyBorder="1" applyFont="1">
      <alignment horizontal="left" readingOrder="0" shrinkToFit="0" vertical="bottom" wrapText="1"/>
    </xf>
    <xf borderId="13" fillId="12" fontId="37" numFmtId="0" xfId="0" applyAlignment="1" applyBorder="1" applyFont="1">
      <alignment horizontal="left" readingOrder="0" shrinkToFit="0" vertical="bottom" wrapText="1"/>
    </xf>
    <xf borderId="13" fillId="26" fontId="7" numFmtId="179" xfId="0" applyAlignment="1" applyBorder="1" applyFont="1" applyNumberFormat="1">
      <alignment horizontal="left" readingOrder="0" shrinkToFit="0" vertical="bottom" wrapText="1"/>
    </xf>
    <xf borderId="13" fillId="0" fontId="38" numFmtId="0" xfId="0" applyAlignment="1" applyBorder="1" applyFont="1">
      <alignment horizontal="left" readingOrder="0" shrinkToFit="0" vertical="bottom" wrapText="1"/>
    </xf>
    <xf borderId="13" fillId="0" fontId="7" numFmtId="4" xfId="0" applyAlignment="1" applyBorder="1" applyFont="1" applyNumberFormat="1">
      <alignment horizontal="left" shrinkToFit="0" vertical="bottom" wrapText="1"/>
    </xf>
    <xf borderId="13" fillId="0" fontId="7" numFmtId="0" xfId="0" applyAlignment="1" applyBorder="1" applyFont="1">
      <alignment horizontal="left" shrinkToFit="0" vertical="bottom" wrapText="1"/>
    </xf>
    <xf borderId="13" fillId="0" fontId="38" numFmtId="4" xfId="0" applyAlignment="1" applyBorder="1" applyFont="1" applyNumberFormat="1">
      <alignment horizontal="left" readingOrder="0" shrinkToFit="0" vertical="bottom" wrapText="1"/>
    </xf>
    <xf borderId="13" fillId="4" fontId="7" numFmtId="0" xfId="0" applyAlignment="1" applyBorder="1" applyFont="1">
      <alignment horizontal="left" readingOrder="0" shrinkToFit="0" vertical="bottom" wrapText="1"/>
    </xf>
    <xf borderId="13" fillId="0" fontId="39" numFmtId="0" xfId="0" applyAlignment="1" applyBorder="1" applyFont="1">
      <alignment horizontal="left" readingOrder="0" shrinkToFit="0" vertical="bottom" wrapText="1"/>
    </xf>
    <xf borderId="13" fillId="0" fontId="39" numFmtId="4" xfId="0" applyAlignment="1" applyBorder="1" applyFont="1" applyNumberFormat="1">
      <alignment horizontal="left" readingOrder="0" shrinkToFit="0" vertical="bottom" wrapText="1"/>
    </xf>
    <xf borderId="13" fillId="0" fontId="10" numFmtId="4" xfId="0" applyAlignment="1" applyBorder="1" applyFont="1" applyNumberFormat="1">
      <alignment horizontal="left" readingOrder="0" shrinkToFit="0" vertical="bottom" wrapText="1"/>
    </xf>
    <xf borderId="13" fillId="0" fontId="10" numFmtId="0" xfId="0" applyAlignment="1" applyBorder="1" applyFont="1">
      <alignment horizontal="left" readingOrder="0" shrinkToFit="0" vertical="bottom" wrapText="1"/>
    </xf>
    <xf borderId="13" fillId="12" fontId="7" numFmtId="178" xfId="0" applyAlignment="1" applyBorder="1" applyFont="1" applyNumberFormat="1">
      <alignment horizontal="left" readingOrder="0" shrinkToFit="0" vertical="bottom" wrapText="1"/>
    </xf>
    <xf borderId="13" fillId="0" fontId="38" numFmtId="3" xfId="0" applyAlignment="1" applyBorder="1" applyFont="1" applyNumberFormat="1">
      <alignment horizontal="left" readingOrder="0" shrinkToFit="0" vertical="bottom" wrapText="1"/>
    </xf>
    <xf borderId="13" fillId="12" fontId="7" numFmtId="3" xfId="0" applyAlignment="1" applyBorder="1" applyFont="1" applyNumberFormat="1">
      <alignment horizontal="center" readingOrder="0" shrinkToFit="0" vertical="center" wrapText="1"/>
    </xf>
    <xf borderId="13" fillId="12" fontId="7" numFmtId="0" xfId="0" applyAlignment="1" applyBorder="1" applyFont="1">
      <alignment horizontal="center" readingOrder="0" shrinkToFit="0" vertical="center" wrapText="1"/>
    </xf>
    <xf borderId="13" fillId="0" fontId="39" numFmtId="0" xfId="0" applyAlignment="1" applyBorder="1" applyFont="1">
      <alignment horizontal="center" readingOrder="0" shrinkToFit="0" vertical="center" wrapText="1"/>
    </xf>
    <xf borderId="13" fillId="0" fontId="40" numFmtId="0" xfId="0" applyAlignment="1" applyBorder="1" applyFont="1">
      <alignment horizontal="center" readingOrder="0" shrinkToFit="0" vertical="center" wrapText="1"/>
    </xf>
    <xf borderId="13" fillId="12" fontId="7" numFmtId="4" xfId="0" applyAlignment="1" applyBorder="1" applyFont="1" applyNumberFormat="1">
      <alignment horizontal="center" readingOrder="0" shrinkToFit="0" vertical="center" wrapText="1"/>
    </xf>
    <xf borderId="13" fillId="12" fontId="7" numFmtId="0" xfId="0" applyAlignment="1" applyBorder="1" applyFont="1">
      <alignment horizontal="center" shrinkToFit="0" vertical="center" wrapText="1"/>
    </xf>
    <xf borderId="0" fillId="12" fontId="7" numFmtId="0" xfId="0" applyAlignment="1" applyFont="1">
      <alignment horizontal="center" shrinkToFit="0" vertical="center" wrapText="1"/>
    </xf>
    <xf borderId="13" fillId="0" fontId="41" numFmtId="0" xfId="0" applyAlignment="1" applyBorder="1" applyFont="1">
      <alignment horizontal="center" readingOrder="0" shrinkToFit="0" vertical="center" wrapText="1"/>
    </xf>
    <xf borderId="13" fillId="12" fontId="7" numFmtId="4" xfId="0" applyAlignment="1" applyBorder="1" applyFont="1" applyNumberFormat="1">
      <alignment horizontal="left" shrinkToFit="0" vertical="bottom" wrapText="1"/>
    </xf>
    <xf borderId="0" fillId="12" fontId="7" numFmtId="3" xfId="0" applyAlignment="1" applyFont="1" applyNumberFormat="1">
      <alignment horizontal="left" shrinkToFit="0" vertical="bottom" wrapText="1"/>
    </xf>
    <xf borderId="0" fillId="12" fontId="7" numFmtId="4" xfId="0" applyAlignment="1" applyFont="1" applyNumberFormat="1">
      <alignment horizontal="left" shrinkToFit="0" vertical="bottom" wrapText="1"/>
    </xf>
    <xf borderId="0" fillId="0" fontId="7" numFmtId="0" xfId="0" applyAlignment="1" applyFont="1">
      <alignment horizontal="left" shrinkToFit="0" vertical="bottom" wrapText="1"/>
    </xf>
    <xf borderId="31" fillId="0" fontId="8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42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U Fuel &amp; Lube Received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96" displayName="Table_1" name="Table_1" id="1">
  <tableColumns count="7">
    <tableColumn name="q" id="1"/>
    <tableColumn name="Name Of Party" id="2"/>
    <tableColumn name="Challan No." id="3"/>
    <tableColumn name="Material Description" id="4"/>
    <tableColumn name="Received Qty" id="5"/>
    <tableColumn name="Unit" id="6"/>
    <tableColumn name="Remarks" id="7"/>
  </tableColumns>
  <tableStyleInfo name="PIU Fuel &amp; Lube Receiv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6572"/>
      </a:accent1>
      <a:accent2>
        <a:srgbClr val="ED7430"/>
      </a:accent2>
      <a:accent3>
        <a:srgbClr val="F9AC1E"/>
      </a:accent3>
      <a:accent4>
        <a:srgbClr val="62A985"/>
      </a:accent4>
      <a:accent5>
        <a:srgbClr val="D9593C"/>
      </a:accent5>
      <a:accent6>
        <a:srgbClr val="8D6B88"/>
      </a:accent6>
      <a:hlink>
        <a:srgbClr val="62A985"/>
      </a:hlink>
      <a:folHlink>
        <a:srgbClr val="62A985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5111"/>
    <pageSetUpPr/>
  </sheetPr>
  <sheetViews>
    <sheetView workbookViewId="0"/>
  </sheetViews>
  <sheetFormatPr customHeight="1" defaultColWidth="11.22" defaultRowHeight="15.0"/>
  <cols>
    <col customWidth="1" min="1" max="1" width="7.89"/>
    <col customWidth="1" min="2" max="2" width="8.44"/>
    <col customWidth="1" min="3" max="5" width="9.67"/>
    <col customWidth="1" min="6" max="6" width="8.22"/>
    <col customWidth="1" min="7" max="7" width="13.33"/>
    <col customWidth="1" min="8" max="8" width="34.67"/>
    <col customWidth="1" min="9" max="9" width="25.78"/>
    <col customWidth="1" min="10" max="10" width="10.56"/>
    <col customWidth="1" min="11" max="11" width="8.67"/>
    <col customWidth="1" min="12" max="12" width="9.22"/>
    <col customWidth="1" min="13" max="13" width="15.78"/>
    <col customWidth="1" min="14" max="14" width="14.0"/>
    <col customWidth="1" min="15" max="15" width="26.78"/>
    <col customWidth="1" min="16" max="30" width="8.56"/>
  </cols>
  <sheetData>
    <row r="1">
      <c r="A1" s="1" t="s">
        <v>0</v>
      </c>
      <c r="B1" s="2"/>
      <c r="C1" s="3" t="s">
        <v>1</v>
      </c>
      <c r="D1" s="4"/>
      <c r="E1" s="4"/>
      <c r="F1" s="2"/>
      <c r="G1" s="5"/>
      <c r="H1" s="5"/>
      <c r="I1" s="6" t="s">
        <v>2</v>
      </c>
      <c r="J1" s="7"/>
      <c r="K1" s="7"/>
      <c r="L1" s="7"/>
      <c r="M1" s="8"/>
      <c r="N1" s="9"/>
      <c r="O1" s="10"/>
    </row>
    <row r="2">
      <c r="A2" s="11"/>
      <c r="B2" s="12"/>
      <c r="C2" s="11"/>
      <c r="F2" s="12"/>
      <c r="G2" s="13"/>
      <c r="H2" s="13" t="s">
        <v>3</v>
      </c>
      <c r="I2" s="13" t="s">
        <v>4</v>
      </c>
      <c r="J2" s="14" t="s">
        <v>5</v>
      </c>
    </row>
    <row r="3">
      <c r="A3" s="15"/>
      <c r="B3" s="16"/>
      <c r="C3" s="15"/>
      <c r="D3" s="17"/>
      <c r="E3" s="17"/>
      <c r="F3" s="16"/>
      <c r="G3" s="18"/>
      <c r="H3" s="19">
        <v>9000000.0</v>
      </c>
      <c r="I3" s="18">
        <f>M227</f>
        <v>8999976.82</v>
      </c>
      <c r="J3" s="20">
        <f>H3-I3</f>
        <v>23.18</v>
      </c>
      <c r="K3" s="21"/>
      <c r="L3" s="22"/>
    </row>
    <row r="4">
      <c r="A4" s="23" t="s">
        <v>6</v>
      </c>
      <c r="B4" s="23" t="s">
        <v>7</v>
      </c>
      <c r="C4" s="23" t="s">
        <v>8</v>
      </c>
      <c r="D4" s="24" t="s">
        <v>9</v>
      </c>
      <c r="E4" s="25" t="s">
        <v>10</v>
      </c>
      <c r="F4" s="24" t="s">
        <v>11</v>
      </c>
      <c r="G4" s="26" t="s">
        <v>12</v>
      </c>
      <c r="H4" s="27" t="s">
        <v>13</v>
      </c>
      <c r="I4" s="27" t="s">
        <v>14</v>
      </c>
      <c r="J4" s="27" t="s">
        <v>15</v>
      </c>
      <c r="K4" s="27" t="s">
        <v>16</v>
      </c>
      <c r="L4" s="27" t="s">
        <v>17</v>
      </c>
      <c r="M4" s="28" t="s">
        <v>18</v>
      </c>
      <c r="N4" s="29" t="s">
        <v>19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>
      <c r="A5" s="31">
        <v>1.0</v>
      </c>
      <c r="B5" s="31">
        <v>146354.0</v>
      </c>
      <c r="C5" s="32">
        <v>45601.0</v>
      </c>
      <c r="D5" s="31" t="s">
        <v>20</v>
      </c>
      <c r="E5" s="31" t="s">
        <v>21</v>
      </c>
      <c r="F5" s="31" t="s">
        <v>22</v>
      </c>
      <c r="G5" s="33"/>
      <c r="H5" s="33" t="s">
        <v>23</v>
      </c>
      <c r="I5" s="34" t="s">
        <v>24</v>
      </c>
      <c r="J5" s="31">
        <v>430.0</v>
      </c>
      <c r="K5" s="31" t="s">
        <v>25</v>
      </c>
      <c r="L5" s="35">
        <v>65.28</v>
      </c>
      <c r="M5" s="36">
        <v>28070.4</v>
      </c>
      <c r="N5" s="37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>
      <c r="A6" s="31">
        <v>2.0</v>
      </c>
      <c r="B6" s="31">
        <v>1461.0</v>
      </c>
      <c r="C6" s="32">
        <v>45613.0</v>
      </c>
      <c r="D6" s="31" t="s">
        <v>26</v>
      </c>
      <c r="E6" s="31" t="s">
        <v>27</v>
      </c>
      <c r="F6" s="31">
        <v>260.0</v>
      </c>
      <c r="G6" s="38">
        <v>45617.0</v>
      </c>
      <c r="H6" s="33" t="s">
        <v>28</v>
      </c>
      <c r="I6" s="34" t="s">
        <v>29</v>
      </c>
      <c r="J6" s="31">
        <v>3.0</v>
      </c>
      <c r="K6" s="31" t="s">
        <v>30</v>
      </c>
      <c r="L6" s="35">
        <v>1150.0</v>
      </c>
      <c r="M6" s="36">
        <v>3450.0</v>
      </c>
      <c r="N6" s="37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>
      <c r="A7" s="31">
        <v>3.0</v>
      </c>
      <c r="B7" s="31">
        <v>240.0</v>
      </c>
      <c r="C7" s="32">
        <v>45629.0</v>
      </c>
      <c r="D7" s="31" t="s">
        <v>31</v>
      </c>
      <c r="E7" s="39">
        <v>45707.0</v>
      </c>
      <c r="F7" s="31">
        <v>272.0</v>
      </c>
      <c r="G7" s="38">
        <v>45644.0</v>
      </c>
      <c r="H7" s="33" t="s">
        <v>32</v>
      </c>
      <c r="I7" s="34" t="s">
        <v>33</v>
      </c>
      <c r="J7" s="31">
        <v>20.0</v>
      </c>
      <c r="K7" s="31" t="s">
        <v>34</v>
      </c>
      <c r="L7" s="35">
        <v>14624.0</v>
      </c>
      <c r="M7" s="40">
        <v>14624.0</v>
      </c>
      <c r="N7" s="41" t="s">
        <v>35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>
      <c r="A8" s="42">
        <v>4.0</v>
      </c>
      <c r="B8" s="42">
        <v>100128.0</v>
      </c>
      <c r="C8" s="43">
        <v>45637.0</v>
      </c>
      <c r="D8" s="42" t="s">
        <v>20</v>
      </c>
      <c r="E8" s="42" t="s">
        <v>21</v>
      </c>
      <c r="F8" s="42">
        <v>269.0</v>
      </c>
      <c r="G8" s="44">
        <v>45638.0</v>
      </c>
      <c r="H8" s="33" t="s">
        <v>36</v>
      </c>
      <c r="I8" s="34" t="s">
        <v>24</v>
      </c>
      <c r="J8" s="31">
        <v>220.0</v>
      </c>
      <c r="K8" s="31" t="s">
        <v>25</v>
      </c>
      <c r="L8" s="40">
        <v>61.17</v>
      </c>
      <c r="M8" s="41">
        <v>13457.4</v>
      </c>
      <c r="N8" s="37"/>
      <c r="O8" s="45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</row>
    <row r="9">
      <c r="A9" s="47"/>
      <c r="B9" s="47"/>
      <c r="C9" s="47"/>
      <c r="D9" s="47"/>
      <c r="E9" s="47"/>
      <c r="F9" s="47"/>
      <c r="G9" s="47"/>
      <c r="H9" s="33" t="s">
        <v>23</v>
      </c>
      <c r="I9" s="34" t="s">
        <v>24</v>
      </c>
      <c r="J9" s="31">
        <v>645.0</v>
      </c>
      <c r="K9" s="31" t="s">
        <v>25</v>
      </c>
      <c r="L9" s="35">
        <v>65.28</v>
      </c>
      <c r="M9" s="36">
        <v>42105.6</v>
      </c>
      <c r="N9" s="37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>
      <c r="A10" s="47"/>
      <c r="B10" s="47"/>
      <c r="C10" s="47"/>
      <c r="D10" s="47"/>
      <c r="E10" s="47"/>
      <c r="F10" s="47"/>
      <c r="G10" s="47"/>
      <c r="H10" s="33" t="s">
        <v>37</v>
      </c>
      <c r="I10" s="34" t="s">
        <v>24</v>
      </c>
      <c r="J10" s="31">
        <v>100.0</v>
      </c>
      <c r="K10" s="31" t="s">
        <v>25</v>
      </c>
      <c r="L10" s="35">
        <v>339.0</v>
      </c>
      <c r="M10" s="36">
        <v>33900.0</v>
      </c>
      <c r="N10" s="37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>
      <c r="A11" s="48"/>
      <c r="B11" s="48"/>
      <c r="C11" s="48"/>
      <c r="D11" s="48"/>
      <c r="E11" s="48"/>
      <c r="F11" s="48"/>
      <c r="G11" s="48"/>
      <c r="H11" s="33" t="s">
        <v>38</v>
      </c>
      <c r="I11" s="34" t="s">
        <v>24</v>
      </c>
      <c r="J11" s="31">
        <v>150.0</v>
      </c>
      <c r="K11" s="31" t="s">
        <v>39</v>
      </c>
      <c r="L11" s="35">
        <v>20.0</v>
      </c>
      <c r="M11" s="36">
        <v>3000.0</v>
      </c>
      <c r="N11" s="37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>
      <c r="A12" s="31">
        <v>5.0</v>
      </c>
      <c r="B12" s="31">
        <v>27705.0</v>
      </c>
      <c r="C12" s="32">
        <v>45642.0</v>
      </c>
      <c r="D12" s="31" t="s">
        <v>40</v>
      </c>
      <c r="E12" s="39">
        <v>45706.0</v>
      </c>
      <c r="F12" s="49">
        <v>272.0</v>
      </c>
      <c r="G12" s="33"/>
      <c r="H12" s="33" t="s">
        <v>23</v>
      </c>
      <c r="I12" s="34" t="s">
        <v>24</v>
      </c>
      <c r="J12" s="31">
        <v>860.0</v>
      </c>
      <c r="K12" s="31" t="s">
        <v>25</v>
      </c>
      <c r="L12" s="35">
        <v>65.28</v>
      </c>
      <c r="M12" s="36">
        <v>56140.8</v>
      </c>
      <c r="N12" s="37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>
      <c r="A13" s="31">
        <v>6.0</v>
      </c>
      <c r="B13" s="31">
        <v>18.0</v>
      </c>
      <c r="C13" s="32">
        <v>45643.0</v>
      </c>
      <c r="D13" s="31" t="s">
        <v>40</v>
      </c>
      <c r="E13" s="39">
        <v>45706.0</v>
      </c>
      <c r="F13" s="50">
        <v>272.0</v>
      </c>
      <c r="G13" s="38"/>
      <c r="H13" s="33" t="s">
        <v>41</v>
      </c>
      <c r="I13" s="34" t="s">
        <v>42</v>
      </c>
      <c r="J13" s="31">
        <v>1.0</v>
      </c>
      <c r="K13" s="31" t="s">
        <v>30</v>
      </c>
      <c r="L13" s="35">
        <v>2000.0</v>
      </c>
      <c r="M13" s="36">
        <v>2000.0</v>
      </c>
      <c r="N13" s="37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>
      <c r="A14" s="51">
        <v>7.0</v>
      </c>
      <c r="B14" s="52">
        <v>41501.0</v>
      </c>
      <c r="C14" s="53">
        <v>45646.0</v>
      </c>
      <c r="D14" s="54" t="s">
        <v>43</v>
      </c>
      <c r="E14" s="54" t="s">
        <v>44</v>
      </c>
      <c r="F14" s="54" t="s">
        <v>22</v>
      </c>
      <c r="G14" s="55"/>
      <c r="H14" s="33" t="s">
        <v>45</v>
      </c>
      <c r="I14" s="34" t="s">
        <v>46</v>
      </c>
      <c r="J14" s="31">
        <v>1.0</v>
      </c>
      <c r="K14" s="31" t="s">
        <v>47</v>
      </c>
      <c r="L14" s="56">
        <v>183000.0</v>
      </c>
      <c r="M14" s="36">
        <v>183000.0</v>
      </c>
      <c r="N14" s="41" t="s">
        <v>48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>
      <c r="A15" s="42">
        <v>8.0</v>
      </c>
      <c r="B15" s="42">
        <v>27417.0</v>
      </c>
      <c r="C15" s="43">
        <v>45649.0</v>
      </c>
      <c r="D15" s="42" t="s">
        <v>40</v>
      </c>
      <c r="E15" s="57">
        <v>45706.0</v>
      </c>
      <c r="F15" s="42">
        <v>274.0</v>
      </c>
      <c r="G15" s="44">
        <v>45650.0</v>
      </c>
      <c r="H15" s="33" t="s">
        <v>36</v>
      </c>
      <c r="I15" s="34" t="s">
        <v>24</v>
      </c>
      <c r="J15" s="31">
        <v>220.0</v>
      </c>
      <c r="K15" s="31" t="s">
        <v>25</v>
      </c>
      <c r="L15" s="35">
        <v>62.76</v>
      </c>
      <c r="M15" s="36">
        <v>13807.2</v>
      </c>
      <c r="N15" s="37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>
      <c r="A16" s="47"/>
      <c r="B16" s="47"/>
      <c r="C16" s="47"/>
      <c r="D16" s="47"/>
      <c r="E16" s="47"/>
      <c r="F16" s="47"/>
      <c r="G16" s="47"/>
      <c r="H16" s="33" t="s">
        <v>23</v>
      </c>
      <c r="I16" s="34" t="s">
        <v>24</v>
      </c>
      <c r="J16" s="31">
        <v>860.0</v>
      </c>
      <c r="K16" s="31" t="s">
        <v>25</v>
      </c>
      <c r="L16" s="35">
        <v>64.25</v>
      </c>
      <c r="M16" s="36">
        <v>55255.0</v>
      </c>
      <c r="N16" s="37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>
      <c r="A17" s="47"/>
      <c r="B17" s="47"/>
      <c r="C17" s="47"/>
      <c r="D17" s="47"/>
      <c r="E17" s="47"/>
      <c r="F17" s="47"/>
      <c r="G17" s="47"/>
      <c r="H17" s="33" t="s">
        <v>37</v>
      </c>
      <c r="I17" s="34" t="s">
        <v>24</v>
      </c>
      <c r="J17" s="31">
        <v>100.0</v>
      </c>
      <c r="K17" s="31" t="s">
        <v>25</v>
      </c>
      <c r="L17" s="35">
        <v>339.0</v>
      </c>
      <c r="M17" s="36">
        <v>33900.0</v>
      </c>
      <c r="N17" s="37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>
      <c r="A18" s="48"/>
      <c r="B18" s="48"/>
      <c r="C18" s="48"/>
      <c r="D18" s="48"/>
      <c r="E18" s="48"/>
      <c r="F18" s="48"/>
      <c r="G18" s="48"/>
      <c r="H18" s="33" t="s">
        <v>38</v>
      </c>
      <c r="I18" s="34" t="s">
        <v>24</v>
      </c>
      <c r="J18" s="31">
        <v>50.0</v>
      </c>
      <c r="K18" s="31" t="s">
        <v>39</v>
      </c>
      <c r="L18" s="35">
        <v>20.0</v>
      </c>
      <c r="M18" s="36">
        <v>1000.0</v>
      </c>
      <c r="N18" s="37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>
      <c r="A19" s="31">
        <v>9.0</v>
      </c>
      <c r="B19" s="31">
        <v>335.0</v>
      </c>
      <c r="C19" s="32">
        <v>45649.0</v>
      </c>
      <c r="D19" s="31" t="s">
        <v>40</v>
      </c>
      <c r="E19" s="39">
        <v>45706.0</v>
      </c>
      <c r="F19" s="31">
        <v>259.0</v>
      </c>
      <c r="G19" s="33"/>
      <c r="H19" s="33" t="s">
        <v>41</v>
      </c>
      <c r="I19" s="34" t="s">
        <v>42</v>
      </c>
      <c r="J19" s="31">
        <v>3.0</v>
      </c>
      <c r="K19" s="31" t="s">
        <v>30</v>
      </c>
      <c r="L19" s="35">
        <v>2000.0</v>
      </c>
      <c r="M19" s="36">
        <v>6000.0</v>
      </c>
      <c r="N19" s="37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>
      <c r="A20" s="42">
        <v>10.0</v>
      </c>
      <c r="B20" s="42">
        <v>71.0</v>
      </c>
      <c r="C20" s="43">
        <v>45651.0</v>
      </c>
      <c r="D20" s="42" t="s">
        <v>49</v>
      </c>
      <c r="E20" s="42" t="s">
        <v>27</v>
      </c>
      <c r="F20" s="42">
        <v>267.0</v>
      </c>
      <c r="G20" s="58">
        <v>45608.0</v>
      </c>
      <c r="H20" s="33" t="s">
        <v>50</v>
      </c>
      <c r="I20" s="34" t="s">
        <v>51</v>
      </c>
      <c r="J20" s="31">
        <v>3.0</v>
      </c>
      <c r="K20" s="31" t="s">
        <v>30</v>
      </c>
      <c r="L20" s="35">
        <v>35300.0</v>
      </c>
      <c r="M20" s="36">
        <v>105900.0</v>
      </c>
      <c r="N20" s="37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>
      <c r="A21" s="47"/>
      <c r="B21" s="47"/>
      <c r="C21" s="47"/>
      <c r="D21" s="47"/>
      <c r="E21" s="47"/>
      <c r="F21" s="47"/>
      <c r="G21" s="59"/>
      <c r="H21" s="60" t="s">
        <v>52</v>
      </c>
      <c r="I21" s="34" t="s">
        <v>51</v>
      </c>
      <c r="J21" s="31">
        <v>5.0</v>
      </c>
      <c r="K21" s="31" t="s">
        <v>30</v>
      </c>
      <c r="L21" s="35">
        <v>4500.0</v>
      </c>
      <c r="M21" s="36">
        <v>22500.0</v>
      </c>
      <c r="N21" s="37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>
      <c r="A22" s="47"/>
      <c r="B22" s="47"/>
      <c r="C22" s="47"/>
      <c r="D22" s="47"/>
      <c r="E22" s="47"/>
      <c r="F22" s="47"/>
      <c r="G22" s="59"/>
      <c r="H22" s="60" t="s">
        <v>53</v>
      </c>
      <c r="I22" s="34" t="s">
        <v>51</v>
      </c>
      <c r="J22" s="31">
        <v>5.0</v>
      </c>
      <c r="K22" s="31" t="s">
        <v>30</v>
      </c>
      <c r="L22" s="35">
        <v>1200.0</v>
      </c>
      <c r="M22" s="36">
        <v>6000.0</v>
      </c>
      <c r="N22" s="37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>
      <c r="A23" s="48"/>
      <c r="B23" s="48"/>
      <c r="C23" s="48"/>
      <c r="D23" s="48"/>
      <c r="E23" s="48"/>
      <c r="F23" s="48"/>
      <c r="G23" s="59"/>
      <c r="H23" s="60" t="s">
        <v>54</v>
      </c>
      <c r="I23" s="34" t="s">
        <v>55</v>
      </c>
      <c r="J23" s="31">
        <v>5.0</v>
      </c>
      <c r="K23" s="31" t="s">
        <v>30</v>
      </c>
      <c r="L23" s="35">
        <v>100.0</v>
      </c>
      <c r="M23" s="36">
        <v>500.0</v>
      </c>
      <c r="N23" s="37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>
      <c r="A24" s="42">
        <v>11.0</v>
      </c>
      <c r="B24" s="42">
        <v>73.0</v>
      </c>
      <c r="C24" s="43">
        <v>45651.0</v>
      </c>
      <c r="D24" s="42" t="s">
        <v>49</v>
      </c>
      <c r="E24" s="42" t="s">
        <v>27</v>
      </c>
      <c r="F24" s="42">
        <v>267.0</v>
      </c>
      <c r="G24" s="44">
        <v>45608.0</v>
      </c>
      <c r="H24" s="33" t="s">
        <v>52</v>
      </c>
      <c r="I24" s="34" t="s">
        <v>51</v>
      </c>
      <c r="J24" s="31">
        <v>2.0</v>
      </c>
      <c r="K24" s="31" t="s">
        <v>30</v>
      </c>
      <c r="L24" s="35">
        <v>4500.0</v>
      </c>
      <c r="M24" s="36">
        <v>9000.0</v>
      </c>
      <c r="N24" s="37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>
      <c r="A25" s="47"/>
      <c r="B25" s="47"/>
      <c r="C25" s="47"/>
      <c r="D25" s="47"/>
      <c r="E25" s="47"/>
      <c r="F25" s="47"/>
      <c r="G25" s="47"/>
      <c r="H25" s="33" t="s">
        <v>53</v>
      </c>
      <c r="I25" s="34" t="s">
        <v>51</v>
      </c>
      <c r="J25" s="31">
        <v>6.0</v>
      </c>
      <c r="K25" s="31" t="s">
        <v>30</v>
      </c>
      <c r="L25" s="35">
        <v>1200.0</v>
      </c>
      <c r="M25" s="36">
        <v>7200.0</v>
      </c>
      <c r="N25" s="37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>
      <c r="A26" s="48"/>
      <c r="B26" s="48"/>
      <c r="C26" s="48"/>
      <c r="D26" s="48"/>
      <c r="E26" s="48"/>
      <c r="F26" s="48"/>
      <c r="G26" s="48"/>
      <c r="H26" s="33" t="s">
        <v>54</v>
      </c>
      <c r="I26" s="34" t="s">
        <v>29</v>
      </c>
      <c r="J26" s="31">
        <v>5.0</v>
      </c>
      <c r="K26" s="31" t="s">
        <v>30</v>
      </c>
      <c r="L26" s="35">
        <v>100.0</v>
      </c>
      <c r="M26" s="36">
        <v>500.0</v>
      </c>
      <c r="N26" s="37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>
      <c r="A27" s="31">
        <v>12.0</v>
      </c>
      <c r="B27" s="31">
        <v>27529.0</v>
      </c>
      <c r="C27" s="32">
        <v>45653.0</v>
      </c>
      <c r="D27" s="31" t="s">
        <v>40</v>
      </c>
      <c r="E27" s="31" t="s">
        <v>27</v>
      </c>
      <c r="F27" s="31">
        <v>276.0</v>
      </c>
      <c r="G27" s="38">
        <v>45654.0</v>
      </c>
      <c r="H27" s="33" t="s">
        <v>23</v>
      </c>
      <c r="I27" s="34" t="s">
        <v>24</v>
      </c>
      <c r="J27" s="31">
        <v>1290.0</v>
      </c>
      <c r="K27" s="31" t="s">
        <v>25</v>
      </c>
      <c r="L27" s="35">
        <v>64.25</v>
      </c>
      <c r="M27" s="36">
        <v>82882.5</v>
      </c>
      <c r="N27" s="37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>
      <c r="A28" s="42">
        <v>13.0</v>
      </c>
      <c r="B28" s="42" t="s">
        <v>56</v>
      </c>
      <c r="C28" s="43">
        <v>45659.0</v>
      </c>
      <c r="D28" s="42" t="s">
        <v>57</v>
      </c>
      <c r="E28" s="42" t="s">
        <v>58</v>
      </c>
      <c r="F28" s="42">
        <v>628.0</v>
      </c>
      <c r="G28" s="44">
        <v>45715.0</v>
      </c>
      <c r="H28" s="33" t="s">
        <v>59</v>
      </c>
      <c r="I28" s="34" t="s">
        <v>60</v>
      </c>
      <c r="J28" s="31">
        <v>3.0</v>
      </c>
      <c r="K28" s="31" t="s">
        <v>30</v>
      </c>
      <c r="L28" s="35">
        <v>292.33</v>
      </c>
      <c r="M28" s="36">
        <v>876.99</v>
      </c>
      <c r="N28" s="37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>
      <c r="A29" s="47"/>
      <c r="B29" s="47"/>
      <c r="C29" s="47"/>
      <c r="D29" s="47"/>
      <c r="E29" s="47"/>
      <c r="F29" s="47"/>
      <c r="G29" s="47"/>
      <c r="H29" s="33" t="s">
        <v>61</v>
      </c>
      <c r="I29" s="34" t="s">
        <v>60</v>
      </c>
      <c r="J29" s="31">
        <v>4.0</v>
      </c>
      <c r="K29" s="31" t="s">
        <v>30</v>
      </c>
      <c r="L29" s="35">
        <v>100.25</v>
      </c>
      <c r="M29" s="36">
        <v>401.0</v>
      </c>
      <c r="N29" s="37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>
      <c r="A30" s="47"/>
      <c r="B30" s="47"/>
      <c r="C30" s="47"/>
      <c r="D30" s="47"/>
      <c r="E30" s="47"/>
      <c r="F30" s="47"/>
      <c r="G30" s="47"/>
      <c r="H30" s="33" t="s">
        <v>62</v>
      </c>
      <c r="I30" s="34" t="s">
        <v>60</v>
      </c>
      <c r="J30" s="31">
        <v>1.0</v>
      </c>
      <c r="K30" s="31" t="s">
        <v>30</v>
      </c>
      <c r="L30" s="35">
        <v>207.4</v>
      </c>
      <c r="M30" s="36">
        <v>207.4</v>
      </c>
      <c r="N30" s="37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>
      <c r="A31" s="47"/>
      <c r="B31" s="47"/>
      <c r="C31" s="47"/>
      <c r="D31" s="47"/>
      <c r="E31" s="47"/>
      <c r="F31" s="47"/>
      <c r="G31" s="47"/>
      <c r="H31" s="33" t="s">
        <v>63</v>
      </c>
      <c r="I31" s="34" t="s">
        <v>29</v>
      </c>
      <c r="J31" s="31">
        <v>2.0</v>
      </c>
      <c r="K31" s="31" t="s">
        <v>30</v>
      </c>
      <c r="L31" s="35">
        <v>175.0</v>
      </c>
      <c r="M31" s="36">
        <v>350.0</v>
      </c>
      <c r="N31" s="37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>
      <c r="A32" s="48"/>
      <c r="B32" s="48"/>
      <c r="C32" s="48"/>
      <c r="D32" s="48"/>
      <c r="E32" s="48"/>
      <c r="F32" s="48"/>
      <c r="G32" s="48"/>
      <c r="H32" s="33" t="s">
        <v>64</v>
      </c>
      <c r="I32" s="34" t="s">
        <v>29</v>
      </c>
      <c r="J32" s="31">
        <v>4.0</v>
      </c>
      <c r="K32" s="31" t="s">
        <v>65</v>
      </c>
      <c r="L32" s="35">
        <v>85.0</v>
      </c>
      <c r="M32" s="36">
        <v>340.0</v>
      </c>
      <c r="N32" s="37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>
      <c r="A33" s="31">
        <v>14.0</v>
      </c>
      <c r="B33" s="31">
        <v>15882.0</v>
      </c>
      <c r="C33" s="32">
        <v>45660.0</v>
      </c>
      <c r="D33" s="31" t="s">
        <v>66</v>
      </c>
      <c r="E33" s="31" t="s">
        <v>67</v>
      </c>
      <c r="F33" s="31" t="s">
        <v>22</v>
      </c>
      <c r="G33" s="33"/>
      <c r="H33" s="33" t="s">
        <v>68</v>
      </c>
      <c r="I33" s="34" t="s">
        <v>46</v>
      </c>
      <c r="J33" s="61"/>
      <c r="K33" s="61"/>
      <c r="L33" s="35">
        <v>15000.0</v>
      </c>
      <c r="M33" s="36">
        <v>15000.0</v>
      </c>
      <c r="N33" s="62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>
      <c r="A34" s="42">
        <v>15.0</v>
      </c>
      <c r="B34" s="42">
        <v>80.0</v>
      </c>
      <c r="C34" s="43">
        <v>45660.0</v>
      </c>
      <c r="D34" s="42" t="s">
        <v>57</v>
      </c>
      <c r="E34" s="42" t="s">
        <v>58</v>
      </c>
      <c r="F34" s="42">
        <v>628.0</v>
      </c>
      <c r="G34" s="44">
        <v>45715.0</v>
      </c>
      <c r="H34" s="33" t="s">
        <v>69</v>
      </c>
      <c r="I34" s="34" t="s">
        <v>29</v>
      </c>
      <c r="J34" s="31">
        <v>1.0</v>
      </c>
      <c r="K34" s="31" t="s">
        <v>30</v>
      </c>
      <c r="L34" s="35">
        <v>350.0</v>
      </c>
      <c r="M34" s="36">
        <v>350.0</v>
      </c>
      <c r="N34" s="37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>
      <c r="A35" s="47"/>
      <c r="B35" s="47"/>
      <c r="C35" s="47"/>
      <c r="D35" s="47"/>
      <c r="E35" s="47"/>
      <c r="F35" s="47"/>
      <c r="G35" s="47"/>
      <c r="H35" s="33" t="s">
        <v>70</v>
      </c>
      <c r="I35" s="34" t="s">
        <v>29</v>
      </c>
      <c r="J35" s="31">
        <v>1.0</v>
      </c>
      <c r="K35" s="31" t="s">
        <v>30</v>
      </c>
      <c r="L35" s="35">
        <v>180.0</v>
      </c>
      <c r="M35" s="36">
        <v>180.0</v>
      </c>
      <c r="N35" s="37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>
      <c r="A36" s="47"/>
      <c r="B36" s="47"/>
      <c r="C36" s="47"/>
      <c r="D36" s="47"/>
      <c r="E36" s="47"/>
      <c r="F36" s="47"/>
      <c r="G36" s="47"/>
      <c r="H36" s="33" t="s">
        <v>71</v>
      </c>
      <c r="I36" s="34" t="s">
        <v>29</v>
      </c>
      <c r="J36" s="31">
        <v>1.0</v>
      </c>
      <c r="K36" s="31" t="s">
        <v>30</v>
      </c>
      <c r="L36" s="35">
        <v>300.0</v>
      </c>
      <c r="M36" s="36">
        <v>300.0</v>
      </c>
      <c r="N36" s="37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>
      <c r="A37" s="47"/>
      <c r="B37" s="47"/>
      <c r="C37" s="47"/>
      <c r="D37" s="47"/>
      <c r="E37" s="47"/>
      <c r="F37" s="47"/>
      <c r="G37" s="47"/>
      <c r="H37" s="33" t="s">
        <v>72</v>
      </c>
      <c r="I37" s="34" t="s">
        <v>29</v>
      </c>
      <c r="J37" s="31">
        <v>1.0</v>
      </c>
      <c r="K37" s="31" t="s">
        <v>30</v>
      </c>
      <c r="L37" s="35">
        <v>1900.0</v>
      </c>
      <c r="M37" s="36">
        <v>1900.0</v>
      </c>
      <c r="N37" s="37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>
      <c r="A38" s="48"/>
      <c r="B38" s="48"/>
      <c r="C38" s="48"/>
      <c r="D38" s="48"/>
      <c r="E38" s="48"/>
      <c r="F38" s="48"/>
      <c r="G38" s="48"/>
      <c r="H38" s="33" t="s">
        <v>73</v>
      </c>
      <c r="I38" s="34" t="s">
        <v>29</v>
      </c>
      <c r="J38" s="31">
        <v>45.0</v>
      </c>
      <c r="K38" s="31" t="s">
        <v>74</v>
      </c>
      <c r="L38" s="35">
        <v>140.0</v>
      </c>
      <c r="M38" s="36">
        <v>6300.0</v>
      </c>
      <c r="N38" s="37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>
      <c r="A39" s="42">
        <v>16.0</v>
      </c>
      <c r="B39" s="42">
        <v>66145.0</v>
      </c>
      <c r="C39" s="43">
        <v>45662.0</v>
      </c>
      <c r="D39" s="42" t="s">
        <v>40</v>
      </c>
      <c r="E39" s="42" t="s">
        <v>27</v>
      </c>
      <c r="F39" s="42">
        <v>280.0</v>
      </c>
      <c r="G39" s="44">
        <v>45663.0</v>
      </c>
      <c r="H39" s="33" t="s">
        <v>36</v>
      </c>
      <c r="I39" s="34" t="s">
        <v>24</v>
      </c>
      <c r="J39" s="31">
        <v>220.0</v>
      </c>
      <c r="K39" s="31" t="s">
        <v>25</v>
      </c>
      <c r="L39" s="35">
        <v>63.51</v>
      </c>
      <c r="M39" s="36">
        <v>13972.2</v>
      </c>
      <c r="N39" s="37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>
      <c r="A40" s="48"/>
      <c r="B40" s="48"/>
      <c r="C40" s="48"/>
      <c r="D40" s="48"/>
      <c r="E40" s="48"/>
      <c r="F40" s="48"/>
      <c r="G40" s="48"/>
      <c r="H40" s="33" t="s">
        <v>23</v>
      </c>
      <c r="I40" s="34" t="s">
        <v>24</v>
      </c>
      <c r="J40" s="31">
        <v>1075.0</v>
      </c>
      <c r="K40" s="31" t="s">
        <v>25</v>
      </c>
      <c r="L40" s="35">
        <v>65.79</v>
      </c>
      <c r="M40" s="36">
        <v>70724.25</v>
      </c>
      <c r="N40" s="37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>
      <c r="A41" s="31">
        <v>17.0</v>
      </c>
      <c r="B41" s="31">
        <v>100125.0</v>
      </c>
      <c r="C41" s="32">
        <v>45662.0</v>
      </c>
      <c r="D41" s="31" t="s">
        <v>20</v>
      </c>
      <c r="E41" s="31" t="s">
        <v>21</v>
      </c>
      <c r="F41" s="31">
        <v>265.0</v>
      </c>
      <c r="G41" s="33"/>
      <c r="H41" s="33" t="s">
        <v>37</v>
      </c>
      <c r="I41" s="34" t="s">
        <v>24</v>
      </c>
      <c r="J41" s="31">
        <v>15.0</v>
      </c>
      <c r="K41" s="31" t="s">
        <v>25</v>
      </c>
      <c r="L41" s="35">
        <v>339.0</v>
      </c>
      <c r="M41" s="36">
        <v>5085.0</v>
      </c>
      <c r="N41" s="37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>
      <c r="A42" s="31">
        <v>18.0</v>
      </c>
      <c r="B42" s="31">
        <v>3791.0</v>
      </c>
      <c r="C42" s="32">
        <v>45666.0</v>
      </c>
      <c r="D42" s="31" t="s">
        <v>66</v>
      </c>
      <c r="E42" s="31" t="s">
        <v>67</v>
      </c>
      <c r="F42" s="31" t="s">
        <v>22</v>
      </c>
      <c r="G42" s="63"/>
      <c r="H42" s="63" t="s">
        <v>75</v>
      </c>
      <c r="I42" s="34" t="s">
        <v>76</v>
      </c>
      <c r="J42" s="64"/>
      <c r="K42" s="64"/>
      <c r="L42" s="65">
        <v>78800.0</v>
      </c>
      <c r="M42" s="36">
        <v>78800.0</v>
      </c>
      <c r="N42" s="37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>
      <c r="A43" s="42">
        <v>19.0</v>
      </c>
      <c r="B43" s="42">
        <v>66149.0</v>
      </c>
      <c r="C43" s="43">
        <v>45668.0</v>
      </c>
      <c r="D43" s="42" t="s">
        <v>40</v>
      </c>
      <c r="E43" s="42" t="s">
        <v>27</v>
      </c>
      <c r="F43" s="42">
        <v>285.0</v>
      </c>
      <c r="G43" s="59"/>
      <c r="H43" s="33" t="s">
        <v>23</v>
      </c>
      <c r="I43" s="34" t="s">
        <v>24</v>
      </c>
      <c r="J43" s="31">
        <v>1075.0</v>
      </c>
      <c r="K43" s="31" t="s">
        <v>25</v>
      </c>
      <c r="L43" s="35">
        <v>65.79</v>
      </c>
      <c r="M43" s="36">
        <v>70724.25</v>
      </c>
      <c r="N43" s="37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>
      <c r="A44" s="48"/>
      <c r="B44" s="48"/>
      <c r="C44" s="48"/>
      <c r="D44" s="48"/>
      <c r="E44" s="48"/>
      <c r="F44" s="48"/>
      <c r="G44" s="59"/>
      <c r="H44" s="33" t="s">
        <v>38</v>
      </c>
      <c r="I44" s="34" t="s">
        <v>24</v>
      </c>
      <c r="J44" s="31">
        <v>100.0</v>
      </c>
      <c r="K44" s="31" t="s">
        <v>39</v>
      </c>
      <c r="L44" s="35">
        <v>20.0</v>
      </c>
      <c r="M44" s="36">
        <v>2000.0</v>
      </c>
      <c r="N44" s="37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>
      <c r="A45" s="31">
        <v>20.0</v>
      </c>
      <c r="B45" s="31">
        <v>1316.0</v>
      </c>
      <c r="C45" s="32">
        <v>45671.0</v>
      </c>
      <c r="D45" s="31" t="s">
        <v>77</v>
      </c>
      <c r="E45" s="31" t="s">
        <v>21</v>
      </c>
      <c r="F45" s="31">
        <v>294.0</v>
      </c>
      <c r="G45" s="38">
        <v>45677.0</v>
      </c>
      <c r="H45" s="33" t="s">
        <v>78</v>
      </c>
      <c r="I45" s="34" t="s">
        <v>29</v>
      </c>
      <c r="J45" s="31">
        <v>2.0</v>
      </c>
      <c r="K45" s="31" t="s">
        <v>30</v>
      </c>
      <c r="L45" s="35">
        <v>4955.0</v>
      </c>
      <c r="M45" s="36">
        <v>9910.0</v>
      </c>
      <c r="N45" s="37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>
      <c r="A46" s="31">
        <v>21.0</v>
      </c>
      <c r="B46" s="31">
        <v>114762.0</v>
      </c>
      <c r="C46" s="32">
        <v>45672.0</v>
      </c>
      <c r="D46" s="66" t="s">
        <v>40</v>
      </c>
      <c r="E46" s="31" t="s">
        <v>27</v>
      </c>
      <c r="F46" s="66">
        <v>294.0</v>
      </c>
      <c r="G46" s="67">
        <v>45677.0</v>
      </c>
      <c r="H46" s="33" t="s">
        <v>36</v>
      </c>
      <c r="I46" s="34" t="s">
        <v>24</v>
      </c>
      <c r="J46" s="31">
        <v>218.0</v>
      </c>
      <c r="K46" s="31" t="s">
        <v>25</v>
      </c>
      <c r="L46" s="35">
        <v>65.07</v>
      </c>
      <c r="M46" s="36">
        <v>14185.26</v>
      </c>
      <c r="N46" s="37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>
      <c r="A47" s="42">
        <v>22.0</v>
      </c>
      <c r="B47" s="42">
        <v>117955.0</v>
      </c>
      <c r="C47" s="43">
        <v>45676.0</v>
      </c>
      <c r="D47" s="68" t="s">
        <v>40</v>
      </c>
      <c r="E47" s="42" t="s">
        <v>27</v>
      </c>
      <c r="F47" s="68">
        <v>294.0</v>
      </c>
      <c r="G47" s="69">
        <v>45677.0</v>
      </c>
      <c r="H47" s="33" t="s">
        <v>23</v>
      </c>
      <c r="I47" s="34" t="s">
        <v>24</v>
      </c>
      <c r="J47" s="31">
        <v>1075.0</v>
      </c>
      <c r="K47" s="31" t="s">
        <v>25</v>
      </c>
      <c r="L47" s="35">
        <v>68.26</v>
      </c>
      <c r="M47" s="36">
        <v>73379.5</v>
      </c>
      <c r="N47" s="37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>
      <c r="A48" s="47"/>
      <c r="B48" s="47"/>
      <c r="C48" s="47"/>
      <c r="D48" s="47"/>
      <c r="E48" s="47"/>
      <c r="F48" s="47"/>
      <c r="G48" s="47"/>
      <c r="H48" s="33" t="s">
        <v>79</v>
      </c>
      <c r="I48" s="34" t="s">
        <v>24</v>
      </c>
      <c r="J48" s="31">
        <v>100.0</v>
      </c>
      <c r="K48" s="31" t="s">
        <v>25</v>
      </c>
      <c r="L48" s="35">
        <v>60.0</v>
      </c>
      <c r="M48" s="36">
        <v>6000.0</v>
      </c>
      <c r="N48" s="37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>
      <c r="A49" s="48"/>
      <c r="B49" s="48"/>
      <c r="C49" s="48"/>
      <c r="D49" s="48"/>
      <c r="E49" s="48"/>
      <c r="F49" s="48"/>
      <c r="G49" s="48"/>
      <c r="H49" s="33" t="s">
        <v>38</v>
      </c>
      <c r="I49" s="34" t="s">
        <v>24</v>
      </c>
      <c r="J49" s="31">
        <v>150.0</v>
      </c>
      <c r="K49" s="31" t="s">
        <v>39</v>
      </c>
      <c r="L49" s="35">
        <v>20.0</v>
      </c>
      <c r="M49" s="36">
        <v>3000.0</v>
      </c>
      <c r="N49" s="37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>
      <c r="A50" s="31">
        <v>23.0</v>
      </c>
      <c r="B50" s="31">
        <v>15883.0</v>
      </c>
      <c r="C50" s="32">
        <v>45677.0</v>
      </c>
      <c r="D50" s="31" t="s">
        <v>66</v>
      </c>
      <c r="E50" s="31" t="s">
        <v>67</v>
      </c>
      <c r="F50" s="31" t="s">
        <v>22</v>
      </c>
      <c r="G50" s="33"/>
      <c r="H50" s="33" t="s">
        <v>80</v>
      </c>
      <c r="I50" s="34" t="s">
        <v>46</v>
      </c>
      <c r="J50" s="61"/>
      <c r="K50" s="61"/>
      <c r="L50" s="35">
        <v>52150.0</v>
      </c>
      <c r="M50" s="36">
        <v>52150.0</v>
      </c>
      <c r="N50" s="62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>
      <c r="A51" s="42">
        <v>24.0</v>
      </c>
      <c r="B51" s="42">
        <v>117887.0</v>
      </c>
      <c r="C51" s="43">
        <v>45679.0</v>
      </c>
      <c r="D51" s="42" t="s">
        <v>40</v>
      </c>
      <c r="E51" s="42" t="s">
        <v>27</v>
      </c>
      <c r="F51" s="42">
        <v>295.0</v>
      </c>
      <c r="G51" s="44">
        <v>45680.0</v>
      </c>
      <c r="H51" s="33" t="s">
        <v>36</v>
      </c>
      <c r="I51" s="34" t="s">
        <v>24</v>
      </c>
      <c r="J51" s="31">
        <v>220.0</v>
      </c>
      <c r="K51" s="31" t="s">
        <v>25</v>
      </c>
      <c r="L51" s="35">
        <v>65.07</v>
      </c>
      <c r="M51" s="36">
        <v>14315.4</v>
      </c>
      <c r="N51" s="37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>
      <c r="A52" s="48"/>
      <c r="B52" s="48"/>
      <c r="C52" s="48"/>
      <c r="D52" s="48"/>
      <c r="E52" s="48"/>
      <c r="F52" s="48"/>
      <c r="G52" s="48"/>
      <c r="H52" s="33" t="s">
        <v>23</v>
      </c>
      <c r="I52" s="34" t="s">
        <v>24</v>
      </c>
      <c r="J52" s="31">
        <v>500.0</v>
      </c>
      <c r="K52" s="31" t="s">
        <v>25</v>
      </c>
      <c r="L52" s="35">
        <v>68.26</v>
      </c>
      <c r="M52" s="36">
        <v>34130.0</v>
      </c>
      <c r="N52" s="37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>
      <c r="A53" s="42">
        <v>25.0</v>
      </c>
      <c r="B53" s="42">
        <v>73.0</v>
      </c>
      <c r="C53" s="43">
        <v>45678.0</v>
      </c>
      <c r="D53" s="42" t="s">
        <v>26</v>
      </c>
      <c r="E53" s="68" t="s">
        <v>27</v>
      </c>
      <c r="F53" s="31">
        <v>602.0</v>
      </c>
      <c r="G53" s="38">
        <v>45685.0</v>
      </c>
      <c r="H53" s="33" t="s">
        <v>81</v>
      </c>
      <c r="I53" s="34" t="s">
        <v>82</v>
      </c>
      <c r="J53" s="31">
        <v>22.0</v>
      </c>
      <c r="K53" s="31" t="s">
        <v>30</v>
      </c>
      <c r="L53" s="35">
        <v>3347.0</v>
      </c>
      <c r="M53" s="36">
        <v>73634.0</v>
      </c>
      <c r="N53" s="37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>
      <c r="A54" s="47"/>
      <c r="B54" s="47"/>
      <c r="C54" s="47"/>
      <c r="D54" s="47"/>
      <c r="E54" s="47"/>
      <c r="F54" s="68">
        <v>296.0</v>
      </c>
      <c r="G54" s="69">
        <v>45680.0</v>
      </c>
      <c r="H54" s="33" t="s">
        <v>83</v>
      </c>
      <c r="I54" s="34" t="s">
        <v>84</v>
      </c>
      <c r="J54" s="31">
        <v>1.0</v>
      </c>
      <c r="K54" s="31" t="s">
        <v>30</v>
      </c>
      <c r="L54" s="35">
        <v>1230.0</v>
      </c>
      <c r="M54" s="36">
        <v>1230.0</v>
      </c>
      <c r="N54" s="37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>
      <c r="A55" s="47"/>
      <c r="B55" s="47"/>
      <c r="C55" s="47"/>
      <c r="D55" s="47"/>
      <c r="E55" s="47"/>
      <c r="F55" s="47"/>
      <c r="G55" s="47"/>
      <c r="H55" s="33" t="s">
        <v>85</v>
      </c>
      <c r="I55" s="34" t="s">
        <v>84</v>
      </c>
      <c r="J55" s="31">
        <v>1.0</v>
      </c>
      <c r="K55" s="31" t="s">
        <v>30</v>
      </c>
      <c r="L55" s="35">
        <v>850.0</v>
      </c>
      <c r="M55" s="36">
        <v>850.0</v>
      </c>
      <c r="N55" s="37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>
      <c r="A56" s="48"/>
      <c r="B56" s="48"/>
      <c r="C56" s="48"/>
      <c r="D56" s="48"/>
      <c r="E56" s="48"/>
      <c r="F56" s="48"/>
      <c r="G56" s="48"/>
      <c r="H56" s="33" t="s">
        <v>86</v>
      </c>
      <c r="I56" s="34" t="s">
        <v>84</v>
      </c>
      <c r="J56" s="31">
        <v>1.0</v>
      </c>
      <c r="K56" s="31" t="s">
        <v>30</v>
      </c>
      <c r="L56" s="35">
        <v>450.0</v>
      </c>
      <c r="M56" s="36">
        <v>450.0</v>
      </c>
      <c r="N56" s="37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>
      <c r="A57" s="31">
        <v>26.0</v>
      </c>
      <c r="B57" s="31">
        <v>15881.0</v>
      </c>
      <c r="C57" s="32">
        <v>45678.0</v>
      </c>
      <c r="D57" s="31" t="s">
        <v>66</v>
      </c>
      <c r="E57" s="31" t="s">
        <v>67</v>
      </c>
      <c r="F57" s="31" t="s">
        <v>22</v>
      </c>
      <c r="G57" s="33"/>
      <c r="H57" s="33" t="s">
        <v>87</v>
      </c>
      <c r="I57" s="34" t="s">
        <v>46</v>
      </c>
      <c r="J57" s="61"/>
      <c r="K57" s="61"/>
      <c r="L57" s="35">
        <v>226000.0</v>
      </c>
      <c r="M57" s="36">
        <v>226000.0</v>
      </c>
      <c r="N57" s="62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>
      <c r="A58" s="42">
        <v>27.0</v>
      </c>
      <c r="B58" s="42">
        <v>98.0</v>
      </c>
      <c r="C58" s="43">
        <v>45683.0</v>
      </c>
      <c r="D58" s="42" t="s">
        <v>26</v>
      </c>
      <c r="E58" s="42" t="s">
        <v>27</v>
      </c>
      <c r="F58" s="42">
        <v>606.0</v>
      </c>
      <c r="G58" s="59"/>
      <c r="H58" s="33" t="s">
        <v>88</v>
      </c>
      <c r="I58" s="34" t="s">
        <v>29</v>
      </c>
      <c r="J58" s="31">
        <v>10.0</v>
      </c>
      <c r="K58" s="31" t="s">
        <v>89</v>
      </c>
      <c r="L58" s="35">
        <v>220.0</v>
      </c>
      <c r="M58" s="36">
        <v>2200.0</v>
      </c>
      <c r="N58" s="37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>
      <c r="A59" s="48"/>
      <c r="B59" s="48"/>
      <c r="C59" s="48"/>
      <c r="D59" s="48"/>
      <c r="E59" s="48"/>
      <c r="F59" s="48"/>
      <c r="G59" s="59"/>
      <c r="H59" s="33" t="s">
        <v>90</v>
      </c>
      <c r="I59" s="34" t="s">
        <v>29</v>
      </c>
      <c r="J59" s="31">
        <v>10.0</v>
      </c>
      <c r="K59" s="31" t="s">
        <v>89</v>
      </c>
      <c r="L59" s="35">
        <v>430.0</v>
      </c>
      <c r="M59" s="36">
        <v>4300.0</v>
      </c>
      <c r="N59" s="37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>
      <c r="A60" s="42">
        <v>28.0</v>
      </c>
      <c r="B60" s="42">
        <v>5366.0</v>
      </c>
      <c r="C60" s="43">
        <v>45684.0</v>
      </c>
      <c r="D60" s="42" t="s">
        <v>31</v>
      </c>
      <c r="E60" s="57">
        <v>45707.0</v>
      </c>
      <c r="F60" s="42">
        <v>601.0</v>
      </c>
      <c r="G60" s="44">
        <v>45685.0</v>
      </c>
      <c r="H60" s="33" t="s">
        <v>23</v>
      </c>
      <c r="I60" s="34" t="s">
        <v>24</v>
      </c>
      <c r="J60" s="31">
        <v>860.0</v>
      </c>
      <c r="K60" s="31" t="s">
        <v>25</v>
      </c>
      <c r="L60" s="35">
        <v>68.26</v>
      </c>
      <c r="M60" s="36">
        <v>58703.6</v>
      </c>
      <c r="N60" s="41" t="s">
        <v>91</v>
      </c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>
      <c r="A61" s="47"/>
      <c r="B61" s="47"/>
      <c r="C61" s="47"/>
      <c r="D61" s="47"/>
      <c r="E61" s="47"/>
      <c r="F61" s="47"/>
      <c r="G61" s="47"/>
      <c r="H61" s="33" t="s">
        <v>38</v>
      </c>
      <c r="I61" s="34" t="s">
        <v>24</v>
      </c>
      <c r="J61" s="31">
        <v>200.0</v>
      </c>
      <c r="K61" s="31" t="s">
        <v>39</v>
      </c>
      <c r="L61" s="35">
        <v>20.0</v>
      </c>
      <c r="M61" s="36">
        <v>4000.0</v>
      </c>
      <c r="N61" s="41" t="s">
        <v>91</v>
      </c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>
      <c r="A62" s="48"/>
      <c r="B62" s="48"/>
      <c r="C62" s="48"/>
      <c r="D62" s="48"/>
      <c r="E62" s="48"/>
      <c r="F62" s="48"/>
      <c r="G62" s="48"/>
      <c r="H62" s="33" t="s">
        <v>41</v>
      </c>
      <c r="I62" s="34" t="s">
        <v>42</v>
      </c>
      <c r="J62" s="31">
        <v>1.0</v>
      </c>
      <c r="K62" s="31" t="s">
        <v>65</v>
      </c>
      <c r="L62" s="35">
        <v>2000.0</v>
      </c>
      <c r="M62" s="36">
        <v>2000.0</v>
      </c>
      <c r="N62" s="41" t="s">
        <v>92</v>
      </c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>
      <c r="A63" s="31">
        <v>29.0</v>
      </c>
      <c r="B63" s="52">
        <v>41503.0</v>
      </c>
      <c r="C63" s="53">
        <v>45685.0</v>
      </c>
      <c r="D63" s="54" t="s">
        <v>93</v>
      </c>
      <c r="E63" s="54" t="s">
        <v>44</v>
      </c>
      <c r="F63" s="54" t="s">
        <v>22</v>
      </c>
      <c r="G63" s="55"/>
      <c r="H63" s="33" t="s">
        <v>94</v>
      </c>
      <c r="I63" s="34" t="s">
        <v>46</v>
      </c>
      <c r="J63" s="31">
        <v>1.0</v>
      </c>
      <c r="K63" s="31" t="s">
        <v>47</v>
      </c>
      <c r="L63" s="56">
        <v>183000.0</v>
      </c>
      <c r="M63" s="36">
        <v>183000.0</v>
      </c>
      <c r="N63" s="41" t="s">
        <v>48</v>
      </c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>
      <c r="A64" s="31">
        <v>30.0</v>
      </c>
      <c r="B64" s="31">
        <v>122.0</v>
      </c>
      <c r="C64" s="32">
        <v>45685.0</v>
      </c>
      <c r="D64" s="31" t="s">
        <v>95</v>
      </c>
      <c r="E64" s="31" t="s">
        <v>96</v>
      </c>
      <c r="F64" s="31">
        <v>612.0</v>
      </c>
      <c r="G64" s="38">
        <v>45692.0</v>
      </c>
      <c r="H64" s="33" t="s">
        <v>97</v>
      </c>
      <c r="I64" s="34" t="s">
        <v>60</v>
      </c>
      <c r="J64" s="31">
        <v>2.0</v>
      </c>
      <c r="K64" s="31" t="s">
        <v>98</v>
      </c>
      <c r="L64" s="35">
        <v>3000.0</v>
      </c>
      <c r="M64" s="36">
        <v>6000.0</v>
      </c>
      <c r="N64" s="41" t="s">
        <v>99</v>
      </c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>
      <c r="A65" s="31">
        <v>31.0</v>
      </c>
      <c r="B65" s="31">
        <v>1281.0</v>
      </c>
      <c r="C65" s="32">
        <v>45691.0</v>
      </c>
      <c r="D65" s="31" t="s">
        <v>31</v>
      </c>
      <c r="E65" s="39">
        <v>45707.0</v>
      </c>
      <c r="F65" s="31">
        <v>612.0</v>
      </c>
      <c r="G65" s="38">
        <v>45692.0</v>
      </c>
      <c r="H65" s="33" t="s">
        <v>100</v>
      </c>
      <c r="I65" s="34" t="s">
        <v>29</v>
      </c>
      <c r="J65" s="31">
        <v>2.0</v>
      </c>
      <c r="K65" s="31" t="s">
        <v>89</v>
      </c>
      <c r="L65" s="35">
        <v>6825.0</v>
      </c>
      <c r="M65" s="36">
        <v>13650.0</v>
      </c>
      <c r="N65" s="41" t="s">
        <v>101</v>
      </c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>
      <c r="A66" s="42">
        <v>32.0</v>
      </c>
      <c r="B66" s="42">
        <v>4966.0</v>
      </c>
      <c r="C66" s="43">
        <v>45691.0</v>
      </c>
      <c r="D66" s="42" t="s">
        <v>31</v>
      </c>
      <c r="E66" s="57">
        <v>45707.0</v>
      </c>
      <c r="F66" s="42">
        <v>612.0</v>
      </c>
      <c r="G66" s="44">
        <v>45692.0</v>
      </c>
      <c r="H66" s="33" t="s">
        <v>23</v>
      </c>
      <c r="I66" s="34" t="s">
        <v>24</v>
      </c>
      <c r="J66" s="31">
        <v>860.0</v>
      </c>
      <c r="K66" s="31" t="s">
        <v>25</v>
      </c>
      <c r="L66" s="35">
        <v>70.73</v>
      </c>
      <c r="M66" s="36">
        <v>60827.8</v>
      </c>
      <c r="N66" s="41" t="s">
        <v>102</v>
      </c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>
      <c r="A67" s="47"/>
      <c r="B67" s="47"/>
      <c r="C67" s="47"/>
      <c r="D67" s="47"/>
      <c r="E67" s="47"/>
      <c r="F67" s="47"/>
      <c r="G67" s="47"/>
      <c r="H67" s="33" t="s">
        <v>38</v>
      </c>
      <c r="I67" s="34" t="s">
        <v>24</v>
      </c>
      <c r="J67" s="31">
        <v>100.0</v>
      </c>
      <c r="K67" s="31" t="s">
        <v>39</v>
      </c>
      <c r="L67" s="35">
        <v>20.0</v>
      </c>
      <c r="M67" s="36">
        <v>2000.0</v>
      </c>
      <c r="N67" s="41" t="s">
        <v>102</v>
      </c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>
      <c r="A68" s="48"/>
      <c r="B68" s="48"/>
      <c r="C68" s="48"/>
      <c r="D68" s="48"/>
      <c r="E68" s="48"/>
      <c r="F68" s="48"/>
      <c r="G68" s="48"/>
      <c r="H68" s="33" t="s">
        <v>103</v>
      </c>
      <c r="I68" s="34" t="s">
        <v>24</v>
      </c>
      <c r="J68" s="31">
        <v>100.0</v>
      </c>
      <c r="K68" s="31" t="s">
        <v>25</v>
      </c>
      <c r="L68" s="35">
        <v>50.0</v>
      </c>
      <c r="M68" s="36">
        <v>5000.0</v>
      </c>
      <c r="N68" s="41" t="s">
        <v>92</v>
      </c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>
      <c r="A69" s="31">
        <v>33.0</v>
      </c>
      <c r="B69" s="31">
        <v>26.0</v>
      </c>
      <c r="C69" s="32">
        <v>45694.0</v>
      </c>
      <c r="D69" s="31" t="s">
        <v>31</v>
      </c>
      <c r="E69" s="39">
        <v>45707.0</v>
      </c>
      <c r="F69" s="31">
        <v>614.0</v>
      </c>
      <c r="G69" s="38">
        <v>45698.0</v>
      </c>
      <c r="H69" s="33" t="s">
        <v>32</v>
      </c>
      <c r="I69" s="34" t="s">
        <v>33</v>
      </c>
      <c r="J69" s="31">
        <v>100.0</v>
      </c>
      <c r="K69" s="31" t="s">
        <v>34</v>
      </c>
      <c r="L69" s="35">
        <v>30134.0</v>
      </c>
      <c r="M69" s="40">
        <v>30134.0</v>
      </c>
      <c r="N69" s="41" t="s">
        <v>35</v>
      </c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>
      <c r="A70" s="42">
        <v>34.0</v>
      </c>
      <c r="B70" s="42">
        <v>5383.0</v>
      </c>
      <c r="C70" s="43">
        <v>45697.0</v>
      </c>
      <c r="D70" s="42" t="s">
        <v>31</v>
      </c>
      <c r="E70" s="57">
        <v>45707.0</v>
      </c>
      <c r="F70" s="42">
        <v>614.0</v>
      </c>
      <c r="G70" s="44">
        <v>45698.0</v>
      </c>
      <c r="H70" s="33" t="s">
        <v>36</v>
      </c>
      <c r="I70" s="34" t="s">
        <v>24</v>
      </c>
      <c r="J70" s="31">
        <v>220.0</v>
      </c>
      <c r="K70" s="31" t="s">
        <v>25</v>
      </c>
      <c r="L70" s="35">
        <v>66.18</v>
      </c>
      <c r="M70" s="36">
        <v>14559.6</v>
      </c>
      <c r="N70" s="41" t="s">
        <v>102</v>
      </c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>
      <c r="A71" s="48"/>
      <c r="B71" s="48"/>
      <c r="C71" s="48"/>
      <c r="D71" s="48"/>
      <c r="E71" s="48"/>
      <c r="F71" s="48"/>
      <c r="G71" s="48"/>
      <c r="H71" s="33" t="s">
        <v>23</v>
      </c>
      <c r="I71" s="34" t="s">
        <v>24</v>
      </c>
      <c r="J71" s="31">
        <v>1290.0</v>
      </c>
      <c r="K71" s="31" t="s">
        <v>25</v>
      </c>
      <c r="L71" s="35">
        <v>70.73</v>
      </c>
      <c r="M71" s="36">
        <v>91241.7</v>
      </c>
      <c r="N71" s="41" t="s">
        <v>102</v>
      </c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>
      <c r="A72" s="42">
        <v>35.0</v>
      </c>
      <c r="B72" s="42">
        <v>4965.0</v>
      </c>
      <c r="C72" s="43">
        <v>45702.0</v>
      </c>
      <c r="D72" s="42" t="s">
        <v>31</v>
      </c>
      <c r="E72" s="57">
        <v>45707.0</v>
      </c>
      <c r="F72" s="68">
        <v>617.0</v>
      </c>
      <c r="G72" s="69">
        <v>45703.0</v>
      </c>
      <c r="H72" s="33" t="s">
        <v>36</v>
      </c>
      <c r="I72" s="34" t="s">
        <v>24</v>
      </c>
      <c r="J72" s="31">
        <v>220.0</v>
      </c>
      <c r="K72" s="31" t="s">
        <v>25</v>
      </c>
      <c r="L72" s="35">
        <v>66.18</v>
      </c>
      <c r="M72" s="36">
        <v>14559.6</v>
      </c>
      <c r="N72" s="41" t="s">
        <v>102</v>
      </c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>
      <c r="A73" s="47"/>
      <c r="B73" s="47"/>
      <c r="C73" s="47"/>
      <c r="D73" s="47"/>
      <c r="E73" s="47"/>
      <c r="F73" s="48"/>
      <c r="G73" s="48"/>
      <c r="H73" s="33" t="s">
        <v>23</v>
      </c>
      <c r="I73" s="34" t="s">
        <v>24</v>
      </c>
      <c r="J73" s="31">
        <v>860.0</v>
      </c>
      <c r="K73" s="31" t="s">
        <v>25</v>
      </c>
      <c r="L73" s="35">
        <v>70.73</v>
      </c>
      <c r="M73" s="36">
        <v>60827.8</v>
      </c>
      <c r="N73" s="41" t="s">
        <v>102</v>
      </c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>
      <c r="A74" s="47"/>
      <c r="B74" s="47"/>
      <c r="C74" s="47"/>
      <c r="D74" s="47"/>
      <c r="E74" s="47"/>
      <c r="F74" s="31">
        <v>616.0</v>
      </c>
      <c r="G74" s="33"/>
      <c r="H74" s="33" t="s">
        <v>38</v>
      </c>
      <c r="I74" s="34" t="s">
        <v>24</v>
      </c>
      <c r="J74" s="31">
        <v>200.0</v>
      </c>
      <c r="K74" s="31" t="s">
        <v>39</v>
      </c>
      <c r="L74" s="35">
        <v>20.0</v>
      </c>
      <c r="M74" s="36">
        <v>4000.0</v>
      </c>
      <c r="N74" s="41" t="s">
        <v>102</v>
      </c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>
      <c r="A75" s="48"/>
      <c r="B75" s="48"/>
      <c r="C75" s="48"/>
      <c r="D75" s="48"/>
      <c r="E75" s="48"/>
      <c r="F75" s="51">
        <v>616.0</v>
      </c>
      <c r="G75" s="59"/>
      <c r="H75" s="33" t="s">
        <v>103</v>
      </c>
      <c r="I75" s="34" t="s">
        <v>24</v>
      </c>
      <c r="J75" s="31">
        <v>100.0</v>
      </c>
      <c r="K75" s="31" t="s">
        <v>25</v>
      </c>
      <c r="L75" s="35">
        <v>50.0</v>
      </c>
      <c r="M75" s="36">
        <v>5000.0</v>
      </c>
      <c r="N75" s="41" t="s">
        <v>92</v>
      </c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>
      <c r="A76" s="42">
        <v>36.0</v>
      </c>
      <c r="B76" s="42">
        <v>9.0</v>
      </c>
      <c r="C76" s="43">
        <v>45703.0</v>
      </c>
      <c r="D76" s="70" t="s">
        <v>104</v>
      </c>
      <c r="E76" s="42" t="s">
        <v>105</v>
      </c>
      <c r="F76" s="42">
        <v>631.0</v>
      </c>
      <c r="G76" s="44">
        <v>45724.0</v>
      </c>
      <c r="H76" s="33" t="s">
        <v>106</v>
      </c>
      <c r="I76" s="34" t="s">
        <v>60</v>
      </c>
      <c r="J76" s="31">
        <v>3.0</v>
      </c>
      <c r="K76" s="31" t="s">
        <v>89</v>
      </c>
      <c r="L76" s="35">
        <v>9000.0</v>
      </c>
      <c r="M76" s="36">
        <v>27000.0</v>
      </c>
      <c r="N76" s="41" t="s">
        <v>107</v>
      </c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>
      <c r="A77" s="47"/>
      <c r="B77" s="47"/>
      <c r="C77" s="47"/>
      <c r="D77" s="71"/>
      <c r="E77" s="47"/>
      <c r="F77" s="47"/>
      <c r="G77" s="47"/>
      <c r="H77" s="33" t="s">
        <v>108</v>
      </c>
      <c r="I77" s="34" t="s">
        <v>60</v>
      </c>
      <c r="J77" s="31">
        <v>2.0</v>
      </c>
      <c r="K77" s="31" t="s">
        <v>65</v>
      </c>
      <c r="L77" s="35">
        <v>1500.0</v>
      </c>
      <c r="M77" s="36">
        <v>3000.0</v>
      </c>
      <c r="N77" s="41" t="s">
        <v>107</v>
      </c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>
      <c r="A78" s="47"/>
      <c r="B78" s="47"/>
      <c r="C78" s="47"/>
      <c r="D78" s="71"/>
      <c r="E78" s="47"/>
      <c r="F78" s="47"/>
      <c r="G78" s="47"/>
      <c r="H78" s="33" t="s">
        <v>109</v>
      </c>
      <c r="I78" s="34" t="s">
        <v>60</v>
      </c>
      <c r="J78" s="31">
        <v>1.0</v>
      </c>
      <c r="K78" s="31" t="s">
        <v>25</v>
      </c>
      <c r="L78" s="35">
        <v>280.0</v>
      </c>
      <c r="M78" s="36">
        <v>280.0</v>
      </c>
      <c r="N78" s="41" t="s">
        <v>107</v>
      </c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>
      <c r="A79" s="48"/>
      <c r="B79" s="48"/>
      <c r="C79" s="48"/>
      <c r="D79" s="72"/>
      <c r="E79" s="48"/>
      <c r="F79" s="48"/>
      <c r="G79" s="48"/>
      <c r="H79" s="33" t="s">
        <v>110</v>
      </c>
      <c r="I79" s="34" t="s">
        <v>60</v>
      </c>
      <c r="J79" s="31">
        <v>1.0</v>
      </c>
      <c r="K79" s="31" t="s">
        <v>65</v>
      </c>
      <c r="L79" s="35">
        <v>850.0</v>
      </c>
      <c r="M79" s="36">
        <v>850.0</v>
      </c>
      <c r="N79" s="41" t="s">
        <v>107</v>
      </c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>
      <c r="A80" s="31">
        <v>37.0</v>
      </c>
      <c r="B80" s="31">
        <v>42062.0</v>
      </c>
      <c r="C80" s="32">
        <v>45706.0</v>
      </c>
      <c r="D80" s="31" t="s">
        <v>111</v>
      </c>
      <c r="E80" s="31" t="s">
        <v>105</v>
      </c>
      <c r="F80" s="31" t="s">
        <v>22</v>
      </c>
      <c r="G80" s="33"/>
      <c r="H80" s="33" t="s">
        <v>112</v>
      </c>
      <c r="I80" s="34" t="s">
        <v>76</v>
      </c>
      <c r="J80" s="31">
        <v>1.0</v>
      </c>
      <c r="K80" s="31" t="s">
        <v>65</v>
      </c>
      <c r="L80" s="35">
        <v>37352.0</v>
      </c>
      <c r="M80" s="36">
        <v>37352.0</v>
      </c>
      <c r="N80" s="41" t="s">
        <v>48</v>
      </c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>
      <c r="A81" s="42">
        <v>38.0</v>
      </c>
      <c r="B81" s="42">
        <v>5170.0</v>
      </c>
      <c r="C81" s="43">
        <v>45707.0</v>
      </c>
      <c r="D81" s="42" t="s">
        <v>57</v>
      </c>
      <c r="E81" s="42" t="s">
        <v>58</v>
      </c>
      <c r="F81" s="42">
        <v>624.0</v>
      </c>
      <c r="G81" s="44">
        <v>45708.0</v>
      </c>
      <c r="H81" s="33" t="s">
        <v>23</v>
      </c>
      <c r="I81" s="34" t="s">
        <v>24</v>
      </c>
      <c r="J81" s="31">
        <v>1290.0</v>
      </c>
      <c r="K81" s="31" t="s">
        <v>25</v>
      </c>
      <c r="L81" s="35">
        <v>70.73</v>
      </c>
      <c r="M81" s="36">
        <v>91241.7</v>
      </c>
      <c r="N81" s="37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>
      <c r="A82" s="47"/>
      <c r="B82" s="47"/>
      <c r="C82" s="47"/>
      <c r="D82" s="47"/>
      <c r="E82" s="47"/>
      <c r="F82" s="47"/>
      <c r="G82" s="47"/>
      <c r="H82" s="33" t="s">
        <v>38</v>
      </c>
      <c r="I82" s="34" t="s">
        <v>24</v>
      </c>
      <c r="J82" s="31">
        <v>200.0</v>
      </c>
      <c r="K82" s="31" t="s">
        <v>39</v>
      </c>
      <c r="L82" s="35">
        <v>20.0</v>
      </c>
      <c r="M82" s="36">
        <v>4000.0</v>
      </c>
      <c r="N82" s="37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>
      <c r="A83" s="48"/>
      <c r="B83" s="48"/>
      <c r="C83" s="48"/>
      <c r="D83" s="48"/>
      <c r="E83" s="48"/>
      <c r="F83" s="48"/>
      <c r="G83" s="48"/>
      <c r="H83" s="33" t="s">
        <v>103</v>
      </c>
      <c r="I83" s="34" t="s">
        <v>24</v>
      </c>
      <c r="J83" s="31">
        <v>100.0</v>
      </c>
      <c r="K83" s="31" t="s">
        <v>25</v>
      </c>
      <c r="L83" s="35">
        <v>45.0</v>
      </c>
      <c r="M83" s="36">
        <v>4500.0</v>
      </c>
      <c r="N83" s="37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>
      <c r="A84" s="42">
        <v>39.0</v>
      </c>
      <c r="B84" s="42">
        <v>220.0</v>
      </c>
      <c r="C84" s="43">
        <v>45712.0</v>
      </c>
      <c r="D84" s="42" t="s">
        <v>57</v>
      </c>
      <c r="E84" s="42" t="s">
        <v>113</v>
      </c>
      <c r="F84" s="42">
        <v>626.0</v>
      </c>
      <c r="G84" s="44">
        <v>45715.0</v>
      </c>
      <c r="H84" s="33" t="s">
        <v>114</v>
      </c>
      <c r="I84" s="34" t="s">
        <v>115</v>
      </c>
      <c r="J84" s="31">
        <v>15.0</v>
      </c>
      <c r="K84" s="31" t="s">
        <v>74</v>
      </c>
      <c r="L84" s="35">
        <v>140.0</v>
      </c>
      <c r="M84" s="36">
        <v>2100.0</v>
      </c>
      <c r="N84" s="37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>
      <c r="A85" s="48"/>
      <c r="B85" s="48"/>
      <c r="C85" s="48"/>
      <c r="D85" s="48"/>
      <c r="E85" s="48"/>
      <c r="F85" s="48"/>
      <c r="G85" s="48"/>
      <c r="H85" s="33" t="s">
        <v>116</v>
      </c>
      <c r="I85" s="34" t="s">
        <v>29</v>
      </c>
      <c r="J85" s="31">
        <v>10.0</v>
      </c>
      <c r="K85" s="31" t="s">
        <v>89</v>
      </c>
      <c r="L85" s="35">
        <v>100.0</v>
      </c>
      <c r="M85" s="36">
        <v>1000.0</v>
      </c>
      <c r="N85" s="37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>
      <c r="A86" s="31">
        <v>40.0</v>
      </c>
      <c r="B86" s="31">
        <v>779.0</v>
      </c>
      <c r="C86" s="32">
        <v>45712.0</v>
      </c>
      <c r="D86" s="31" t="s">
        <v>57</v>
      </c>
      <c r="E86" s="31" t="s">
        <v>58</v>
      </c>
      <c r="F86" s="31">
        <v>626.0</v>
      </c>
      <c r="G86" s="38">
        <v>45715.0</v>
      </c>
      <c r="H86" s="33" t="s">
        <v>117</v>
      </c>
      <c r="I86" s="34" t="s">
        <v>29</v>
      </c>
      <c r="J86" s="31">
        <v>25.0</v>
      </c>
      <c r="K86" s="31" t="s">
        <v>34</v>
      </c>
      <c r="L86" s="35">
        <v>50.0</v>
      </c>
      <c r="M86" s="36">
        <v>1250.0</v>
      </c>
      <c r="N86" s="37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>
      <c r="A87" s="31">
        <v>41.0</v>
      </c>
      <c r="B87" s="31">
        <v>210.0</v>
      </c>
      <c r="C87" s="32">
        <v>45713.0</v>
      </c>
      <c r="D87" s="31" t="s">
        <v>57</v>
      </c>
      <c r="E87" s="31" t="s">
        <v>58</v>
      </c>
      <c r="F87" s="31">
        <v>627.0</v>
      </c>
      <c r="G87" s="38">
        <v>45715.0</v>
      </c>
      <c r="H87" s="33" t="s">
        <v>118</v>
      </c>
      <c r="I87" s="34" t="s">
        <v>29</v>
      </c>
      <c r="J87" s="31">
        <v>6.0</v>
      </c>
      <c r="K87" s="31" t="s">
        <v>89</v>
      </c>
      <c r="L87" s="35">
        <v>115.0</v>
      </c>
      <c r="M87" s="36">
        <v>690.0</v>
      </c>
      <c r="N87" s="37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>
      <c r="A88" s="42">
        <v>42.0</v>
      </c>
      <c r="B88" s="42">
        <v>4286.0</v>
      </c>
      <c r="C88" s="43">
        <v>45714.0</v>
      </c>
      <c r="D88" s="42" t="s">
        <v>57</v>
      </c>
      <c r="E88" s="42" t="s">
        <v>58</v>
      </c>
      <c r="F88" s="42">
        <v>629.0</v>
      </c>
      <c r="G88" s="44">
        <v>45715.0</v>
      </c>
      <c r="H88" s="33" t="s">
        <v>36</v>
      </c>
      <c r="I88" s="34" t="s">
        <v>24</v>
      </c>
      <c r="J88" s="31">
        <v>220.0</v>
      </c>
      <c r="K88" s="31" t="s">
        <v>25</v>
      </c>
      <c r="L88" s="35">
        <v>66.58</v>
      </c>
      <c r="M88" s="36">
        <v>14647.6</v>
      </c>
      <c r="N88" s="41" t="s">
        <v>91</v>
      </c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>
      <c r="A89" s="47"/>
      <c r="B89" s="47"/>
      <c r="C89" s="47"/>
      <c r="D89" s="47"/>
      <c r="E89" s="47"/>
      <c r="F89" s="47"/>
      <c r="G89" s="47"/>
      <c r="H89" s="33" t="s">
        <v>23</v>
      </c>
      <c r="I89" s="34" t="s">
        <v>24</v>
      </c>
      <c r="J89" s="31">
        <v>1720.0</v>
      </c>
      <c r="K89" s="31" t="s">
        <v>25</v>
      </c>
      <c r="L89" s="35">
        <v>70.73</v>
      </c>
      <c r="M89" s="36">
        <v>121655.6</v>
      </c>
      <c r="N89" s="41" t="s">
        <v>91</v>
      </c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>
      <c r="A90" s="47"/>
      <c r="B90" s="47"/>
      <c r="C90" s="47"/>
      <c r="D90" s="47"/>
      <c r="E90" s="47"/>
      <c r="F90" s="47"/>
      <c r="G90" s="47"/>
      <c r="H90" s="33" t="s">
        <v>38</v>
      </c>
      <c r="I90" s="34" t="s">
        <v>24</v>
      </c>
      <c r="J90" s="31">
        <v>400.0</v>
      </c>
      <c r="K90" s="31" t="s">
        <v>39</v>
      </c>
      <c r="L90" s="35">
        <v>20.0</v>
      </c>
      <c r="M90" s="36">
        <v>8000.0</v>
      </c>
      <c r="N90" s="41" t="s">
        <v>91</v>
      </c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>
      <c r="A91" s="48"/>
      <c r="B91" s="48"/>
      <c r="C91" s="48"/>
      <c r="D91" s="48"/>
      <c r="E91" s="48"/>
      <c r="F91" s="48"/>
      <c r="G91" s="48"/>
      <c r="H91" s="33" t="s">
        <v>119</v>
      </c>
      <c r="I91" s="34" t="s">
        <v>24</v>
      </c>
      <c r="J91" s="31">
        <v>1.0</v>
      </c>
      <c r="K91" s="31" t="s">
        <v>120</v>
      </c>
      <c r="L91" s="35">
        <v>530.0</v>
      </c>
      <c r="M91" s="36">
        <v>530.0</v>
      </c>
      <c r="N91" s="41" t="s">
        <v>91</v>
      </c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>
      <c r="A92" s="31">
        <v>43.0</v>
      </c>
      <c r="B92" s="31" t="s">
        <v>92</v>
      </c>
      <c r="C92" s="32">
        <v>45714.0</v>
      </c>
      <c r="D92" s="31" t="s">
        <v>57</v>
      </c>
      <c r="E92" s="39">
        <v>45727.0</v>
      </c>
      <c r="F92" s="31">
        <v>629.0</v>
      </c>
      <c r="G92" s="38">
        <v>45715.0</v>
      </c>
      <c r="H92" s="33" t="s">
        <v>103</v>
      </c>
      <c r="I92" s="34" t="s">
        <v>24</v>
      </c>
      <c r="J92" s="31">
        <v>100.0</v>
      </c>
      <c r="K92" s="31" t="s">
        <v>25</v>
      </c>
      <c r="L92" s="35">
        <v>45.0</v>
      </c>
      <c r="M92" s="36">
        <v>4500.0</v>
      </c>
      <c r="N92" s="37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>
      <c r="A93" s="31">
        <v>44.0</v>
      </c>
      <c r="B93" s="31">
        <v>785.0</v>
      </c>
      <c r="C93" s="32">
        <v>45714.0</v>
      </c>
      <c r="D93" s="31" t="s">
        <v>57</v>
      </c>
      <c r="E93" s="31" t="s">
        <v>121</v>
      </c>
      <c r="F93" s="31">
        <v>630.0</v>
      </c>
      <c r="G93" s="38">
        <v>45719.0</v>
      </c>
      <c r="H93" s="33" t="s">
        <v>41</v>
      </c>
      <c r="I93" s="34" t="s">
        <v>42</v>
      </c>
      <c r="J93" s="31">
        <v>2.0</v>
      </c>
      <c r="K93" s="31" t="s">
        <v>89</v>
      </c>
      <c r="L93" s="35">
        <v>2000.0</v>
      </c>
      <c r="M93" s="36">
        <v>4000.0</v>
      </c>
      <c r="N93" s="37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>
      <c r="A94" s="31">
        <v>45.0</v>
      </c>
      <c r="B94" s="31">
        <v>299.0</v>
      </c>
      <c r="C94" s="32">
        <v>45714.0</v>
      </c>
      <c r="D94" s="31" t="s">
        <v>57</v>
      </c>
      <c r="E94" s="31" t="s">
        <v>58</v>
      </c>
      <c r="F94" s="31">
        <v>630.0</v>
      </c>
      <c r="G94" s="38">
        <v>45719.0</v>
      </c>
      <c r="H94" s="33" t="s">
        <v>122</v>
      </c>
      <c r="I94" s="34" t="s">
        <v>122</v>
      </c>
      <c r="J94" s="31">
        <v>20.0</v>
      </c>
      <c r="K94" s="31" t="s">
        <v>123</v>
      </c>
      <c r="L94" s="35">
        <v>465.0</v>
      </c>
      <c r="M94" s="36">
        <v>9300.0</v>
      </c>
      <c r="N94" s="37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>
      <c r="A95" s="31">
        <v>46.0</v>
      </c>
      <c r="B95" s="31">
        <v>6449.0</v>
      </c>
      <c r="C95" s="32">
        <v>45715.0</v>
      </c>
      <c r="D95" s="31" t="s">
        <v>124</v>
      </c>
      <c r="E95" s="31" t="s">
        <v>125</v>
      </c>
      <c r="F95" s="31" t="s">
        <v>22</v>
      </c>
      <c r="G95" s="33"/>
      <c r="H95" s="33" t="s">
        <v>126</v>
      </c>
      <c r="I95" s="34" t="s">
        <v>76</v>
      </c>
      <c r="J95" s="61"/>
      <c r="K95" s="61"/>
      <c r="L95" s="35">
        <v>103530.0</v>
      </c>
      <c r="M95" s="36">
        <v>103530.0</v>
      </c>
      <c r="N95" s="62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>
      <c r="A96" s="42">
        <v>47.0</v>
      </c>
      <c r="B96" s="42">
        <v>79.0</v>
      </c>
      <c r="C96" s="43">
        <v>45715.0</v>
      </c>
      <c r="D96" s="42" t="s">
        <v>127</v>
      </c>
      <c r="E96" s="42" t="s">
        <v>96</v>
      </c>
      <c r="F96" s="42" t="s">
        <v>128</v>
      </c>
      <c r="G96" s="44">
        <v>45715.0</v>
      </c>
      <c r="H96" s="33" t="s">
        <v>129</v>
      </c>
      <c r="I96" s="34" t="s">
        <v>51</v>
      </c>
      <c r="J96" s="31">
        <v>7.0</v>
      </c>
      <c r="K96" s="31" t="s">
        <v>65</v>
      </c>
      <c r="L96" s="35">
        <v>1600.0</v>
      </c>
      <c r="M96" s="36">
        <v>11200.0</v>
      </c>
      <c r="N96" s="37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>
      <c r="A97" s="47"/>
      <c r="B97" s="47"/>
      <c r="C97" s="47"/>
      <c r="D97" s="47"/>
      <c r="E97" s="47"/>
      <c r="F97" s="47"/>
      <c r="G97" s="47"/>
      <c r="H97" s="33" t="s">
        <v>130</v>
      </c>
      <c r="I97" s="34" t="s">
        <v>51</v>
      </c>
      <c r="J97" s="31">
        <v>7.0</v>
      </c>
      <c r="K97" s="31" t="s">
        <v>65</v>
      </c>
      <c r="L97" s="35">
        <v>1050.0</v>
      </c>
      <c r="M97" s="36">
        <v>7350.0</v>
      </c>
      <c r="N97" s="37"/>
    </row>
    <row r="98">
      <c r="A98" s="47"/>
      <c r="B98" s="47"/>
      <c r="C98" s="47"/>
      <c r="D98" s="47"/>
      <c r="E98" s="47"/>
      <c r="F98" s="47"/>
      <c r="G98" s="47"/>
      <c r="H98" s="33" t="s">
        <v>131</v>
      </c>
      <c r="I98" s="34" t="s">
        <v>51</v>
      </c>
      <c r="J98" s="31">
        <v>7.0</v>
      </c>
      <c r="K98" s="31" t="s">
        <v>65</v>
      </c>
      <c r="L98" s="35">
        <v>4500.0</v>
      </c>
      <c r="M98" s="36">
        <v>31500.0</v>
      </c>
      <c r="N98" s="37"/>
    </row>
    <row r="99">
      <c r="A99" s="47"/>
      <c r="B99" s="47"/>
      <c r="C99" s="47"/>
      <c r="D99" s="47"/>
      <c r="E99" s="47"/>
      <c r="F99" s="47"/>
      <c r="G99" s="47"/>
      <c r="H99" s="33" t="s">
        <v>132</v>
      </c>
      <c r="I99" s="34" t="s">
        <v>51</v>
      </c>
      <c r="J99" s="31">
        <v>7.0</v>
      </c>
      <c r="K99" s="31" t="s">
        <v>65</v>
      </c>
      <c r="L99" s="35">
        <v>4500.0</v>
      </c>
      <c r="M99" s="36">
        <v>31500.0</v>
      </c>
      <c r="N99" s="37"/>
    </row>
    <row r="100">
      <c r="A100" s="47"/>
      <c r="B100" s="47"/>
      <c r="C100" s="47"/>
      <c r="D100" s="47"/>
      <c r="E100" s="47"/>
      <c r="F100" s="47"/>
      <c r="G100" s="47"/>
      <c r="H100" s="33" t="s">
        <v>133</v>
      </c>
      <c r="I100" s="34" t="s">
        <v>29</v>
      </c>
      <c r="J100" s="31">
        <v>7.0</v>
      </c>
      <c r="K100" s="31" t="s">
        <v>65</v>
      </c>
      <c r="L100" s="35">
        <v>100.0</v>
      </c>
      <c r="M100" s="36">
        <v>700.0</v>
      </c>
      <c r="N100" s="37"/>
    </row>
    <row r="101">
      <c r="A101" s="48"/>
      <c r="B101" s="48"/>
      <c r="C101" s="48"/>
      <c r="D101" s="48"/>
      <c r="E101" s="48"/>
      <c r="F101" s="48"/>
      <c r="G101" s="48"/>
      <c r="H101" s="33" t="s">
        <v>134</v>
      </c>
      <c r="I101" s="34" t="s">
        <v>51</v>
      </c>
      <c r="J101" s="31">
        <v>7.0</v>
      </c>
      <c r="K101" s="31" t="s">
        <v>65</v>
      </c>
      <c r="L101" s="35">
        <v>100.0</v>
      </c>
      <c r="M101" s="36">
        <v>700.0</v>
      </c>
      <c r="N101" s="37"/>
    </row>
    <row r="102">
      <c r="A102" s="31">
        <v>48.0</v>
      </c>
      <c r="B102" s="52">
        <v>41504.0</v>
      </c>
      <c r="C102" s="53">
        <v>45715.0</v>
      </c>
      <c r="D102" s="54" t="s">
        <v>93</v>
      </c>
      <c r="E102" s="54" t="s">
        <v>44</v>
      </c>
      <c r="F102" s="54" t="s">
        <v>22</v>
      </c>
      <c r="G102" s="55"/>
      <c r="H102" s="33" t="s">
        <v>135</v>
      </c>
      <c r="I102" s="34" t="s">
        <v>46</v>
      </c>
      <c r="J102" s="31">
        <v>1.0</v>
      </c>
      <c r="K102" s="31" t="s">
        <v>47</v>
      </c>
      <c r="L102" s="56">
        <v>183000.0</v>
      </c>
      <c r="M102" s="36">
        <v>183000.0</v>
      </c>
      <c r="N102" s="41" t="s">
        <v>48</v>
      </c>
    </row>
    <row r="103">
      <c r="A103" s="51">
        <v>49.0</v>
      </c>
      <c r="B103" s="52">
        <v>41507.0</v>
      </c>
      <c r="C103" s="53">
        <v>45717.0</v>
      </c>
      <c r="D103" s="54" t="s">
        <v>93</v>
      </c>
      <c r="E103" s="54" t="s">
        <v>44</v>
      </c>
      <c r="F103" s="54" t="s">
        <v>22</v>
      </c>
      <c r="G103" s="55"/>
      <c r="H103" s="33" t="s">
        <v>136</v>
      </c>
      <c r="I103" s="34" t="s">
        <v>46</v>
      </c>
      <c r="J103" s="31">
        <v>1.0</v>
      </c>
      <c r="K103" s="31" t="s">
        <v>137</v>
      </c>
      <c r="L103" s="56">
        <v>183000.0</v>
      </c>
      <c r="M103" s="36">
        <v>183000.0</v>
      </c>
      <c r="N103" s="41" t="s">
        <v>48</v>
      </c>
    </row>
    <row r="104">
      <c r="A104" s="31">
        <v>50.0</v>
      </c>
      <c r="B104" s="31">
        <v>5171.0</v>
      </c>
      <c r="C104" s="32">
        <v>45718.0</v>
      </c>
      <c r="D104" s="31" t="s">
        <v>57</v>
      </c>
      <c r="E104" s="31" t="s">
        <v>58</v>
      </c>
      <c r="F104" s="31">
        <v>630.0</v>
      </c>
      <c r="G104" s="38">
        <v>45719.0</v>
      </c>
      <c r="H104" s="33" t="s">
        <v>36</v>
      </c>
      <c r="I104" s="34" t="s">
        <v>24</v>
      </c>
      <c r="J104" s="31">
        <v>220.0</v>
      </c>
      <c r="K104" s="31" t="s">
        <v>25</v>
      </c>
      <c r="L104" s="35">
        <v>65.98</v>
      </c>
      <c r="M104" s="36">
        <v>14515.6</v>
      </c>
      <c r="N104" s="37"/>
    </row>
    <row r="105">
      <c r="A105" s="31">
        <v>51.0</v>
      </c>
      <c r="B105" s="31">
        <v>15884.0</v>
      </c>
      <c r="C105" s="32">
        <v>45719.0</v>
      </c>
      <c r="D105" s="31" t="s">
        <v>111</v>
      </c>
      <c r="E105" s="31" t="s">
        <v>105</v>
      </c>
      <c r="F105" s="31" t="s">
        <v>22</v>
      </c>
      <c r="G105" s="33"/>
      <c r="H105" s="33" t="s">
        <v>138</v>
      </c>
      <c r="I105" s="34" t="s">
        <v>46</v>
      </c>
      <c r="J105" s="31">
        <v>1.0</v>
      </c>
      <c r="K105" s="31" t="s">
        <v>89</v>
      </c>
      <c r="L105" s="35">
        <v>226000.0</v>
      </c>
      <c r="M105" s="36">
        <v>226000.0</v>
      </c>
      <c r="N105" s="41" t="s">
        <v>48</v>
      </c>
    </row>
    <row r="106">
      <c r="A106" s="31">
        <v>52.0</v>
      </c>
      <c r="B106" s="31">
        <v>154.0</v>
      </c>
      <c r="C106" s="32">
        <v>45720.0</v>
      </c>
      <c r="D106" s="31" t="s">
        <v>139</v>
      </c>
      <c r="E106" s="31" t="s">
        <v>96</v>
      </c>
      <c r="F106" s="31">
        <v>632.0</v>
      </c>
      <c r="G106" s="38">
        <v>45724.0</v>
      </c>
      <c r="H106" s="33" t="s">
        <v>28</v>
      </c>
      <c r="I106" s="34" t="s">
        <v>29</v>
      </c>
      <c r="J106" s="31">
        <v>10.0</v>
      </c>
      <c r="K106" s="31" t="s">
        <v>89</v>
      </c>
      <c r="L106" s="35">
        <v>870.0</v>
      </c>
      <c r="M106" s="36">
        <v>8700.0</v>
      </c>
      <c r="N106" s="37"/>
    </row>
    <row r="107">
      <c r="A107" s="31">
        <v>53.0</v>
      </c>
      <c r="B107" s="31">
        <v>86.0</v>
      </c>
      <c r="C107" s="32">
        <v>45722.0</v>
      </c>
      <c r="D107" s="31" t="s">
        <v>140</v>
      </c>
      <c r="E107" s="31" t="s">
        <v>141</v>
      </c>
      <c r="F107" s="31">
        <v>635.0</v>
      </c>
      <c r="G107" s="38">
        <v>45729.0</v>
      </c>
      <c r="H107" s="33" t="s">
        <v>53</v>
      </c>
      <c r="I107" s="34" t="s">
        <v>51</v>
      </c>
      <c r="J107" s="31">
        <v>10.0</v>
      </c>
      <c r="K107" s="31" t="s">
        <v>89</v>
      </c>
      <c r="L107" s="35">
        <v>1200.0</v>
      </c>
      <c r="M107" s="36">
        <v>12000.0</v>
      </c>
      <c r="N107" s="41" t="s">
        <v>142</v>
      </c>
    </row>
    <row r="108">
      <c r="A108" s="31">
        <v>54.0</v>
      </c>
      <c r="B108" s="31">
        <v>87.0</v>
      </c>
      <c r="C108" s="32">
        <v>45724.0</v>
      </c>
      <c r="D108" s="31" t="s">
        <v>140</v>
      </c>
      <c r="E108" s="31" t="s">
        <v>141</v>
      </c>
      <c r="F108" s="31">
        <v>631.0</v>
      </c>
      <c r="G108" s="38">
        <v>45724.0</v>
      </c>
      <c r="H108" s="33" t="s">
        <v>53</v>
      </c>
      <c r="I108" s="34" t="s">
        <v>51</v>
      </c>
      <c r="J108" s="31">
        <v>5.0</v>
      </c>
      <c r="K108" s="31" t="s">
        <v>89</v>
      </c>
      <c r="L108" s="35">
        <v>1200.0</v>
      </c>
      <c r="M108" s="36">
        <v>6000.0</v>
      </c>
      <c r="N108" s="41" t="s">
        <v>142</v>
      </c>
    </row>
    <row r="109">
      <c r="A109" s="42">
        <v>55.0</v>
      </c>
      <c r="B109" s="42">
        <v>1097239.0</v>
      </c>
      <c r="C109" s="43">
        <v>45723.0</v>
      </c>
      <c r="D109" s="42" t="s">
        <v>143</v>
      </c>
      <c r="E109" s="42" t="s">
        <v>96</v>
      </c>
      <c r="F109" s="42">
        <v>635.0</v>
      </c>
      <c r="G109" s="44">
        <v>45729.0</v>
      </c>
      <c r="H109" s="33" t="s">
        <v>23</v>
      </c>
      <c r="I109" s="34" t="s">
        <v>24</v>
      </c>
      <c r="J109" s="31">
        <v>1370.24</v>
      </c>
      <c r="K109" s="31" t="s">
        <v>25</v>
      </c>
      <c r="L109" s="35">
        <v>67.62</v>
      </c>
      <c r="M109" s="36">
        <v>92655.63</v>
      </c>
      <c r="N109" s="37"/>
    </row>
    <row r="110">
      <c r="A110" s="48"/>
      <c r="B110" s="48"/>
      <c r="C110" s="48"/>
      <c r="D110" s="48"/>
      <c r="E110" s="48"/>
      <c r="F110" s="48"/>
      <c r="G110" s="48"/>
      <c r="H110" s="33" t="s">
        <v>103</v>
      </c>
      <c r="I110" s="34" t="s">
        <v>24</v>
      </c>
      <c r="J110" s="31">
        <v>100.0</v>
      </c>
      <c r="K110" s="31" t="s">
        <v>25</v>
      </c>
      <c r="L110" s="35">
        <v>45.0</v>
      </c>
      <c r="M110" s="36">
        <v>4500.0</v>
      </c>
      <c r="N110" s="37"/>
    </row>
    <row r="111">
      <c r="A111" s="31">
        <v>56.0</v>
      </c>
      <c r="B111" s="31">
        <v>354.0</v>
      </c>
      <c r="C111" s="32">
        <v>45726.0</v>
      </c>
      <c r="D111" s="31" t="s">
        <v>144</v>
      </c>
      <c r="E111" s="31" t="s">
        <v>145</v>
      </c>
      <c r="F111" s="31">
        <v>639.0</v>
      </c>
      <c r="G111" s="38">
        <v>45737.0</v>
      </c>
      <c r="H111" s="33" t="s">
        <v>146</v>
      </c>
      <c r="I111" s="34" t="s">
        <v>147</v>
      </c>
      <c r="J111" s="31">
        <v>121.0</v>
      </c>
      <c r="K111" s="31" t="s">
        <v>34</v>
      </c>
      <c r="L111" s="56">
        <v>45.0</v>
      </c>
      <c r="M111" s="36">
        <v>5440.0</v>
      </c>
      <c r="N111" s="41" t="s">
        <v>148</v>
      </c>
    </row>
    <row r="112">
      <c r="A112" s="42">
        <v>57.0</v>
      </c>
      <c r="B112" s="42">
        <v>5169.0</v>
      </c>
      <c r="C112" s="43">
        <v>45728.0</v>
      </c>
      <c r="D112" s="42" t="s">
        <v>143</v>
      </c>
      <c r="E112" s="57">
        <v>45733.0</v>
      </c>
      <c r="F112" s="68">
        <v>631.0</v>
      </c>
      <c r="G112" s="69">
        <v>45724.0</v>
      </c>
      <c r="H112" s="33" t="s">
        <v>23</v>
      </c>
      <c r="I112" s="34" t="s">
        <v>24</v>
      </c>
      <c r="J112" s="31">
        <v>1370.0</v>
      </c>
      <c r="K112" s="31" t="s">
        <v>25</v>
      </c>
      <c r="L112" s="35">
        <v>67.62</v>
      </c>
      <c r="M112" s="36">
        <v>92639.4</v>
      </c>
      <c r="N112" s="41" t="s">
        <v>102</v>
      </c>
    </row>
    <row r="113">
      <c r="A113" s="47"/>
      <c r="B113" s="47"/>
      <c r="C113" s="47"/>
      <c r="D113" s="47"/>
      <c r="E113" s="47"/>
      <c r="F113" s="48"/>
      <c r="G113" s="48"/>
      <c r="H113" s="33" t="s">
        <v>103</v>
      </c>
      <c r="I113" s="34" t="s">
        <v>24</v>
      </c>
      <c r="J113" s="31">
        <v>100.0</v>
      </c>
      <c r="K113" s="31" t="s">
        <v>25</v>
      </c>
      <c r="L113" s="35">
        <v>45.0</v>
      </c>
      <c r="M113" s="36">
        <v>4500.0</v>
      </c>
      <c r="N113" s="37"/>
    </row>
    <row r="114" ht="15.75" customHeight="1">
      <c r="A114" s="47"/>
      <c r="B114" s="47"/>
      <c r="C114" s="47"/>
      <c r="D114" s="47"/>
      <c r="E114" s="47"/>
      <c r="F114" s="68">
        <v>635.0</v>
      </c>
      <c r="G114" s="69">
        <v>45729.0</v>
      </c>
      <c r="H114" s="33" t="s">
        <v>38</v>
      </c>
      <c r="I114" s="34" t="s">
        <v>24</v>
      </c>
      <c r="J114" s="31">
        <v>150.0</v>
      </c>
      <c r="K114" s="31" t="s">
        <v>39</v>
      </c>
      <c r="L114" s="35">
        <v>20.0</v>
      </c>
      <c r="M114" s="36">
        <v>3000.0</v>
      </c>
      <c r="N114" s="41" t="s">
        <v>102</v>
      </c>
    </row>
    <row r="115" ht="15.75" customHeight="1">
      <c r="A115" s="48"/>
      <c r="B115" s="48"/>
      <c r="C115" s="48"/>
      <c r="D115" s="48"/>
      <c r="E115" s="48"/>
      <c r="F115" s="48"/>
      <c r="G115" s="48"/>
      <c r="H115" s="33" t="s">
        <v>36</v>
      </c>
      <c r="I115" s="34" t="s">
        <v>24</v>
      </c>
      <c r="J115" s="31">
        <v>219.0</v>
      </c>
      <c r="K115" s="31" t="s">
        <v>25</v>
      </c>
      <c r="L115" s="35">
        <v>66.93</v>
      </c>
      <c r="M115" s="36">
        <v>14657.67</v>
      </c>
      <c r="N115" s="41" t="s">
        <v>102</v>
      </c>
    </row>
    <row r="116">
      <c r="A116" s="31">
        <v>58.0</v>
      </c>
      <c r="B116" s="31">
        <v>1432.0</v>
      </c>
      <c r="C116" s="32">
        <v>45734.0</v>
      </c>
      <c r="D116" s="31" t="s">
        <v>149</v>
      </c>
      <c r="E116" s="31" t="s">
        <v>150</v>
      </c>
      <c r="F116" s="31">
        <v>614.0</v>
      </c>
      <c r="G116" s="38">
        <v>45724.0</v>
      </c>
      <c r="H116" s="33" t="s">
        <v>151</v>
      </c>
      <c r="I116" s="34" t="s">
        <v>29</v>
      </c>
      <c r="J116" s="31">
        <v>2.0</v>
      </c>
      <c r="K116" s="31" t="s">
        <v>89</v>
      </c>
      <c r="L116" s="35">
        <v>800.0</v>
      </c>
      <c r="M116" s="36">
        <v>1600.0</v>
      </c>
      <c r="N116" s="37"/>
    </row>
    <row r="117">
      <c r="A117" s="31">
        <v>59.0</v>
      </c>
      <c r="B117" s="31">
        <v>485.0</v>
      </c>
      <c r="C117" s="32">
        <v>45736.0</v>
      </c>
      <c r="D117" s="31" t="s">
        <v>149</v>
      </c>
      <c r="E117" s="31" t="s">
        <v>150</v>
      </c>
      <c r="F117" s="31">
        <v>639.0</v>
      </c>
      <c r="G117" s="38">
        <v>45737.0</v>
      </c>
      <c r="H117" s="33" t="s">
        <v>152</v>
      </c>
      <c r="I117" s="34" t="s">
        <v>29</v>
      </c>
      <c r="J117" s="31">
        <v>30.0</v>
      </c>
      <c r="K117" s="31" t="s">
        <v>74</v>
      </c>
      <c r="L117" s="35">
        <v>140.0</v>
      </c>
      <c r="M117" s="36">
        <v>4200.0</v>
      </c>
      <c r="N117" s="37"/>
    </row>
    <row r="118">
      <c r="A118" s="31">
        <v>60.0</v>
      </c>
      <c r="B118" s="31">
        <v>1140963.0</v>
      </c>
      <c r="C118" s="32">
        <v>45736.0</v>
      </c>
      <c r="D118" s="31" t="s">
        <v>149</v>
      </c>
      <c r="E118" s="31" t="s">
        <v>150</v>
      </c>
      <c r="F118" s="31">
        <v>640.0</v>
      </c>
      <c r="G118" s="38">
        <v>45737.0</v>
      </c>
      <c r="H118" s="33" t="s">
        <v>36</v>
      </c>
      <c r="I118" s="34" t="s">
        <v>24</v>
      </c>
      <c r="J118" s="31">
        <v>238.411</v>
      </c>
      <c r="K118" s="31" t="s">
        <v>25</v>
      </c>
      <c r="L118" s="35">
        <v>63.08</v>
      </c>
      <c r="M118" s="36">
        <v>15038.97</v>
      </c>
      <c r="N118" s="37"/>
    </row>
    <row r="119">
      <c r="A119" s="31">
        <v>61.0</v>
      </c>
      <c r="B119" s="31">
        <v>1140988.0</v>
      </c>
      <c r="C119" s="32">
        <v>45736.0</v>
      </c>
      <c r="D119" s="31" t="s">
        <v>149</v>
      </c>
      <c r="E119" s="31" t="s">
        <v>150</v>
      </c>
      <c r="F119" s="31">
        <v>640.0</v>
      </c>
      <c r="G119" s="38">
        <v>45737.0</v>
      </c>
      <c r="H119" s="33" t="s">
        <v>23</v>
      </c>
      <c r="I119" s="34" t="s">
        <v>24</v>
      </c>
      <c r="J119" s="31">
        <v>1146.0</v>
      </c>
      <c r="K119" s="31" t="s">
        <v>25</v>
      </c>
      <c r="L119" s="35">
        <v>64.65</v>
      </c>
      <c r="M119" s="36">
        <v>74088.9</v>
      </c>
      <c r="N119" s="37"/>
    </row>
    <row r="120">
      <c r="A120" s="42">
        <v>62.0</v>
      </c>
      <c r="B120" s="42">
        <v>2167.0</v>
      </c>
      <c r="C120" s="43">
        <v>45736.0</v>
      </c>
      <c r="D120" s="42" t="s">
        <v>149</v>
      </c>
      <c r="E120" s="42" t="s">
        <v>150</v>
      </c>
      <c r="F120" s="42">
        <v>640.0</v>
      </c>
      <c r="G120" s="44">
        <v>45737.0</v>
      </c>
      <c r="H120" s="33" t="s">
        <v>38</v>
      </c>
      <c r="I120" s="34" t="s">
        <v>24</v>
      </c>
      <c r="J120" s="31">
        <v>200.0</v>
      </c>
      <c r="K120" s="31" t="s">
        <v>39</v>
      </c>
      <c r="L120" s="35">
        <v>20.0</v>
      </c>
      <c r="M120" s="36">
        <v>4000.0</v>
      </c>
      <c r="N120" s="37"/>
    </row>
    <row r="121">
      <c r="A121" s="48"/>
      <c r="B121" s="48"/>
      <c r="C121" s="48"/>
      <c r="D121" s="48"/>
      <c r="E121" s="48"/>
      <c r="F121" s="48"/>
      <c r="G121" s="48"/>
      <c r="H121" s="33" t="s">
        <v>103</v>
      </c>
      <c r="I121" s="34" t="s">
        <v>24</v>
      </c>
      <c r="J121" s="31">
        <v>100.0</v>
      </c>
      <c r="K121" s="31" t="s">
        <v>25</v>
      </c>
      <c r="L121" s="35">
        <v>45.0</v>
      </c>
      <c r="M121" s="36">
        <v>4500.0</v>
      </c>
      <c r="N121" s="37"/>
    </row>
    <row r="122">
      <c r="A122" s="31">
        <v>63.0</v>
      </c>
      <c r="B122" s="31">
        <v>361.0</v>
      </c>
      <c r="C122" s="32">
        <v>45736.0</v>
      </c>
      <c r="D122" s="31" t="s">
        <v>144</v>
      </c>
      <c r="E122" s="31" t="s">
        <v>44</v>
      </c>
      <c r="F122" s="31">
        <v>639.0</v>
      </c>
      <c r="G122" s="38">
        <v>45737.0</v>
      </c>
      <c r="H122" s="33" t="s">
        <v>153</v>
      </c>
      <c r="I122" s="34" t="s">
        <v>55</v>
      </c>
      <c r="J122" s="31">
        <v>6.5</v>
      </c>
      <c r="K122" s="31" t="s">
        <v>34</v>
      </c>
      <c r="L122" s="56">
        <v>45.0</v>
      </c>
      <c r="M122" s="36">
        <v>292.5</v>
      </c>
      <c r="N122" s="41" t="s">
        <v>148</v>
      </c>
    </row>
    <row r="123">
      <c r="A123" s="31">
        <v>64.0</v>
      </c>
      <c r="B123" s="31">
        <v>52416.0</v>
      </c>
      <c r="C123" s="32">
        <v>45737.0</v>
      </c>
      <c r="D123" s="31" t="s">
        <v>154</v>
      </c>
      <c r="E123" s="31" t="s">
        <v>155</v>
      </c>
      <c r="F123" s="31">
        <v>647.0</v>
      </c>
      <c r="G123" s="38">
        <v>45741.0</v>
      </c>
      <c r="H123" s="33" t="s">
        <v>54</v>
      </c>
      <c r="I123" s="34" t="s">
        <v>29</v>
      </c>
      <c r="J123" s="31">
        <v>10.0</v>
      </c>
      <c r="K123" s="31" t="s">
        <v>65</v>
      </c>
      <c r="L123" s="35">
        <v>120.0</v>
      </c>
      <c r="M123" s="36">
        <v>1200.0</v>
      </c>
      <c r="N123" s="37"/>
    </row>
    <row r="124">
      <c r="A124" s="42">
        <v>65.0</v>
      </c>
      <c r="B124" s="42">
        <v>5187.0</v>
      </c>
      <c r="C124" s="43">
        <v>45740.0</v>
      </c>
      <c r="D124" s="42" t="s">
        <v>154</v>
      </c>
      <c r="E124" s="42" t="s">
        <v>155</v>
      </c>
      <c r="F124" s="42">
        <v>647.0</v>
      </c>
      <c r="G124" s="44">
        <v>45741.0</v>
      </c>
      <c r="H124" s="33" t="s">
        <v>38</v>
      </c>
      <c r="I124" s="34" t="s">
        <v>24</v>
      </c>
      <c r="J124" s="31">
        <v>240.0</v>
      </c>
      <c r="K124" s="31" t="s">
        <v>39</v>
      </c>
      <c r="L124" s="35">
        <v>20.0</v>
      </c>
      <c r="M124" s="36">
        <v>4800.0</v>
      </c>
      <c r="N124" s="37"/>
    </row>
    <row r="125">
      <c r="A125" s="48"/>
      <c r="B125" s="48"/>
      <c r="C125" s="48"/>
      <c r="D125" s="48"/>
      <c r="E125" s="48"/>
      <c r="F125" s="48"/>
      <c r="G125" s="48"/>
      <c r="H125" s="33" t="s">
        <v>103</v>
      </c>
      <c r="I125" s="34" t="s">
        <v>24</v>
      </c>
      <c r="J125" s="31">
        <v>85.0</v>
      </c>
      <c r="K125" s="31" t="s">
        <v>25</v>
      </c>
      <c r="L125" s="35">
        <v>45.0</v>
      </c>
      <c r="M125" s="36">
        <v>3825.0</v>
      </c>
      <c r="N125" s="37"/>
    </row>
    <row r="126">
      <c r="A126" s="31">
        <v>66.0</v>
      </c>
      <c r="B126" s="31">
        <v>366.0</v>
      </c>
      <c r="C126" s="32">
        <v>45741.0</v>
      </c>
      <c r="D126" s="31" t="s">
        <v>154</v>
      </c>
      <c r="E126" s="39">
        <v>45750.0</v>
      </c>
      <c r="F126" s="31">
        <v>648.0</v>
      </c>
      <c r="G126" s="38">
        <v>45744.0</v>
      </c>
      <c r="H126" s="33" t="s">
        <v>41</v>
      </c>
      <c r="I126" s="34" t="s">
        <v>42</v>
      </c>
      <c r="J126" s="31">
        <v>4.0</v>
      </c>
      <c r="K126" s="31" t="s">
        <v>156</v>
      </c>
      <c r="L126" s="35">
        <v>2200.0</v>
      </c>
      <c r="M126" s="36">
        <v>8800.0</v>
      </c>
      <c r="N126" s="41" t="s">
        <v>148</v>
      </c>
    </row>
    <row r="127" ht="14.25" customHeight="1">
      <c r="A127" s="31">
        <v>67.0</v>
      </c>
      <c r="B127" s="31">
        <v>4365.0</v>
      </c>
      <c r="C127" s="32">
        <v>45741.0</v>
      </c>
      <c r="D127" s="31" t="s">
        <v>154</v>
      </c>
      <c r="E127" s="31" t="s">
        <v>155</v>
      </c>
      <c r="F127" s="31">
        <v>647.0</v>
      </c>
      <c r="G127" s="38">
        <v>45741.0</v>
      </c>
      <c r="H127" s="33" t="s">
        <v>36</v>
      </c>
      <c r="I127" s="34" t="s">
        <v>24</v>
      </c>
      <c r="J127" s="31">
        <v>237.0</v>
      </c>
      <c r="K127" s="31" t="s">
        <v>25</v>
      </c>
      <c r="L127" s="35">
        <v>63.58</v>
      </c>
      <c r="M127" s="36">
        <v>15068.46</v>
      </c>
      <c r="N127" s="37"/>
    </row>
    <row r="128" ht="14.25" customHeight="1">
      <c r="A128" s="31">
        <v>68.0</v>
      </c>
      <c r="B128" s="31">
        <v>1165146.0</v>
      </c>
      <c r="C128" s="32">
        <v>45743.0</v>
      </c>
      <c r="D128" s="31" t="s">
        <v>154</v>
      </c>
      <c r="E128" s="31" t="s">
        <v>155</v>
      </c>
      <c r="F128" s="31">
        <v>648.0</v>
      </c>
      <c r="G128" s="38">
        <v>45744.0</v>
      </c>
      <c r="H128" s="33" t="s">
        <v>36</v>
      </c>
      <c r="I128" s="34" t="s">
        <v>24</v>
      </c>
      <c r="J128" s="31">
        <v>447.0</v>
      </c>
      <c r="K128" s="31" t="s">
        <v>25</v>
      </c>
      <c r="L128" s="35">
        <v>63.08</v>
      </c>
      <c r="M128" s="36">
        <v>28196.76</v>
      </c>
      <c r="N128" s="41" t="s">
        <v>91</v>
      </c>
    </row>
    <row r="129">
      <c r="A129" s="31">
        <v>69.0</v>
      </c>
      <c r="B129" s="31">
        <v>1165173.0</v>
      </c>
      <c r="C129" s="32">
        <v>45743.0</v>
      </c>
      <c r="D129" s="31" t="s">
        <v>154</v>
      </c>
      <c r="E129" s="31" t="s">
        <v>157</v>
      </c>
      <c r="F129" s="31">
        <v>648.0</v>
      </c>
      <c r="G129" s="38">
        <v>45744.0</v>
      </c>
      <c r="H129" s="33" t="s">
        <v>23</v>
      </c>
      <c r="I129" s="34" t="s">
        <v>24</v>
      </c>
      <c r="J129" s="31">
        <v>1000.0</v>
      </c>
      <c r="K129" s="31" t="s">
        <v>25</v>
      </c>
      <c r="L129" s="35">
        <v>64.65</v>
      </c>
      <c r="M129" s="36">
        <v>64650.0</v>
      </c>
      <c r="N129" s="41" t="s">
        <v>91</v>
      </c>
    </row>
    <row r="130">
      <c r="A130" s="31">
        <v>70.0</v>
      </c>
      <c r="B130" s="31">
        <v>1165181.0</v>
      </c>
      <c r="C130" s="32">
        <v>45743.0</v>
      </c>
      <c r="D130" s="31" t="s">
        <v>154</v>
      </c>
      <c r="E130" s="31" t="s">
        <v>155</v>
      </c>
      <c r="F130" s="31">
        <v>648.0</v>
      </c>
      <c r="G130" s="38">
        <v>45744.0</v>
      </c>
      <c r="H130" s="33" t="s">
        <v>23</v>
      </c>
      <c r="I130" s="34" t="s">
        <v>24</v>
      </c>
      <c r="J130" s="31">
        <v>585.04</v>
      </c>
      <c r="K130" s="31" t="s">
        <v>25</v>
      </c>
      <c r="L130" s="40">
        <v>64.65</v>
      </c>
      <c r="M130" s="41">
        <v>37822.84</v>
      </c>
      <c r="N130" s="41" t="s">
        <v>91</v>
      </c>
      <c r="O130" s="73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</row>
    <row r="131">
      <c r="A131" s="31">
        <v>71.0</v>
      </c>
      <c r="B131" s="31">
        <v>2413.0</v>
      </c>
      <c r="C131" s="32">
        <v>45743.0</v>
      </c>
      <c r="D131" s="31" t="s">
        <v>154</v>
      </c>
      <c r="E131" s="31" t="s">
        <v>155</v>
      </c>
      <c r="F131" s="31">
        <v>648.0</v>
      </c>
      <c r="G131" s="38">
        <v>45744.0</v>
      </c>
      <c r="H131" s="33" t="s">
        <v>38</v>
      </c>
      <c r="I131" s="34" t="s">
        <v>24</v>
      </c>
      <c r="J131" s="31">
        <v>480.0</v>
      </c>
      <c r="K131" s="31" t="s">
        <v>39</v>
      </c>
      <c r="L131" s="40">
        <v>20.0</v>
      </c>
      <c r="M131" s="36">
        <v>9600.0</v>
      </c>
      <c r="N131" s="41" t="s">
        <v>91</v>
      </c>
    </row>
    <row r="132">
      <c r="A132" s="31">
        <v>72.0</v>
      </c>
      <c r="B132" s="31" t="s">
        <v>158</v>
      </c>
      <c r="C132" s="32">
        <v>45743.0</v>
      </c>
      <c r="D132" s="31" t="s">
        <v>154</v>
      </c>
      <c r="E132" s="31" t="s">
        <v>155</v>
      </c>
      <c r="F132" s="31">
        <v>648.0</v>
      </c>
      <c r="G132" s="38">
        <v>45744.0</v>
      </c>
      <c r="H132" s="33" t="s">
        <v>159</v>
      </c>
      <c r="I132" s="34" t="s">
        <v>24</v>
      </c>
      <c r="J132" s="31">
        <v>80.0</v>
      </c>
      <c r="K132" s="31" t="s">
        <v>25</v>
      </c>
      <c r="L132" s="40">
        <v>45.0</v>
      </c>
      <c r="M132" s="36">
        <v>3600.0</v>
      </c>
      <c r="N132" s="41" t="s">
        <v>160</v>
      </c>
    </row>
    <row r="133">
      <c r="A133" s="42">
        <v>73.0</v>
      </c>
      <c r="B133" s="75">
        <v>89.0</v>
      </c>
      <c r="C133" s="43">
        <v>45747.0</v>
      </c>
      <c r="D133" s="75" t="s">
        <v>161</v>
      </c>
      <c r="E133" s="75" t="s">
        <v>162</v>
      </c>
      <c r="F133" s="75">
        <v>653.0</v>
      </c>
      <c r="G133" s="76">
        <v>45754.0</v>
      </c>
      <c r="H133" s="63" t="s">
        <v>163</v>
      </c>
      <c r="I133" s="34" t="s">
        <v>29</v>
      </c>
      <c r="J133" s="77">
        <v>10.0</v>
      </c>
      <c r="K133" s="77" t="s">
        <v>156</v>
      </c>
      <c r="L133" s="78">
        <v>100.0</v>
      </c>
      <c r="M133" s="36">
        <v>1000.0</v>
      </c>
      <c r="N133" s="41" t="s">
        <v>142</v>
      </c>
    </row>
    <row r="134">
      <c r="A134" s="47"/>
      <c r="B134" s="47"/>
      <c r="C134" s="47"/>
      <c r="D134" s="47"/>
      <c r="E134" s="47"/>
      <c r="F134" s="47"/>
      <c r="G134" s="47"/>
      <c r="H134" s="63" t="s">
        <v>164</v>
      </c>
      <c r="I134" s="34" t="s">
        <v>51</v>
      </c>
      <c r="J134" s="77">
        <v>10.0</v>
      </c>
      <c r="K134" s="77" t="s">
        <v>165</v>
      </c>
      <c r="L134" s="78">
        <v>1200.0</v>
      </c>
      <c r="M134" s="36">
        <v>12000.0</v>
      </c>
      <c r="N134" s="41" t="s">
        <v>142</v>
      </c>
    </row>
    <row r="135">
      <c r="A135" s="47"/>
      <c r="B135" s="47"/>
      <c r="C135" s="47"/>
      <c r="D135" s="47"/>
      <c r="E135" s="47"/>
      <c r="F135" s="47"/>
      <c r="G135" s="47"/>
      <c r="H135" s="63" t="s">
        <v>166</v>
      </c>
      <c r="I135" s="34" t="s">
        <v>51</v>
      </c>
      <c r="J135" s="77">
        <v>5.0</v>
      </c>
      <c r="K135" s="77" t="s">
        <v>156</v>
      </c>
      <c r="L135" s="78">
        <v>1200.0</v>
      </c>
      <c r="M135" s="36">
        <v>6000.0</v>
      </c>
      <c r="N135" s="41" t="s">
        <v>142</v>
      </c>
    </row>
    <row r="136">
      <c r="A136" s="47"/>
      <c r="B136" s="47"/>
      <c r="C136" s="47"/>
      <c r="D136" s="47"/>
      <c r="E136" s="47"/>
      <c r="F136" s="47"/>
      <c r="G136" s="47"/>
      <c r="H136" s="63" t="s">
        <v>167</v>
      </c>
      <c r="I136" s="34" t="s">
        <v>29</v>
      </c>
      <c r="J136" s="77">
        <v>3.0</v>
      </c>
      <c r="K136" s="77" t="s">
        <v>156</v>
      </c>
      <c r="L136" s="78">
        <v>100.0</v>
      </c>
      <c r="M136" s="36">
        <v>300.0</v>
      </c>
      <c r="N136" s="41" t="s">
        <v>142</v>
      </c>
    </row>
    <row r="137">
      <c r="A137" s="47"/>
      <c r="B137" s="47"/>
      <c r="C137" s="47"/>
      <c r="D137" s="47"/>
      <c r="E137" s="47"/>
      <c r="F137" s="47"/>
      <c r="G137" s="47"/>
      <c r="H137" s="63" t="s">
        <v>168</v>
      </c>
      <c r="I137" s="34" t="s">
        <v>29</v>
      </c>
      <c r="J137" s="77">
        <v>5.0</v>
      </c>
      <c r="K137" s="77" t="s">
        <v>156</v>
      </c>
      <c r="L137" s="78">
        <v>100.0</v>
      </c>
      <c r="M137" s="36">
        <v>500.0</v>
      </c>
      <c r="N137" s="41" t="s">
        <v>142</v>
      </c>
    </row>
    <row r="138">
      <c r="A138" s="47"/>
      <c r="B138" s="47"/>
      <c r="C138" s="47"/>
      <c r="D138" s="47"/>
      <c r="E138" s="47"/>
      <c r="F138" s="47"/>
      <c r="G138" s="47"/>
      <c r="H138" s="63" t="s">
        <v>169</v>
      </c>
      <c r="I138" s="34" t="s">
        <v>29</v>
      </c>
      <c r="J138" s="77">
        <v>5.0</v>
      </c>
      <c r="K138" s="77" t="s">
        <v>156</v>
      </c>
      <c r="L138" s="78">
        <v>600.0</v>
      </c>
      <c r="M138" s="36">
        <v>3000.0</v>
      </c>
      <c r="N138" s="41" t="s">
        <v>142</v>
      </c>
    </row>
    <row r="139">
      <c r="A139" s="48"/>
      <c r="B139" s="48"/>
      <c r="C139" s="48"/>
      <c r="D139" s="48"/>
      <c r="E139" s="48"/>
      <c r="F139" s="48"/>
      <c r="G139" s="48"/>
      <c r="H139" s="63" t="s">
        <v>170</v>
      </c>
      <c r="I139" s="34" t="s">
        <v>29</v>
      </c>
      <c r="J139" s="77">
        <v>7.0</v>
      </c>
      <c r="K139" s="77" t="s">
        <v>156</v>
      </c>
      <c r="L139" s="78">
        <v>250.0</v>
      </c>
      <c r="M139" s="36">
        <v>1750.0</v>
      </c>
      <c r="N139" s="41" t="s">
        <v>142</v>
      </c>
    </row>
    <row r="140">
      <c r="A140" s="31">
        <v>74.0</v>
      </c>
      <c r="B140" s="79">
        <v>6639.0</v>
      </c>
      <c r="C140" s="80">
        <v>45747.0</v>
      </c>
      <c r="D140" s="79" t="s">
        <v>171</v>
      </c>
      <c r="E140" s="79" t="s">
        <v>172</v>
      </c>
      <c r="F140" s="79" t="s">
        <v>22</v>
      </c>
      <c r="G140" s="63"/>
      <c r="H140" s="63" t="s">
        <v>173</v>
      </c>
      <c r="I140" s="34" t="s">
        <v>46</v>
      </c>
      <c r="J140" s="77">
        <v>26.0</v>
      </c>
      <c r="K140" s="77" t="s">
        <v>174</v>
      </c>
      <c r="L140" s="78">
        <v>4930.0</v>
      </c>
      <c r="M140" s="36">
        <f>L140*J140</f>
        <v>128180</v>
      </c>
      <c r="N140" s="41" t="s">
        <v>48</v>
      </c>
    </row>
    <row r="141">
      <c r="A141" s="31">
        <v>75.0</v>
      </c>
      <c r="B141" s="31">
        <v>43492.0</v>
      </c>
      <c r="C141" s="32">
        <v>45747.0</v>
      </c>
      <c r="D141" s="31" t="s">
        <v>175</v>
      </c>
      <c r="E141" s="31" t="s">
        <v>44</v>
      </c>
      <c r="F141" s="31" t="s">
        <v>22</v>
      </c>
      <c r="G141" s="33"/>
      <c r="H141" s="33" t="s">
        <v>176</v>
      </c>
      <c r="I141" s="34" t="s">
        <v>46</v>
      </c>
      <c r="J141" s="31">
        <v>7.0</v>
      </c>
      <c r="K141" s="31" t="s">
        <v>174</v>
      </c>
      <c r="L141" s="40">
        <v>5739.0</v>
      </c>
      <c r="M141" s="36">
        <v>40173.0</v>
      </c>
      <c r="N141" s="41" t="s">
        <v>48</v>
      </c>
    </row>
    <row r="142">
      <c r="A142" s="31">
        <v>76.0</v>
      </c>
      <c r="B142" s="31">
        <v>42993.0</v>
      </c>
      <c r="C142" s="32">
        <v>45747.0</v>
      </c>
      <c r="D142" s="31" t="s">
        <v>175</v>
      </c>
      <c r="E142" s="31" t="s">
        <v>44</v>
      </c>
      <c r="F142" s="31" t="s">
        <v>22</v>
      </c>
      <c r="G142" s="33"/>
      <c r="H142" s="33" t="s">
        <v>177</v>
      </c>
      <c r="I142" s="34" t="s">
        <v>46</v>
      </c>
      <c r="J142" s="31">
        <v>1.0</v>
      </c>
      <c r="K142" s="31" t="s">
        <v>137</v>
      </c>
      <c r="L142" s="40">
        <v>130000.0</v>
      </c>
      <c r="M142" s="36">
        <v>130000.0</v>
      </c>
      <c r="N142" s="41" t="s">
        <v>48</v>
      </c>
    </row>
    <row r="143">
      <c r="A143" s="31">
        <v>77.0</v>
      </c>
      <c r="B143" s="31">
        <v>42995.0</v>
      </c>
      <c r="C143" s="32">
        <v>45747.0</v>
      </c>
      <c r="D143" s="31" t="s">
        <v>175</v>
      </c>
      <c r="E143" s="31" t="s">
        <v>44</v>
      </c>
      <c r="F143" s="31" t="s">
        <v>22</v>
      </c>
      <c r="G143" s="63"/>
      <c r="H143" s="63" t="s">
        <v>178</v>
      </c>
      <c r="I143" s="34" t="s">
        <v>46</v>
      </c>
      <c r="J143" s="77">
        <v>1.0</v>
      </c>
      <c r="K143" s="77" t="s">
        <v>47</v>
      </c>
      <c r="L143" s="78">
        <v>226000.0</v>
      </c>
      <c r="M143" s="36">
        <v>226000.0</v>
      </c>
      <c r="N143" s="41" t="s">
        <v>48</v>
      </c>
    </row>
    <row r="144">
      <c r="A144" s="31">
        <v>78.0</v>
      </c>
      <c r="B144" s="31" t="s">
        <v>92</v>
      </c>
      <c r="C144" s="32">
        <v>45748.0</v>
      </c>
      <c r="D144" s="31" t="s">
        <v>179</v>
      </c>
      <c r="E144" s="31" t="s">
        <v>180</v>
      </c>
      <c r="F144" s="31">
        <v>652.0</v>
      </c>
      <c r="G144" s="81">
        <v>45749.0</v>
      </c>
      <c r="H144" s="33" t="s">
        <v>181</v>
      </c>
      <c r="I144" s="34" t="s">
        <v>24</v>
      </c>
      <c r="J144" s="31">
        <v>150.0</v>
      </c>
      <c r="K144" s="31" t="s">
        <v>25</v>
      </c>
      <c r="L144" s="82">
        <v>45.0</v>
      </c>
      <c r="M144" s="36">
        <v>6750.0</v>
      </c>
      <c r="N144" s="37"/>
    </row>
    <row r="145">
      <c r="A145" s="31">
        <v>79.0</v>
      </c>
      <c r="B145" s="31">
        <v>426.0</v>
      </c>
      <c r="C145" s="32">
        <v>45751.0</v>
      </c>
      <c r="D145" s="31" t="s">
        <v>182</v>
      </c>
      <c r="E145" s="31" t="s">
        <v>183</v>
      </c>
      <c r="F145" s="31">
        <v>660.0</v>
      </c>
      <c r="G145" s="81">
        <v>45758.0</v>
      </c>
      <c r="H145" s="33" t="s">
        <v>184</v>
      </c>
      <c r="I145" s="34" t="s">
        <v>55</v>
      </c>
      <c r="J145" s="31">
        <v>60.0</v>
      </c>
      <c r="K145" s="31" t="s">
        <v>156</v>
      </c>
      <c r="L145" s="82">
        <v>1658.0</v>
      </c>
      <c r="M145" s="36">
        <v>99480.0</v>
      </c>
      <c r="N145" s="41" t="s">
        <v>185</v>
      </c>
    </row>
    <row r="146">
      <c r="A146" s="31">
        <v>80.0</v>
      </c>
      <c r="B146" s="31">
        <v>377.0</v>
      </c>
      <c r="C146" s="32">
        <v>45752.0</v>
      </c>
      <c r="D146" s="31" t="s">
        <v>186</v>
      </c>
      <c r="E146" s="31" t="s">
        <v>187</v>
      </c>
      <c r="F146" s="31">
        <v>659.0</v>
      </c>
      <c r="G146" s="81">
        <v>45758.0</v>
      </c>
      <c r="H146" s="33" t="s">
        <v>41</v>
      </c>
      <c r="I146" s="34" t="s">
        <v>42</v>
      </c>
      <c r="J146" s="31">
        <v>2.0</v>
      </c>
      <c r="K146" s="31" t="s">
        <v>156</v>
      </c>
      <c r="L146" s="82">
        <v>2200.0</v>
      </c>
      <c r="M146" s="36">
        <v>4400.0</v>
      </c>
      <c r="N146" s="41" t="s">
        <v>148</v>
      </c>
    </row>
    <row r="147">
      <c r="A147" s="31">
        <v>81.0</v>
      </c>
      <c r="B147" s="79">
        <v>1201334.0</v>
      </c>
      <c r="C147" s="83">
        <v>45753.0</v>
      </c>
      <c r="D147" s="79" t="s">
        <v>144</v>
      </c>
      <c r="E147" s="79" t="s">
        <v>44</v>
      </c>
      <c r="F147" s="79">
        <v>657.0</v>
      </c>
      <c r="G147" s="81">
        <v>45754.0</v>
      </c>
      <c r="H147" s="33" t="s">
        <v>36</v>
      </c>
      <c r="I147" s="34" t="s">
        <v>24</v>
      </c>
      <c r="J147" s="31">
        <v>465.08</v>
      </c>
      <c r="K147" s="31" t="s">
        <v>25</v>
      </c>
      <c r="L147" s="82">
        <v>63.39</v>
      </c>
      <c r="M147" s="36">
        <v>29481.42</v>
      </c>
      <c r="N147" s="41" t="s">
        <v>91</v>
      </c>
    </row>
    <row r="148">
      <c r="A148" s="31">
        <v>82.0</v>
      </c>
      <c r="B148" s="31">
        <v>100133.0</v>
      </c>
      <c r="C148" s="32">
        <v>45753.0</v>
      </c>
      <c r="D148" s="31" t="s">
        <v>144</v>
      </c>
      <c r="E148" s="31" t="s">
        <v>44</v>
      </c>
      <c r="F148" s="31">
        <v>657.0</v>
      </c>
      <c r="G148" s="81">
        <v>45754.0</v>
      </c>
      <c r="H148" s="33" t="s">
        <v>38</v>
      </c>
      <c r="I148" s="34" t="s">
        <v>24</v>
      </c>
      <c r="J148" s="31">
        <v>480.0</v>
      </c>
      <c r="K148" s="31" t="s">
        <v>39</v>
      </c>
      <c r="L148" s="82">
        <v>20.0</v>
      </c>
      <c r="M148" s="36">
        <v>9600.0</v>
      </c>
      <c r="N148" s="41" t="s">
        <v>102</v>
      </c>
    </row>
    <row r="149">
      <c r="A149" s="31">
        <v>83.0</v>
      </c>
      <c r="B149" s="31">
        <v>1201349.0</v>
      </c>
      <c r="C149" s="32">
        <v>45753.0</v>
      </c>
      <c r="D149" s="31" t="s">
        <v>144</v>
      </c>
      <c r="E149" s="31" t="s">
        <v>44</v>
      </c>
      <c r="F149" s="31">
        <v>657.0</v>
      </c>
      <c r="G149" s="81">
        <v>45754.0</v>
      </c>
      <c r="H149" s="33" t="s">
        <v>23</v>
      </c>
      <c r="I149" s="34" t="s">
        <v>24</v>
      </c>
      <c r="J149" s="31">
        <v>460.915</v>
      </c>
      <c r="K149" s="31" t="s">
        <v>25</v>
      </c>
      <c r="L149" s="82">
        <v>63.17</v>
      </c>
      <c r="M149" s="36">
        <v>29116.0</v>
      </c>
      <c r="N149" s="41" t="s">
        <v>91</v>
      </c>
    </row>
    <row r="150">
      <c r="A150" s="31">
        <v>84.0</v>
      </c>
      <c r="B150" s="31">
        <v>201543.0</v>
      </c>
      <c r="C150" s="32">
        <v>45753.0</v>
      </c>
      <c r="D150" s="31" t="s">
        <v>186</v>
      </c>
      <c r="E150" s="31" t="s">
        <v>187</v>
      </c>
      <c r="F150" s="31">
        <v>657.0</v>
      </c>
      <c r="G150" s="81">
        <v>45754.0</v>
      </c>
      <c r="H150" s="33" t="s">
        <v>181</v>
      </c>
      <c r="I150" s="34" t="s">
        <v>24</v>
      </c>
      <c r="J150" s="31">
        <v>660.0</v>
      </c>
      <c r="K150" s="31" t="s">
        <v>25</v>
      </c>
      <c r="L150" s="82">
        <v>80.0</v>
      </c>
      <c r="M150" s="36">
        <v>52800.0</v>
      </c>
      <c r="N150" s="41" t="s">
        <v>91</v>
      </c>
    </row>
    <row r="151">
      <c r="A151" s="31">
        <v>85.0</v>
      </c>
      <c r="B151" s="31">
        <v>1214627.0</v>
      </c>
      <c r="C151" s="32">
        <v>45757.0</v>
      </c>
      <c r="D151" s="31" t="s">
        <v>144</v>
      </c>
      <c r="E151" s="31" t="s">
        <v>44</v>
      </c>
      <c r="F151" s="31">
        <v>659.0</v>
      </c>
      <c r="G151" s="81">
        <v>45758.0</v>
      </c>
      <c r="H151" s="33" t="s">
        <v>23</v>
      </c>
      <c r="I151" s="34" t="s">
        <v>24</v>
      </c>
      <c r="J151" s="31">
        <v>1124.996</v>
      </c>
      <c r="K151" s="31" t="s">
        <v>25</v>
      </c>
      <c r="L151" s="82">
        <v>63.17</v>
      </c>
      <c r="M151" s="36">
        <v>71066.0</v>
      </c>
      <c r="N151" s="41" t="s">
        <v>91</v>
      </c>
    </row>
    <row r="152">
      <c r="A152" s="31">
        <v>86.0</v>
      </c>
      <c r="B152" s="31">
        <v>201527.0</v>
      </c>
      <c r="C152" s="32">
        <v>45761.0</v>
      </c>
      <c r="D152" s="31" t="s">
        <v>179</v>
      </c>
      <c r="E152" s="31" t="s">
        <v>180</v>
      </c>
      <c r="F152" s="31">
        <v>662.0</v>
      </c>
      <c r="G152" s="81">
        <v>45764.0</v>
      </c>
      <c r="H152" s="33" t="s">
        <v>38</v>
      </c>
      <c r="I152" s="34" t="s">
        <v>24</v>
      </c>
      <c r="J152" s="31">
        <v>240.0</v>
      </c>
      <c r="K152" s="31" t="s">
        <v>39</v>
      </c>
      <c r="L152" s="82">
        <v>20.0</v>
      </c>
      <c r="M152" s="36">
        <v>4800.0</v>
      </c>
      <c r="N152" s="41" t="s">
        <v>91</v>
      </c>
    </row>
    <row r="153">
      <c r="A153" s="31">
        <v>87.0</v>
      </c>
      <c r="B153" s="31">
        <v>102420.0</v>
      </c>
      <c r="C153" s="32">
        <v>45761.0</v>
      </c>
      <c r="D153" s="31" t="s">
        <v>179</v>
      </c>
      <c r="E153" s="31" t="s">
        <v>180</v>
      </c>
      <c r="F153" s="31">
        <v>662.0</v>
      </c>
      <c r="G153" s="81">
        <v>45764.0</v>
      </c>
      <c r="H153" s="33" t="s">
        <v>36</v>
      </c>
      <c r="I153" s="34" t="s">
        <v>24</v>
      </c>
      <c r="J153" s="31">
        <v>236.0</v>
      </c>
      <c r="K153" s="31" t="s">
        <v>25</v>
      </c>
      <c r="L153" s="82">
        <v>63.81</v>
      </c>
      <c r="M153" s="36">
        <v>15068.0</v>
      </c>
      <c r="N153" s="41" t="s">
        <v>91</v>
      </c>
    </row>
    <row r="154">
      <c r="A154" s="31">
        <v>88.0</v>
      </c>
      <c r="B154" s="31">
        <v>1236686.0</v>
      </c>
      <c r="C154" s="32">
        <v>45764.0</v>
      </c>
      <c r="D154" s="31" t="s">
        <v>179</v>
      </c>
      <c r="E154" s="31" t="s">
        <v>180</v>
      </c>
      <c r="F154" s="31">
        <v>662.0</v>
      </c>
      <c r="G154" s="81">
        <v>45764.0</v>
      </c>
      <c r="H154" s="33" t="s">
        <v>23</v>
      </c>
      <c r="I154" s="34" t="s">
        <v>24</v>
      </c>
      <c r="J154" s="31">
        <v>489.992</v>
      </c>
      <c r="K154" s="31" t="s">
        <v>25</v>
      </c>
      <c r="L154" s="82">
        <v>61.35</v>
      </c>
      <c r="M154" s="36">
        <v>30061.0</v>
      </c>
      <c r="N154" s="41" t="s">
        <v>91</v>
      </c>
    </row>
    <row r="155">
      <c r="A155" s="31">
        <v>89.0</v>
      </c>
      <c r="B155" s="31">
        <v>201482.0</v>
      </c>
      <c r="C155" s="32">
        <v>45766.0</v>
      </c>
      <c r="D155" s="31" t="s">
        <v>179</v>
      </c>
      <c r="E155" s="31" t="s">
        <v>180</v>
      </c>
      <c r="F155" s="31">
        <v>663.0</v>
      </c>
      <c r="G155" s="81">
        <v>45768.0</v>
      </c>
      <c r="H155" s="33" t="s">
        <v>38</v>
      </c>
      <c r="I155" s="34" t="s">
        <v>24</v>
      </c>
      <c r="J155" s="31">
        <v>480.0</v>
      </c>
      <c r="K155" s="31" t="s">
        <v>39</v>
      </c>
      <c r="L155" s="82">
        <v>20.0</v>
      </c>
      <c r="M155" s="36">
        <v>9600.0</v>
      </c>
      <c r="N155" s="41" t="s">
        <v>91</v>
      </c>
    </row>
    <row r="156">
      <c r="A156" s="31">
        <v>90.0</v>
      </c>
      <c r="B156" s="31">
        <v>1247446.0</v>
      </c>
      <c r="C156" s="32">
        <v>45767.0</v>
      </c>
      <c r="D156" s="31" t="s">
        <v>179</v>
      </c>
      <c r="E156" s="31" t="s">
        <v>180</v>
      </c>
      <c r="F156" s="31">
        <v>663.0</v>
      </c>
      <c r="G156" s="81">
        <v>45768.0</v>
      </c>
      <c r="H156" s="33" t="s">
        <v>23</v>
      </c>
      <c r="I156" s="34" t="s">
        <v>24</v>
      </c>
      <c r="J156" s="31">
        <v>449.992</v>
      </c>
      <c r="K156" s="31" t="s">
        <v>25</v>
      </c>
      <c r="L156" s="82">
        <v>61.35</v>
      </c>
      <c r="M156" s="36">
        <v>27607.0</v>
      </c>
      <c r="N156" s="41" t="s">
        <v>91</v>
      </c>
    </row>
    <row r="157">
      <c r="A157" s="31">
        <v>91.0</v>
      </c>
      <c r="B157" s="31">
        <v>1247670.0</v>
      </c>
      <c r="C157" s="32">
        <v>45767.0</v>
      </c>
      <c r="D157" s="31" t="s">
        <v>179</v>
      </c>
      <c r="E157" s="31" t="s">
        <v>180</v>
      </c>
      <c r="F157" s="31">
        <v>663.0</v>
      </c>
      <c r="G157" s="81">
        <v>45768.0</v>
      </c>
      <c r="H157" s="33" t="s">
        <v>36</v>
      </c>
      <c r="I157" s="34" t="s">
        <v>24</v>
      </c>
      <c r="J157" s="31">
        <v>447.99</v>
      </c>
      <c r="K157" s="31" t="s">
        <v>25</v>
      </c>
      <c r="L157" s="82">
        <v>61.2</v>
      </c>
      <c r="M157" s="36">
        <v>27417.0</v>
      </c>
      <c r="N157" s="41" t="s">
        <v>91</v>
      </c>
    </row>
    <row r="158">
      <c r="A158" s="31">
        <v>92.0</v>
      </c>
      <c r="B158" s="31">
        <v>102559.0</v>
      </c>
      <c r="C158" s="32">
        <v>45767.0</v>
      </c>
      <c r="D158" s="31" t="s">
        <v>179</v>
      </c>
      <c r="E158" s="31" t="s">
        <v>180</v>
      </c>
      <c r="F158" s="31">
        <v>668.0</v>
      </c>
      <c r="G158" s="81">
        <v>45769.0</v>
      </c>
      <c r="H158" s="33" t="s">
        <v>23</v>
      </c>
      <c r="I158" s="34" t="s">
        <v>24</v>
      </c>
      <c r="J158" s="31">
        <v>250.0</v>
      </c>
      <c r="K158" s="31" t="s">
        <v>25</v>
      </c>
      <c r="L158" s="82">
        <v>61.88</v>
      </c>
      <c r="M158" s="36">
        <v>15470.0</v>
      </c>
      <c r="N158" s="41" t="s">
        <v>91</v>
      </c>
    </row>
    <row r="159">
      <c r="A159" s="31">
        <v>93.0</v>
      </c>
      <c r="B159" s="31">
        <v>12545.0</v>
      </c>
      <c r="C159" s="32">
        <v>45769.0</v>
      </c>
      <c r="D159" s="31" t="s">
        <v>179</v>
      </c>
      <c r="E159" s="31" t="s">
        <v>180</v>
      </c>
      <c r="F159" s="31">
        <v>668.0</v>
      </c>
      <c r="G159" s="81">
        <v>45769.0</v>
      </c>
      <c r="H159" s="33" t="s">
        <v>36</v>
      </c>
      <c r="I159" s="34" t="s">
        <v>24</v>
      </c>
      <c r="J159" s="31">
        <v>220.0</v>
      </c>
      <c r="K159" s="31" t="s">
        <v>25</v>
      </c>
      <c r="L159" s="82">
        <v>61.88</v>
      </c>
      <c r="M159" s="36">
        <v>13613.0</v>
      </c>
      <c r="N159" s="41" t="s">
        <v>91</v>
      </c>
    </row>
    <row r="160">
      <c r="A160" s="31">
        <v>94.0</v>
      </c>
      <c r="B160" s="31">
        <v>201290.0</v>
      </c>
      <c r="C160" s="32">
        <v>45771.0</v>
      </c>
      <c r="D160" s="31" t="s">
        <v>188</v>
      </c>
      <c r="E160" s="31" t="s">
        <v>189</v>
      </c>
      <c r="F160" s="31">
        <v>673.0</v>
      </c>
      <c r="G160" s="81">
        <v>45772.0</v>
      </c>
      <c r="H160" s="33" t="s">
        <v>38</v>
      </c>
      <c r="I160" s="34" t="s">
        <v>24</v>
      </c>
      <c r="J160" s="31">
        <v>480.0</v>
      </c>
      <c r="K160" s="31" t="s">
        <v>39</v>
      </c>
      <c r="L160" s="82">
        <v>20.0</v>
      </c>
      <c r="M160" s="36">
        <v>9600.0</v>
      </c>
      <c r="N160" s="41" t="s">
        <v>91</v>
      </c>
    </row>
    <row r="161">
      <c r="A161" s="31">
        <v>95.0</v>
      </c>
      <c r="B161" s="31">
        <v>1261115.0</v>
      </c>
      <c r="C161" s="32">
        <v>45771.0</v>
      </c>
      <c r="D161" s="31" t="s">
        <v>188</v>
      </c>
      <c r="E161" s="31" t="s">
        <v>189</v>
      </c>
      <c r="F161" s="31">
        <v>673.0</v>
      </c>
      <c r="G161" s="81">
        <v>45772.0</v>
      </c>
      <c r="H161" s="33" t="s">
        <v>36</v>
      </c>
      <c r="I161" s="34" t="s">
        <v>24</v>
      </c>
      <c r="J161" s="31">
        <v>454.01</v>
      </c>
      <c r="K161" s="31" t="s">
        <v>25</v>
      </c>
      <c r="L161" s="82">
        <v>61.2</v>
      </c>
      <c r="M161" s="36">
        <v>27785.4</v>
      </c>
      <c r="N161" s="41" t="s">
        <v>91</v>
      </c>
    </row>
    <row r="162">
      <c r="A162" s="31">
        <v>96.0</v>
      </c>
      <c r="B162" s="31">
        <v>1261014.0</v>
      </c>
      <c r="C162" s="32">
        <v>45772.0</v>
      </c>
      <c r="D162" s="31" t="s">
        <v>188</v>
      </c>
      <c r="E162" s="31" t="s">
        <v>189</v>
      </c>
      <c r="F162" s="31">
        <v>673.0</v>
      </c>
      <c r="G162" s="81">
        <v>45772.0</v>
      </c>
      <c r="H162" s="33" t="s">
        <v>23</v>
      </c>
      <c r="I162" s="34" t="s">
        <v>24</v>
      </c>
      <c r="J162" s="31">
        <v>1148.0</v>
      </c>
      <c r="K162" s="31" t="s">
        <v>25</v>
      </c>
      <c r="L162" s="82">
        <v>61.35</v>
      </c>
      <c r="M162" s="36">
        <v>70429.8</v>
      </c>
      <c r="N162" s="41" t="s">
        <v>91</v>
      </c>
    </row>
    <row r="163">
      <c r="A163" s="31">
        <v>97.0</v>
      </c>
      <c r="B163" s="31">
        <v>52026.0</v>
      </c>
      <c r="C163" s="32">
        <v>45776.0</v>
      </c>
      <c r="D163" s="31" t="s">
        <v>190</v>
      </c>
      <c r="E163" s="31" t="s">
        <v>183</v>
      </c>
      <c r="F163" s="31">
        <v>677.0</v>
      </c>
      <c r="G163" s="81">
        <v>45776.0</v>
      </c>
      <c r="H163" s="33" t="s">
        <v>23</v>
      </c>
      <c r="I163" s="34" t="s">
        <v>24</v>
      </c>
      <c r="J163" s="31">
        <v>450.0</v>
      </c>
      <c r="K163" s="31" t="s">
        <v>25</v>
      </c>
      <c r="L163" s="82">
        <v>61.88</v>
      </c>
      <c r="M163" s="36">
        <v>27846.0</v>
      </c>
      <c r="N163" s="41" t="s">
        <v>91</v>
      </c>
    </row>
    <row r="164">
      <c r="A164" s="31">
        <v>98.0</v>
      </c>
      <c r="B164" s="31">
        <v>858.0</v>
      </c>
      <c r="C164" s="32">
        <v>45777.0</v>
      </c>
      <c r="D164" s="31" t="s">
        <v>190</v>
      </c>
      <c r="E164" s="31" t="s">
        <v>183</v>
      </c>
      <c r="F164" s="31">
        <v>678.0</v>
      </c>
      <c r="G164" s="81">
        <v>45778.0</v>
      </c>
      <c r="H164" s="33" t="s">
        <v>181</v>
      </c>
      <c r="I164" s="34" t="s">
        <v>24</v>
      </c>
      <c r="J164" s="31">
        <v>220.0</v>
      </c>
      <c r="K164" s="31" t="s">
        <v>25</v>
      </c>
      <c r="L164" s="82">
        <v>48.0</v>
      </c>
      <c r="M164" s="36">
        <v>10560.0</v>
      </c>
      <c r="N164" s="41" t="s">
        <v>191</v>
      </c>
    </row>
    <row r="165">
      <c r="A165" s="31">
        <v>99.0</v>
      </c>
      <c r="B165" s="31">
        <v>6674.0</v>
      </c>
      <c r="C165" s="32">
        <v>45777.0</v>
      </c>
      <c r="D165" s="31" t="s">
        <v>192</v>
      </c>
      <c r="E165" s="31" t="s">
        <v>193</v>
      </c>
      <c r="F165" s="31" t="s">
        <v>22</v>
      </c>
      <c r="G165" s="33"/>
      <c r="H165" s="33" t="s">
        <v>194</v>
      </c>
      <c r="I165" s="34" t="s">
        <v>46</v>
      </c>
      <c r="J165" s="31">
        <v>26.0</v>
      </c>
      <c r="K165" s="31" t="s">
        <v>174</v>
      </c>
      <c r="L165" s="82">
        <v>4930.0</v>
      </c>
      <c r="M165" s="36">
        <v>128180.0</v>
      </c>
      <c r="N165" s="41" t="s">
        <v>48</v>
      </c>
    </row>
    <row r="166">
      <c r="A166" s="31">
        <v>100.0</v>
      </c>
      <c r="B166" s="31">
        <v>41509.0</v>
      </c>
      <c r="C166" s="32">
        <v>45777.0</v>
      </c>
      <c r="D166" s="31" t="s">
        <v>195</v>
      </c>
      <c r="E166" s="31" t="s">
        <v>196</v>
      </c>
      <c r="F166" s="31" t="s">
        <v>22</v>
      </c>
      <c r="G166" s="33"/>
      <c r="H166" s="33" t="s">
        <v>197</v>
      </c>
      <c r="I166" s="34" t="s">
        <v>46</v>
      </c>
      <c r="J166" s="31">
        <v>1.0</v>
      </c>
      <c r="K166" s="31" t="s">
        <v>47</v>
      </c>
      <c r="L166" s="82">
        <v>91252.78</v>
      </c>
      <c r="M166" s="36">
        <v>91252.78</v>
      </c>
      <c r="N166" s="41" t="s">
        <v>48</v>
      </c>
    </row>
    <row r="167">
      <c r="A167" s="31">
        <v>101.0</v>
      </c>
      <c r="B167" s="31">
        <v>42902.0</v>
      </c>
      <c r="C167" s="32">
        <v>45777.0</v>
      </c>
      <c r="D167" s="31" t="s">
        <v>198</v>
      </c>
      <c r="E167" s="31" t="s">
        <v>196</v>
      </c>
      <c r="F167" s="31" t="s">
        <v>22</v>
      </c>
      <c r="G167" s="33"/>
      <c r="H167" s="33" t="s">
        <v>199</v>
      </c>
      <c r="I167" s="34" t="s">
        <v>46</v>
      </c>
      <c r="J167" s="31">
        <v>1.0</v>
      </c>
      <c r="K167" s="31" t="s">
        <v>47</v>
      </c>
      <c r="L167" s="82">
        <v>130000.0</v>
      </c>
      <c r="M167" s="36">
        <v>130000.0</v>
      </c>
      <c r="N167" s="41" t="s">
        <v>48</v>
      </c>
    </row>
    <row r="168">
      <c r="A168" s="31">
        <v>102.0</v>
      </c>
      <c r="B168" s="31">
        <v>1286753.0</v>
      </c>
      <c r="C168" s="32">
        <v>45778.0</v>
      </c>
      <c r="D168" s="31" t="s">
        <v>190</v>
      </c>
      <c r="E168" s="31" t="s">
        <v>183</v>
      </c>
      <c r="F168" s="31">
        <v>678.0</v>
      </c>
      <c r="G168" s="81">
        <v>45778.0</v>
      </c>
      <c r="H168" s="33" t="s">
        <v>36</v>
      </c>
      <c r="I168" s="34" t="s">
        <v>24</v>
      </c>
      <c r="J168" s="31">
        <v>472.01</v>
      </c>
      <c r="K168" s="31" t="s">
        <v>25</v>
      </c>
      <c r="L168" s="82">
        <v>61.2</v>
      </c>
      <c r="M168" s="36">
        <v>28887.0</v>
      </c>
      <c r="N168" s="41" t="s">
        <v>91</v>
      </c>
    </row>
    <row r="169">
      <c r="A169" s="31">
        <v>103.0</v>
      </c>
      <c r="B169" s="31">
        <v>1286796.0</v>
      </c>
      <c r="C169" s="32">
        <v>45778.0</v>
      </c>
      <c r="D169" s="31" t="s">
        <v>190</v>
      </c>
      <c r="E169" s="31" t="s">
        <v>183</v>
      </c>
      <c r="F169" s="31">
        <v>678.0</v>
      </c>
      <c r="G169" s="81">
        <v>45778.0</v>
      </c>
      <c r="H169" s="33" t="s">
        <v>23</v>
      </c>
      <c r="I169" s="34" t="s">
        <v>24</v>
      </c>
      <c r="J169" s="31">
        <v>305.493</v>
      </c>
      <c r="K169" s="31" t="s">
        <v>25</v>
      </c>
      <c r="L169" s="82">
        <v>61.35</v>
      </c>
      <c r="M169" s="36">
        <v>18742.0</v>
      </c>
      <c r="N169" s="41" t="s">
        <v>91</v>
      </c>
    </row>
    <row r="170">
      <c r="A170" s="31">
        <v>104.0</v>
      </c>
      <c r="B170" s="31">
        <v>209050.0</v>
      </c>
      <c r="C170" s="32">
        <v>45778.0</v>
      </c>
      <c r="D170" s="31" t="s">
        <v>190</v>
      </c>
      <c r="E170" s="31" t="s">
        <v>200</v>
      </c>
      <c r="F170" s="31">
        <v>678.0</v>
      </c>
      <c r="G170" s="81">
        <v>45778.0</v>
      </c>
      <c r="H170" s="33" t="s">
        <v>23</v>
      </c>
      <c r="I170" s="34" t="s">
        <v>24</v>
      </c>
      <c r="J170" s="31">
        <v>1059.495</v>
      </c>
      <c r="K170" s="31" t="s">
        <v>25</v>
      </c>
      <c r="L170" s="82">
        <v>61.35</v>
      </c>
      <c r="M170" s="36">
        <v>65000.0</v>
      </c>
      <c r="N170" s="41" t="s">
        <v>91</v>
      </c>
    </row>
    <row r="171">
      <c r="A171" s="31">
        <v>105.0</v>
      </c>
      <c r="B171" s="31">
        <v>201318.0</v>
      </c>
      <c r="C171" s="32">
        <v>45778.0</v>
      </c>
      <c r="D171" s="31" t="s">
        <v>190</v>
      </c>
      <c r="E171" s="31" t="s">
        <v>183</v>
      </c>
      <c r="F171" s="31">
        <v>678.0</v>
      </c>
      <c r="G171" s="81">
        <v>45778.0</v>
      </c>
      <c r="H171" s="33" t="s">
        <v>38</v>
      </c>
      <c r="I171" s="34" t="s">
        <v>24</v>
      </c>
      <c r="J171" s="31">
        <v>480.0</v>
      </c>
      <c r="K171" s="31" t="s">
        <v>39</v>
      </c>
      <c r="L171" s="82">
        <v>20.0</v>
      </c>
      <c r="M171" s="36">
        <v>9600.0</v>
      </c>
      <c r="N171" s="41" t="s">
        <v>91</v>
      </c>
    </row>
    <row r="172">
      <c r="A172" s="31">
        <v>106.0</v>
      </c>
      <c r="B172" s="31">
        <v>201452.0</v>
      </c>
      <c r="C172" s="32">
        <v>45778.0</v>
      </c>
      <c r="D172" s="31" t="s">
        <v>190</v>
      </c>
      <c r="E172" s="31" t="s">
        <v>183</v>
      </c>
      <c r="F172" s="31">
        <v>676.0</v>
      </c>
      <c r="G172" s="81">
        <v>45772.0</v>
      </c>
      <c r="H172" s="33" t="s">
        <v>201</v>
      </c>
      <c r="I172" s="34" t="s">
        <v>24</v>
      </c>
      <c r="J172" s="31">
        <v>100.0</v>
      </c>
      <c r="K172" s="31" t="s">
        <v>25</v>
      </c>
      <c r="L172" s="82">
        <v>339.0</v>
      </c>
      <c r="M172" s="36">
        <v>33900.0</v>
      </c>
      <c r="N172" s="41" t="s">
        <v>91</v>
      </c>
    </row>
    <row r="173">
      <c r="A173" s="31">
        <v>107.0</v>
      </c>
      <c r="B173" s="31">
        <v>1315909.0</v>
      </c>
      <c r="C173" s="32">
        <v>45785.0</v>
      </c>
      <c r="D173" s="31" t="s">
        <v>202</v>
      </c>
      <c r="E173" s="31" t="s">
        <v>203</v>
      </c>
      <c r="F173" s="31">
        <v>681.0</v>
      </c>
      <c r="G173" s="81">
        <v>45786.0</v>
      </c>
      <c r="H173" s="33" t="s">
        <v>23</v>
      </c>
      <c r="I173" s="34" t="s">
        <v>24</v>
      </c>
      <c r="J173" s="31">
        <v>454.045</v>
      </c>
      <c r="K173" s="31" t="s">
        <v>25</v>
      </c>
      <c r="L173" s="82">
        <v>60.45</v>
      </c>
      <c r="M173" s="36">
        <v>27447.0</v>
      </c>
      <c r="N173" s="41" t="s">
        <v>91</v>
      </c>
    </row>
    <row r="174">
      <c r="A174" s="31">
        <v>108.0</v>
      </c>
      <c r="B174" s="31">
        <v>211756.0</v>
      </c>
      <c r="C174" s="32">
        <v>45785.0</v>
      </c>
      <c r="D174" s="31" t="s">
        <v>202</v>
      </c>
      <c r="E174" s="31" t="s">
        <v>203</v>
      </c>
      <c r="F174" s="31">
        <v>681.0</v>
      </c>
      <c r="G174" s="81">
        <v>45786.0</v>
      </c>
      <c r="H174" s="33" t="s">
        <v>36</v>
      </c>
      <c r="I174" s="34" t="s">
        <v>24</v>
      </c>
      <c r="J174" s="31">
        <v>446.064</v>
      </c>
      <c r="K174" s="31" t="s">
        <v>25</v>
      </c>
      <c r="L174" s="82">
        <v>59.7</v>
      </c>
      <c r="M174" s="36">
        <v>26630.0</v>
      </c>
      <c r="N174" s="41" t="s">
        <v>91</v>
      </c>
    </row>
    <row r="175">
      <c r="A175" s="31">
        <v>109.0</v>
      </c>
      <c r="B175" s="31">
        <v>99386.0</v>
      </c>
      <c r="C175" s="32">
        <v>45785.0</v>
      </c>
      <c r="D175" s="31" t="s">
        <v>202</v>
      </c>
      <c r="E175" s="31" t="s">
        <v>203</v>
      </c>
      <c r="F175" s="31">
        <v>681.0</v>
      </c>
      <c r="G175" s="81">
        <v>45786.0</v>
      </c>
      <c r="H175" s="33" t="s">
        <v>38</v>
      </c>
      <c r="I175" s="34" t="s">
        <v>24</v>
      </c>
      <c r="J175" s="31">
        <v>480.0</v>
      </c>
      <c r="K175" s="31" t="s">
        <v>39</v>
      </c>
      <c r="L175" s="82">
        <v>20.0</v>
      </c>
      <c r="M175" s="41">
        <v>9600.0</v>
      </c>
      <c r="N175" s="41" t="s">
        <v>91</v>
      </c>
      <c r="O175" s="73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</row>
    <row r="176">
      <c r="A176" s="31">
        <v>110.0</v>
      </c>
      <c r="B176" s="31" t="s">
        <v>92</v>
      </c>
      <c r="C176" s="32">
        <v>45785.0</v>
      </c>
      <c r="D176" s="31" t="s">
        <v>202</v>
      </c>
      <c r="E176" s="31" t="s">
        <v>203</v>
      </c>
      <c r="F176" s="31">
        <v>681.0</v>
      </c>
      <c r="G176" s="81">
        <v>45786.0</v>
      </c>
      <c r="H176" s="33" t="s">
        <v>181</v>
      </c>
      <c r="I176" s="34" t="s">
        <v>24</v>
      </c>
      <c r="J176" s="31">
        <v>180.0</v>
      </c>
      <c r="K176" s="31" t="s">
        <v>25</v>
      </c>
      <c r="L176" s="82">
        <v>46.0</v>
      </c>
      <c r="M176" s="41">
        <v>8280.0</v>
      </c>
      <c r="N176" s="41" t="s">
        <v>92</v>
      </c>
      <c r="O176" s="73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</row>
    <row r="177">
      <c r="A177" s="42">
        <v>111.0</v>
      </c>
      <c r="B177" s="42">
        <v>386.0</v>
      </c>
      <c r="C177" s="43">
        <v>45789.0</v>
      </c>
      <c r="D177" s="42" t="s">
        <v>204</v>
      </c>
      <c r="E177" s="42" t="s">
        <v>205</v>
      </c>
      <c r="F177" s="42">
        <v>689.0</v>
      </c>
      <c r="G177" s="84">
        <v>45790.0</v>
      </c>
      <c r="H177" s="85" t="s">
        <v>206</v>
      </c>
      <c r="I177" s="34" t="s">
        <v>76</v>
      </c>
      <c r="J177" s="31">
        <v>2.0</v>
      </c>
      <c r="K177" s="31" t="s">
        <v>207</v>
      </c>
      <c r="L177" s="82">
        <v>24880.0</v>
      </c>
      <c r="M177" s="41">
        <v>49760.0</v>
      </c>
      <c r="N177" s="41" t="s">
        <v>208</v>
      </c>
      <c r="O177" s="73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</row>
    <row r="178">
      <c r="A178" s="47"/>
      <c r="B178" s="47"/>
      <c r="C178" s="47"/>
      <c r="D178" s="47"/>
      <c r="E178" s="47"/>
      <c r="F178" s="47"/>
      <c r="G178" s="47"/>
      <c r="H178" s="85" t="s">
        <v>209</v>
      </c>
      <c r="I178" s="34" t="s">
        <v>76</v>
      </c>
      <c r="J178" s="31">
        <v>2.0</v>
      </c>
      <c r="K178" s="31" t="s">
        <v>207</v>
      </c>
      <c r="L178" s="82">
        <v>24880.0</v>
      </c>
      <c r="M178" s="41">
        <v>49760.0</v>
      </c>
      <c r="N178" s="41" t="s">
        <v>208</v>
      </c>
      <c r="O178" s="73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</row>
    <row r="179">
      <c r="A179" s="48"/>
      <c r="B179" s="48"/>
      <c r="C179" s="48"/>
      <c r="D179" s="48"/>
      <c r="E179" s="48"/>
      <c r="F179" s="48"/>
      <c r="G179" s="48"/>
      <c r="H179" s="85" t="s">
        <v>210</v>
      </c>
      <c r="I179" s="34" t="s">
        <v>76</v>
      </c>
      <c r="J179" s="31">
        <v>4.0</v>
      </c>
      <c r="K179" s="31" t="s">
        <v>207</v>
      </c>
      <c r="L179" s="82">
        <v>24880.0</v>
      </c>
      <c r="M179" s="36">
        <v>99520.0</v>
      </c>
      <c r="N179" s="41" t="s">
        <v>208</v>
      </c>
    </row>
    <row r="180">
      <c r="A180" s="42">
        <v>112.0</v>
      </c>
      <c r="B180" s="42">
        <v>387.0</v>
      </c>
      <c r="C180" s="43">
        <v>45789.0</v>
      </c>
      <c r="D180" s="42" t="s">
        <v>204</v>
      </c>
      <c r="E180" s="57">
        <v>45798.0</v>
      </c>
      <c r="F180" s="42">
        <v>689.0</v>
      </c>
      <c r="G180" s="84">
        <v>45790.0</v>
      </c>
      <c r="H180" s="85" t="s">
        <v>211</v>
      </c>
      <c r="I180" s="34" t="s">
        <v>76</v>
      </c>
      <c r="J180" s="31">
        <v>1.0</v>
      </c>
      <c r="K180" s="31" t="s">
        <v>207</v>
      </c>
      <c r="L180" s="82">
        <v>24880.0</v>
      </c>
      <c r="M180" s="36">
        <v>24880.0</v>
      </c>
      <c r="N180" s="41" t="s">
        <v>208</v>
      </c>
    </row>
    <row r="181">
      <c r="A181" s="48"/>
      <c r="B181" s="48"/>
      <c r="C181" s="48"/>
      <c r="D181" s="48"/>
      <c r="E181" s="48"/>
      <c r="F181" s="48"/>
      <c r="G181" s="48"/>
      <c r="H181" s="85" t="s">
        <v>212</v>
      </c>
      <c r="I181" s="34" t="s">
        <v>76</v>
      </c>
      <c r="J181" s="31">
        <v>1.0</v>
      </c>
      <c r="K181" s="31" t="s">
        <v>207</v>
      </c>
      <c r="L181" s="82">
        <v>24880.0</v>
      </c>
      <c r="M181" s="36">
        <v>24880.0</v>
      </c>
      <c r="N181" s="41" t="s">
        <v>208</v>
      </c>
    </row>
    <row r="182">
      <c r="A182" s="31">
        <v>113.0</v>
      </c>
      <c r="B182" s="79">
        <v>1330343.0</v>
      </c>
      <c r="C182" s="80">
        <v>45789.0</v>
      </c>
      <c r="D182" s="79" t="s">
        <v>202</v>
      </c>
      <c r="E182" s="79" t="s">
        <v>203</v>
      </c>
      <c r="F182" s="79">
        <v>686.0</v>
      </c>
      <c r="G182" s="86">
        <v>45790.0</v>
      </c>
      <c r="H182" s="63" t="s">
        <v>23</v>
      </c>
      <c r="I182" s="34" t="s">
        <v>24</v>
      </c>
      <c r="J182" s="77">
        <v>2122.002</v>
      </c>
      <c r="K182" s="77" t="s">
        <v>25</v>
      </c>
      <c r="L182" s="78">
        <v>60.45</v>
      </c>
      <c r="M182" s="36">
        <v>128275.0</v>
      </c>
      <c r="N182" s="41" t="s">
        <v>91</v>
      </c>
    </row>
    <row r="183">
      <c r="A183" s="31">
        <v>114.0</v>
      </c>
      <c r="B183" s="79">
        <v>1330127.0</v>
      </c>
      <c r="C183" s="80">
        <v>45789.0</v>
      </c>
      <c r="D183" s="79" t="s">
        <v>202</v>
      </c>
      <c r="E183" s="79" t="s">
        <v>203</v>
      </c>
      <c r="F183" s="79">
        <v>686.0</v>
      </c>
      <c r="G183" s="86">
        <v>45790.0</v>
      </c>
      <c r="H183" s="63" t="s">
        <v>36</v>
      </c>
      <c r="I183" s="34" t="s">
        <v>24</v>
      </c>
      <c r="J183" s="77">
        <v>444.489</v>
      </c>
      <c r="K183" s="77" t="s">
        <v>25</v>
      </c>
      <c r="L183" s="78">
        <v>59.7</v>
      </c>
      <c r="M183" s="36">
        <v>26536.0</v>
      </c>
      <c r="N183" s="41" t="s">
        <v>91</v>
      </c>
    </row>
    <row r="184">
      <c r="A184" s="31">
        <v>115.0</v>
      </c>
      <c r="B184" s="79">
        <v>201451.0</v>
      </c>
      <c r="C184" s="80">
        <v>45789.0</v>
      </c>
      <c r="D184" s="79" t="s">
        <v>202</v>
      </c>
      <c r="E184" s="79" t="s">
        <v>203</v>
      </c>
      <c r="F184" s="79">
        <v>686.0</v>
      </c>
      <c r="G184" s="86">
        <v>45790.0</v>
      </c>
      <c r="H184" s="63" t="s">
        <v>38</v>
      </c>
      <c r="I184" s="34" t="s">
        <v>24</v>
      </c>
      <c r="J184" s="77">
        <v>480.0</v>
      </c>
      <c r="K184" s="77" t="s">
        <v>39</v>
      </c>
      <c r="L184" s="78">
        <v>20.0</v>
      </c>
      <c r="M184" s="36">
        <v>9600.0</v>
      </c>
      <c r="N184" s="41" t="s">
        <v>91</v>
      </c>
    </row>
    <row r="185">
      <c r="A185" s="31">
        <v>116.0</v>
      </c>
      <c r="B185" s="79" t="s">
        <v>92</v>
      </c>
      <c r="C185" s="80">
        <v>45789.0</v>
      </c>
      <c r="D185" s="79" t="s">
        <v>202</v>
      </c>
      <c r="E185" s="79" t="s">
        <v>203</v>
      </c>
      <c r="F185" s="79">
        <v>686.0</v>
      </c>
      <c r="G185" s="86">
        <v>45790.0</v>
      </c>
      <c r="H185" s="63" t="s">
        <v>181</v>
      </c>
      <c r="I185" s="34" t="s">
        <v>24</v>
      </c>
      <c r="J185" s="77">
        <v>210.0</v>
      </c>
      <c r="K185" s="77" t="s">
        <v>25</v>
      </c>
      <c r="L185" s="78">
        <v>47.0</v>
      </c>
      <c r="M185" s="36">
        <v>9870.0</v>
      </c>
      <c r="N185" s="87"/>
    </row>
    <row r="186">
      <c r="A186" s="31">
        <v>117.0</v>
      </c>
      <c r="B186" s="79">
        <v>50.0</v>
      </c>
      <c r="C186" s="80">
        <v>45790.0</v>
      </c>
      <c r="D186" s="88" t="s">
        <v>213</v>
      </c>
      <c r="E186" s="89">
        <v>45812.0</v>
      </c>
      <c r="F186" s="88" t="s">
        <v>92</v>
      </c>
      <c r="G186" s="63"/>
      <c r="H186" s="63" t="s">
        <v>214</v>
      </c>
      <c r="I186" s="34" t="s">
        <v>42</v>
      </c>
      <c r="J186" s="77">
        <v>66.0</v>
      </c>
      <c r="K186" s="77" t="s">
        <v>215</v>
      </c>
      <c r="L186" s="78">
        <v>40.0</v>
      </c>
      <c r="M186" s="41">
        <v>2640.0</v>
      </c>
      <c r="N186" s="41" t="s">
        <v>216</v>
      </c>
      <c r="O186" s="90" t="s">
        <v>217</v>
      </c>
    </row>
    <row r="187">
      <c r="A187" s="31">
        <v>118.0</v>
      </c>
      <c r="B187" s="79">
        <v>444.0</v>
      </c>
      <c r="C187" s="80">
        <v>45799.0</v>
      </c>
      <c r="D187" s="88" t="s">
        <v>213</v>
      </c>
      <c r="E187" s="89">
        <v>45812.0</v>
      </c>
      <c r="F187" s="88">
        <v>1204.0</v>
      </c>
      <c r="G187" s="86">
        <v>45807.0</v>
      </c>
      <c r="H187" s="63" t="s">
        <v>218</v>
      </c>
      <c r="I187" s="34" t="s">
        <v>29</v>
      </c>
      <c r="J187" s="77">
        <v>1.0</v>
      </c>
      <c r="K187" s="77" t="s">
        <v>89</v>
      </c>
      <c r="L187" s="78">
        <v>900.0</v>
      </c>
      <c r="M187" s="36">
        <v>900.0</v>
      </c>
      <c r="N187" s="41" t="s">
        <v>219</v>
      </c>
    </row>
    <row r="188">
      <c r="A188" s="31">
        <v>119.0</v>
      </c>
      <c r="B188" s="79">
        <v>3364.0</v>
      </c>
      <c r="C188" s="80">
        <v>45799.0</v>
      </c>
      <c r="D188" s="88" t="s">
        <v>213</v>
      </c>
      <c r="E188" s="89">
        <v>45812.0</v>
      </c>
      <c r="F188" s="88" t="s">
        <v>92</v>
      </c>
      <c r="G188" s="63"/>
      <c r="H188" s="63" t="s">
        <v>220</v>
      </c>
      <c r="I188" s="34" t="s">
        <v>29</v>
      </c>
      <c r="J188" s="77">
        <v>3.0</v>
      </c>
      <c r="K188" s="77" t="s">
        <v>156</v>
      </c>
      <c r="L188" s="78">
        <v>100.0</v>
      </c>
      <c r="M188" s="36">
        <v>300.0</v>
      </c>
      <c r="N188" s="41" t="s">
        <v>221</v>
      </c>
      <c r="O188" s="90" t="s">
        <v>222</v>
      </c>
    </row>
    <row r="189">
      <c r="A189" s="31">
        <v>120.0</v>
      </c>
      <c r="B189" s="79">
        <v>20877.0</v>
      </c>
      <c r="C189" s="80">
        <v>45799.0</v>
      </c>
      <c r="D189" s="88" t="s">
        <v>213</v>
      </c>
      <c r="E189" s="89">
        <v>45812.0</v>
      </c>
      <c r="F189" s="88">
        <v>699.0</v>
      </c>
      <c r="G189" s="86">
        <v>45799.0</v>
      </c>
      <c r="H189" s="63" t="s">
        <v>38</v>
      </c>
      <c r="I189" s="34" t="s">
        <v>24</v>
      </c>
      <c r="J189" s="77">
        <v>240.0</v>
      </c>
      <c r="K189" s="77" t="s">
        <v>39</v>
      </c>
      <c r="L189" s="78">
        <v>20.0</v>
      </c>
      <c r="M189" s="36">
        <v>4800.0</v>
      </c>
      <c r="N189" s="41" t="s">
        <v>223</v>
      </c>
    </row>
    <row r="190">
      <c r="A190" s="31">
        <v>121.0</v>
      </c>
      <c r="B190" s="79">
        <v>1384585.0</v>
      </c>
      <c r="C190" s="80">
        <v>45805.0</v>
      </c>
      <c r="D190" s="88" t="s">
        <v>213</v>
      </c>
      <c r="E190" s="89">
        <v>45812.0</v>
      </c>
      <c r="F190" s="88">
        <v>1201.0</v>
      </c>
      <c r="G190" s="86">
        <v>45805.0</v>
      </c>
      <c r="H190" s="63" t="s">
        <v>36</v>
      </c>
      <c r="I190" s="34" t="s">
        <v>24</v>
      </c>
      <c r="J190" s="77">
        <v>459.997</v>
      </c>
      <c r="K190" s="77" t="s">
        <v>25</v>
      </c>
      <c r="L190" s="78">
        <v>58.97</v>
      </c>
      <c r="M190" s="36">
        <v>27126.0</v>
      </c>
      <c r="N190" s="41" t="s">
        <v>91</v>
      </c>
    </row>
    <row r="191">
      <c r="A191" s="31">
        <v>122.0</v>
      </c>
      <c r="B191" s="79">
        <v>1384499.0</v>
      </c>
      <c r="C191" s="80">
        <v>45805.0</v>
      </c>
      <c r="D191" s="88" t="s">
        <v>213</v>
      </c>
      <c r="E191" s="89">
        <v>45812.0</v>
      </c>
      <c r="F191" s="88">
        <v>1201.0</v>
      </c>
      <c r="G191" s="86">
        <v>45805.0</v>
      </c>
      <c r="H191" s="63" t="s">
        <v>23</v>
      </c>
      <c r="I191" s="34" t="s">
        <v>24</v>
      </c>
      <c r="J191" s="77">
        <v>1388.0</v>
      </c>
      <c r="K191" s="77" t="s">
        <v>25</v>
      </c>
      <c r="L191" s="78">
        <v>58.53</v>
      </c>
      <c r="M191" s="36">
        <v>81239.64</v>
      </c>
      <c r="N191" s="41" t="s">
        <v>91</v>
      </c>
    </row>
    <row r="192">
      <c r="A192" s="31">
        <v>123.0</v>
      </c>
      <c r="B192" s="79" t="s">
        <v>92</v>
      </c>
      <c r="C192" s="80">
        <v>45805.0</v>
      </c>
      <c r="D192" s="88" t="s">
        <v>213</v>
      </c>
      <c r="E192" s="89">
        <v>45812.0</v>
      </c>
      <c r="F192" s="88">
        <v>1201.0</v>
      </c>
      <c r="G192" s="86">
        <v>45805.0</v>
      </c>
      <c r="H192" s="63" t="s">
        <v>159</v>
      </c>
      <c r="I192" s="34" t="s">
        <v>24</v>
      </c>
      <c r="J192" s="77">
        <v>210.0</v>
      </c>
      <c r="K192" s="77" t="s">
        <v>25</v>
      </c>
      <c r="L192" s="78">
        <v>47.0</v>
      </c>
      <c r="M192" s="36">
        <v>9870.0</v>
      </c>
      <c r="N192" s="41" t="s">
        <v>92</v>
      </c>
    </row>
    <row r="193">
      <c r="A193" s="31">
        <v>124.0</v>
      </c>
      <c r="B193" s="79">
        <v>621.0</v>
      </c>
      <c r="C193" s="80">
        <v>45805.0</v>
      </c>
      <c r="D193" s="88" t="s">
        <v>224</v>
      </c>
      <c r="E193" s="88" t="s">
        <v>225</v>
      </c>
      <c r="F193" s="88">
        <v>1213.0</v>
      </c>
      <c r="G193" s="91">
        <v>45813.0</v>
      </c>
      <c r="H193" s="63" t="s">
        <v>226</v>
      </c>
      <c r="I193" s="34" t="s">
        <v>82</v>
      </c>
      <c r="J193" s="77">
        <v>100.0</v>
      </c>
      <c r="K193" s="77" t="s">
        <v>156</v>
      </c>
      <c r="L193" s="78">
        <v>1360.0</v>
      </c>
      <c r="M193" s="36">
        <v>136000.0</v>
      </c>
      <c r="N193" s="41" t="s">
        <v>99</v>
      </c>
    </row>
    <row r="194">
      <c r="A194" s="31">
        <v>125.0</v>
      </c>
      <c r="B194" s="52">
        <v>398.0</v>
      </c>
      <c r="C194" s="53">
        <v>45807.0</v>
      </c>
      <c r="D194" s="54" t="s">
        <v>227</v>
      </c>
      <c r="E194" s="54" t="s">
        <v>228</v>
      </c>
      <c r="F194" s="54">
        <v>1202.0</v>
      </c>
      <c r="G194" s="92">
        <v>45805.0</v>
      </c>
      <c r="H194" s="63" t="s">
        <v>229</v>
      </c>
      <c r="I194" s="34" t="s">
        <v>51</v>
      </c>
      <c r="J194" s="77">
        <v>6.0</v>
      </c>
      <c r="K194" s="77" t="s">
        <v>156</v>
      </c>
      <c r="L194" s="78">
        <v>3950.0</v>
      </c>
      <c r="M194" s="36">
        <v>23700.0</v>
      </c>
      <c r="N194" s="41" t="s">
        <v>230</v>
      </c>
    </row>
    <row r="195">
      <c r="A195" s="31">
        <v>126.0</v>
      </c>
      <c r="B195" s="52">
        <v>42913.0</v>
      </c>
      <c r="C195" s="53">
        <v>45807.0</v>
      </c>
      <c r="D195" s="54" t="s">
        <v>192</v>
      </c>
      <c r="E195" s="54" t="s">
        <v>193</v>
      </c>
      <c r="F195" s="54" t="s">
        <v>22</v>
      </c>
      <c r="G195" s="55"/>
      <c r="H195" s="33" t="s">
        <v>231</v>
      </c>
      <c r="I195" s="34" t="s">
        <v>46</v>
      </c>
      <c r="J195" s="31">
        <v>1.0</v>
      </c>
      <c r="K195" s="31" t="s">
        <v>47</v>
      </c>
      <c r="L195" s="82">
        <v>226000.0</v>
      </c>
      <c r="M195" s="36">
        <v>226000.0</v>
      </c>
      <c r="N195" s="41" t="s">
        <v>48</v>
      </c>
    </row>
    <row r="196">
      <c r="A196" s="31">
        <v>127.0</v>
      </c>
      <c r="B196" s="52">
        <v>42910.0</v>
      </c>
      <c r="C196" s="53">
        <v>45807.0</v>
      </c>
      <c r="D196" s="54" t="s">
        <v>192</v>
      </c>
      <c r="E196" s="54" t="s">
        <v>193</v>
      </c>
      <c r="F196" s="54" t="s">
        <v>22</v>
      </c>
      <c r="G196" s="55"/>
      <c r="H196" s="33" t="s">
        <v>231</v>
      </c>
      <c r="I196" s="34" t="s">
        <v>46</v>
      </c>
      <c r="J196" s="31">
        <v>12.0</v>
      </c>
      <c r="K196" s="31" t="s">
        <v>174</v>
      </c>
      <c r="L196" s="82">
        <v>8692.3</v>
      </c>
      <c r="M196" s="36">
        <v>104307.6</v>
      </c>
      <c r="N196" s="41" t="s">
        <v>48</v>
      </c>
    </row>
    <row r="197">
      <c r="A197" s="31">
        <v>128.0</v>
      </c>
      <c r="B197" s="52">
        <v>43407.0</v>
      </c>
      <c r="C197" s="53">
        <v>45807.0</v>
      </c>
      <c r="D197" s="54" t="s">
        <v>192</v>
      </c>
      <c r="E197" s="54" t="s">
        <v>196</v>
      </c>
      <c r="F197" s="54" t="s">
        <v>22</v>
      </c>
      <c r="G197" s="55"/>
      <c r="H197" s="33" t="s">
        <v>232</v>
      </c>
      <c r="I197" s="34" t="s">
        <v>46</v>
      </c>
      <c r="J197" s="31">
        <v>1.0</v>
      </c>
      <c r="K197" s="31" t="s">
        <v>137</v>
      </c>
      <c r="L197" s="82">
        <v>130000.0</v>
      </c>
      <c r="M197" s="36">
        <v>130000.0</v>
      </c>
      <c r="N197" s="41" t="s">
        <v>48</v>
      </c>
    </row>
    <row r="198">
      <c r="A198" s="31">
        <v>129.0</v>
      </c>
      <c r="B198" s="52">
        <v>43408.0</v>
      </c>
      <c r="C198" s="53">
        <v>45807.0</v>
      </c>
      <c r="D198" s="54" t="s">
        <v>192</v>
      </c>
      <c r="E198" s="54" t="s">
        <v>193</v>
      </c>
      <c r="F198" s="54" t="s">
        <v>22</v>
      </c>
      <c r="G198" s="55"/>
      <c r="H198" s="33" t="s">
        <v>233</v>
      </c>
      <c r="I198" s="34" t="s">
        <v>46</v>
      </c>
      <c r="J198" s="31">
        <v>23.0</v>
      </c>
      <c r="K198" s="31" t="s">
        <v>174</v>
      </c>
      <c r="L198" s="82">
        <v>2350.0</v>
      </c>
      <c r="M198" s="36">
        <v>54050.0</v>
      </c>
      <c r="N198" s="41" t="s">
        <v>48</v>
      </c>
    </row>
    <row r="199">
      <c r="A199" s="31">
        <v>130.0</v>
      </c>
      <c r="B199" s="77">
        <v>161.0</v>
      </c>
      <c r="C199" s="93">
        <v>45807.0</v>
      </c>
      <c r="D199" s="77" t="s">
        <v>234</v>
      </c>
      <c r="E199" s="77" t="s">
        <v>235</v>
      </c>
      <c r="F199" s="77">
        <v>1213.0</v>
      </c>
      <c r="G199" s="91">
        <v>45813.0</v>
      </c>
      <c r="H199" s="85" t="s">
        <v>236</v>
      </c>
      <c r="I199" s="34" t="s">
        <v>76</v>
      </c>
      <c r="J199" s="31">
        <v>1.0</v>
      </c>
      <c r="K199" s="31" t="s">
        <v>207</v>
      </c>
      <c r="L199" s="82">
        <v>16000.0</v>
      </c>
      <c r="M199" s="36">
        <v>16000.0</v>
      </c>
      <c r="N199" s="41" t="s">
        <v>208</v>
      </c>
    </row>
    <row r="200">
      <c r="A200" s="31">
        <v>131.0</v>
      </c>
      <c r="B200" s="77">
        <v>1392436.0</v>
      </c>
      <c r="C200" s="93">
        <v>45807.0</v>
      </c>
      <c r="D200" s="77" t="s">
        <v>213</v>
      </c>
      <c r="E200" s="94">
        <v>45812.0</v>
      </c>
      <c r="F200" s="77">
        <v>1204.0</v>
      </c>
      <c r="G200" s="91">
        <v>45807.0</v>
      </c>
      <c r="H200" s="85" t="s">
        <v>23</v>
      </c>
      <c r="I200" s="34" t="s">
        <v>24</v>
      </c>
      <c r="J200" s="31">
        <v>2066.0</v>
      </c>
      <c r="K200" s="31" t="s">
        <v>25</v>
      </c>
      <c r="L200" s="82">
        <v>58.53</v>
      </c>
      <c r="M200" s="36">
        <v>120922.98</v>
      </c>
      <c r="N200" s="41" t="s">
        <v>91</v>
      </c>
    </row>
    <row r="201">
      <c r="A201" s="31">
        <v>132.0</v>
      </c>
      <c r="B201" s="77">
        <v>99388.0</v>
      </c>
      <c r="C201" s="93">
        <v>45807.0</v>
      </c>
      <c r="D201" s="77" t="s">
        <v>213</v>
      </c>
      <c r="E201" s="94">
        <v>45812.0</v>
      </c>
      <c r="F201" s="77">
        <v>1204.0</v>
      </c>
      <c r="G201" s="91">
        <v>45807.0</v>
      </c>
      <c r="H201" s="85" t="s">
        <v>38</v>
      </c>
      <c r="I201" s="34" t="s">
        <v>24</v>
      </c>
      <c r="J201" s="31">
        <v>240.0</v>
      </c>
      <c r="K201" s="31" t="s">
        <v>39</v>
      </c>
      <c r="L201" s="82">
        <v>20.0</v>
      </c>
      <c r="M201" s="36">
        <v>4800.0</v>
      </c>
      <c r="N201" s="41" t="s">
        <v>223</v>
      </c>
    </row>
    <row r="202">
      <c r="A202" s="51">
        <v>133.0</v>
      </c>
      <c r="B202" s="77">
        <v>41511.0</v>
      </c>
      <c r="C202" s="93">
        <v>45808.0</v>
      </c>
      <c r="D202" s="77" t="s">
        <v>198</v>
      </c>
      <c r="E202" s="94">
        <v>45812.0</v>
      </c>
      <c r="F202" s="77" t="s">
        <v>22</v>
      </c>
      <c r="G202" s="85"/>
      <c r="H202" s="85" t="s">
        <v>237</v>
      </c>
      <c r="I202" s="34" t="s">
        <v>46</v>
      </c>
      <c r="J202" s="31">
        <v>1.0</v>
      </c>
      <c r="K202" s="31" t="s">
        <v>47</v>
      </c>
      <c r="L202" s="82">
        <v>226000.0</v>
      </c>
      <c r="M202" s="36">
        <v>226000.0</v>
      </c>
      <c r="N202" s="41" t="s">
        <v>48</v>
      </c>
    </row>
    <row r="203">
      <c r="A203" s="51">
        <v>134.0</v>
      </c>
      <c r="B203" s="77">
        <v>156.0</v>
      </c>
      <c r="C203" s="93">
        <v>45811.0</v>
      </c>
      <c r="D203" s="77" t="s">
        <v>234</v>
      </c>
      <c r="E203" s="77" t="s">
        <v>235</v>
      </c>
      <c r="F203" s="77">
        <v>1213.0</v>
      </c>
      <c r="G203" s="91">
        <v>45813.0</v>
      </c>
      <c r="H203" s="85" t="s">
        <v>238</v>
      </c>
      <c r="I203" s="34" t="s">
        <v>55</v>
      </c>
      <c r="J203" s="31">
        <v>2.0</v>
      </c>
      <c r="K203" s="31" t="s">
        <v>207</v>
      </c>
      <c r="L203" s="82">
        <v>11890.0</v>
      </c>
      <c r="M203" s="36">
        <v>23780.0</v>
      </c>
      <c r="N203" s="41" t="s">
        <v>208</v>
      </c>
    </row>
    <row r="204">
      <c r="A204" s="51">
        <v>135.0</v>
      </c>
      <c r="B204" s="77">
        <v>157.0</v>
      </c>
      <c r="C204" s="93">
        <v>45812.0</v>
      </c>
      <c r="D204" s="77" t="s">
        <v>234</v>
      </c>
      <c r="E204" s="77" t="s">
        <v>235</v>
      </c>
      <c r="F204" s="77">
        <v>1213.0</v>
      </c>
      <c r="G204" s="91">
        <v>45813.0</v>
      </c>
      <c r="H204" s="85" t="s">
        <v>238</v>
      </c>
      <c r="I204" s="34" t="s">
        <v>55</v>
      </c>
      <c r="J204" s="31">
        <v>2.0</v>
      </c>
      <c r="K204" s="31" t="s">
        <v>207</v>
      </c>
      <c r="L204" s="82">
        <v>11890.0</v>
      </c>
      <c r="M204" s="36">
        <v>23780.0</v>
      </c>
      <c r="N204" s="41" t="s">
        <v>208</v>
      </c>
    </row>
    <row r="205">
      <c r="A205" s="51">
        <v>136.0</v>
      </c>
      <c r="B205" s="77">
        <v>160.0</v>
      </c>
      <c r="C205" s="93">
        <v>45812.0</v>
      </c>
      <c r="D205" s="77" t="s">
        <v>234</v>
      </c>
      <c r="E205" s="77" t="s">
        <v>235</v>
      </c>
      <c r="F205" s="77">
        <v>1213.0</v>
      </c>
      <c r="G205" s="91">
        <v>45813.0</v>
      </c>
      <c r="H205" s="85" t="s">
        <v>239</v>
      </c>
      <c r="I205" s="34" t="s">
        <v>55</v>
      </c>
      <c r="J205" s="31">
        <v>2.0</v>
      </c>
      <c r="K205" s="31" t="s">
        <v>207</v>
      </c>
      <c r="L205" s="82">
        <v>23920.0</v>
      </c>
      <c r="M205" s="36">
        <v>47840.0</v>
      </c>
      <c r="N205" s="41" t="s">
        <v>208</v>
      </c>
    </row>
    <row r="206">
      <c r="A206" s="51">
        <v>137.0</v>
      </c>
      <c r="B206" s="77">
        <v>1412261.0</v>
      </c>
      <c r="C206" s="93">
        <v>45812.0</v>
      </c>
      <c r="D206" s="77" t="s">
        <v>240</v>
      </c>
      <c r="E206" s="94">
        <v>45814.0</v>
      </c>
      <c r="F206" s="77">
        <v>1211.0</v>
      </c>
      <c r="G206" s="91">
        <v>45813.0</v>
      </c>
      <c r="H206" s="85" t="s">
        <v>241</v>
      </c>
      <c r="I206" s="34" t="s">
        <v>24</v>
      </c>
      <c r="J206" s="31">
        <v>5.0</v>
      </c>
      <c r="K206" s="31" t="s">
        <v>25</v>
      </c>
      <c r="L206" s="82">
        <v>59.28</v>
      </c>
      <c r="M206" s="36">
        <v>296.4</v>
      </c>
      <c r="N206" s="41" t="s">
        <v>91</v>
      </c>
    </row>
    <row r="207">
      <c r="A207" s="51">
        <v>138.0</v>
      </c>
      <c r="B207" s="77">
        <v>1412535.0</v>
      </c>
      <c r="C207" s="93">
        <v>45812.0</v>
      </c>
      <c r="D207" s="77" t="s">
        <v>240</v>
      </c>
      <c r="E207" s="94">
        <v>45814.0</v>
      </c>
      <c r="F207" s="77">
        <v>1211.0</v>
      </c>
      <c r="G207" s="91">
        <v>45813.0</v>
      </c>
      <c r="H207" s="85" t="s">
        <v>23</v>
      </c>
      <c r="I207" s="34" t="s">
        <v>24</v>
      </c>
      <c r="J207" s="31">
        <v>1816.0</v>
      </c>
      <c r="K207" s="31" t="s">
        <v>25</v>
      </c>
      <c r="L207" s="82">
        <v>59.28</v>
      </c>
      <c r="M207" s="36">
        <v>107652.48</v>
      </c>
      <c r="N207" s="41" t="s">
        <v>91</v>
      </c>
    </row>
    <row r="208">
      <c r="A208" s="51">
        <v>139.0</v>
      </c>
      <c r="B208" s="77">
        <v>61.0</v>
      </c>
      <c r="C208" s="93">
        <v>45812.0</v>
      </c>
      <c r="D208" s="77" t="s">
        <v>240</v>
      </c>
      <c r="E208" s="94">
        <v>45814.0</v>
      </c>
      <c r="F208" s="77">
        <v>1211.0</v>
      </c>
      <c r="G208" s="91">
        <v>45813.0</v>
      </c>
      <c r="H208" s="85" t="s">
        <v>41</v>
      </c>
      <c r="I208" s="34" t="s">
        <v>42</v>
      </c>
      <c r="J208" s="31">
        <v>8.0</v>
      </c>
      <c r="K208" s="31" t="s">
        <v>156</v>
      </c>
      <c r="L208" s="82">
        <v>2200.0</v>
      </c>
      <c r="M208" s="36">
        <v>17600.0</v>
      </c>
      <c r="N208" s="41" t="s">
        <v>216</v>
      </c>
    </row>
    <row r="209">
      <c r="A209" s="51">
        <v>140.0</v>
      </c>
      <c r="B209" s="77">
        <v>158.0</v>
      </c>
      <c r="C209" s="93">
        <v>45814.0</v>
      </c>
      <c r="D209" s="77" t="s">
        <v>234</v>
      </c>
      <c r="E209" s="77" t="s">
        <v>235</v>
      </c>
      <c r="F209" s="77">
        <v>1213.0</v>
      </c>
      <c r="G209" s="91">
        <v>45813.0</v>
      </c>
      <c r="H209" s="85" t="s">
        <v>238</v>
      </c>
      <c r="I209" s="34" t="s">
        <v>55</v>
      </c>
      <c r="J209" s="31">
        <v>2.0</v>
      </c>
      <c r="K209" s="31" t="s">
        <v>207</v>
      </c>
      <c r="L209" s="82">
        <v>11890.0</v>
      </c>
      <c r="M209" s="36">
        <v>23780.0</v>
      </c>
      <c r="N209" s="41" t="s">
        <v>208</v>
      </c>
    </row>
    <row r="210">
      <c r="A210" s="51">
        <v>141.0</v>
      </c>
      <c r="B210" s="52">
        <v>1432888.0</v>
      </c>
      <c r="C210" s="95">
        <v>45818.0</v>
      </c>
      <c r="D210" s="52" t="s">
        <v>242</v>
      </c>
      <c r="E210" s="96">
        <v>45821.0</v>
      </c>
      <c r="F210" s="52">
        <v>1217.0</v>
      </c>
      <c r="G210" s="97">
        <v>45818.0</v>
      </c>
      <c r="H210" s="63" t="s">
        <v>23</v>
      </c>
      <c r="I210" s="34" t="s">
        <v>24</v>
      </c>
      <c r="J210" s="77">
        <v>1600.0</v>
      </c>
      <c r="K210" s="77" t="s">
        <v>25</v>
      </c>
      <c r="L210" s="78">
        <v>59.28</v>
      </c>
      <c r="M210" s="36">
        <v>94848.0</v>
      </c>
      <c r="N210" s="41" t="s">
        <v>91</v>
      </c>
    </row>
    <row r="211">
      <c r="A211" s="51">
        <v>142.0</v>
      </c>
      <c r="B211" s="52">
        <v>168.0</v>
      </c>
      <c r="C211" s="95">
        <v>45820.0</v>
      </c>
      <c r="D211" s="52" t="s">
        <v>243</v>
      </c>
      <c r="E211" s="52" t="s">
        <v>244</v>
      </c>
      <c r="F211" s="52">
        <v>1220.0</v>
      </c>
      <c r="G211" s="86">
        <v>45821.0</v>
      </c>
      <c r="H211" s="63" t="s">
        <v>245</v>
      </c>
      <c r="I211" s="34" t="s">
        <v>55</v>
      </c>
      <c r="J211" s="77">
        <v>4.0</v>
      </c>
      <c r="K211" s="77" t="s">
        <v>207</v>
      </c>
      <c r="L211" s="78">
        <v>23920.0</v>
      </c>
      <c r="M211" s="36">
        <v>95680.0</v>
      </c>
      <c r="N211" s="41" t="s">
        <v>246</v>
      </c>
    </row>
    <row r="212">
      <c r="A212" s="51">
        <v>143.0</v>
      </c>
      <c r="B212" s="52">
        <v>174.0</v>
      </c>
      <c r="C212" s="95">
        <v>45820.0</v>
      </c>
      <c r="D212" s="52" t="s">
        <v>247</v>
      </c>
      <c r="E212" s="52" t="s">
        <v>244</v>
      </c>
      <c r="F212" s="52">
        <v>1220.0</v>
      </c>
      <c r="G212" s="92">
        <v>45821.0</v>
      </c>
      <c r="H212" s="63" t="s">
        <v>238</v>
      </c>
      <c r="I212" s="34" t="s">
        <v>55</v>
      </c>
      <c r="J212" s="77">
        <v>3.0</v>
      </c>
      <c r="K212" s="77" t="s">
        <v>207</v>
      </c>
      <c r="L212" s="78">
        <v>11890.0</v>
      </c>
      <c r="M212" s="36">
        <v>35670.0</v>
      </c>
      <c r="N212" s="41" t="s">
        <v>246</v>
      </c>
    </row>
    <row r="213">
      <c r="A213" s="51">
        <v>144.0</v>
      </c>
      <c r="B213" s="52">
        <v>175.0</v>
      </c>
      <c r="C213" s="95">
        <v>45820.0</v>
      </c>
      <c r="D213" s="52" t="s">
        <v>247</v>
      </c>
      <c r="E213" s="52" t="s">
        <v>244</v>
      </c>
      <c r="F213" s="52">
        <v>1220.0</v>
      </c>
      <c r="G213" s="86">
        <v>45821.0</v>
      </c>
      <c r="H213" s="63" t="s">
        <v>238</v>
      </c>
      <c r="I213" s="34" t="s">
        <v>55</v>
      </c>
      <c r="J213" s="77">
        <v>5.0</v>
      </c>
      <c r="K213" s="77" t="s">
        <v>207</v>
      </c>
      <c r="L213" s="78">
        <v>11890.0</v>
      </c>
      <c r="M213" s="36">
        <v>59450.0</v>
      </c>
      <c r="N213" s="41" t="s">
        <v>246</v>
      </c>
    </row>
    <row r="214">
      <c r="A214" s="51">
        <v>145.0</v>
      </c>
      <c r="B214" s="52">
        <v>173.0</v>
      </c>
      <c r="C214" s="95">
        <v>45820.0</v>
      </c>
      <c r="D214" s="52" t="s">
        <v>243</v>
      </c>
      <c r="E214" s="52" t="s">
        <v>244</v>
      </c>
      <c r="F214" s="52">
        <v>1220.0</v>
      </c>
      <c r="G214" s="92">
        <v>45821.0</v>
      </c>
      <c r="H214" s="63" t="s">
        <v>245</v>
      </c>
      <c r="I214" s="34" t="s">
        <v>55</v>
      </c>
      <c r="J214" s="77">
        <v>5.0</v>
      </c>
      <c r="K214" s="77" t="s">
        <v>207</v>
      </c>
      <c r="L214" s="78">
        <v>23920.0</v>
      </c>
      <c r="M214" s="36">
        <v>119600.0</v>
      </c>
      <c r="N214" s="41" t="s">
        <v>246</v>
      </c>
    </row>
    <row r="215">
      <c r="A215" s="51">
        <v>146.0</v>
      </c>
      <c r="B215" s="52">
        <v>176.0</v>
      </c>
      <c r="C215" s="95">
        <v>45820.0</v>
      </c>
      <c r="D215" s="52" t="s">
        <v>243</v>
      </c>
      <c r="E215" s="52" t="s">
        <v>244</v>
      </c>
      <c r="F215" s="52">
        <v>1220.0</v>
      </c>
      <c r="G215" s="86">
        <v>45821.0</v>
      </c>
      <c r="H215" s="63" t="s">
        <v>245</v>
      </c>
      <c r="I215" s="34" t="s">
        <v>55</v>
      </c>
      <c r="J215" s="77">
        <v>4.0</v>
      </c>
      <c r="K215" s="77" t="s">
        <v>207</v>
      </c>
      <c r="L215" s="78">
        <v>23920.0</v>
      </c>
      <c r="M215" s="36">
        <v>95680.0</v>
      </c>
      <c r="N215" s="41" t="s">
        <v>246</v>
      </c>
    </row>
    <row r="216">
      <c r="A216" s="51">
        <v>147.0</v>
      </c>
      <c r="B216" s="52">
        <v>167.0</v>
      </c>
      <c r="C216" s="95">
        <v>45820.0</v>
      </c>
      <c r="D216" s="52" t="s">
        <v>243</v>
      </c>
      <c r="E216" s="52" t="s">
        <v>244</v>
      </c>
      <c r="F216" s="52">
        <v>1220.0</v>
      </c>
      <c r="G216" s="92">
        <v>45821.0</v>
      </c>
      <c r="H216" s="63" t="s">
        <v>245</v>
      </c>
      <c r="I216" s="34" t="s">
        <v>55</v>
      </c>
      <c r="J216" s="77">
        <v>2.0</v>
      </c>
      <c r="K216" s="77" t="s">
        <v>207</v>
      </c>
      <c r="L216" s="78">
        <v>23920.0</v>
      </c>
      <c r="M216" s="36">
        <v>47840.0</v>
      </c>
      <c r="N216" s="41" t="s">
        <v>246</v>
      </c>
    </row>
    <row r="217">
      <c r="A217" s="51">
        <v>148.0</v>
      </c>
      <c r="B217" s="52">
        <v>155.0</v>
      </c>
      <c r="C217" s="95">
        <v>45820.0</v>
      </c>
      <c r="D217" s="52" t="s">
        <v>247</v>
      </c>
      <c r="E217" s="52" t="s">
        <v>244</v>
      </c>
      <c r="F217" s="52">
        <v>1220.0</v>
      </c>
      <c r="G217" s="86">
        <v>45821.0</v>
      </c>
      <c r="H217" s="63" t="s">
        <v>238</v>
      </c>
      <c r="I217" s="34" t="s">
        <v>55</v>
      </c>
      <c r="J217" s="77">
        <v>2.0</v>
      </c>
      <c r="K217" s="77" t="s">
        <v>207</v>
      </c>
      <c r="L217" s="78">
        <v>11890.0</v>
      </c>
      <c r="M217" s="36">
        <v>23780.0</v>
      </c>
      <c r="N217" s="41" t="s">
        <v>246</v>
      </c>
    </row>
    <row r="218">
      <c r="A218" s="51">
        <v>149.0</v>
      </c>
      <c r="B218" s="52">
        <v>170.0</v>
      </c>
      <c r="C218" s="95">
        <v>45820.0</v>
      </c>
      <c r="D218" s="52" t="s">
        <v>247</v>
      </c>
      <c r="E218" s="52" t="s">
        <v>244</v>
      </c>
      <c r="F218" s="52">
        <v>1220.0</v>
      </c>
      <c r="G218" s="92">
        <v>45821.0</v>
      </c>
      <c r="H218" s="33" t="s">
        <v>238</v>
      </c>
      <c r="I218" s="34" t="s">
        <v>55</v>
      </c>
      <c r="J218" s="31">
        <v>6.0</v>
      </c>
      <c r="K218" s="31" t="s">
        <v>207</v>
      </c>
      <c r="L218" s="82">
        <v>11890.0</v>
      </c>
      <c r="M218" s="36">
        <v>71340.0</v>
      </c>
      <c r="N218" s="41" t="s">
        <v>208</v>
      </c>
    </row>
    <row r="219">
      <c r="A219" s="51">
        <v>150.0</v>
      </c>
      <c r="B219" s="52">
        <v>172.0</v>
      </c>
      <c r="C219" s="95">
        <v>45820.0</v>
      </c>
      <c r="D219" s="52" t="s">
        <v>243</v>
      </c>
      <c r="E219" s="52" t="s">
        <v>244</v>
      </c>
      <c r="F219" s="52">
        <v>1220.0</v>
      </c>
      <c r="G219" s="86">
        <v>45821.0</v>
      </c>
      <c r="H219" s="33" t="s">
        <v>245</v>
      </c>
      <c r="I219" s="34" t="s">
        <v>55</v>
      </c>
      <c r="J219" s="31">
        <v>7.0</v>
      </c>
      <c r="K219" s="31" t="s">
        <v>207</v>
      </c>
      <c r="L219" s="82">
        <v>23920.0</v>
      </c>
      <c r="M219" s="36">
        <v>167440.0</v>
      </c>
      <c r="N219" s="41" t="s">
        <v>208</v>
      </c>
    </row>
    <row r="220">
      <c r="A220" s="51">
        <v>151.0</v>
      </c>
      <c r="B220" s="52">
        <v>169.0</v>
      </c>
      <c r="C220" s="95">
        <v>45820.0</v>
      </c>
      <c r="D220" s="52" t="s">
        <v>243</v>
      </c>
      <c r="E220" s="52" t="s">
        <v>244</v>
      </c>
      <c r="F220" s="52">
        <v>1220.0</v>
      </c>
      <c r="G220" s="92">
        <v>45821.0</v>
      </c>
      <c r="H220" s="63" t="s">
        <v>245</v>
      </c>
      <c r="I220" s="34" t="s">
        <v>55</v>
      </c>
      <c r="J220" s="77">
        <v>15.0</v>
      </c>
      <c r="K220" s="77" t="s">
        <v>207</v>
      </c>
      <c r="L220" s="78">
        <v>23920.0</v>
      </c>
      <c r="M220" s="36">
        <v>358800.0</v>
      </c>
      <c r="N220" s="41" t="s">
        <v>246</v>
      </c>
    </row>
    <row r="221">
      <c r="A221" s="51">
        <v>152.0</v>
      </c>
      <c r="B221" s="77">
        <v>226187.0</v>
      </c>
      <c r="C221" s="93">
        <v>45823.0</v>
      </c>
      <c r="D221" s="77" t="s">
        <v>248</v>
      </c>
      <c r="E221" s="77" t="s">
        <v>244</v>
      </c>
      <c r="F221" s="77">
        <v>1222.0</v>
      </c>
      <c r="G221" s="91">
        <v>45823.0</v>
      </c>
      <c r="H221" s="85" t="s">
        <v>23</v>
      </c>
      <c r="I221" s="34" t="s">
        <v>24</v>
      </c>
      <c r="J221" s="31">
        <v>2288.0</v>
      </c>
      <c r="K221" s="31" t="s">
        <v>25</v>
      </c>
      <c r="L221" s="82">
        <v>59.28</v>
      </c>
      <c r="M221" s="36">
        <v>135632.64</v>
      </c>
      <c r="N221" s="41" t="s">
        <v>91</v>
      </c>
    </row>
    <row r="222">
      <c r="A222" s="51">
        <v>153.0</v>
      </c>
      <c r="B222" s="77">
        <v>1472924.0</v>
      </c>
      <c r="C222" s="93">
        <v>45830.0</v>
      </c>
      <c r="D222" s="77" t="s">
        <v>249</v>
      </c>
      <c r="E222" s="77" t="s">
        <v>250</v>
      </c>
      <c r="F222" s="77">
        <v>1230.0</v>
      </c>
      <c r="G222" s="91">
        <v>45830.0</v>
      </c>
      <c r="H222" s="85" t="s">
        <v>23</v>
      </c>
      <c r="I222" s="34" t="s">
        <v>24</v>
      </c>
      <c r="J222" s="31">
        <v>2061.0</v>
      </c>
      <c r="K222" s="31" t="s">
        <v>25</v>
      </c>
      <c r="L222" s="82">
        <v>60.44</v>
      </c>
      <c r="M222" s="36">
        <v>124566.84</v>
      </c>
      <c r="N222" s="41" t="s">
        <v>91</v>
      </c>
    </row>
    <row r="223">
      <c r="A223" s="98">
        <v>154.0</v>
      </c>
      <c r="B223" s="99">
        <v>41509.0</v>
      </c>
      <c r="C223" s="100">
        <v>45777.0</v>
      </c>
      <c r="D223" s="101" t="s">
        <v>251</v>
      </c>
      <c r="E223" s="100">
        <v>45868.0</v>
      </c>
      <c r="F223" s="101" t="s">
        <v>92</v>
      </c>
      <c r="G223" s="102"/>
      <c r="H223" s="102" t="s">
        <v>252</v>
      </c>
      <c r="I223" s="103" t="s">
        <v>46</v>
      </c>
      <c r="J223" s="99">
        <v>1.0</v>
      </c>
      <c r="K223" s="99" t="s">
        <v>47</v>
      </c>
      <c r="L223" s="104">
        <v>91747.0</v>
      </c>
      <c r="M223" s="105">
        <f t="shared" ref="M223:M225" si="1">L223*J223</f>
        <v>91747</v>
      </c>
      <c r="N223" s="106" t="s">
        <v>48</v>
      </c>
    </row>
    <row r="224">
      <c r="A224" s="107">
        <v>155.0</v>
      </c>
      <c r="B224" s="99">
        <v>1499629.0</v>
      </c>
      <c r="C224" s="100">
        <v>45837.0</v>
      </c>
      <c r="D224" s="108" t="s">
        <v>253</v>
      </c>
      <c r="E224" s="100">
        <v>45874.0</v>
      </c>
      <c r="F224" s="107">
        <v>1241.0</v>
      </c>
      <c r="G224" s="109">
        <v>45837.0</v>
      </c>
      <c r="H224" s="110" t="s">
        <v>23</v>
      </c>
      <c r="I224" s="110" t="s">
        <v>24</v>
      </c>
      <c r="J224" s="108">
        <v>2059.0</v>
      </c>
      <c r="K224" s="99" t="s">
        <v>25</v>
      </c>
      <c r="L224" s="104">
        <v>60.44</v>
      </c>
      <c r="M224" s="105">
        <f t="shared" si="1"/>
        <v>124445.96</v>
      </c>
      <c r="N224" s="106" t="s">
        <v>91</v>
      </c>
      <c r="O224" s="73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</row>
    <row r="225">
      <c r="A225" s="111"/>
      <c r="B225" s="111"/>
      <c r="C225" s="111"/>
      <c r="D225" s="112" t="s">
        <v>254</v>
      </c>
      <c r="E225" s="113"/>
      <c r="F225" s="111"/>
      <c r="G225" s="114"/>
      <c r="H225" s="115" t="s">
        <v>255</v>
      </c>
      <c r="I225" s="115" t="s">
        <v>55</v>
      </c>
      <c r="J225" s="112">
        <v>5.0</v>
      </c>
      <c r="K225" s="112" t="s">
        <v>256</v>
      </c>
      <c r="L225" s="112">
        <v>16000.0</v>
      </c>
      <c r="M225" s="105">
        <f t="shared" si="1"/>
        <v>80000</v>
      </c>
      <c r="N225" s="116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</row>
    <row r="226">
      <c r="A226" s="111"/>
      <c r="B226" s="111"/>
      <c r="C226" s="111"/>
      <c r="D226" s="112" t="s">
        <v>257</v>
      </c>
      <c r="E226" s="113"/>
      <c r="F226" s="111"/>
      <c r="G226" s="114"/>
      <c r="H226" s="115" t="s">
        <v>258</v>
      </c>
      <c r="I226" s="114"/>
      <c r="J226" s="111"/>
      <c r="K226" s="111"/>
      <c r="L226" s="111"/>
      <c r="M226" s="118">
        <v>807.0</v>
      </c>
      <c r="N226" s="116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</row>
    <row r="227">
      <c r="A227" s="119"/>
      <c r="B227" s="119"/>
      <c r="C227" s="119"/>
      <c r="D227" s="119"/>
      <c r="E227" s="120"/>
      <c r="F227" s="119"/>
      <c r="G227" s="121"/>
      <c r="H227" s="121" t="s">
        <v>259</v>
      </c>
      <c r="I227" s="122"/>
      <c r="J227" s="119"/>
      <c r="K227" s="119"/>
      <c r="L227" s="119"/>
      <c r="M227" s="123">
        <f>SUBTOTAL(109,'PMU Road Construction'!$M$5:$M$226)</f>
        <v>8999976.82</v>
      </c>
      <c r="N227" s="124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</row>
    <row r="228">
      <c r="E228" s="126"/>
      <c r="M228" s="127"/>
      <c r="N228" s="128"/>
    </row>
    <row r="229">
      <c r="E229" s="126"/>
      <c r="M229" s="127"/>
      <c r="N229" s="128"/>
    </row>
    <row r="230">
      <c r="E230" s="126"/>
      <c r="M230" s="127"/>
      <c r="N230" s="128"/>
    </row>
    <row r="231">
      <c r="E231" s="126"/>
      <c r="M231" s="127"/>
      <c r="N231" s="128"/>
    </row>
    <row r="232">
      <c r="E232" s="126"/>
      <c r="M232" s="127"/>
      <c r="N232" s="128"/>
    </row>
    <row r="233">
      <c r="E233" s="126"/>
      <c r="M233" s="127"/>
      <c r="N233" s="128"/>
    </row>
    <row r="234">
      <c r="E234" s="126"/>
      <c r="M234" s="127"/>
      <c r="N234" s="128"/>
    </row>
    <row r="235">
      <c r="E235" s="126"/>
      <c r="M235" s="127"/>
      <c r="N235" s="128"/>
    </row>
    <row r="236">
      <c r="E236" s="126"/>
      <c r="M236" s="127"/>
      <c r="N236" s="128"/>
    </row>
    <row r="237">
      <c r="E237" s="126"/>
      <c r="M237" s="127"/>
      <c r="N237" s="128"/>
    </row>
    <row r="238">
      <c r="E238" s="126"/>
      <c r="M238" s="127"/>
      <c r="N238" s="128"/>
    </row>
    <row r="239">
      <c r="E239" s="126"/>
      <c r="M239" s="127"/>
      <c r="N239" s="128"/>
    </row>
    <row r="240">
      <c r="E240" s="126"/>
      <c r="M240" s="127"/>
      <c r="N240" s="128"/>
    </row>
    <row r="241">
      <c r="E241" s="126"/>
      <c r="M241" s="127"/>
      <c r="N241" s="128"/>
    </row>
    <row r="242">
      <c r="E242" s="126"/>
      <c r="M242" s="127"/>
      <c r="N242" s="128"/>
    </row>
    <row r="243">
      <c r="E243" s="126"/>
      <c r="M243" s="127"/>
      <c r="N243" s="128"/>
    </row>
    <row r="244">
      <c r="E244" s="126"/>
      <c r="M244" s="127"/>
      <c r="N244" s="128"/>
    </row>
    <row r="245">
      <c r="E245" s="126"/>
      <c r="M245" s="127"/>
      <c r="N245" s="128"/>
    </row>
    <row r="246">
      <c r="E246" s="126"/>
      <c r="M246" s="127"/>
      <c r="N246" s="128"/>
    </row>
    <row r="247">
      <c r="E247" s="126"/>
      <c r="M247" s="127"/>
      <c r="N247" s="128"/>
    </row>
    <row r="248">
      <c r="E248" s="126"/>
      <c r="M248" s="127"/>
      <c r="N248" s="128"/>
    </row>
    <row r="249">
      <c r="E249" s="126"/>
      <c r="M249" s="127"/>
      <c r="N249" s="128"/>
    </row>
    <row r="250">
      <c r="E250" s="126"/>
      <c r="M250" s="127"/>
      <c r="N250" s="128"/>
    </row>
    <row r="251">
      <c r="E251" s="126"/>
      <c r="M251" s="127"/>
      <c r="N251" s="128"/>
    </row>
    <row r="252">
      <c r="E252" s="126"/>
      <c r="M252" s="127"/>
      <c r="N252" s="128"/>
    </row>
    <row r="253">
      <c r="E253" s="126"/>
      <c r="M253" s="127"/>
      <c r="N253" s="128"/>
    </row>
    <row r="254">
      <c r="E254" s="126"/>
      <c r="M254" s="127"/>
      <c r="N254" s="128"/>
    </row>
    <row r="255">
      <c r="E255" s="126"/>
      <c r="M255" s="127"/>
      <c r="N255" s="128"/>
    </row>
    <row r="256">
      <c r="E256" s="126"/>
      <c r="M256" s="127"/>
      <c r="N256" s="128"/>
    </row>
    <row r="257">
      <c r="E257" s="126"/>
      <c r="M257" s="127"/>
      <c r="N257" s="128"/>
    </row>
    <row r="258">
      <c r="E258" s="126"/>
      <c r="M258" s="127"/>
      <c r="N258" s="128"/>
    </row>
    <row r="259">
      <c r="E259" s="126"/>
      <c r="M259" s="127"/>
      <c r="N259" s="128"/>
    </row>
    <row r="260">
      <c r="E260" s="126"/>
      <c r="M260" s="127"/>
      <c r="N260" s="128"/>
    </row>
    <row r="261">
      <c r="E261" s="126"/>
      <c r="M261" s="127"/>
      <c r="N261" s="128"/>
    </row>
    <row r="262">
      <c r="E262" s="126"/>
      <c r="M262" s="127"/>
      <c r="N262" s="128"/>
    </row>
    <row r="263">
      <c r="E263" s="126"/>
      <c r="M263" s="127"/>
      <c r="N263" s="128"/>
    </row>
    <row r="264">
      <c r="E264" s="126"/>
      <c r="M264" s="127"/>
      <c r="N264" s="128"/>
    </row>
    <row r="265">
      <c r="E265" s="126"/>
      <c r="M265" s="127"/>
      <c r="N265" s="128"/>
    </row>
    <row r="266">
      <c r="E266" s="126"/>
      <c r="M266" s="127"/>
      <c r="N266" s="128"/>
    </row>
    <row r="267">
      <c r="E267" s="126"/>
      <c r="M267" s="127"/>
      <c r="N267" s="128"/>
    </row>
    <row r="268">
      <c r="E268" s="126"/>
      <c r="M268" s="127"/>
      <c r="N268" s="128"/>
    </row>
    <row r="269">
      <c r="E269" s="126"/>
      <c r="M269" s="127"/>
      <c r="N269" s="128"/>
    </row>
    <row r="270">
      <c r="E270" s="126"/>
      <c r="M270" s="127"/>
      <c r="N270" s="128"/>
    </row>
    <row r="271">
      <c r="E271" s="126"/>
      <c r="M271" s="127"/>
      <c r="N271" s="128"/>
    </row>
    <row r="272">
      <c r="E272" s="126"/>
      <c r="M272" s="127"/>
      <c r="N272" s="128"/>
    </row>
    <row r="273">
      <c r="E273" s="126"/>
      <c r="M273" s="127"/>
      <c r="N273" s="128"/>
    </row>
    <row r="274">
      <c r="E274" s="126"/>
      <c r="M274" s="127"/>
      <c r="N274" s="128"/>
    </row>
    <row r="275">
      <c r="E275" s="126"/>
      <c r="M275" s="127"/>
      <c r="N275" s="128"/>
    </row>
    <row r="276">
      <c r="E276" s="126"/>
      <c r="M276" s="127"/>
      <c r="N276" s="128"/>
    </row>
    <row r="277">
      <c r="E277" s="126"/>
      <c r="M277" s="127"/>
      <c r="N277" s="128"/>
    </row>
    <row r="278">
      <c r="E278" s="126"/>
      <c r="M278" s="127"/>
      <c r="N278" s="128"/>
    </row>
    <row r="279">
      <c r="E279" s="126"/>
      <c r="M279" s="127"/>
      <c r="N279" s="128"/>
    </row>
    <row r="280">
      <c r="E280" s="126"/>
      <c r="M280" s="127"/>
      <c r="N280" s="128"/>
    </row>
    <row r="281">
      <c r="E281" s="126"/>
      <c r="M281" s="127"/>
      <c r="N281" s="128"/>
    </row>
    <row r="282">
      <c r="E282" s="126"/>
      <c r="M282" s="127"/>
      <c r="N282" s="128"/>
    </row>
    <row r="283">
      <c r="E283" s="126"/>
      <c r="M283" s="127"/>
      <c r="N283" s="128"/>
    </row>
    <row r="284">
      <c r="E284" s="126"/>
      <c r="M284" s="127"/>
      <c r="N284" s="128"/>
    </row>
    <row r="285">
      <c r="E285" s="126"/>
      <c r="M285" s="127"/>
      <c r="N285" s="128"/>
    </row>
    <row r="286">
      <c r="E286" s="126"/>
      <c r="M286" s="127"/>
      <c r="N286" s="128"/>
    </row>
    <row r="287">
      <c r="E287" s="126"/>
      <c r="M287" s="127"/>
      <c r="N287" s="128"/>
    </row>
    <row r="288">
      <c r="E288" s="126"/>
      <c r="M288" s="127"/>
      <c r="N288" s="128"/>
    </row>
    <row r="289">
      <c r="E289" s="126"/>
      <c r="M289" s="127"/>
      <c r="N289" s="128"/>
    </row>
    <row r="290">
      <c r="E290" s="126"/>
      <c r="M290" s="127"/>
      <c r="N290" s="128"/>
    </row>
    <row r="291">
      <c r="E291" s="126"/>
      <c r="M291" s="127"/>
      <c r="N291" s="128"/>
    </row>
    <row r="292">
      <c r="E292" s="126"/>
      <c r="M292" s="127"/>
      <c r="N292" s="128"/>
    </row>
    <row r="293">
      <c r="E293" s="126"/>
      <c r="M293" s="127"/>
      <c r="N293" s="128"/>
    </row>
    <row r="294">
      <c r="E294" s="126"/>
      <c r="M294" s="127"/>
      <c r="N294" s="128"/>
    </row>
    <row r="295">
      <c r="E295" s="126"/>
      <c r="M295" s="127"/>
      <c r="N295" s="128"/>
    </row>
    <row r="296">
      <c r="E296" s="126"/>
      <c r="M296" s="127"/>
      <c r="N296" s="128"/>
    </row>
    <row r="297">
      <c r="E297" s="126"/>
      <c r="M297" s="127"/>
      <c r="N297" s="128"/>
    </row>
    <row r="298">
      <c r="E298" s="126"/>
      <c r="M298" s="127"/>
      <c r="N298" s="128"/>
    </row>
    <row r="299">
      <c r="E299" s="126"/>
      <c r="M299" s="127"/>
      <c r="N299" s="128"/>
    </row>
    <row r="300">
      <c r="E300" s="126"/>
      <c r="M300" s="127"/>
      <c r="N300" s="128"/>
    </row>
    <row r="301">
      <c r="E301" s="126"/>
      <c r="M301" s="127"/>
      <c r="N301" s="128"/>
    </row>
    <row r="302">
      <c r="E302" s="126"/>
      <c r="M302" s="127"/>
      <c r="N302" s="128"/>
    </row>
    <row r="303">
      <c r="E303" s="126"/>
      <c r="M303" s="127"/>
      <c r="N303" s="128"/>
    </row>
    <row r="304">
      <c r="E304" s="126"/>
      <c r="M304" s="127"/>
      <c r="N304" s="128"/>
    </row>
    <row r="305">
      <c r="E305" s="126"/>
      <c r="M305" s="127"/>
      <c r="N305" s="128"/>
    </row>
    <row r="306">
      <c r="E306" s="126"/>
      <c r="M306" s="127"/>
      <c r="N306" s="128"/>
    </row>
    <row r="307">
      <c r="E307" s="126"/>
      <c r="M307" s="127"/>
      <c r="N307" s="128"/>
    </row>
    <row r="308">
      <c r="E308" s="126"/>
      <c r="M308" s="127"/>
      <c r="N308" s="128"/>
    </row>
    <row r="309">
      <c r="E309" s="126"/>
      <c r="M309" s="127"/>
      <c r="N309" s="128"/>
    </row>
    <row r="310">
      <c r="E310" s="126"/>
      <c r="M310" s="127"/>
      <c r="N310" s="128"/>
    </row>
    <row r="311">
      <c r="E311" s="126"/>
      <c r="M311" s="127"/>
      <c r="N311" s="128"/>
    </row>
    <row r="312">
      <c r="E312" s="126"/>
      <c r="M312" s="127"/>
      <c r="N312" s="128"/>
    </row>
    <row r="313">
      <c r="E313" s="126"/>
      <c r="M313" s="127"/>
      <c r="N313" s="128"/>
    </row>
    <row r="314">
      <c r="E314" s="126"/>
      <c r="M314" s="127"/>
      <c r="N314" s="128"/>
    </row>
    <row r="315">
      <c r="E315" s="126"/>
      <c r="M315" s="127"/>
      <c r="N315" s="128"/>
    </row>
    <row r="316">
      <c r="E316" s="126"/>
      <c r="M316" s="127"/>
      <c r="N316" s="128"/>
    </row>
    <row r="317">
      <c r="E317" s="126"/>
      <c r="M317" s="127"/>
      <c r="N317" s="128"/>
    </row>
    <row r="318">
      <c r="E318" s="126"/>
      <c r="M318" s="127"/>
      <c r="N318" s="128"/>
    </row>
    <row r="319">
      <c r="E319" s="126"/>
      <c r="M319" s="127"/>
      <c r="N319" s="128"/>
    </row>
    <row r="320">
      <c r="E320" s="126"/>
      <c r="M320" s="127"/>
      <c r="N320" s="128"/>
    </row>
    <row r="321">
      <c r="E321" s="126"/>
      <c r="M321" s="127"/>
      <c r="N321" s="128"/>
    </row>
    <row r="322">
      <c r="E322" s="126"/>
      <c r="M322" s="127"/>
      <c r="N322" s="128"/>
    </row>
    <row r="323">
      <c r="E323" s="126"/>
      <c r="M323" s="127"/>
      <c r="N323" s="128"/>
    </row>
    <row r="324">
      <c r="E324" s="126"/>
      <c r="M324" s="127"/>
      <c r="N324" s="128"/>
    </row>
    <row r="325">
      <c r="E325" s="126"/>
      <c r="M325" s="127"/>
      <c r="N325" s="128"/>
    </row>
    <row r="326">
      <c r="E326" s="126"/>
      <c r="M326" s="127"/>
      <c r="N326" s="128"/>
    </row>
    <row r="327">
      <c r="E327" s="126"/>
      <c r="M327" s="127"/>
      <c r="N327" s="128"/>
    </row>
    <row r="328">
      <c r="E328" s="126"/>
      <c r="M328" s="127"/>
      <c r="N328" s="128"/>
    </row>
    <row r="329">
      <c r="E329" s="126"/>
      <c r="M329" s="127"/>
      <c r="N329" s="128"/>
    </row>
    <row r="330">
      <c r="E330" s="126"/>
      <c r="M330" s="127"/>
      <c r="N330" s="128"/>
    </row>
    <row r="331">
      <c r="E331" s="126"/>
      <c r="M331" s="127"/>
      <c r="N331" s="128"/>
    </row>
    <row r="332">
      <c r="E332" s="126"/>
      <c r="M332" s="127"/>
      <c r="N332" s="128"/>
    </row>
    <row r="333">
      <c r="E333" s="126"/>
      <c r="M333" s="127"/>
      <c r="N333" s="128"/>
    </row>
    <row r="334">
      <c r="E334" s="126"/>
      <c r="M334" s="127"/>
      <c r="N334" s="128"/>
    </row>
    <row r="335">
      <c r="E335" s="126"/>
      <c r="M335" s="127"/>
      <c r="N335" s="128"/>
    </row>
    <row r="336">
      <c r="E336" s="126"/>
      <c r="M336" s="127"/>
      <c r="N336" s="128"/>
    </row>
    <row r="337">
      <c r="E337" s="126"/>
      <c r="M337" s="127"/>
      <c r="N337" s="128"/>
    </row>
    <row r="338">
      <c r="E338" s="126"/>
      <c r="M338" s="127"/>
      <c r="N338" s="128"/>
    </row>
    <row r="339">
      <c r="E339" s="126"/>
      <c r="M339" s="127"/>
      <c r="N339" s="128"/>
    </row>
    <row r="340">
      <c r="E340" s="126"/>
      <c r="M340" s="127"/>
      <c r="N340" s="128"/>
    </row>
    <row r="341">
      <c r="E341" s="126"/>
      <c r="M341" s="127"/>
      <c r="N341" s="128"/>
    </row>
    <row r="342">
      <c r="E342" s="126"/>
      <c r="M342" s="127"/>
      <c r="N342" s="128"/>
    </row>
    <row r="343">
      <c r="E343" s="126"/>
      <c r="M343" s="127"/>
      <c r="N343" s="128"/>
    </row>
    <row r="344">
      <c r="E344" s="126"/>
      <c r="M344" s="127"/>
      <c r="N344" s="128"/>
    </row>
    <row r="345">
      <c r="E345" s="126"/>
      <c r="M345" s="127"/>
      <c r="N345" s="128"/>
    </row>
    <row r="346">
      <c r="E346" s="126"/>
      <c r="M346" s="127"/>
      <c r="N346" s="128"/>
    </row>
    <row r="347">
      <c r="E347" s="126"/>
      <c r="M347" s="127"/>
      <c r="N347" s="128"/>
    </row>
    <row r="348">
      <c r="E348" s="126"/>
      <c r="M348" s="127"/>
      <c r="N348" s="128"/>
    </row>
    <row r="349">
      <c r="E349" s="126"/>
      <c r="M349" s="127"/>
      <c r="N349" s="128"/>
    </row>
    <row r="350">
      <c r="E350" s="126"/>
      <c r="M350" s="127"/>
      <c r="N350" s="128"/>
    </row>
    <row r="351">
      <c r="E351" s="126"/>
      <c r="M351" s="127"/>
      <c r="N351" s="128"/>
    </row>
    <row r="352">
      <c r="E352" s="126"/>
      <c r="M352" s="127"/>
      <c r="N352" s="128"/>
    </row>
    <row r="353">
      <c r="E353" s="126"/>
      <c r="M353" s="127"/>
      <c r="N353" s="128"/>
    </row>
    <row r="354">
      <c r="E354" s="126"/>
      <c r="M354" s="127"/>
      <c r="N354" s="128"/>
    </row>
    <row r="355">
      <c r="E355" s="126"/>
      <c r="M355" s="127"/>
      <c r="N355" s="128"/>
    </row>
    <row r="356">
      <c r="E356" s="126"/>
      <c r="M356" s="127"/>
      <c r="N356" s="128"/>
    </row>
    <row r="357">
      <c r="E357" s="126"/>
      <c r="M357" s="127"/>
      <c r="N357" s="128"/>
    </row>
    <row r="358">
      <c r="E358" s="126"/>
      <c r="M358" s="127"/>
      <c r="N358" s="128"/>
    </row>
    <row r="359">
      <c r="E359" s="126"/>
      <c r="M359" s="127"/>
      <c r="N359" s="128"/>
    </row>
    <row r="360">
      <c r="E360" s="126"/>
      <c r="M360" s="127"/>
      <c r="N360" s="128"/>
    </row>
    <row r="361">
      <c r="E361" s="126"/>
      <c r="M361" s="127"/>
      <c r="N361" s="128"/>
    </row>
    <row r="362">
      <c r="E362" s="126"/>
      <c r="M362" s="127"/>
      <c r="N362" s="128"/>
    </row>
    <row r="363">
      <c r="E363" s="126"/>
      <c r="M363" s="127"/>
      <c r="N363" s="128"/>
    </row>
    <row r="364">
      <c r="E364" s="126"/>
      <c r="M364" s="127"/>
      <c r="N364" s="128"/>
    </row>
    <row r="365">
      <c r="E365" s="126"/>
      <c r="M365" s="127"/>
      <c r="N365" s="128"/>
    </row>
    <row r="366">
      <c r="E366" s="126"/>
      <c r="M366" s="127"/>
      <c r="N366" s="128"/>
    </row>
    <row r="367">
      <c r="E367" s="126"/>
      <c r="M367" s="127"/>
      <c r="N367" s="128"/>
    </row>
    <row r="368">
      <c r="E368" s="126"/>
      <c r="M368" s="127"/>
      <c r="N368" s="128"/>
    </row>
    <row r="369">
      <c r="E369" s="126"/>
      <c r="M369" s="127"/>
      <c r="N369" s="128"/>
    </row>
    <row r="370">
      <c r="E370" s="126"/>
      <c r="M370" s="127"/>
      <c r="N370" s="128"/>
    </row>
    <row r="371">
      <c r="E371" s="126"/>
      <c r="M371" s="127"/>
      <c r="N371" s="128"/>
    </row>
    <row r="372">
      <c r="E372" s="126"/>
      <c r="M372" s="127"/>
      <c r="N372" s="128"/>
    </row>
    <row r="373">
      <c r="E373" s="126"/>
      <c r="M373" s="127"/>
      <c r="N373" s="128"/>
    </row>
    <row r="374">
      <c r="E374" s="126"/>
      <c r="M374" s="127"/>
      <c r="N374" s="128"/>
    </row>
    <row r="375">
      <c r="E375" s="126"/>
      <c r="M375" s="127"/>
      <c r="N375" s="128"/>
    </row>
    <row r="376">
      <c r="E376" s="126"/>
      <c r="M376" s="127"/>
      <c r="N376" s="128"/>
    </row>
    <row r="377">
      <c r="E377" s="126"/>
      <c r="M377" s="127"/>
      <c r="N377" s="128"/>
    </row>
    <row r="378">
      <c r="E378" s="126"/>
      <c r="M378" s="127"/>
      <c r="N378" s="128"/>
    </row>
    <row r="379">
      <c r="E379" s="126"/>
      <c r="M379" s="127"/>
      <c r="N379" s="128"/>
    </row>
    <row r="380">
      <c r="E380" s="126"/>
      <c r="M380" s="127"/>
      <c r="N380" s="128"/>
    </row>
    <row r="381">
      <c r="E381" s="126"/>
      <c r="M381" s="127"/>
      <c r="N381" s="128"/>
    </row>
    <row r="382">
      <c r="E382" s="126"/>
      <c r="M382" s="127"/>
      <c r="N382" s="128"/>
    </row>
    <row r="383">
      <c r="E383" s="126"/>
      <c r="M383" s="127"/>
      <c r="N383" s="128"/>
    </row>
    <row r="384">
      <c r="E384" s="126"/>
      <c r="M384" s="127"/>
      <c r="N384" s="128"/>
    </row>
    <row r="385">
      <c r="E385" s="126"/>
      <c r="M385" s="127"/>
      <c r="N385" s="128"/>
    </row>
    <row r="386">
      <c r="E386" s="126"/>
      <c r="M386" s="127"/>
      <c r="N386" s="128"/>
    </row>
    <row r="387">
      <c r="E387" s="126"/>
      <c r="M387" s="127"/>
      <c r="N387" s="128"/>
    </row>
    <row r="388">
      <c r="E388" s="126"/>
      <c r="M388" s="127"/>
      <c r="N388" s="128"/>
    </row>
    <row r="389">
      <c r="E389" s="126"/>
      <c r="M389" s="127"/>
      <c r="N389" s="128"/>
    </row>
    <row r="390">
      <c r="E390" s="126"/>
      <c r="M390" s="127"/>
      <c r="N390" s="128"/>
    </row>
    <row r="391">
      <c r="E391" s="126"/>
      <c r="M391" s="127"/>
      <c r="N391" s="128"/>
    </row>
    <row r="392">
      <c r="E392" s="126"/>
      <c r="M392" s="127"/>
      <c r="N392" s="128"/>
    </row>
    <row r="393">
      <c r="E393" s="126"/>
      <c r="M393" s="127"/>
      <c r="N393" s="128"/>
    </row>
    <row r="394">
      <c r="E394" s="126"/>
      <c r="M394" s="127"/>
      <c r="N394" s="128"/>
    </row>
    <row r="395">
      <c r="E395" s="126"/>
      <c r="M395" s="127"/>
      <c r="N395" s="128"/>
    </row>
    <row r="396">
      <c r="E396" s="126"/>
      <c r="M396" s="127"/>
      <c r="N396" s="128"/>
    </row>
    <row r="397">
      <c r="E397" s="126"/>
      <c r="M397" s="127"/>
      <c r="N397" s="128"/>
    </row>
    <row r="398">
      <c r="E398" s="126"/>
      <c r="M398" s="127"/>
      <c r="N398" s="128"/>
    </row>
    <row r="399">
      <c r="E399" s="126"/>
      <c r="M399" s="127"/>
      <c r="N399" s="128"/>
    </row>
    <row r="400">
      <c r="E400" s="126"/>
      <c r="M400" s="127"/>
      <c r="N400" s="128"/>
    </row>
    <row r="401">
      <c r="E401" s="126"/>
      <c r="M401" s="127"/>
      <c r="N401" s="128"/>
    </row>
    <row r="402">
      <c r="E402" s="126"/>
      <c r="M402" s="127"/>
      <c r="N402" s="128"/>
    </row>
    <row r="403">
      <c r="E403" s="126"/>
      <c r="M403" s="127"/>
      <c r="N403" s="128"/>
    </row>
    <row r="404">
      <c r="E404" s="126"/>
      <c r="M404" s="127"/>
      <c r="N404" s="128"/>
    </row>
    <row r="405">
      <c r="E405" s="126"/>
      <c r="M405" s="127"/>
      <c r="N405" s="128"/>
    </row>
    <row r="406">
      <c r="E406" s="126"/>
      <c r="M406" s="127"/>
      <c r="N406" s="128"/>
    </row>
    <row r="407">
      <c r="E407" s="126"/>
      <c r="M407" s="127"/>
      <c r="N407" s="128"/>
    </row>
    <row r="408">
      <c r="E408" s="126"/>
      <c r="M408" s="127"/>
      <c r="N408" s="128"/>
    </row>
    <row r="409">
      <c r="E409" s="126"/>
      <c r="M409" s="127"/>
      <c r="N409" s="128"/>
    </row>
    <row r="410">
      <c r="E410" s="126"/>
      <c r="M410" s="127"/>
      <c r="N410" s="128"/>
    </row>
    <row r="411">
      <c r="E411" s="126"/>
      <c r="M411" s="127"/>
      <c r="N411" s="128"/>
    </row>
    <row r="412">
      <c r="E412" s="126"/>
      <c r="M412" s="127"/>
      <c r="N412" s="128"/>
    </row>
    <row r="413">
      <c r="E413" s="126"/>
      <c r="M413" s="127"/>
      <c r="N413" s="128"/>
    </row>
    <row r="414">
      <c r="E414" s="126"/>
      <c r="M414" s="127"/>
      <c r="N414" s="128"/>
    </row>
    <row r="415">
      <c r="E415" s="126"/>
      <c r="M415" s="127"/>
      <c r="N415" s="128"/>
    </row>
    <row r="416">
      <c r="E416" s="126"/>
      <c r="M416" s="127"/>
      <c r="N416" s="128"/>
    </row>
    <row r="417">
      <c r="E417" s="126"/>
      <c r="M417" s="127"/>
      <c r="N417" s="128"/>
    </row>
    <row r="418">
      <c r="E418" s="126"/>
      <c r="M418" s="127"/>
      <c r="N418" s="128"/>
    </row>
    <row r="419">
      <c r="E419" s="126"/>
      <c r="M419" s="127"/>
      <c r="N419" s="128"/>
    </row>
    <row r="420">
      <c r="E420" s="126"/>
      <c r="M420" s="127"/>
      <c r="N420" s="128"/>
    </row>
    <row r="421">
      <c r="E421" s="126"/>
      <c r="M421" s="127"/>
      <c r="N421" s="128"/>
    </row>
    <row r="422">
      <c r="E422" s="126"/>
      <c r="M422" s="127"/>
      <c r="N422" s="128"/>
    </row>
    <row r="423">
      <c r="E423" s="126"/>
      <c r="M423" s="127"/>
      <c r="N423" s="128"/>
    </row>
    <row r="424">
      <c r="E424" s="126"/>
      <c r="M424" s="127"/>
      <c r="N424" s="128"/>
    </row>
    <row r="425">
      <c r="E425" s="126"/>
      <c r="M425" s="127"/>
      <c r="N425" s="128"/>
    </row>
    <row r="426">
      <c r="E426" s="126"/>
      <c r="M426" s="127"/>
      <c r="N426" s="128"/>
    </row>
    <row r="427">
      <c r="E427" s="126"/>
      <c r="M427" s="127"/>
      <c r="N427" s="128"/>
    </row>
    <row r="428">
      <c r="E428" s="126"/>
      <c r="M428" s="127"/>
      <c r="N428" s="128"/>
    </row>
    <row r="429">
      <c r="E429" s="126"/>
      <c r="M429" s="127"/>
      <c r="N429" s="128"/>
    </row>
    <row r="430">
      <c r="E430" s="126"/>
      <c r="M430" s="127"/>
      <c r="N430" s="128"/>
    </row>
    <row r="431">
      <c r="E431" s="126"/>
      <c r="M431" s="127"/>
      <c r="N431" s="128"/>
    </row>
    <row r="432">
      <c r="E432" s="126"/>
      <c r="M432" s="127"/>
      <c r="N432" s="128"/>
    </row>
    <row r="433">
      <c r="E433" s="126"/>
      <c r="M433" s="127"/>
      <c r="N433" s="128"/>
    </row>
    <row r="434">
      <c r="E434" s="126"/>
      <c r="M434" s="127"/>
      <c r="N434" s="128"/>
    </row>
    <row r="435">
      <c r="E435" s="126"/>
      <c r="M435" s="127"/>
      <c r="N435" s="128"/>
    </row>
    <row r="436">
      <c r="E436" s="126"/>
      <c r="M436" s="127"/>
      <c r="N436" s="128"/>
    </row>
    <row r="437">
      <c r="E437" s="126"/>
      <c r="M437" s="127"/>
      <c r="N437" s="128"/>
    </row>
    <row r="438">
      <c r="E438" s="126"/>
      <c r="M438" s="127"/>
      <c r="N438" s="128"/>
    </row>
    <row r="439">
      <c r="E439" s="126"/>
      <c r="M439" s="127"/>
      <c r="N439" s="128"/>
    </row>
    <row r="440">
      <c r="E440" s="126"/>
      <c r="M440" s="127"/>
      <c r="N440" s="128"/>
    </row>
    <row r="441">
      <c r="E441" s="126"/>
      <c r="M441" s="127"/>
      <c r="N441" s="128"/>
    </row>
    <row r="442">
      <c r="E442" s="126"/>
      <c r="M442" s="127"/>
      <c r="N442" s="128"/>
    </row>
    <row r="443">
      <c r="E443" s="126"/>
      <c r="M443" s="127"/>
      <c r="N443" s="128"/>
    </row>
    <row r="444">
      <c r="E444" s="126"/>
      <c r="M444" s="127"/>
      <c r="N444" s="128"/>
    </row>
    <row r="445">
      <c r="E445" s="126"/>
      <c r="M445" s="127"/>
      <c r="N445" s="128"/>
    </row>
    <row r="446">
      <c r="E446" s="126"/>
      <c r="M446" s="127"/>
      <c r="N446" s="128"/>
    </row>
    <row r="447">
      <c r="E447" s="126"/>
      <c r="M447" s="127"/>
      <c r="N447" s="128"/>
    </row>
    <row r="448">
      <c r="E448" s="126"/>
      <c r="M448" s="127"/>
      <c r="N448" s="128"/>
    </row>
    <row r="449">
      <c r="E449" s="126"/>
      <c r="M449" s="127"/>
      <c r="N449" s="128"/>
    </row>
    <row r="450">
      <c r="E450" s="126"/>
      <c r="M450" s="127"/>
      <c r="N450" s="128"/>
    </row>
    <row r="451">
      <c r="E451" s="126"/>
      <c r="M451" s="127"/>
      <c r="N451" s="128"/>
    </row>
    <row r="452">
      <c r="E452" s="126"/>
      <c r="M452" s="127"/>
      <c r="N452" s="128"/>
    </row>
    <row r="453">
      <c r="E453" s="126"/>
      <c r="M453" s="127"/>
      <c r="N453" s="128"/>
    </row>
    <row r="454">
      <c r="E454" s="126"/>
      <c r="M454" s="127"/>
      <c r="N454" s="128"/>
    </row>
    <row r="455">
      <c r="E455" s="126"/>
      <c r="M455" s="127"/>
      <c r="N455" s="128"/>
    </row>
    <row r="456">
      <c r="E456" s="126"/>
      <c r="M456" s="127"/>
      <c r="N456" s="128"/>
    </row>
    <row r="457">
      <c r="E457" s="126"/>
      <c r="M457" s="127"/>
      <c r="N457" s="128"/>
    </row>
    <row r="458">
      <c r="E458" s="126"/>
      <c r="M458" s="127"/>
      <c r="N458" s="128"/>
    </row>
    <row r="459">
      <c r="E459" s="126"/>
      <c r="M459" s="127"/>
      <c r="N459" s="128"/>
    </row>
    <row r="460">
      <c r="E460" s="126"/>
      <c r="M460" s="127"/>
      <c r="N460" s="128"/>
    </row>
    <row r="461">
      <c r="E461" s="126"/>
      <c r="M461" s="127"/>
      <c r="N461" s="128"/>
    </row>
    <row r="462">
      <c r="E462" s="126"/>
      <c r="M462" s="127"/>
      <c r="N462" s="128"/>
    </row>
    <row r="463">
      <c r="E463" s="126"/>
      <c r="M463" s="127"/>
      <c r="N463" s="128"/>
    </row>
    <row r="464">
      <c r="E464" s="126"/>
      <c r="M464" s="127"/>
      <c r="N464" s="128"/>
    </row>
    <row r="465">
      <c r="E465" s="126"/>
      <c r="M465" s="127"/>
      <c r="N465" s="128"/>
    </row>
    <row r="466">
      <c r="E466" s="126"/>
      <c r="M466" s="127"/>
      <c r="N466" s="128"/>
    </row>
    <row r="467">
      <c r="E467" s="126"/>
      <c r="M467" s="127"/>
      <c r="N467" s="128"/>
    </row>
    <row r="468">
      <c r="E468" s="126"/>
      <c r="M468" s="127"/>
      <c r="N468" s="128"/>
    </row>
    <row r="469">
      <c r="E469" s="126"/>
      <c r="M469" s="127"/>
      <c r="N469" s="128"/>
    </row>
    <row r="470">
      <c r="E470" s="126"/>
      <c r="M470" s="127"/>
      <c r="N470" s="128"/>
    </row>
    <row r="471">
      <c r="E471" s="126"/>
      <c r="M471" s="127"/>
      <c r="N471" s="128"/>
    </row>
    <row r="472">
      <c r="E472" s="126"/>
      <c r="M472" s="127"/>
      <c r="N472" s="128"/>
    </row>
    <row r="473">
      <c r="E473" s="126"/>
      <c r="M473" s="127"/>
      <c r="N473" s="128"/>
    </row>
    <row r="474">
      <c r="E474" s="126"/>
      <c r="M474" s="127"/>
      <c r="N474" s="128"/>
    </row>
    <row r="475">
      <c r="E475" s="126"/>
      <c r="M475" s="127"/>
      <c r="N475" s="128"/>
    </row>
    <row r="476">
      <c r="E476" s="126"/>
      <c r="M476" s="127"/>
      <c r="N476" s="128"/>
    </row>
    <row r="477">
      <c r="E477" s="126"/>
      <c r="M477" s="127"/>
      <c r="N477" s="128"/>
    </row>
    <row r="478">
      <c r="E478" s="126"/>
      <c r="M478" s="127"/>
      <c r="N478" s="128"/>
    </row>
    <row r="479">
      <c r="E479" s="126"/>
      <c r="M479" s="127"/>
      <c r="N479" s="128"/>
    </row>
    <row r="480">
      <c r="E480" s="126"/>
      <c r="M480" s="127"/>
      <c r="N480" s="128"/>
    </row>
    <row r="481">
      <c r="E481" s="126"/>
      <c r="M481" s="127"/>
      <c r="N481" s="128"/>
    </row>
    <row r="482">
      <c r="E482" s="126"/>
      <c r="M482" s="127"/>
      <c r="N482" s="128"/>
    </row>
    <row r="483">
      <c r="E483" s="126"/>
      <c r="M483" s="127"/>
      <c r="N483" s="128"/>
    </row>
    <row r="484">
      <c r="E484" s="126"/>
      <c r="M484" s="127"/>
      <c r="N484" s="128"/>
    </row>
    <row r="485">
      <c r="E485" s="126"/>
      <c r="M485" s="127"/>
      <c r="N485" s="128"/>
    </row>
    <row r="486">
      <c r="E486" s="126"/>
      <c r="M486" s="127"/>
      <c r="N486" s="128"/>
    </row>
    <row r="487">
      <c r="E487" s="126"/>
      <c r="M487" s="127"/>
      <c r="N487" s="128"/>
    </row>
    <row r="488">
      <c r="E488" s="126"/>
      <c r="M488" s="127"/>
      <c r="N488" s="128"/>
    </row>
    <row r="489">
      <c r="E489" s="126"/>
      <c r="M489" s="127"/>
      <c r="N489" s="128"/>
    </row>
    <row r="490">
      <c r="E490" s="126"/>
      <c r="M490" s="127"/>
      <c r="N490" s="128"/>
    </row>
    <row r="491">
      <c r="E491" s="126"/>
      <c r="M491" s="127"/>
      <c r="N491" s="128"/>
    </row>
    <row r="492">
      <c r="E492" s="126"/>
      <c r="M492" s="127"/>
      <c r="N492" s="128"/>
    </row>
    <row r="493">
      <c r="E493" s="126"/>
      <c r="M493" s="127"/>
      <c r="N493" s="128"/>
    </row>
    <row r="494">
      <c r="E494" s="126"/>
      <c r="M494" s="127"/>
      <c r="N494" s="128"/>
    </row>
    <row r="495">
      <c r="E495" s="126"/>
      <c r="M495" s="127"/>
      <c r="N495" s="128"/>
    </row>
    <row r="496">
      <c r="E496" s="126"/>
      <c r="M496" s="127"/>
      <c r="N496" s="128"/>
    </row>
    <row r="497">
      <c r="E497" s="126"/>
      <c r="M497" s="127"/>
      <c r="N497" s="128"/>
    </row>
    <row r="498">
      <c r="E498" s="126"/>
      <c r="M498" s="127"/>
      <c r="N498" s="128"/>
    </row>
    <row r="499">
      <c r="E499" s="126"/>
      <c r="M499" s="127"/>
      <c r="N499" s="128"/>
    </row>
    <row r="500">
      <c r="E500" s="126"/>
      <c r="M500" s="127"/>
      <c r="N500" s="128"/>
    </row>
    <row r="501">
      <c r="E501" s="126"/>
      <c r="M501" s="127"/>
      <c r="N501" s="128"/>
    </row>
    <row r="502">
      <c r="E502" s="126"/>
      <c r="M502" s="127"/>
      <c r="N502" s="128"/>
    </row>
    <row r="503">
      <c r="E503" s="126"/>
      <c r="M503" s="127"/>
      <c r="N503" s="128"/>
    </row>
    <row r="504">
      <c r="E504" s="126"/>
      <c r="M504" s="127"/>
      <c r="N504" s="128"/>
    </row>
    <row r="505">
      <c r="E505" s="126"/>
      <c r="M505" s="127"/>
      <c r="N505" s="128"/>
    </row>
    <row r="506">
      <c r="E506" s="126"/>
      <c r="M506" s="127"/>
      <c r="N506" s="128"/>
    </row>
    <row r="507">
      <c r="E507" s="126"/>
      <c r="M507" s="127"/>
      <c r="N507" s="128"/>
    </row>
    <row r="508">
      <c r="E508" s="126"/>
      <c r="M508" s="127"/>
      <c r="N508" s="128"/>
    </row>
    <row r="509">
      <c r="E509" s="126"/>
      <c r="M509" s="127"/>
      <c r="N509" s="128"/>
    </row>
    <row r="510">
      <c r="E510" s="126"/>
      <c r="M510" s="127"/>
      <c r="N510" s="128"/>
    </row>
    <row r="511">
      <c r="E511" s="126"/>
      <c r="M511" s="127"/>
      <c r="N511" s="128"/>
    </row>
    <row r="512">
      <c r="E512" s="126"/>
      <c r="M512" s="127"/>
      <c r="N512" s="128"/>
    </row>
    <row r="513">
      <c r="E513" s="126"/>
      <c r="M513" s="127"/>
      <c r="N513" s="128"/>
    </row>
    <row r="514">
      <c r="E514" s="126"/>
      <c r="M514" s="127"/>
      <c r="N514" s="128"/>
    </row>
    <row r="515">
      <c r="E515" s="126"/>
      <c r="M515" s="127"/>
      <c r="N515" s="128"/>
    </row>
    <row r="516">
      <c r="E516" s="126"/>
      <c r="M516" s="127"/>
      <c r="N516" s="128"/>
    </row>
    <row r="517">
      <c r="E517" s="126"/>
      <c r="M517" s="127"/>
      <c r="N517" s="128"/>
    </row>
    <row r="518">
      <c r="E518" s="126"/>
      <c r="M518" s="127"/>
      <c r="N518" s="128"/>
    </row>
    <row r="519">
      <c r="E519" s="126"/>
      <c r="M519" s="127"/>
      <c r="N519" s="128"/>
    </row>
    <row r="520">
      <c r="E520" s="126"/>
      <c r="M520" s="127"/>
      <c r="N520" s="128"/>
    </row>
    <row r="521">
      <c r="E521" s="126"/>
      <c r="M521" s="127"/>
      <c r="N521" s="128"/>
    </row>
    <row r="522">
      <c r="E522" s="126"/>
      <c r="M522" s="127"/>
      <c r="N522" s="128"/>
    </row>
    <row r="523">
      <c r="E523" s="126"/>
      <c r="M523" s="127"/>
      <c r="N523" s="128"/>
    </row>
    <row r="524">
      <c r="E524" s="126"/>
      <c r="M524" s="127"/>
      <c r="N524" s="128"/>
    </row>
    <row r="525">
      <c r="E525" s="126"/>
      <c r="M525" s="127"/>
      <c r="N525" s="128"/>
    </row>
    <row r="526">
      <c r="E526" s="126"/>
      <c r="M526" s="127"/>
      <c r="N526" s="128"/>
    </row>
    <row r="527">
      <c r="E527" s="126"/>
      <c r="M527" s="127"/>
      <c r="N527" s="128"/>
    </row>
    <row r="528">
      <c r="E528" s="126"/>
      <c r="M528" s="127"/>
      <c r="N528" s="128"/>
    </row>
    <row r="529">
      <c r="E529" s="126"/>
      <c r="M529" s="127"/>
      <c r="N529" s="128"/>
    </row>
    <row r="530">
      <c r="E530" s="126"/>
      <c r="M530" s="127"/>
      <c r="N530" s="128"/>
    </row>
    <row r="531">
      <c r="E531" s="126"/>
      <c r="M531" s="127"/>
      <c r="N531" s="128"/>
    </row>
    <row r="532">
      <c r="E532" s="126"/>
      <c r="M532" s="127"/>
      <c r="N532" s="128"/>
    </row>
    <row r="533">
      <c r="E533" s="126"/>
      <c r="M533" s="127"/>
      <c r="N533" s="128"/>
    </row>
    <row r="534">
      <c r="E534" s="126"/>
      <c r="M534" s="127"/>
      <c r="N534" s="128"/>
    </row>
    <row r="535">
      <c r="E535" s="126"/>
      <c r="M535" s="127"/>
      <c r="N535" s="128"/>
    </row>
    <row r="536">
      <c r="E536" s="126"/>
      <c r="M536" s="127"/>
      <c r="N536" s="128"/>
    </row>
    <row r="537">
      <c r="E537" s="126"/>
      <c r="M537" s="127"/>
      <c r="N537" s="128"/>
    </row>
    <row r="538">
      <c r="E538" s="126"/>
      <c r="M538" s="127"/>
      <c r="N538" s="128"/>
    </row>
    <row r="539">
      <c r="E539" s="126"/>
      <c r="M539" s="127"/>
      <c r="N539" s="128"/>
    </row>
    <row r="540">
      <c r="E540" s="126"/>
      <c r="M540" s="127"/>
      <c r="N540" s="128"/>
    </row>
    <row r="541">
      <c r="E541" s="126"/>
      <c r="M541" s="127"/>
      <c r="N541" s="128"/>
    </row>
    <row r="542">
      <c r="E542" s="126"/>
      <c r="M542" s="127"/>
      <c r="N542" s="128"/>
    </row>
    <row r="543">
      <c r="E543" s="126"/>
      <c r="M543" s="127"/>
      <c r="N543" s="128"/>
    </row>
    <row r="544">
      <c r="E544" s="126"/>
      <c r="M544" s="127"/>
      <c r="N544" s="128"/>
    </row>
    <row r="545">
      <c r="E545" s="126"/>
      <c r="M545" s="127"/>
      <c r="N545" s="128"/>
    </row>
    <row r="546">
      <c r="E546" s="126"/>
      <c r="M546" s="127"/>
      <c r="N546" s="128"/>
    </row>
    <row r="547">
      <c r="E547" s="126"/>
      <c r="M547" s="127"/>
      <c r="N547" s="128"/>
    </row>
    <row r="548">
      <c r="E548" s="126"/>
      <c r="M548" s="127"/>
      <c r="N548" s="128"/>
    </row>
    <row r="549">
      <c r="E549" s="126"/>
      <c r="M549" s="127"/>
      <c r="N549" s="128"/>
    </row>
    <row r="550">
      <c r="E550" s="126"/>
      <c r="M550" s="127"/>
      <c r="N550" s="128"/>
    </row>
    <row r="551">
      <c r="E551" s="126"/>
      <c r="M551" s="127"/>
      <c r="N551" s="128"/>
    </row>
    <row r="552">
      <c r="E552" s="126"/>
      <c r="M552" s="127"/>
      <c r="N552" s="128"/>
    </row>
    <row r="553">
      <c r="E553" s="126"/>
      <c r="M553" s="127"/>
      <c r="N553" s="128"/>
    </row>
    <row r="554">
      <c r="E554" s="126"/>
      <c r="M554" s="127"/>
      <c r="N554" s="128"/>
    </row>
    <row r="555">
      <c r="E555" s="126"/>
      <c r="M555" s="127"/>
      <c r="N555" s="128"/>
    </row>
    <row r="556">
      <c r="E556" s="126"/>
      <c r="M556" s="127"/>
      <c r="N556" s="128"/>
    </row>
    <row r="557">
      <c r="E557" s="126"/>
      <c r="M557" s="127"/>
      <c r="N557" s="128"/>
    </row>
    <row r="558">
      <c r="E558" s="126"/>
      <c r="M558" s="127"/>
      <c r="N558" s="128"/>
    </row>
    <row r="559">
      <c r="E559" s="126"/>
      <c r="M559" s="127"/>
      <c r="N559" s="128"/>
    </row>
    <row r="560">
      <c r="E560" s="126"/>
      <c r="M560" s="127"/>
      <c r="N560" s="128"/>
    </row>
    <row r="561">
      <c r="E561" s="126"/>
      <c r="M561" s="127"/>
      <c r="N561" s="128"/>
    </row>
    <row r="562">
      <c r="E562" s="126"/>
      <c r="M562" s="127"/>
      <c r="N562" s="128"/>
    </row>
    <row r="563">
      <c r="E563" s="126"/>
      <c r="M563" s="127"/>
      <c r="N563" s="128"/>
    </row>
    <row r="564">
      <c r="E564" s="126"/>
      <c r="M564" s="127"/>
      <c r="N564" s="128"/>
    </row>
    <row r="565">
      <c r="E565" s="126"/>
      <c r="M565" s="127"/>
      <c r="N565" s="128"/>
    </row>
    <row r="566">
      <c r="E566" s="126"/>
      <c r="M566" s="127"/>
      <c r="N566" s="128"/>
    </row>
    <row r="567">
      <c r="E567" s="126"/>
      <c r="M567" s="127"/>
      <c r="N567" s="128"/>
    </row>
    <row r="568">
      <c r="E568" s="126"/>
      <c r="M568" s="127"/>
      <c r="N568" s="128"/>
    </row>
    <row r="569">
      <c r="E569" s="126"/>
      <c r="M569" s="127"/>
      <c r="N569" s="128"/>
    </row>
    <row r="570">
      <c r="E570" s="126"/>
      <c r="M570" s="127"/>
      <c r="N570" s="128"/>
    </row>
    <row r="571">
      <c r="E571" s="126"/>
      <c r="M571" s="127"/>
      <c r="N571" s="128"/>
    </row>
    <row r="572">
      <c r="E572" s="126"/>
      <c r="M572" s="127"/>
      <c r="N572" s="128"/>
    </row>
    <row r="573">
      <c r="E573" s="126"/>
      <c r="M573" s="127"/>
      <c r="N573" s="128"/>
    </row>
    <row r="574">
      <c r="E574" s="126"/>
      <c r="M574" s="127"/>
      <c r="N574" s="128"/>
    </row>
    <row r="575">
      <c r="E575" s="126"/>
      <c r="M575" s="127"/>
      <c r="N575" s="128"/>
    </row>
    <row r="576">
      <c r="E576" s="126"/>
      <c r="M576" s="127"/>
      <c r="N576" s="128"/>
    </row>
    <row r="577">
      <c r="E577" s="126"/>
      <c r="M577" s="127"/>
      <c r="N577" s="128"/>
    </row>
    <row r="578">
      <c r="E578" s="126"/>
      <c r="M578" s="127"/>
      <c r="N578" s="128"/>
    </row>
    <row r="579">
      <c r="E579" s="126"/>
      <c r="M579" s="127"/>
      <c r="N579" s="128"/>
    </row>
    <row r="580">
      <c r="E580" s="126"/>
      <c r="M580" s="127"/>
      <c r="N580" s="128"/>
    </row>
    <row r="581">
      <c r="E581" s="126"/>
      <c r="M581" s="127"/>
      <c r="N581" s="128"/>
    </row>
    <row r="582">
      <c r="E582" s="126"/>
      <c r="M582" s="127"/>
      <c r="N582" s="128"/>
    </row>
    <row r="583">
      <c r="E583" s="126"/>
      <c r="M583" s="127"/>
      <c r="N583" s="128"/>
    </row>
    <row r="584">
      <c r="E584" s="126"/>
      <c r="M584" s="127"/>
      <c r="N584" s="128"/>
    </row>
    <row r="585">
      <c r="E585" s="126"/>
      <c r="M585" s="127"/>
      <c r="N585" s="128"/>
    </row>
    <row r="586">
      <c r="E586" s="126"/>
      <c r="M586" s="127"/>
      <c r="N586" s="128"/>
    </row>
    <row r="587">
      <c r="E587" s="126"/>
      <c r="M587" s="127"/>
      <c r="N587" s="128"/>
    </row>
    <row r="588">
      <c r="E588" s="126"/>
      <c r="M588" s="127"/>
      <c r="N588" s="128"/>
    </row>
    <row r="589">
      <c r="E589" s="126"/>
      <c r="M589" s="127"/>
      <c r="N589" s="128"/>
    </row>
    <row r="590">
      <c r="E590" s="126"/>
      <c r="M590" s="127"/>
      <c r="N590" s="128"/>
    </row>
    <row r="591">
      <c r="E591" s="126"/>
      <c r="M591" s="127"/>
      <c r="N591" s="128"/>
    </row>
    <row r="592">
      <c r="E592" s="126"/>
      <c r="M592" s="127"/>
      <c r="N592" s="128"/>
    </row>
    <row r="593">
      <c r="E593" s="126"/>
      <c r="M593" s="127"/>
      <c r="N593" s="128"/>
    </row>
    <row r="594">
      <c r="E594" s="126"/>
      <c r="M594" s="127"/>
      <c r="N594" s="128"/>
    </row>
    <row r="595">
      <c r="E595" s="126"/>
      <c r="M595" s="127"/>
      <c r="N595" s="128"/>
    </row>
    <row r="596">
      <c r="E596" s="126"/>
      <c r="M596" s="127"/>
      <c r="N596" s="128"/>
    </row>
    <row r="597">
      <c r="E597" s="126"/>
      <c r="M597" s="127"/>
      <c r="N597" s="128"/>
    </row>
    <row r="598">
      <c r="E598" s="126"/>
      <c r="M598" s="127"/>
      <c r="N598" s="128"/>
    </row>
    <row r="599">
      <c r="E599" s="126"/>
      <c r="M599" s="127"/>
      <c r="N599" s="128"/>
    </row>
    <row r="600">
      <c r="E600" s="126"/>
      <c r="M600" s="127"/>
      <c r="N600" s="128"/>
    </row>
    <row r="601">
      <c r="E601" s="126"/>
      <c r="M601" s="127"/>
      <c r="N601" s="128"/>
    </row>
    <row r="602">
      <c r="E602" s="126"/>
      <c r="M602" s="127"/>
      <c r="N602" s="128"/>
    </row>
    <row r="603">
      <c r="E603" s="126"/>
      <c r="M603" s="127"/>
      <c r="N603" s="128"/>
    </row>
    <row r="604">
      <c r="E604" s="126"/>
      <c r="M604" s="127"/>
      <c r="N604" s="128"/>
    </row>
    <row r="605">
      <c r="E605" s="126"/>
      <c r="M605" s="127"/>
      <c r="N605" s="128"/>
    </row>
    <row r="606">
      <c r="E606" s="126"/>
      <c r="M606" s="127"/>
      <c r="N606" s="128"/>
    </row>
    <row r="607">
      <c r="E607" s="126"/>
      <c r="M607" s="127"/>
      <c r="N607" s="128"/>
    </row>
    <row r="608">
      <c r="E608" s="126"/>
      <c r="M608" s="127"/>
      <c r="N608" s="128"/>
    </row>
    <row r="609">
      <c r="E609" s="126"/>
      <c r="M609" s="127"/>
      <c r="N609" s="128"/>
    </row>
    <row r="610">
      <c r="E610" s="126"/>
      <c r="M610" s="127"/>
      <c r="N610" s="128"/>
    </row>
    <row r="611">
      <c r="E611" s="126"/>
      <c r="M611" s="127"/>
      <c r="N611" s="128"/>
    </row>
    <row r="612">
      <c r="E612" s="126"/>
      <c r="M612" s="127"/>
      <c r="N612" s="128"/>
    </row>
    <row r="613">
      <c r="E613" s="126"/>
      <c r="M613" s="127"/>
      <c r="N613" s="128"/>
    </row>
    <row r="614">
      <c r="E614" s="126"/>
      <c r="M614" s="127"/>
      <c r="N614" s="128"/>
    </row>
    <row r="615">
      <c r="E615" s="126"/>
      <c r="M615" s="127"/>
      <c r="N615" s="128"/>
    </row>
    <row r="616">
      <c r="E616" s="126"/>
      <c r="M616" s="127"/>
      <c r="N616" s="128"/>
    </row>
    <row r="617">
      <c r="E617" s="126"/>
      <c r="M617" s="127"/>
      <c r="N617" s="128"/>
    </row>
    <row r="618">
      <c r="E618" s="126"/>
      <c r="M618" s="127"/>
      <c r="N618" s="128"/>
    </row>
    <row r="619">
      <c r="E619" s="126"/>
      <c r="M619" s="127"/>
      <c r="N619" s="128"/>
    </row>
    <row r="620">
      <c r="E620" s="126"/>
      <c r="M620" s="127"/>
      <c r="N620" s="128"/>
    </row>
    <row r="621">
      <c r="E621" s="126"/>
      <c r="M621" s="127"/>
      <c r="N621" s="128"/>
    </row>
    <row r="622">
      <c r="E622" s="126"/>
      <c r="M622" s="127"/>
      <c r="N622" s="128"/>
    </row>
    <row r="623">
      <c r="E623" s="126"/>
      <c r="M623" s="127"/>
      <c r="N623" s="128"/>
    </row>
    <row r="624">
      <c r="E624" s="126"/>
      <c r="M624" s="127"/>
      <c r="N624" s="128"/>
    </row>
    <row r="625">
      <c r="E625" s="126"/>
      <c r="M625" s="127"/>
      <c r="N625" s="128"/>
    </row>
    <row r="626">
      <c r="E626" s="126"/>
      <c r="M626" s="127"/>
      <c r="N626" s="128"/>
    </row>
    <row r="627">
      <c r="E627" s="126"/>
      <c r="M627" s="127"/>
      <c r="N627" s="128"/>
    </row>
    <row r="628">
      <c r="E628" s="126"/>
      <c r="M628" s="127"/>
      <c r="N628" s="128"/>
    </row>
    <row r="629">
      <c r="E629" s="126"/>
      <c r="M629" s="127"/>
      <c r="N629" s="128"/>
    </row>
    <row r="630">
      <c r="E630" s="126"/>
      <c r="M630" s="127"/>
      <c r="N630" s="128"/>
    </row>
    <row r="631">
      <c r="E631" s="126"/>
      <c r="M631" s="127"/>
      <c r="N631" s="128"/>
    </row>
    <row r="632">
      <c r="E632" s="126"/>
      <c r="M632" s="127"/>
      <c r="N632" s="128"/>
    </row>
    <row r="633">
      <c r="E633" s="126"/>
      <c r="M633" s="127"/>
      <c r="N633" s="128"/>
    </row>
    <row r="634">
      <c r="E634" s="126"/>
      <c r="M634" s="127"/>
      <c r="N634" s="128"/>
    </row>
    <row r="635">
      <c r="E635" s="126"/>
      <c r="M635" s="127"/>
      <c r="N635" s="128"/>
    </row>
    <row r="636">
      <c r="E636" s="126"/>
      <c r="M636" s="127"/>
      <c r="N636" s="128"/>
    </row>
    <row r="637">
      <c r="E637" s="126"/>
      <c r="M637" s="127"/>
      <c r="N637" s="128"/>
    </row>
    <row r="638">
      <c r="E638" s="126"/>
      <c r="M638" s="127"/>
      <c r="N638" s="128"/>
    </row>
    <row r="639">
      <c r="E639" s="126"/>
      <c r="M639" s="127"/>
      <c r="N639" s="128"/>
    </row>
    <row r="640">
      <c r="E640" s="126"/>
      <c r="M640" s="127"/>
      <c r="N640" s="128"/>
    </row>
    <row r="641">
      <c r="E641" s="126"/>
      <c r="M641" s="127"/>
      <c r="N641" s="128"/>
    </row>
    <row r="642">
      <c r="E642" s="126"/>
      <c r="M642" s="127"/>
      <c r="N642" s="128"/>
    </row>
    <row r="643">
      <c r="E643" s="126"/>
      <c r="M643" s="127"/>
      <c r="N643" s="128"/>
    </row>
    <row r="644">
      <c r="E644" s="126"/>
      <c r="M644" s="127"/>
      <c r="N644" s="128"/>
    </row>
    <row r="645">
      <c r="E645" s="126"/>
      <c r="M645" s="127"/>
      <c r="N645" s="128"/>
    </row>
    <row r="646">
      <c r="E646" s="126"/>
      <c r="M646" s="127"/>
      <c r="N646" s="128"/>
    </row>
    <row r="647">
      <c r="E647" s="126"/>
      <c r="M647" s="127"/>
      <c r="N647" s="128"/>
    </row>
    <row r="648">
      <c r="E648" s="126"/>
      <c r="M648" s="127"/>
      <c r="N648" s="128"/>
    </row>
    <row r="649">
      <c r="E649" s="126"/>
      <c r="M649" s="127"/>
      <c r="N649" s="128"/>
    </row>
    <row r="650">
      <c r="E650" s="126"/>
      <c r="M650" s="127"/>
      <c r="N650" s="128"/>
    </row>
    <row r="651">
      <c r="E651" s="126"/>
      <c r="M651" s="127"/>
      <c r="N651" s="128"/>
    </row>
    <row r="652">
      <c r="E652" s="126"/>
      <c r="M652" s="127"/>
      <c r="N652" s="128"/>
    </row>
    <row r="653">
      <c r="E653" s="126"/>
      <c r="M653" s="127"/>
      <c r="N653" s="128"/>
    </row>
    <row r="654">
      <c r="E654" s="126"/>
      <c r="M654" s="127"/>
      <c r="N654" s="128"/>
    </row>
    <row r="655">
      <c r="E655" s="126"/>
      <c r="M655" s="127"/>
      <c r="N655" s="128"/>
    </row>
    <row r="656">
      <c r="E656" s="126"/>
      <c r="M656" s="127"/>
      <c r="N656" s="128"/>
    </row>
    <row r="657">
      <c r="E657" s="126"/>
      <c r="M657" s="127"/>
      <c r="N657" s="128"/>
    </row>
    <row r="658">
      <c r="E658" s="126"/>
      <c r="M658" s="127"/>
      <c r="N658" s="128"/>
    </row>
    <row r="659">
      <c r="E659" s="126"/>
      <c r="M659" s="127"/>
      <c r="N659" s="128"/>
    </row>
    <row r="660">
      <c r="E660" s="126"/>
      <c r="M660" s="127"/>
      <c r="N660" s="128"/>
    </row>
    <row r="661">
      <c r="E661" s="126"/>
      <c r="M661" s="127"/>
      <c r="N661" s="128"/>
    </row>
    <row r="662">
      <c r="E662" s="126"/>
      <c r="M662" s="127"/>
      <c r="N662" s="128"/>
    </row>
    <row r="663">
      <c r="E663" s="126"/>
      <c r="M663" s="127"/>
      <c r="N663" s="128"/>
    </row>
    <row r="664">
      <c r="E664" s="126"/>
      <c r="M664" s="127"/>
      <c r="N664" s="128"/>
    </row>
    <row r="665">
      <c r="E665" s="126"/>
      <c r="M665" s="127"/>
      <c r="N665" s="128"/>
    </row>
    <row r="666">
      <c r="E666" s="126"/>
      <c r="M666" s="127"/>
      <c r="N666" s="128"/>
    </row>
    <row r="667">
      <c r="E667" s="126"/>
      <c r="M667" s="127"/>
      <c r="N667" s="128"/>
    </row>
    <row r="668">
      <c r="E668" s="126"/>
      <c r="M668" s="127"/>
      <c r="N668" s="128"/>
    </row>
    <row r="669">
      <c r="E669" s="126"/>
      <c r="M669" s="127"/>
      <c r="N669" s="128"/>
    </row>
    <row r="670">
      <c r="E670" s="126"/>
      <c r="M670" s="127"/>
      <c r="N670" s="128"/>
    </row>
    <row r="671">
      <c r="E671" s="126"/>
      <c r="M671" s="127"/>
      <c r="N671" s="128"/>
    </row>
    <row r="672">
      <c r="E672" s="126"/>
      <c r="M672" s="127"/>
      <c r="N672" s="128"/>
    </row>
    <row r="673">
      <c r="E673" s="126"/>
      <c r="M673" s="127"/>
      <c r="N673" s="128"/>
    </row>
    <row r="674">
      <c r="E674" s="126"/>
      <c r="M674" s="127"/>
      <c r="N674" s="128"/>
    </row>
    <row r="675">
      <c r="E675" s="126"/>
      <c r="M675" s="127"/>
      <c r="N675" s="128"/>
    </row>
    <row r="676">
      <c r="E676" s="126"/>
      <c r="M676" s="127"/>
      <c r="N676" s="128"/>
    </row>
    <row r="677">
      <c r="E677" s="126"/>
      <c r="M677" s="127"/>
      <c r="N677" s="128"/>
    </row>
    <row r="678">
      <c r="E678" s="126"/>
      <c r="M678" s="127"/>
      <c r="N678" s="128"/>
    </row>
    <row r="679">
      <c r="E679" s="126"/>
      <c r="M679" s="127"/>
      <c r="N679" s="128"/>
    </row>
    <row r="680">
      <c r="E680" s="126"/>
      <c r="M680" s="127"/>
      <c r="N680" s="128"/>
    </row>
    <row r="681">
      <c r="E681" s="126"/>
      <c r="M681" s="127"/>
      <c r="N681" s="128"/>
    </row>
    <row r="682">
      <c r="E682" s="126"/>
      <c r="M682" s="127"/>
      <c r="N682" s="128"/>
    </row>
    <row r="683">
      <c r="E683" s="126"/>
      <c r="M683" s="127"/>
      <c r="N683" s="128"/>
    </row>
    <row r="684">
      <c r="E684" s="126"/>
      <c r="M684" s="127"/>
      <c r="N684" s="128"/>
    </row>
    <row r="685">
      <c r="E685" s="126"/>
      <c r="M685" s="127"/>
      <c r="N685" s="128"/>
    </row>
    <row r="686">
      <c r="E686" s="126"/>
      <c r="M686" s="127"/>
      <c r="N686" s="128"/>
    </row>
    <row r="687">
      <c r="E687" s="126"/>
      <c r="M687" s="127"/>
      <c r="N687" s="128"/>
    </row>
    <row r="688">
      <c r="E688" s="126"/>
      <c r="M688" s="127"/>
      <c r="N688" s="128"/>
    </row>
    <row r="689">
      <c r="E689" s="126"/>
      <c r="M689" s="127"/>
      <c r="N689" s="128"/>
    </row>
    <row r="690">
      <c r="E690" s="126"/>
      <c r="M690" s="127"/>
      <c r="N690" s="128"/>
    </row>
    <row r="691">
      <c r="E691" s="126"/>
      <c r="M691" s="127"/>
      <c r="N691" s="128"/>
    </row>
    <row r="692">
      <c r="E692" s="126"/>
      <c r="M692" s="127"/>
      <c r="N692" s="128"/>
    </row>
    <row r="693">
      <c r="E693" s="126"/>
      <c r="M693" s="127"/>
      <c r="N693" s="128"/>
    </row>
    <row r="694">
      <c r="E694" s="126"/>
      <c r="M694" s="127"/>
      <c r="N694" s="128"/>
    </row>
    <row r="695">
      <c r="E695" s="126"/>
      <c r="M695" s="127"/>
      <c r="N695" s="128"/>
    </row>
    <row r="696">
      <c r="E696" s="126"/>
      <c r="M696" s="127"/>
      <c r="N696" s="128"/>
    </row>
    <row r="697">
      <c r="E697" s="126"/>
      <c r="M697" s="127"/>
      <c r="N697" s="128"/>
    </row>
    <row r="698">
      <c r="E698" s="126"/>
      <c r="M698" s="127"/>
      <c r="N698" s="128"/>
    </row>
    <row r="699">
      <c r="E699" s="126"/>
      <c r="M699" s="127"/>
      <c r="N699" s="128"/>
    </row>
    <row r="700">
      <c r="E700" s="126"/>
      <c r="M700" s="127"/>
      <c r="N700" s="128"/>
    </row>
    <row r="701">
      <c r="E701" s="126"/>
      <c r="M701" s="127"/>
      <c r="N701" s="128"/>
    </row>
    <row r="702">
      <c r="E702" s="126"/>
      <c r="M702" s="127"/>
      <c r="N702" s="128"/>
    </row>
    <row r="703">
      <c r="E703" s="126"/>
      <c r="M703" s="127"/>
      <c r="N703" s="128"/>
    </row>
    <row r="704">
      <c r="E704" s="126"/>
      <c r="M704" s="127"/>
      <c r="N704" s="128"/>
    </row>
    <row r="705">
      <c r="E705" s="126"/>
      <c r="M705" s="127"/>
      <c r="N705" s="128"/>
    </row>
    <row r="706">
      <c r="E706" s="126"/>
      <c r="M706" s="127"/>
      <c r="N706" s="128"/>
    </row>
    <row r="707">
      <c r="E707" s="126"/>
      <c r="M707" s="127"/>
      <c r="N707" s="128"/>
    </row>
    <row r="708">
      <c r="E708" s="126"/>
      <c r="M708" s="127"/>
      <c r="N708" s="128"/>
    </row>
    <row r="709">
      <c r="E709" s="126"/>
      <c r="M709" s="127"/>
      <c r="N709" s="128"/>
    </row>
    <row r="710">
      <c r="E710" s="126"/>
      <c r="M710" s="127"/>
      <c r="N710" s="128"/>
    </row>
    <row r="711">
      <c r="E711" s="126"/>
      <c r="M711" s="127"/>
      <c r="N711" s="128"/>
    </row>
    <row r="712">
      <c r="E712" s="126"/>
      <c r="M712" s="127"/>
      <c r="N712" s="128"/>
    </row>
    <row r="713">
      <c r="E713" s="126"/>
      <c r="M713" s="127"/>
      <c r="N713" s="128"/>
    </row>
    <row r="714">
      <c r="E714" s="126"/>
      <c r="M714" s="127"/>
      <c r="N714" s="128"/>
    </row>
    <row r="715">
      <c r="E715" s="126"/>
      <c r="M715" s="127"/>
      <c r="N715" s="128"/>
    </row>
    <row r="716">
      <c r="E716" s="126"/>
      <c r="M716" s="127"/>
      <c r="N716" s="128"/>
    </row>
    <row r="717">
      <c r="E717" s="126"/>
      <c r="M717" s="127"/>
      <c r="N717" s="128"/>
    </row>
    <row r="718">
      <c r="E718" s="126"/>
      <c r="M718" s="127"/>
      <c r="N718" s="128"/>
    </row>
    <row r="719">
      <c r="E719" s="126"/>
      <c r="M719" s="127"/>
      <c r="N719" s="128"/>
    </row>
    <row r="720">
      <c r="E720" s="126"/>
      <c r="M720" s="127"/>
      <c r="N720" s="128"/>
    </row>
    <row r="721">
      <c r="E721" s="126"/>
      <c r="M721" s="127"/>
      <c r="N721" s="128"/>
    </row>
    <row r="722">
      <c r="E722" s="126"/>
      <c r="M722" s="127"/>
      <c r="N722" s="128"/>
    </row>
    <row r="723">
      <c r="E723" s="126"/>
      <c r="M723" s="127"/>
      <c r="N723" s="128"/>
    </row>
    <row r="724">
      <c r="E724" s="126"/>
      <c r="M724" s="127"/>
      <c r="N724" s="128"/>
    </row>
    <row r="725">
      <c r="E725" s="126"/>
      <c r="M725" s="127"/>
      <c r="N725" s="128"/>
    </row>
    <row r="726">
      <c r="E726" s="126"/>
      <c r="M726" s="127"/>
      <c r="N726" s="128"/>
    </row>
    <row r="727">
      <c r="E727" s="126"/>
      <c r="M727" s="127"/>
      <c r="N727" s="128"/>
    </row>
    <row r="728">
      <c r="E728" s="126"/>
      <c r="M728" s="127"/>
      <c r="N728" s="128"/>
    </row>
    <row r="729">
      <c r="E729" s="126"/>
      <c r="M729" s="127"/>
      <c r="N729" s="128"/>
    </row>
    <row r="730">
      <c r="E730" s="126"/>
      <c r="M730" s="127"/>
      <c r="N730" s="128"/>
    </row>
    <row r="731">
      <c r="E731" s="126"/>
      <c r="M731" s="127"/>
      <c r="N731" s="128"/>
    </row>
    <row r="732">
      <c r="E732" s="126"/>
      <c r="M732" s="127"/>
      <c r="N732" s="128"/>
    </row>
    <row r="733">
      <c r="E733" s="126"/>
      <c r="M733" s="127"/>
      <c r="N733" s="128"/>
    </row>
    <row r="734">
      <c r="E734" s="126"/>
      <c r="M734" s="127"/>
      <c r="N734" s="128"/>
    </row>
    <row r="735">
      <c r="E735" s="126"/>
      <c r="M735" s="127"/>
      <c r="N735" s="128"/>
    </row>
    <row r="736">
      <c r="E736" s="126"/>
      <c r="M736" s="127"/>
      <c r="N736" s="128"/>
    </row>
    <row r="737">
      <c r="E737" s="126"/>
      <c r="M737" s="127"/>
      <c r="N737" s="128"/>
    </row>
    <row r="738">
      <c r="E738" s="126"/>
      <c r="M738" s="127"/>
      <c r="N738" s="128"/>
    </row>
    <row r="739">
      <c r="E739" s="126"/>
      <c r="M739" s="127"/>
      <c r="N739" s="128"/>
    </row>
    <row r="740">
      <c r="E740" s="126"/>
      <c r="M740" s="127"/>
      <c r="N740" s="128"/>
    </row>
    <row r="741">
      <c r="E741" s="126"/>
      <c r="M741" s="127"/>
      <c r="N741" s="128"/>
    </row>
    <row r="742">
      <c r="E742" s="126"/>
      <c r="M742" s="127"/>
      <c r="N742" s="128"/>
    </row>
    <row r="743">
      <c r="E743" s="126"/>
      <c r="M743" s="127"/>
      <c r="N743" s="128"/>
    </row>
    <row r="744">
      <c r="E744" s="126"/>
      <c r="M744" s="127"/>
      <c r="N744" s="128"/>
    </row>
    <row r="745">
      <c r="E745" s="126"/>
      <c r="M745" s="127"/>
      <c r="N745" s="128"/>
    </row>
    <row r="746">
      <c r="E746" s="126"/>
      <c r="M746" s="127"/>
      <c r="N746" s="128"/>
    </row>
    <row r="747">
      <c r="E747" s="126"/>
      <c r="M747" s="127"/>
      <c r="N747" s="128"/>
    </row>
    <row r="748">
      <c r="E748" s="126"/>
      <c r="M748" s="127"/>
      <c r="N748" s="128"/>
    </row>
    <row r="749">
      <c r="E749" s="126"/>
      <c r="M749" s="127"/>
      <c r="N749" s="128"/>
    </row>
    <row r="750">
      <c r="E750" s="126"/>
      <c r="M750" s="127"/>
      <c r="N750" s="128"/>
    </row>
    <row r="751">
      <c r="E751" s="126"/>
      <c r="M751" s="127"/>
      <c r="N751" s="128"/>
    </row>
    <row r="752">
      <c r="E752" s="126"/>
      <c r="M752" s="127"/>
      <c r="N752" s="128"/>
    </row>
    <row r="753">
      <c r="E753" s="126"/>
      <c r="M753" s="127"/>
      <c r="N753" s="128"/>
    </row>
    <row r="754">
      <c r="E754" s="126"/>
      <c r="M754" s="127"/>
      <c r="N754" s="128"/>
    </row>
    <row r="755">
      <c r="E755" s="126"/>
      <c r="M755" s="127"/>
      <c r="N755" s="128"/>
    </row>
    <row r="756">
      <c r="E756" s="126"/>
      <c r="M756" s="127"/>
      <c r="N756" s="128"/>
    </row>
    <row r="757">
      <c r="E757" s="126"/>
      <c r="M757" s="127"/>
      <c r="N757" s="128"/>
    </row>
    <row r="758">
      <c r="E758" s="126"/>
      <c r="M758" s="127"/>
      <c r="N758" s="128"/>
    </row>
    <row r="759">
      <c r="E759" s="126"/>
      <c r="M759" s="127"/>
      <c r="N759" s="128"/>
    </row>
    <row r="760">
      <c r="E760" s="126"/>
      <c r="M760" s="127"/>
      <c r="N760" s="128"/>
    </row>
    <row r="761">
      <c r="E761" s="126"/>
      <c r="M761" s="127"/>
      <c r="N761" s="128"/>
    </row>
    <row r="762">
      <c r="E762" s="126"/>
      <c r="M762" s="127"/>
      <c r="N762" s="128"/>
    </row>
    <row r="763">
      <c r="E763" s="126"/>
      <c r="M763" s="127"/>
      <c r="N763" s="128"/>
    </row>
    <row r="764">
      <c r="E764" s="126"/>
      <c r="M764" s="127"/>
      <c r="N764" s="128"/>
    </row>
    <row r="765">
      <c r="E765" s="126"/>
      <c r="M765" s="127"/>
      <c r="N765" s="128"/>
    </row>
    <row r="766">
      <c r="E766" s="126"/>
      <c r="M766" s="127"/>
      <c r="N766" s="128"/>
    </row>
    <row r="767">
      <c r="E767" s="126"/>
      <c r="M767" s="127"/>
      <c r="N767" s="128"/>
    </row>
    <row r="768">
      <c r="E768" s="126"/>
      <c r="M768" s="127"/>
      <c r="N768" s="128"/>
    </row>
    <row r="769">
      <c r="E769" s="126"/>
      <c r="M769" s="127"/>
      <c r="N769" s="128"/>
    </row>
    <row r="770">
      <c r="E770" s="126"/>
      <c r="M770" s="127"/>
      <c r="N770" s="128"/>
    </row>
    <row r="771">
      <c r="E771" s="126"/>
      <c r="M771" s="127"/>
      <c r="N771" s="128"/>
    </row>
    <row r="772">
      <c r="E772" s="126"/>
      <c r="M772" s="127"/>
      <c r="N772" s="128"/>
    </row>
    <row r="773">
      <c r="E773" s="126"/>
      <c r="M773" s="127"/>
      <c r="N773" s="128"/>
    </row>
    <row r="774">
      <c r="E774" s="126"/>
      <c r="M774" s="127"/>
      <c r="N774" s="128"/>
    </row>
    <row r="775">
      <c r="E775" s="126"/>
      <c r="M775" s="127"/>
      <c r="N775" s="128"/>
    </row>
    <row r="776">
      <c r="E776" s="126"/>
      <c r="M776" s="127"/>
      <c r="N776" s="128"/>
    </row>
    <row r="777">
      <c r="E777" s="126"/>
      <c r="M777" s="127"/>
      <c r="N777" s="128"/>
    </row>
    <row r="778">
      <c r="E778" s="126"/>
      <c r="M778" s="127"/>
      <c r="N778" s="128"/>
    </row>
    <row r="779">
      <c r="E779" s="126"/>
      <c r="M779" s="127"/>
      <c r="N779" s="128"/>
    </row>
    <row r="780">
      <c r="E780" s="126"/>
      <c r="M780" s="127"/>
      <c r="N780" s="128"/>
    </row>
    <row r="781">
      <c r="E781" s="126"/>
      <c r="M781" s="127"/>
      <c r="N781" s="128"/>
    </row>
    <row r="782">
      <c r="E782" s="126"/>
      <c r="M782" s="127"/>
      <c r="N782" s="128"/>
    </row>
    <row r="783">
      <c r="E783" s="126"/>
      <c r="M783" s="127"/>
      <c r="N783" s="128"/>
    </row>
    <row r="784">
      <c r="E784" s="126"/>
      <c r="M784" s="127"/>
      <c r="N784" s="128"/>
    </row>
    <row r="785">
      <c r="E785" s="126"/>
      <c r="M785" s="127"/>
      <c r="N785" s="128"/>
    </row>
    <row r="786">
      <c r="E786" s="126"/>
      <c r="M786" s="127"/>
      <c r="N786" s="128"/>
    </row>
    <row r="787">
      <c r="E787" s="126"/>
      <c r="M787" s="127"/>
      <c r="N787" s="128"/>
    </row>
    <row r="788">
      <c r="E788" s="126"/>
      <c r="M788" s="127"/>
      <c r="N788" s="128"/>
    </row>
    <row r="789">
      <c r="E789" s="126"/>
      <c r="M789" s="127"/>
      <c r="N789" s="128"/>
    </row>
    <row r="790">
      <c r="E790" s="126"/>
      <c r="M790" s="127"/>
      <c r="N790" s="128"/>
    </row>
    <row r="791">
      <c r="E791" s="126"/>
      <c r="M791" s="127"/>
      <c r="N791" s="128"/>
    </row>
    <row r="792">
      <c r="E792" s="126"/>
      <c r="M792" s="127"/>
      <c r="N792" s="128"/>
    </row>
    <row r="793">
      <c r="E793" s="126"/>
      <c r="M793" s="127"/>
      <c r="N793" s="128"/>
    </row>
    <row r="794">
      <c r="E794" s="126"/>
      <c r="M794" s="127"/>
      <c r="N794" s="128"/>
    </row>
    <row r="795">
      <c r="E795" s="126"/>
      <c r="M795" s="127"/>
      <c r="N795" s="128"/>
    </row>
    <row r="796">
      <c r="E796" s="126"/>
      <c r="M796" s="127"/>
      <c r="N796" s="128"/>
    </row>
    <row r="797">
      <c r="E797" s="126"/>
      <c r="M797" s="127"/>
      <c r="N797" s="128"/>
    </row>
    <row r="798">
      <c r="E798" s="126"/>
      <c r="M798" s="127"/>
      <c r="N798" s="128"/>
    </row>
    <row r="799">
      <c r="E799" s="126"/>
      <c r="M799" s="127"/>
      <c r="N799" s="128"/>
    </row>
    <row r="800">
      <c r="E800" s="126"/>
      <c r="M800" s="127"/>
      <c r="N800" s="128"/>
    </row>
    <row r="801">
      <c r="E801" s="126"/>
      <c r="M801" s="127"/>
      <c r="N801" s="128"/>
    </row>
    <row r="802">
      <c r="E802" s="126"/>
      <c r="M802" s="127"/>
      <c r="N802" s="128"/>
    </row>
    <row r="803">
      <c r="E803" s="126"/>
      <c r="M803" s="127"/>
      <c r="N803" s="128"/>
    </row>
    <row r="804">
      <c r="E804" s="126"/>
      <c r="M804" s="127"/>
      <c r="N804" s="128"/>
    </row>
    <row r="805">
      <c r="E805" s="126"/>
      <c r="M805" s="127"/>
      <c r="N805" s="128"/>
    </row>
    <row r="806">
      <c r="E806" s="126"/>
      <c r="M806" s="127"/>
      <c r="N806" s="128"/>
    </row>
    <row r="807">
      <c r="E807" s="126"/>
      <c r="M807" s="127"/>
      <c r="N807" s="128"/>
    </row>
    <row r="808">
      <c r="E808" s="126"/>
      <c r="M808" s="127"/>
      <c r="N808" s="128"/>
    </row>
    <row r="809">
      <c r="E809" s="126"/>
      <c r="M809" s="127"/>
      <c r="N809" s="128"/>
    </row>
    <row r="810">
      <c r="E810" s="126"/>
      <c r="M810" s="127"/>
      <c r="N810" s="128"/>
    </row>
    <row r="811">
      <c r="E811" s="126"/>
      <c r="M811" s="127"/>
      <c r="N811" s="128"/>
    </row>
    <row r="812">
      <c r="E812" s="126"/>
      <c r="M812" s="127"/>
      <c r="N812" s="128"/>
    </row>
    <row r="813">
      <c r="E813" s="126"/>
      <c r="M813" s="127"/>
      <c r="N813" s="128"/>
    </row>
    <row r="814">
      <c r="E814" s="126"/>
      <c r="M814" s="127"/>
      <c r="N814" s="128"/>
    </row>
    <row r="815">
      <c r="E815" s="126"/>
      <c r="M815" s="127"/>
      <c r="N815" s="128"/>
    </row>
    <row r="816">
      <c r="E816" s="126"/>
      <c r="M816" s="127"/>
      <c r="N816" s="128"/>
    </row>
    <row r="817">
      <c r="E817" s="126"/>
      <c r="M817" s="127"/>
      <c r="N817" s="128"/>
    </row>
    <row r="818">
      <c r="E818" s="126"/>
      <c r="M818" s="127"/>
      <c r="N818" s="128"/>
    </row>
    <row r="819">
      <c r="E819" s="126"/>
      <c r="M819" s="127"/>
      <c r="N819" s="128"/>
    </row>
    <row r="820">
      <c r="E820" s="126"/>
      <c r="M820" s="127"/>
      <c r="N820" s="128"/>
    </row>
    <row r="821">
      <c r="E821" s="126"/>
      <c r="M821" s="127"/>
      <c r="N821" s="128"/>
    </row>
    <row r="822">
      <c r="E822" s="126"/>
      <c r="M822" s="127"/>
      <c r="N822" s="128"/>
    </row>
    <row r="823">
      <c r="E823" s="126"/>
      <c r="M823" s="127"/>
      <c r="N823" s="128"/>
    </row>
    <row r="824">
      <c r="E824" s="126"/>
      <c r="M824" s="127"/>
      <c r="N824" s="128"/>
    </row>
    <row r="825">
      <c r="E825" s="126"/>
      <c r="M825" s="127"/>
      <c r="N825" s="128"/>
    </row>
    <row r="826">
      <c r="E826" s="126"/>
      <c r="M826" s="127"/>
      <c r="N826" s="128"/>
    </row>
    <row r="827">
      <c r="E827" s="126"/>
      <c r="M827" s="127"/>
      <c r="N827" s="128"/>
    </row>
    <row r="828">
      <c r="E828" s="126"/>
      <c r="M828" s="127"/>
      <c r="N828" s="128"/>
    </row>
    <row r="829">
      <c r="E829" s="126"/>
      <c r="M829" s="127"/>
      <c r="N829" s="128"/>
    </row>
    <row r="830">
      <c r="E830" s="126"/>
      <c r="M830" s="127"/>
      <c r="N830" s="128"/>
    </row>
    <row r="831">
      <c r="E831" s="126"/>
      <c r="M831" s="127"/>
      <c r="N831" s="128"/>
    </row>
    <row r="832">
      <c r="E832" s="126"/>
      <c r="M832" s="127"/>
      <c r="N832" s="128"/>
    </row>
    <row r="833">
      <c r="E833" s="126"/>
      <c r="M833" s="127"/>
      <c r="N833" s="128"/>
    </row>
    <row r="834">
      <c r="E834" s="126"/>
      <c r="M834" s="127"/>
      <c r="N834" s="128"/>
    </row>
    <row r="835">
      <c r="E835" s="126"/>
      <c r="M835" s="127"/>
      <c r="N835" s="128"/>
    </row>
    <row r="836">
      <c r="E836" s="126"/>
      <c r="M836" s="127"/>
      <c r="N836" s="128"/>
    </row>
    <row r="837">
      <c r="E837" s="126"/>
      <c r="M837" s="127"/>
      <c r="N837" s="128"/>
    </row>
    <row r="838">
      <c r="E838" s="126"/>
      <c r="M838" s="127"/>
      <c r="N838" s="128"/>
    </row>
    <row r="839">
      <c r="E839" s="126"/>
      <c r="M839" s="127"/>
      <c r="N839" s="128"/>
    </row>
    <row r="840">
      <c r="E840" s="126"/>
      <c r="M840" s="127"/>
      <c r="N840" s="128"/>
    </row>
    <row r="841">
      <c r="E841" s="126"/>
      <c r="M841" s="127"/>
      <c r="N841" s="128"/>
    </row>
    <row r="842">
      <c r="E842" s="126"/>
      <c r="M842" s="127"/>
      <c r="N842" s="128"/>
    </row>
    <row r="843">
      <c r="E843" s="126"/>
      <c r="M843" s="127"/>
      <c r="N843" s="128"/>
    </row>
    <row r="844">
      <c r="E844" s="126"/>
      <c r="M844" s="127"/>
      <c r="N844" s="128"/>
    </row>
    <row r="845">
      <c r="E845" s="126"/>
      <c r="M845" s="127"/>
      <c r="N845" s="128"/>
    </row>
    <row r="846">
      <c r="E846" s="126"/>
      <c r="M846" s="127"/>
      <c r="N846" s="128"/>
    </row>
    <row r="847">
      <c r="E847" s="126"/>
      <c r="M847" s="127"/>
      <c r="N847" s="128"/>
    </row>
    <row r="848">
      <c r="E848" s="126"/>
      <c r="M848" s="127"/>
      <c r="N848" s="128"/>
    </row>
    <row r="849">
      <c r="E849" s="126"/>
      <c r="M849" s="127"/>
      <c r="N849" s="128"/>
    </row>
    <row r="850">
      <c r="E850" s="126"/>
      <c r="M850" s="127"/>
      <c r="N850" s="128"/>
    </row>
    <row r="851">
      <c r="E851" s="126"/>
      <c r="M851" s="127"/>
      <c r="N851" s="128"/>
    </row>
    <row r="852">
      <c r="E852" s="126"/>
      <c r="M852" s="127"/>
      <c r="N852" s="128"/>
    </row>
    <row r="853">
      <c r="E853" s="126"/>
      <c r="M853" s="127"/>
      <c r="N853" s="128"/>
    </row>
    <row r="854">
      <c r="E854" s="126"/>
      <c r="M854" s="127"/>
      <c r="N854" s="128"/>
    </row>
    <row r="855">
      <c r="E855" s="126"/>
      <c r="M855" s="127"/>
      <c r="N855" s="128"/>
    </row>
    <row r="856">
      <c r="E856" s="126"/>
      <c r="M856" s="127"/>
      <c r="N856" s="128"/>
    </row>
    <row r="857">
      <c r="E857" s="126"/>
      <c r="M857" s="127"/>
      <c r="N857" s="128"/>
    </row>
    <row r="858">
      <c r="E858" s="126"/>
      <c r="M858" s="127"/>
      <c r="N858" s="128"/>
    </row>
    <row r="859">
      <c r="E859" s="126"/>
      <c r="M859" s="127"/>
      <c r="N859" s="128"/>
    </row>
    <row r="860">
      <c r="E860" s="126"/>
      <c r="M860" s="127"/>
      <c r="N860" s="128"/>
    </row>
    <row r="861">
      <c r="E861" s="126"/>
      <c r="M861" s="127"/>
      <c r="N861" s="128"/>
    </row>
    <row r="862">
      <c r="E862" s="126"/>
      <c r="M862" s="127"/>
      <c r="N862" s="128"/>
    </row>
    <row r="863">
      <c r="E863" s="126"/>
      <c r="M863" s="127"/>
      <c r="N863" s="128"/>
    </row>
    <row r="864">
      <c r="E864" s="126"/>
      <c r="M864" s="127"/>
      <c r="N864" s="128"/>
    </row>
    <row r="865">
      <c r="E865" s="126"/>
      <c r="M865" s="127"/>
      <c r="N865" s="128"/>
    </row>
    <row r="866">
      <c r="E866" s="126"/>
      <c r="M866" s="127"/>
      <c r="N866" s="128"/>
    </row>
    <row r="867">
      <c r="E867" s="126"/>
      <c r="M867" s="127"/>
      <c r="N867" s="128"/>
    </row>
    <row r="868">
      <c r="E868" s="126"/>
      <c r="M868" s="127"/>
      <c r="N868" s="128"/>
    </row>
    <row r="869">
      <c r="E869" s="126"/>
      <c r="M869" s="127"/>
      <c r="N869" s="128"/>
    </row>
    <row r="870">
      <c r="E870" s="126"/>
      <c r="M870" s="127"/>
      <c r="N870" s="128"/>
    </row>
    <row r="871">
      <c r="E871" s="126"/>
      <c r="M871" s="127"/>
      <c r="N871" s="128"/>
    </row>
    <row r="872">
      <c r="E872" s="126"/>
      <c r="M872" s="127"/>
      <c r="N872" s="128"/>
    </row>
    <row r="873">
      <c r="E873" s="126"/>
      <c r="M873" s="127"/>
      <c r="N873" s="128"/>
    </row>
    <row r="874">
      <c r="E874" s="126"/>
      <c r="M874" s="127"/>
      <c r="N874" s="128"/>
    </row>
    <row r="875">
      <c r="E875" s="126"/>
      <c r="M875" s="127"/>
      <c r="N875" s="128"/>
    </row>
    <row r="876">
      <c r="E876" s="126"/>
      <c r="M876" s="127"/>
      <c r="N876" s="128"/>
    </row>
    <row r="877">
      <c r="E877" s="126"/>
      <c r="M877" s="127"/>
      <c r="N877" s="128"/>
    </row>
    <row r="878">
      <c r="E878" s="126"/>
      <c r="M878" s="127"/>
      <c r="N878" s="128"/>
    </row>
    <row r="879">
      <c r="E879" s="126"/>
      <c r="M879" s="127"/>
      <c r="N879" s="128"/>
    </row>
    <row r="880">
      <c r="E880" s="126"/>
      <c r="M880" s="127"/>
      <c r="N880" s="128"/>
    </row>
    <row r="881">
      <c r="E881" s="126"/>
      <c r="M881" s="127"/>
      <c r="N881" s="128"/>
    </row>
    <row r="882">
      <c r="E882" s="126"/>
      <c r="M882" s="127"/>
      <c r="N882" s="128"/>
    </row>
    <row r="883">
      <c r="E883" s="126"/>
      <c r="M883" s="127"/>
      <c r="N883" s="128"/>
    </row>
    <row r="884">
      <c r="E884" s="126"/>
      <c r="M884" s="127"/>
      <c r="N884" s="128"/>
    </row>
    <row r="885">
      <c r="E885" s="126"/>
      <c r="M885" s="127"/>
      <c r="N885" s="128"/>
    </row>
    <row r="886">
      <c r="E886" s="126"/>
      <c r="M886" s="127"/>
      <c r="N886" s="128"/>
    </row>
    <row r="887">
      <c r="E887" s="126"/>
      <c r="M887" s="127"/>
      <c r="N887" s="128"/>
    </row>
    <row r="888">
      <c r="E888" s="126"/>
      <c r="M888" s="127"/>
      <c r="N888" s="128"/>
    </row>
    <row r="889">
      <c r="E889" s="126"/>
      <c r="M889" s="127"/>
      <c r="N889" s="128"/>
    </row>
    <row r="890">
      <c r="E890" s="126"/>
      <c r="M890" s="127"/>
      <c r="N890" s="128"/>
    </row>
    <row r="891">
      <c r="E891" s="126"/>
      <c r="M891" s="127"/>
      <c r="N891" s="128"/>
    </row>
    <row r="892">
      <c r="E892" s="126"/>
      <c r="M892" s="127"/>
      <c r="N892" s="128"/>
    </row>
    <row r="893">
      <c r="E893" s="126"/>
      <c r="M893" s="127"/>
      <c r="N893" s="128"/>
    </row>
    <row r="894">
      <c r="E894" s="126"/>
      <c r="M894" s="127"/>
      <c r="N894" s="128"/>
    </row>
    <row r="895">
      <c r="E895" s="126"/>
      <c r="M895" s="127"/>
      <c r="N895" s="128"/>
    </row>
    <row r="896">
      <c r="E896" s="126"/>
      <c r="M896" s="127"/>
      <c r="N896" s="128"/>
    </row>
    <row r="897">
      <c r="E897" s="126"/>
      <c r="M897" s="127"/>
      <c r="N897" s="128"/>
    </row>
    <row r="898">
      <c r="E898" s="126"/>
      <c r="M898" s="127"/>
      <c r="N898" s="128"/>
    </row>
    <row r="899">
      <c r="E899" s="126"/>
      <c r="M899" s="127"/>
      <c r="N899" s="128"/>
    </row>
    <row r="900">
      <c r="E900" s="126"/>
      <c r="M900" s="127"/>
      <c r="N900" s="128"/>
    </row>
    <row r="901">
      <c r="E901" s="126"/>
      <c r="M901" s="127"/>
      <c r="N901" s="128"/>
    </row>
    <row r="902">
      <c r="E902" s="126"/>
      <c r="M902" s="127"/>
      <c r="N902" s="128"/>
    </row>
    <row r="903">
      <c r="E903" s="126"/>
      <c r="M903" s="127"/>
      <c r="N903" s="128"/>
    </row>
    <row r="904">
      <c r="E904" s="126"/>
      <c r="M904" s="127"/>
      <c r="N904" s="128"/>
    </row>
    <row r="905">
      <c r="E905" s="126"/>
      <c r="M905" s="127"/>
      <c r="N905" s="128"/>
    </row>
    <row r="906">
      <c r="E906" s="126"/>
      <c r="M906" s="127"/>
      <c r="N906" s="128"/>
    </row>
    <row r="907">
      <c r="E907" s="126"/>
      <c r="M907" s="127"/>
      <c r="N907" s="128"/>
    </row>
    <row r="908">
      <c r="E908" s="126"/>
      <c r="M908" s="127"/>
      <c r="N908" s="128"/>
    </row>
    <row r="909">
      <c r="E909" s="126"/>
      <c r="M909" s="127"/>
      <c r="N909" s="128"/>
    </row>
    <row r="910">
      <c r="E910" s="126"/>
      <c r="M910" s="127"/>
      <c r="N910" s="128"/>
    </row>
    <row r="911">
      <c r="E911" s="126"/>
      <c r="M911" s="127"/>
      <c r="N911" s="128"/>
    </row>
    <row r="912">
      <c r="E912" s="126"/>
      <c r="M912" s="127"/>
      <c r="N912" s="128"/>
    </row>
    <row r="913">
      <c r="E913" s="126"/>
      <c r="M913" s="127"/>
      <c r="N913" s="128"/>
    </row>
    <row r="914">
      <c r="E914" s="126"/>
      <c r="M914" s="127"/>
      <c r="N914" s="128"/>
    </row>
    <row r="915">
      <c r="E915" s="126"/>
      <c r="M915" s="127"/>
      <c r="N915" s="128"/>
    </row>
    <row r="916">
      <c r="E916" s="126"/>
      <c r="M916" s="127"/>
      <c r="N916" s="128"/>
    </row>
    <row r="917">
      <c r="E917" s="126"/>
      <c r="M917" s="127"/>
      <c r="N917" s="128"/>
    </row>
    <row r="918">
      <c r="E918" s="126"/>
      <c r="M918" s="127"/>
      <c r="N918" s="128"/>
    </row>
    <row r="919">
      <c r="E919" s="126"/>
      <c r="M919" s="127"/>
      <c r="N919" s="128"/>
    </row>
    <row r="920">
      <c r="E920" s="126"/>
      <c r="M920" s="127"/>
      <c r="N920" s="128"/>
    </row>
    <row r="921">
      <c r="E921" s="126"/>
      <c r="M921" s="127"/>
      <c r="N921" s="128"/>
    </row>
    <row r="922">
      <c r="E922" s="126"/>
      <c r="M922" s="127"/>
      <c r="N922" s="128"/>
    </row>
    <row r="923">
      <c r="E923" s="126"/>
      <c r="M923" s="127"/>
      <c r="N923" s="128"/>
    </row>
    <row r="924">
      <c r="E924" s="126"/>
      <c r="M924" s="127"/>
      <c r="N924" s="128"/>
    </row>
    <row r="925">
      <c r="E925" s="126"/>
      <c r="M925" s="127"/>
      <c r="N925" s="128"/>
    </row>
    <row r="926">
      <c r="E926" s="126"/>
      <c r="M926" s="127"/>
      <c r="N926" s="128"/>
    </row>
    <row r="927">
      <c r="E927" s="126"/>
      <c r="M927" s="127"/>
      <c r="N927" s="128"/>
    </row>
    <row r="928">
      <c r="E928" s="126"/>
      <c r="M928" s="127"/>
      <c r="N928" s="128"/>
    </row>
    <row r="929">
      <c r="E929" s="126"/>
      <c r="M929" s="127"/>
      <c r="N929" s="128"/>
    </row>
    <row r="930">
      <c r="E930" s="126"/>
      <c r="M930" s="127"/>
      <c r="N930" s="128"/>
    </row>
    <row r="931">
      <c r="E931" s="126"/>
      <c r="M931" s="127"/>
      <c r="N931" s="128"/>
    </row>
    <row r="932">
      <c r="E932" s="126"/>
      <c r="M932" s="127"/>
      <c r="N932" s="128"/>
    </row>
    <row r="933">
      <c r="E933" s="126"/>
      <c r="M933" s="127"/>
      <c r="N933" s="128"/>
    </row>
    <row r="934">
      <c r="E934" s="126"/>
      <c r="M934" s="127"/>
      <c r="N934" s="128"/>
    </row>
    <row r="935">
      <c r="E935" s="126"/>
      <c r="M935" s="127"/>
      <c r="N935" s="128"/>
    </row>
    <row r="936">
      <c r="E936" s="126"/>
      <c r="M936" s="127"/>
      <c r="N936" s="128"/>
    </row>
    <row r="937">
      <c r="E937" s="126"/>
      <c r="M937" s="127"/>
      <c r="N937" s="128"/>
    </row>
    <row r="938">
      <c r="E938" s="126"/>
      <c r="M938" s="127"/>
      <c r="N938" s="128"/>
    </row>
    <row r="939">
      <c r="E939" s="126"/>
      <c r="M939" s="127"/>
      <c r="N939" s="128"/>
    </row>
    <row r="940">
      <c r="E940" s="126"/>
      <c r="M940" s="127"/>
      <c r="N940" s="128"/>
    </row>
    <row r="941">
      <c r="E941" s="126"/>
      <c r="M941" s="127"/>
      <c r="N941" s="128"/>
    </row>
    <row r="942">
      <c r="E942" s="126"/>
      <c r="M942" s="127"/>
      <c r="N942" s="128"/>
    </row>
    <row r="943">
      <c r="E943" s="126"/>
      <c r="M943" s="127"/>
      <c r="N943" s="128"/>
    </row>
    <row r="944">
      <c r="E944" s="126"/>
      <c r="M944" s="127"/>
      <c r="N944" s="128"/>
    </row>
    <row r="945">
      <c r="E945" s="126"/>
      <c r="M945" s="127"/>
      <c r="N945" s="128"/>
    </row>
    <row r="946">
      <c r="E946" s="126"/>
      <c r="M946" s="127"/>
      <c r="N946" s="128"/>
    </row>
    <row r="947">
      <c r="E947" s="126"/>
      <c r="M947" s="127"/>
      <c r="N947" s="128"/>
    </row>
    <row r="948">
      <c r="E948" s="126"/>
      <c r="M948" s="127"/>
      <c r="N948" s="128"/>
    </row>
    <row r="949">
      <c r="E949" s="126"/>
      <c r="M949" s="127"/>
      <c r="N949" s="128"/>
    </row>
    <row r="950">
      <c r="E950" s="126"/>
      <c r="M950" s="127"/>
      <c r="N950" s="128"/>
    </row>
    <row r="951">
      <c r="E951" s="126"/>
      <c r="M951" s="127"/>
      <c r="N951" s="128"/>
    </row>
    <row r="952">
      <c r="E952" s="126"/>
      <c r="M952" s="127"/>
      <c r="N952" s="128"/>
    </row>
    <row r="953">
      <c r="E953" s="126"/>
      <c r="M953" s="127"/>
      <c r="N953" s="128"/>
    </row>
    <row r="954">
      <c r="E954" s="126"/>
      <c r="M954" s="127"/>
      <c r="N954" s="128"/>
    </row>
    <row r="955">
      <c r="E955" s="126"/>
      <c r="M955" s="127"/>
      <c r="N955" s="128"/>
    </row>
    <row r="956">
      <c r="E956" s="126"/>
      <c r="M956" s="127"/>
      <c r="N956" s="128"/>
    </row>
    <row r="957">
      <c r="E957" s="126"/>
      <c r="M957" s="127"/>
      <c r="N957" s="128"/>
    </row>
    <row r="958">
      <c r="E958" s="126"/>
      <c r="M958" s="127"/>
      <c r="N958" s="128"/>
    </row>
    <row r="959">
      <c r="E959" s="126"/>
      <c r="M959" s="127"/>
      <c r="N959" s="128"/>
    </row>
    <row r="960">
      <c r="E960" s="126"/>
      <c r="M960" s="127"/>
      <c r="N960" s="128"/>
    </row>
    <row r="961">
      <c r="E961" s="126"/>
      <c r="M961" s="127"/>
      <c r="N961" s="128"/>
    </row>
    <row r="962">
      <c r="E962" s="126"/>
      <c r="M962" s="127"/>
      <c r="N962" s="128"/>
    </row>
    <row r="963">
      <c r="E963" s="126"/>
      <c r="M963" s="127"/>
      <c r="N963" s="128"/>
    </row>
    <row r="964">
      <c r="E964" s="126"/>
      <c r="M964" s="127"/>
      <c r="N964" s="128"/>
    </row>
    <row r="965">
      <c r="E965" s="126"/>
      <c r="M965" s="127"/>
      <c r="N965" s="128"/>
    </row>
    <row r="966">
      <c r="E966" s="126"/>
      <c r="M966" s="127"/>
      <c r="N966" s="128"/>
    </row>
    <row r="967">
      <c r="E967" s="126"/>
      <c r="M967" s="127"/>
      <c r="N967" s="128"/>
    </row>
    <row r="968">
      <c r="E968" s="126"/>
      <c r="M968" s="127"/>
      <c r="N968" s="128"/>
    </row>
    <row r="969">
      <c r="E969" s="126"/>
      <c r="M969" s="127"/>
      <c r="N969" s="128"/>
    </row>
    <row r="970">
      <c r="E970" s="126"/>
      <c r="M970" s="127"/>
      <c r="N970" s="128"/>
    </row>
    <row r="971">
      <c r="E971" s="126"/>
      <c r="M971" s="127"/>
      <c r="N971" s="128"/>
    </row>
    <row r="972">
      <c r="E972" s="126"/>
      <c r="M972" s="127"/>
      <c r="N972" s="128"/>
    </row>
    <row r="973">
      <c r="E973" s="126"/>
      <c r="M973" s="127"/>
      <c r="N973" s="128"/>
    </row>
    <row r="974">
      <c r="E974" s="126"/>
      <c r="M974" s="127"/>
      <c r="N974" s="128"/>
    </row>
    <row r="975">
      <c r="E975" s="126"/>
      <c r="M975" s="127"/>
      <c r="N975" s="128"/>
    </row>
    <row r="976">
      <c r="E976" s="126"/>
      <c r="M976" s="127"/>
      <c r="N976" s="128"/>
    </row>
    <row r="977">
      <c r="E977" s="126"/>
      <c r="M977" s="127"/>
      <c r="N977" s="128"/>
    </row>
    <row r="978">
      <c r="E978" s="126"/>
      <c r="M978" s="127"/>
      <c r="N978" s="128"/>
    </row>
    <row r="979">
      <c r="E979" s="126"/>
      <c r="M979" s="127"/>
      <c r="N979" s="128"/>
    </row>
    <row r="980">
      <c r="E980" s="126"/>
      <c r="M980" s="127"/>
      <c r="N980" s="128"/>
    </row>
    <row r="981">
      <c r="E981" s="126"/>
      <c r="M981" s="127"/>
      <c r="N981" s="128"/>
    </row>
    <row r="982">
      <c r="E982" s="126"/>
      <c r="M982" s="127"/>
      <c r="N982" s="128"/>
    </row>
    <row r="983">
      <c r="E983" s="126"/>
      <c r="M983" s="127"/>
      <c r="N983" s="128"/>
    </row>
    <row r="984">
      <c r="E984" s="126"/>
      <c r="M984" s="127"/>
      <c r="N984" s="128"/>
    </row>
    <row r="985">
      <c r="E985" s="126"/>
      <c r="M985" s="127"/>
      <c r="N985" s="128"/>
    </row>
    <row r="986">
      <c r="E986" s="126"/>
      <c r="M986" s="127"/>
      <c r="N986" s="128"/>
    </row>
    <row r="987">
      <c r="E987" s="126"/>
      <c r="M987" s="127"/>
      <c r="N987" s="128"/>
    </row>
    <row r="988">
      <c r="E988" s="126"/>
      <c r="M988" s="127"/>
      <c r="N988" s="128"/>
    </row>
    <row r="989">
      <c r="E989" s="126"/>
      <c r="M989" s="127"/>
      <c r="N989" s="128"/>
    </row>
    <row r="990">
      <c r="E990" s="126"/>
      <c r="M990" s="127"/>
      <c r="N990" s="128"/>
    </row>
    <row r="991">
      <c r="E991" s="126"/>
      <c r="M991" s="127"/>
      <c r="N991" s="128"/>
    </row>
    <row r="992">
      <c r="E992" s="126"/>
      <c r="M992" s="127"/>
      <c r="N992" s="128"/>
    </row>
    <row r="993">
      <c r="E993" s="126"/>
      <c r="M993" s="127"/>
      <c r="N993" s="128"/>
    </row>
    <row r="994">
      <c r="E994" s="126"/>
      <c r="M994" s="127"/>
      <c r="N994" s="128"/>
    </row>
    <row r="995">
      <c r="E995" s="126"/>
      <c r="M995" s="127"/>
      <c r="N995" s="128"/>
    </row>
    <row r="996">
      <c r="E996" s="126"/>
      <c r="M996" s="127"/>
      <c r="N996" s="128"/>
    </row>
    <row r="997">
      <c r="E997" s="126"/>
      <c r="M997" s="127"/>
      <c r="N997" s="128"/>
    </row>
    <row r="998">
      <c r="E998" s="126"/>
      <c r="M998" s="127"/>
      <c r="N998" s="128"/>
    </row>
    <row r="999">
      <c r="E999" s="126"/>
      <c r="M999" s="127"/>
      <c r="N999" s="128"/>
    </row>
    <row r="1000">
      <c r="E1000" s="126"/>
      <c r="M1000" s="127"/>
      <c r="N1000" s="128"/>
    </row>
    <row r="1001">
      <c r="E1001" s="126"/>
      <c r="M1001" s="127"/>
      <c r="N1001" s="128"/>
    </row>
    <row r="1002">
      <c r="E1002" s="126"/>
      <c r="M1002" s="127"/>
      <c r="N1002" s="128"/>
    </row>
  </sheetData>
  <mergeCells count="199">
    <mergeCell ref="A20:A23"/>
    <mergeCell ref="B20:B23"/>
    <mergeCell ref="C20:C23"/>
    <mergeCell ref="D20:D23"/>
    <mergeCell ref="E20:E23"/>
    <mergeCell ref="F20:F23"/>
    <mergeCell ref="A24:A26"/>
    <mergeCell ref="F24:F26"/>
    <mergeCell ref="B24:B26"/>
    <mergeCell ref="C24:C26"/>
    <mergeCell ref="A28:A32"/>
    <mergeCell ref="B28:B32"/>
    <mergeCell ref="C28:C32"/>
    <mergeCell ref="D28:D32"/>
    <mergeCell ref="E28:E32"/>
    <mergeCell ref="F8:F11"/>
    <mergeCell ref="G8:G11"/>
    <mergeCell ref="A1:B3"/>
    <mergeCell ref="C1:F3"/>
    <mergeCell ref="I1:M1"/>
    <mergeCell ref="J2:L2"/>
    <mergeCell ref="A8:A11"/>
    <mergeCell ref="B8:B11"/>
    <mergeCell ref="C8:C11"/>
    <mergeCell ref="F15:F18"/>
    <mergeCell ref="G15:G18"/>
    <mergeCell ref="D8:D11"/>
    <mergeCell ref="E8:E11"/>
    <mergeCell ref="A15:A18"/>
    <mergeCell ref="B15:B18"/>
    <mergeCell ref="C15:C18"/>
    <mergeCell ref="D15:D18"/>
    <mergeCell ref="E15:E18"/>
    <mergeCell ref="D24:D26"/>
    <mergeCell ref="E24:E26"/>
    <mergeCell ref="G24:G26"/>
    <mergeCell ref="F28:F32"/>
    <mergeCell ref="G28:G32"/>
    <mergeCell ref="A43:A44"/>
    <mergeCell ref="B43:B44"/>
    <mergeCell ref="C43:C44"/>
    <mergeCell ref="D43:D44"/>
    <mergeCell ref="E43:E44"/>
    <mergeCell ref="F43:F44"/>
    <mergeCell ref="A34:A38"/>
    <mergeCell ref="B34:B38"/>
    <mergeCell ref="C34:C38"/>
    <mergeCell ref="D34:D38"/>
    <mergeCell ref="E34:E38"/>
    <mergeCell ref="F34:F38"/>
    <mergeCell ref="G34:G38"/>
    <mergeCell ref="A39:A40"/>
    <mergeCell ref="B39:B40"/>
    <mergeCell ref="C39:C40"/>
    <mergeCell ref="D39:D40"/>
    <mergeCell ref="E39:E40"/>
    <mergeCell ref="F39:F40"/>
    <mergeCell ref="G39:G40"/>
    <mergeCell ref="A47:A49"/>
    <mergeCell ref="B47:B49"/>
    <mergeCell ref="C47:C49"/>
    <mergeCell ref="D47:D49"/>
    <mergeCell ref="E47:E49"/>
    <mergeCell ref="F47:F49"/>
    <mergeCell ref="G47:G49"/>
    <mergeCell ref="A51:A52"/>
    <mergeCell ref="B51:B52"/>
    <mergeCell ref="C51:C52"/>
    <mergeCell ref="D51:D52"/>
    <mergeCell ref="E51:E52"/>
    <mergeCell ref="F51:F52"/>
    <mergeCell ref="G51:G52"/>
    <mergeCell ref="A53:A56"/>
    <mergeCell ref="B53:B56"/>
    <mergeCell ref="C53:C56"/>
    <mergeCell ref="D53:D56"/>
    <mergeCell ref="E53:E56"/>
    <mergeCell ref="F54:F56"/>
    <mergeCell ref="G54:G56"/>
    <mergeCell ref="B60:B62"/>
    <mergeCell ref="C60:C62"/>
    <mergeCell ref="F60:F62"/>
    <mergeCell ref="G60:G62"/>
    <mergeCell ref="A81:A83"/>
    <mergeCell ref="B81:B83"/>
    <mergeCell ref="C81:C83"/>
    <mergeCell ref="D81:D83"/>
    <mergeCell ref="E81:E83"/>
    <mergeCell ref="F81:F83"/>
    <mergeCell ref="G81:G83"/>
    <mergeCell ref="A84:A85"/>
    <mergeCell ref="B84:B85"/>
    <mergeCell ref="C84:C85"/>
    <mergeCell ref="D84:D85"/>
    <mergeCell ref="E84:E85"/>
    <mergeCell ref="F84:F85"/>
    <mergeCell ref="G84:G85"/>
    <mergeCell ref="A88:A91"/>
    <mergeCell ref="B88:B91"/>
    <mergeCell ref="C88:C91"/>
    <mergeCell ref="D88:D91"/>
    <mergeCell ref="E88:E91"/>
    <mergeCell ref="F88:F91"/>
    <mergeCell ref="G88:G91"/>
    <mergeCell ref="A96:A101"/>
    <mergeCell ref="B96:B101"/>
    <mergeCell ref="C96:C101"/>
    <mergeCell ref="D96:D101"/>
    <mergeCell ref="E96:E101"/>
    <mergeCell ref="F96:F101"/>
    <mergeCell ref="G96:G101"/>
    <mergeCell ref="F114:F115"/>
    <mergeCell ref="G114:G115"/>
    <mergeCell ref="A112:A115"/>
    <mergeCell ref="B112:B115"/>
    <mergeCell ref="C112:C115"/>
    <mergeCell ref="D112:D115"/>
    <mergeCell ref="E112:E115"/>
    <mergeCell ref="F112:F113"/>
    <mergeCell ref="G112:G113"/>
    <mergeCell ref="A120:A121"/>
    <mergeCell ref="B120:B121"/>
    <mergeCell ref="C120:C121"/>
    <mergeCell ref="D120:D121"/>
    <mergeCell ref="E120:E121"/>
    <mergeCell ref="F120:F121"/>
    <mergeCell ref="G120:G121"/>
    <mergeCell ref="A124:A125"/>
    <mergeCell ref="B124:B125"/>
    <mergeCell ref="C124:C125"/>
    <mergeCell ref="D124:D125"/>
    <mergeCell ref="E124:E125"/>
    <mergeCell ref="F124:F125"/>
    <mergeCell ref="G124:G125"/>
    <mergeCell ref="A133:A139"/>
    <mergeCell ref="B133:B139"/>
    <mergeCell ref="C133:C139"/>
    <mergeCell ref="D133:D139"/>
    <mergeCell ref="E133:E139"/>
    <mergeCell ref="F133:F139"/>
    <mergeCell ref="G133:G139"/>
    <mergeCell ref="A180:A181"/>
    <mergeCell ref="B180:B181"/>
    <mergeCell ref="C180:C181"/>
    <mergeCell ref="D180:D181"/>
    <mergeCell ref="E180:E181"/>
    <mergeCell ref="F180:F181"/>
    <mergeCell ref="G180:G181"/>
    <mergeCell ref="A177:A179"/>
    <mergeCell ref="B177:B179"/>
    <mergeCell ref="C177:C179"/>
    <mergeCell ref="D177:D179"/>
    <mergeCell ref="E177:E179"/>
    <mergeCell ref="F177:F179"/>
    <mergeCell ref="G177:G179"/>
    <mergeCell ref="D60:D62"/>
    <mergeCell ref="E60:E62"/>
    <mergeCell ref="A58:A59"/>
    <mergeCell ref="B58:B59"/>
    <mergeCell ref="C58:C59"/>
    <mergeCell ref="D58:D59"/>
    <mergeCell ref="E58:E59"/>
    <mergeCell ref="F58:F59"/>
    <mergeCell ref="A60:A62"/>
    <mergeCell ref="A66:A68"/>
    <mergeCell ref="B66:B68"/>
    <mergeCell ref="C66:C68"/>
    <mergeCell ref="D66:D68"/>
    <mergeCell ref="E66:E68"/>
    <mergeCell ref="F66:F68"/>
    <mergeCell ref="G66:G68"/>
    <mergeCell ref="A70:A71"/>
    <mergeCell ref="B70:B71"/>
    <mergeCell ref="C70:C71"/>
    <mergeCell ref="D70:D71"/>
    <mergeCell ref="E70:E71"/>
    <mergeCell ref="F70:F71"/>
    <mergeCell ref="G70:G71"/>
    <mergeCell ref="A72:A75"/>
    <mergeCell ref="B72:B75"/>
    <mergeCell ref="C72:C75"/>
    <mergeCell ref="D72:D75"/>
    <mergeCell ref="E72:E75"/>
    <mergeCell ref="F72:F73"/>
    <mergeCell ref="G72:G73"/>
    <mergeCell ref="A76:A79"/>
    <mergeCell ref="B76:B79"/>
    <mergeCell ref="C76:C79"/>
    <mergeCell ref="D76:D79"/>
    <mergeCell ref="E76:E79"/>
    <mergeCell ref="F76:F79"/>
    <mergeCell ref="G76:G79"/>
    <mergeCell ref="A109:A110"/>
    <mergeCell ref="B109:B110"/>
    <mergeCell ref="C109:C110"/>
    <mergeCell ref="D109:D110"/>
    <mergeCell ref="E109:E110"/>
    <mergeCell ref="F109:F110"/>
    <mergeCell ref="G109:G110"/>
  </mergeCells>
  <conditionalFormatting sqref="B1:B1002">
    <cfRule type="expression" dxfId="0" priority="1">
      <formula>COUNTIF(B:B,B1)&gt;1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5111"/>
    <pageSetUpPr/>
  </sheetPr>
  <sheetViews>
    <sheetView showGridLines="0" workbookViewId="0"/>
  </sheetViews>
  <sheetFormatPr customHeight="1" defaultColWidth="11.22" defaultRowHeight="15.0"/>
  <cols>
    <col customWidth="1" min="1" max="1" width="4.89"/>
    <col customWidth="1" min="2" max="2" width="13.56"/>
    <col customWidth="1" min="3" max="3" width="9.67"/>
    <col customWidth="1" min="4" max="4" width="7.67"/>
    <col customWidth="1" min="5" max="6" width="9.67"/>
    <col customWidth="1" min="7" max="7" width="12.0"/>
    <col customWidth="1" min="8" max="8" width="32.22"/>
    <col customWidth="1" min="9" max="9" width="25.78"/>
    <col customWidth="1" min="10" max="10" width="7.67"/>
    <col customWidth="1" min="11" max="11" width="7.11"/>
    <col customWidth="1" min="12" max="12" width="11.44"/>
    <col customWidth="1" min="13" max="13" width="15.44"/>
    <col customWidth="1" min="14" max="14" width="19.44"/>
    <col customWidth="1" min="15" max="15" width="26.78"/>
    <col customWidth="1" min="16" max="30" width="8.56"/>
  </cols>
  <sheetData>
    <row r="1">
      <c r="A1" s="129" t="s">
        <v>0</v>
      </c>
      <c r="B1" s="130"/>
      <c r="C1" s="131" t="s">
        <v>1</v>
      </c>
      <c r="D1" s="132"/>
      <c r="E1" s="132"/>
      <c r="F1" s="130"/>
      <c r="G1" s="133"/>
      <c r="H1" s="133"/>
      <c r="I1" s="134" t="s">
        <v>260</v>
      </c>
      <c r="J1" s="135"/>
      <c r="K1" s="135"/>
      <c r="L1" s="135"/>
      <c r="M1" s="136"/>
      <c r="N1" s="137"/>
      <c r="O1" s="138"/>
    </row>
    <row r="2">
      <c r="A2" s="139"/>
      <c r="B2" s="71"/>
      <c r="C2" s="139"/>
      <c r="F2" s="71"/>
      <c r="G2" s="140"/>
      <c r="H2" s="141" t="s">
        <v>3</v>
      </c>
      <c r="I2" s="141" t="s">
        <v>4</v>
      </c>
      <c r="J2" s="142" t="s">
        <v>5</v>
      </c>
      <c r="K2" s="135"/>
      <c r="L2" s="136"/>
      <c r="M2" s="143"/>
      <c r="N2" s="143"/>
      <c r="O2" s="143"/>
    </row>
    <row r="3">
      <c r="A3" s="144"/>
      <c r="B3" s="72"/>
      <c r="C3" s="144"/>
      <c r="D3" s="145"/>
      <c r="E3" s="145"/>
      <c r="F3" s="72"/>
      <c r="G3" s="146"/>
      <c r="H3" s="147">
        <v>1480000.0</v>
      </c>
      <c r="I3" s="148">
        <f>M292</f>
        <v>1480001.5</v>
      </c>
      <c r="J3" s="149">
        <f>H3-I3</f>
        <v>-1.5</v>
      </c>
      <c r="K3" s="135"/>
      <c r="L3" s="136"/>
      <c r="M3" s="143"/>
      <c r="N3" s="143"/>
      <c r="O3" s="143"/>
    </row>
    <row r="4">
      <c r="A4" s="23" t="s">
        <v>6</v>
      </c>
      <c r="B4" s="23" t="s">
        <v>7</v>
      </c>
      <c r="C4" s="24" t="s">
        <v>261</v>
      </c>
      <c r="D4" s="24" t="s">
        <v>262</v>
      </c>
      <c r="E4" s="24" t="s">
        <v>263</v>
      </c>
      <c r="F4" s="24" t="s">
        <v>11</v>
      </c>
      <c r="G4" s="24" t="s">
        <v>264</v>
      </c>
      <c r="H4" s="29" t="s">
        <v>13</v>
      </c>
      <c r="I4" s="29" t="s">
        <v>14</v>
      </c>
      <c r="J4" s="29" t="s">
        <v>15</v>
      </c>
      <c r="K4" s="29" t="s">
        <v>16</v>
      </c>
      <c r="L4" s="29" t="s">
        <v>17</v>
      </c>
      <c r="M4" s="29" t="s">
        <v>18</v>
      </c>
      <c r="N4" s="29" t="s">
        <v>19</v>
      </c>
      <c r="O4" s="15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>
      <c r="A5" s="68">
        <v>1.0</v>
      </c>
      <c r="B5" s="68">
        <v>2445.0</v>
      </c>
      <c r="C5" s="151">
        <v>45549.0</v>
      </c>
      <c r="D5" s="68" t="s">
        <v>265</v>
      </c>
      <c r="E5" s="68" t="s">
        <v>266</v>
      </c>
      <c r="F5" s="68">
        <v>249.0</v>
      </c>
      <c r="G5" s="152">
        <v>45949.0</v>
      </c>
      <c r="H5" s="63" t="s">
        <v>267</v>
      </c>
      <c r="I5" s="34" t="s">
        <v>268</v>
      </c>
      <c r="J5" s="153">
        <v>2.0</v>
      </c>
      <c r="K5" s="77" t="s">
        <v>89</v>
      </c>
      <c r="L5" s="154">
        <v>2000.0</v>
      </c>
      <c r="M5" s="41">
        <v>4000.0</v>
      </c>
      <c r="N5" s="41" t="s">
        <v>269</v>
      </c>
      <c r="O5" s="143"/>
    </row>
    <row r="6">
      <c r="A6" s="48"/>
      <c r="B6" s="48"/>
      <c r="C6" s="48"/>
      <c r="D6" s="48"/>
      <c r="E6" s="48"/>
      <c r="F6" s="48"/>
      <c r="G6" s="48"/>
      <c r="H6" s="155" t="s">
        <v>270</v>
      </c>
      <c r="I6" s="34" t="s">
        <v>268</v>
      </c>
      <c r="J6" s="153">
        <v>5.0</v>
      </c>
      <c r="K6" s="77" t="s">
        <v>34</v>
      </c>
      <c r="L6" s="154">
        <v>240.0</v>
      </c>
      <c r="M6" s="41">
        <v>1200.0</v>
      </c>
      <c r="N6" s="41" t="s">
        <v>269</v>
      </c>
      <c r="O6" s="143"/>
    </row>
    <row r="7">
      <c r="A7" s="31">
        <v>2.0</v>
      </c>
      <c r="B7" s="156" t="s">
        <v>92</v>
      </c>
      <c r="C7" s="32">
        <v>45552.0</v>
      </c>
      <c r="D7" s="31" t="s">
        <v>271</v>
      </c>
      <c r="E7" s="157">
        <v>45982.0</v>
      </c>
      <c r="F7" s="31" t="s">
        <v>92</v>
      </c>
      <c r="G7" s="158"/>
      <c r="H7" s="63" t="s">
        <v>272</v>
      </c>
      <c r="I7" s="34" t="s">
        <v>273</v>
      </c>
      <c r="J7" s="159"/>
      <c r="K7" s="64"/>
      <c r="L7" s="154">
        <v>127303.0</v>
      </c>
      <c r="M7" s="154">
        <v>127303.0</v>
      </c>
      <c r="N7" s="160"/>
      <c r="O7" s="73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</row>
    <row r="8">
      <c r="A8" s="31">
        <v>3.0</v>
      </c>
      <c r="B8" s="31">
        <v>593529.0</v>
      </c>
      <c r="C8" s="157">
        <v>45570.0</v>
      </c>
      <c r="D8" s="31" t="s">
        <v>265</v>
      </c>
      <c r="E8" s="31" t="s">
        <v>266</v>
      </c>
      <c r="F8" s="31">
        <v>246.0</v>
      </c>
      <c r="G8" s="161">
        <v>45571.0</v>
      </c>
      <c r="H8" s="33" t="s">
        <v>36</v>
      </c>
      <c r="I8" s="34" t="s">
        <v>24</v>
      </c>
      <c r="J8" s="31">
        <v>50.0</v>
      </c>
      <c r="K8" s="31" t="s">
        <v>25</v>
      </c>
      <c r="L8" s="35">
        <v>60.16</v>
      </c>
      <c r="M8" s="36">
        <v>3008.0</v>
      </c>
      <c r="N8" s="41" t="s">
        <v>91</v>
      </c>
      <c r="O8" s="73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</row>
    <row r="9">
      <c r="A9" s="31">
        <v>4.0</v>
      </c>
      <c r="B9" s="68">
        <v>2726.0</v>
      </c>
      <c r="C9" s="151">
        <v>45570.0</v>
      </c>
      <c r="D9" s="68" t="s">
        <v>265</v>
      </c>
      <c r="E9" s="68" t="s">
        <v>266</v>
      </c>
      <c r="F9" s="68">
        <v>246.0</v>
      </c>
      <c r="G9" s="152">
        <v>45571.0</v>
      </c>
      <c r="H9" s="33" t="s">
        <v>37</v>
      </c>
      <c r="I9" s="34" t="s">
        <v>24</v>
      </c>
      <c r="J9" s="162">
        <v>5.0</v>
      </c>
      <c r="K9" s="31" t="s">
        <v>25</v>
      </c>
      <c r="L9" s="163">
        <v>343.0</v>
      </c>
      <c r="M9" s="164">
        <f t="shared" ref="M9:M10" si="1">L9*J9</f>
        <v>1715</v>
      </c>
      <c r="N9" s="56" t="s">
        <v>91</v>
      </c>
      <c r="O9" s="7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</row>
    <row r="10">
      <c r="A10" s="31"/>
      <c r="B10" s="48"/>
      <c r="C10" s="48"/>
      <c r="D10" s="48"/>
      <c r="E10" s="48"/>
      <c r="F10" s="48"/>
      <c r="G10" s="48"/>
      <c r="H10" s="33" t="s">
        <v>38</v>
      </c>
      <c r="I10" s="34" t="s">
        <v>24</v>
      </c>
      <c r="J10" s="162">
        <v>20.0</v>
      </c>
      <c r="K10" s="31" t="s">
        <v>39</v>
      </c>
      <c r="L10" s="163">
        <v>20.0</v>
      </c>
      <c r="M10" s="164">
        <f t="shared" si="1"/>
        <v>400</v>
      </c>
      <c r="N10" s="56"/>
      <c r="O10" s="7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</row>
    <row r="11">
      <c r="A11" s="68">
        <v>5.0</v>
      </c>
      <c r="B11" s="68">
        <v>814.0</v>
      </c>
      <c r="C11" s="151">
        <v>45570.0</v>
      </c>
      <c r="D11" s="68" t="s">
        <v>274</v>
      </c>
      <c r="E11" s="68" t="s">
        <v>266</v>
      </c>
      <c r="F11" s="68">
        <v>247.0</v>
      </c>
      <c r="G11" s="152">
        <v>45571.0</v>
      </c>
      <c r="H11" s="63" t="s">
        <v>275</v>
      </c>
      <c r="I11" s="34" t="s">
        <v>276</v>
      </c>
      <c r="J11" s="153">
        <v>180.0</v>
      </c>
      <c r="K11" s="77" t="s">
        <v>74</v>
      </c>
      <c r="L11" s="154">
        <v>38.0</v>
      </c>
      <c r="M11" s="36">
        <v>6840.0</v>
      </c>
      <c r="N11" s="41" t="s">
        <v>277</v>
      </c>
      <c r="O11" s="73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</row>
    <row r="12">
      <c r="A12" s="47"/>
      <c r="B12" s="47"/>
      <c r="C12" s="47"/>
      <c r="D12" s="47"/>
      <c r="E12" s="47"/>
      <c r="F12" s="47"/>
      <c r="G12" s="47"/>
      <c r="H12" s="63" t="s">
        <v>278</v>
      </c>
      <c r="I12" s="34" t="s">
        <v>276</v>
      </c>
      <c r="J12" s="153">
        <v>6.0</v>
      </c>
      <c r="K12" s="77" t="s">
        <v>89</v>
      </c>
      <c r="L12" s="154">
        <v>135.0</v>
      </c>
      <c r="M12" s="36">
        <v>810.0</v>
      </c>
      <c r="N12" s="41" t="s">
        <v>277</v>
      </c>
      <c r="O12" s="7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</row>
    <row r="13">
      <c r="A13" s="47"/>
      <c r="B13" s="47"/>
      <c r="C13" s="47"/>
      <c r="D13" s="47"/>
      <c r="E13" s="47"/>
      <c r="F13" s="47"/>
      <c r="G13" s="47"/>
      <c r="H13" s="63" t="s">
        <v>279</v>
      </c>
      <c r="I13" s="34" t="s">
        <v>276</v>
      </c>
      <c r="J13" s="153">
        <v>2.0</v>
      </c>
      <c r="K13" s="77" t="s">
        <v>89</v>
      </c>
      <c r="L13" s="154">
        <v>900.0</v>
      </c>
      <c r="M13" s="36">
        <v>1800.0</v>
      </c>
      <c r="N13" s="41" t="s">
        <v>277</v>
      </c>
      <c r="O13" s="143"/>
    </row>
    <row r="14">
      <c r="A14" s="47"/>
      <c r="B14" s="47"/>
      <c r="C14" s="47"/>
      <c r="D14" s="47"/>
      <c r="E14" s="47"/>
      <c r="F14" s="47"/>
      <c r="G14" s="47"/>
      <c r="H14" s="63" t="s">
        <v>280</v>
      </c>
      <c r="I14" s="34" t="s">
        <v>276</v>
      </c>
      <c r="J14" s="153">
        <v>15.0</v>
      </c>
      <c r="K14" s="77" t="s">
        <v>89</v>
      </c>
      <c r="L14" s="154">
        <v>25.0</v>
      </c>
      <c r="M14" s="36">
        <v>375.0</v>
      </c>
      <c r="N14" s="41" t="s">
        <v>277</v>
      </c>
      <c r="O14" s="143"/>
    </row>
    <row r="15">
      <c r="A15" s="47"/>
      <c r="B15" s="47"/>
      <c r="C15" s="47"/>
      <c r="D15" s="47"/>
      <c r="E15" s="47"/>
      <c r="F15" s="47"/>
      <c r="G15" s="47"/>
      <c r="H15" s="63" t="s">
        <v>281</v>
      </c>
      <c r="I15" s="34" t="s">
        <v>276</v>
      </c>
      <c r="J15" s="153">
        <v>270.0</v>
      </c>
      <c r="K15" s="77" t="s">
        <v>282</v>
      </c>
      <c r="L15" s="154">
        <v>14.0</v>
      </c>
      <c r="M15" s="36">
        <v>3780.0</v>
      </c>
      <c r="N15" s="41" t="s">
        <v>277</v>
      </c>
      <c r="O15" s="143"/>
    </row>
    <row r="16">
      <c r="A16" s="47"/>
      <c r="B16" s="47"/>
      <c r="C16" s="47"/>
      <c r="D16" s="47"/>
      <c r="E16" s="47"/>
      <c r="F16" s="47"/>
      <c r="G16" s="47"/>
      <c r="H16" s="63" t="s">
        <v>283</v>
      </c>
      <c r="I16" s="34" t="s">
        <v>276</v>
      </c>
      <c r="J16" s="153">
        <v>15.0</v>
      </c>
      <c r="K16" s="77" t="s">
        <v>89</v>
      </c>
      <c r="L16" s="154">
        <v>150.0</v>
      </c>
      <c r="M16" s="36">
        <v>2250.0</v>
      </c>
      <c r="N16" s="41" t="s">
        <v>277</v>
      </c>
      <c r="O16" s="143"/>
    </row>
    <row r="17">
      <c r="A17" s="47"/>
      <c r="B17" s="47"/>
      <c r="C17" s="47"/>
      <c r="D17" s="47"/>
      <c r="E17" s="47"/>
      <c r="F17" s="47"/>
      <c r="G17" s="47"/>
      <c r="H17" s="63" t="s">
        <v>284</v>
      </c>
      <c r="I17" s="34" t="s">
        <v>276</v>
      </c>
      <c r="J17" s="153">
        <v>2.0</v>
      </c>
      <c r="K17" s="77" t="s">
        <v>89</v>
      </c>
      <c r="L17" s="154">
        <v>135.0</v>
      </c>
      <c r="M17" s="36">
        <v>270.0</v>
      </c>
      <c r="N17" s="41" t="s">
        <v>277</v>
      </c>
      <c r="O17" s="143"/>
    </row>
    <row r="18">
      <c r="A18" s="47"/>
      <c r="B18" s="47"/>
      <c r="C18" s="47"/>
      <c r="D18" s="47"/>
      <c r="E18" s="47"/>
      <c r="F18" s="47"/>
      <c r="G18" s="47"/>
      <c r="H18" s="63" t="s">
        <v>285</v>
      </c>
      <c r="I18" s="34" t="s">
        <v>276</v>
      </c>
      <c r="J18" s="153">
        <v>3.0</v>
      </c>
      <c r="K18" s="77" t="s">
        <v>89</v>
      </c>
      <c r="L18" s="154">
        <v>135.0</v>
      </c>
      <c r="M18" s="36">
        <v>405.0</v>
      </c>
      <c r="N18" s="41" t="s">
        <v>277</v>
      </c>
      <c r="O18" s="143"/>
    </row>
    <row r="19">
      <c r="A19" s="47"/>
      <c r="B19" s="47"/>
      <c r="C19" s="47"/>
      <c r="D19" s="47"/>
      <c r="E19" s="47"/>
      <c r="F19" s="47"/>
      <c r="G19" s="47"/>
      <c r="H19" s="63" t="s">
        <v>286</v>
      </c>
      <c r="I19" s="34" t="s">
        <v>276</v>
      </c>
      <c r="J19" s="153">
        <v>1.0</v>
      </c>
      <c r="K19" s="77" t="s">
        <v>89</v>
      </c>
      <c r="L19" s="154">
        <v>290.0</v>
      </c>
      <c r="M19" s="36">
        <v>290.0</v>
      </c>
      <c r="N19" s="41" t="s">
        <v>277</v>
      </c>
      <c r="O19" s="143"/>
    </row>
    <row r="20">
      <c r="A20" s="47"/>
      <c r="B20" s="47"/>
      <c r="C20" s="47"/>
      <c r="D20" s="47"/>
      <c r="E20" s="47"/>
      <c r="F20" s="47"/>
      <c r="G20" s="47"/>
      <c r="H20" s="63" t="s">
        <v>287</v>
      </c>
      <c r="I20" s="34" t="s">
        <v>276</v>
      </c>
      <c r="J20" s="153">
        <v>1.0</v>
      </c>
      <c r="K20" s="77" t="s">
        <v>89</v>
      </c>
      <c r="L20" s="154">
        <v>180.0</v>
      </c>
      <c r="M20" s="36">
        <v>180.0</v>
      </c>
      <c r="N20" s="41" t="s">
        <v>277</v>
      </c>
      <c r="O20" s="143"/>
    </row>
    <row r="21">
      <c r="A21" s="47"/>
      <c r="B21" s="47"/>
      <c r="C21" s="47"/>
      <c r="D21" s="47"/>
      <c r="E21" s="47"/>
      <c r="F21" s="47"/>
      <c r="G21" s="47"/>
      <c r="H21" s="63" t="s">
        <v>288</v>
      </c>
      <c r="I21" s="34" t="s">
        <v>276</v>
      </c>
      <c r="J21" s="153">
        <v>10.0</v>
      </c>
      <c r="K21" s="77" t="s">
        <v>98</v>
      </c>
      <c r="L21" s="154">
        <v>12.0</v>
      </c>
      <c r="M21" s="36">
        <v>120.0</v>
      </c>
      <c r="N21" s="41" t="s">
        <v>277</v>
      </c>
      <c r="O21" s="143"/>
    </row>
    <row r="22">
      <c r="A22" s="47"/>
      <c r="B22" s="47"/>
      <c r="C22" s="47"/>
      <c r="D22" s="47"/>
      <c r="E22" s="47"/>
      <c r="F22" s="47"/>
      <c r="G22" s="47"/>
      <c r="H22" s="63" t="s">
        <v>289</v>
      </c>
      <c r="I22" s="34" t="s">
        <v>276</v>
      </c>
      <c r="J22" s="153">
        <v>10.0</v>
      </c>
      <c r="K22" s="77" t="s">
        <v>89</v>
      </c>
      <c r="L22" s="154">
        <v>20.0</v>
      </c>
      <c r="M22" s="36">
        <v>200.0</v>
      </c>
      <c r="N22" s="41" t="s">
        <v>277</v>
      </c>
      <c r="O22" s="143"/>
    </row>
    <row r="23">
      <c r="A23" s="47"/>
      <c r="B23" s="47"/>
      <c r="C23" s="47"/>
      <c r="D23" s="47"/>
      <c r="E23" s="47"/>
      <c r="F23" s="47"/>
      <c r="G23" s="47"/>
      <c r="H23" s="63" t="s">
        <v>290</v>
      </c>
      <c r="I23" s="34" t="s">
        <v>276</v>
      </c>
      <c r="J23" s="153">
        <v>5.0</v>
      </c>
      <c r="K23" s="77" t="s">
        <v>89</v>
      </c>
      <c r="L23" s="154">
        <v>80.0</v>
      </c>
      <c r="M23" s="36">
        <v>400.0</v>
      </c>
      <c r="N23" s="41" t="s">
        <v>277</v>
      </c>
      <c r="O23" s="143"/>
    </row>
    <row r="24">
      <c r="A24" s="48"/>
      <c r="B24" s="48"/>
      <c r="C24" s="48"/>
      <c r="D24" s="48"/>
      <c r="E24" s="48"/>
      <c r="F24" s="48"/>
      <c r="G24" s="48"/>
      <c r="H24" s="63" t="s">
        <v>291</v>
      </c>
      <c r="I24" s="34" t="s">
        <v>276</v>
      </c>
      <c r="J24" s="153">
        <v>1.0</v>
      </c>
      <c r="K24" s="77" t="s">
        <v>89</v>
      </c>
      <c r="L24" s="154">
        <v>864.0</v>
      </c>
      <c r="M24" s="36">
        <v>864.0</v>
      </c>
      <c r="N24" s="41" t="s">
        <v>277</v>
      </c>
      <c r="O24" s="143"/>
    </row>
    <row r="25">
      <c r="A25" s="68">
        <v>6.0</v>
      </c>
      <c r="B25" s="68">
        <v>816.0</v>
      </c>
      <c r="C25" s="151">
        <v>45570.0</v>
      </c>
      <c r="D25" s="68" t="s">
        <v>274</v>
      </c>
      <c r="E25" s="68" t="s">
        <v>266</v>
      </c>
      <c r="F25" s="68">
        <v>246.0</v>
      </c>
      <c r="G25" s="165">
        <v>45571.0</v>
      </c>
      <c r="H25" s="63" t="s">
        <v>292</v>
      </c>
      <c r="I25" s="34" t="s">
        <v>268</v>
      </c>
      <c r="J25" s="153">
        <v>15.0</v>
      </c>
      <c r="K25" s="77" t="s">
        <v>34</v>
      </c>
      <c r="L25" s="154">
        <v>220.0</v>
      </c>
      <c r="M25" s="36">
        <v>3300.0</v>
      </c>
      <c r="N25" s="41" t="s">
        <v>277</v>
      </c>
      <c r="O25" s="143"/>
    </row>
    <row r="26">
      <c r="A26" s="47"/>
      <c r="B26" s="47"/>
      <c r="C26" s="47"/>
      <c r="D26" s="47"/>
      <c r="E26" s="47"/>
      <c r="F26" s="47"/>
      <c r="G26" s="47"/>
      <c r="H26" s="63" t="s">
        <v>293</v>
      </c>
      <c r="I26" s="34" t="s">
        <v>294</v>
      </c>
      <c r="J26" s="153">
        <v>5.0</v>
      </c>
      <c r="K26" s="77" t="s">
        <v>34</v>
      </c>
      <c r="L26" s="154">
        <v>76.0</v>
      </c>
      <c r="M26" s="36">
        <v>380.0</v>
      </c>
      <c r="N26" s="41" t="s">
        <v>277</v>
      </c>
      <c r="O26" s="143"/>
    </row>
    <row r="27">
      <c r="A27" s="47"/>
      <c r="B27" s="47"/>
      <c r="C27" s="47"/>
      <c r="D27" s="47"/>
      <c r="E27" s="47"/>
      <c r="F27" s="47"/>
      <c r="G27" s="47"/>
      <c r="H27" s="63" t="s">
        <v>295</v>
      </c>
      <c r="I27" s="34" t="s">
        <v>42</v>
      </c>
      <c r="J27" s="153">
        <v>3.0</v>
      </c>
      <c r="K27" s="77" t="s">
        <v>89</v>
      </c>
      <c r="L27" s="154">
        <v>1250.0</v>
      </c>
      <c r="M27" s="36">
        <v>3750.0</v>
      </c>
      <c r="N27" s="41" t="s">
        <v>277</v>
      </c>
      <c r="O27" s="143"/>
    </row>
    <row r="28" ht="15.75" customHeight="1">
      <c r="A28" s="47"/>
      <c r="B28" s="47"/>
      <c r="C28" s="47"/>
      <c r="D28" s="47"/>
      <c r="E28" s="47"/>
      <c r="F28" s="47"/>
      <c r="G28" s="47"/>
      <c r="H28" s="63" t="s">
        <v>296</v>
      </c>
      <c r="I28" s="34" t="s">
        <v>42</v>
      </c>
      <c r="J28" s="153">
        <v>2.0</v>
      </c>
      <c r="K28" s="77" t="s">
        <v>297</v>
      </c>
      <c r="L28" s="154">
        <v>150.0</v>
      </c>
      <c r="M28" s="36">
        <v>300.0</v>
      </c>
      <c r="N28" s="41" t="s">
        <v>277</v>
      </c>
      <c r="O28" s="143"/>
    </row>
    <row r="29">
      <c r="A29" s="47"/>
      <c r="B29" s="47"/>
      <c r="C29" s="47"/>
      <c r="D29" s="47"/>
      <c r="E29" s="47"/>
      <c r="F29" s="47"/>
      <c r="G29" s="47"/>
      <c r="H29" s="63" t="s">
        <v>298</v>
      </c>
      <c r="I29" s="34" t="s">
        <v>42</v>
      </c>
      <c r="J29" s="153">
        <v>1.0</v>
      </c>
      <c r="K29" s="77" t="s">
        <v>297</v>
      </c>
      <c r="L29" s="154">
        <v>50.0</v>
      </c>
      <c r="M29" s="36">
        <v>50.0</v>
      </c>
      <c r="N29" s="41" t="s">
        <v>277</v>
      </c>
      <c r="O29" s="143"/>
    </row>
    <row r="30">
      <c r="A30" s="47"/>
      <c r="B30" s="47"/>
      <c r="C30" s="47"/>
      <c r="D30" s="47"/>
      <c r="E30" s="47"/>
      <c r="F30" s="47"/>
      <c r="G30" s="47"/>
      <c r="H30" s="63" t="s">
        <v>299</v>
      </c>
      <c r="I30" s="34" t="s">
        <v>29</v>
      </c>
      <c r="J30" s="153">
        <v>5.0</v>
      </c>
      <c r="K30" s="77" t="s">
        <v>89</v>
      </c>
      <c r="L30" s="154">
        <v>230.0</v>
      </c>
      <c r="M30" s="36">
        <v>1150.0</v>
      </c>
      <c r="N30" s="41" t="s">
        <v>277</v>
      </c>
      <c r="O30" s="143"/>
    </row>
    <row r="31">
      <c r="A31" s="47"/>
      <c r="B31" s="47"/>
      <c r="C31" s="47"/>
      <c r="D31" s="47"/>
      <c r="E31" s="47"/>
      <c r="F31" s="47"/>
      <c r="G31" s="47"/>
      <c r="H31" s="63" t="s">
        <v>28</v>
      </c>
      <c r="I31" s="34" t="s">
        <v>29</v>
      </c>
      <c r="J31" s="153">
        <v>3.0</v>
      </c>
      <c r="K31" s="77" t="s">
        <v>89</v>
      </c>
      <c r="L31" s="154">
        <v>950.0</v>
      </c>
      <c r="M31" s="36">
        <v>2850.0</v>
      </c>
      <c r="N31" s="41" t="s">
        <v>277</v>
      </c>
      <c r="O31" s="143"/>
    </row>
    <row r="32">
      <c r="A32" s="47"/>
      <c r="B32" s="47"/>
      <c r="C32" s="47"/>
      <c r="D32" s="47"/>
      <c r="E32" s="47"/>
      <c r="F32" s="47"/>
      <c r="G32" s="47"/>
      <c r="H32" s="63" t="s">
        <v>300</v>
      </c>
      <c r="I32" s="34" t="s">
        <v>29</v>
      </c>
      <c r="J32" s="153">
        <v>3.0</v>
      </c>
      <c r="K32" s="77" t="s">
        <v>89</v>
      </c>
      <c r="L32" s="154">
        <v>290.0</v>
      </c>
      <c r="M32" s="36">
        <v>870.0</v>
      </c>
      <c r="N32" s="41" t="s">
        <v>277</v>
      </c>
      <c r="O32" s="143"/>
    </row>
    <row r="33">
      <c r="A33" s="47"/>
      <c r="B33" s="47"/>
      <c r="C33" s="47"/>
      <c r="D33" s="47"/>
      <c r="E33" s="47"/>
      <c r="F33" s="47"/>
      <c r="G33" s="47"/>
      <c r="H33" s="63" t="s">
        <v>301</v>
      </c>
      <c r="I33" s="34" t="s">
        <v>29</v>
      </c>
      <c r="J33" s="153">
        <v>4.0</v>
      </c>
      <c r="K33" s="77" t="s">
        <v>89</v>
      </c>
      <c r="L33" s="154">
        <v>780.0</v>
      </c>
      <c r="M33" s="36">
        <v>3120.0</v>
      </c>
      <c r="N33" s="41" t="s">
        <v>277</v>
      </c>
      <c r="O33" s="143"/>
    </row>
    <row r="34">
      <c r="A34" s="47"/>
      <c r="B34" s="47"/>
      <c r="C34" s="47"/>
      <c r="D34" s="47"/>
      <c r="E34" s="47"/>
      <c r="F34" s="47"/>
      <c r="G34" s="47"/>
      <c r="H34" s="63" t="s">
        <v>302</v>
      </c>
      <c r="I34" s="34" t="s">
        <v>42</v>
      </c>
      <c r="J34" s="153">
        <v>2.0</v>
      </c>
      <c r="K34" s="77" t="s">
        <v>89</v>
      </c>
      <c r="L34" s="154">
        <v>230.0</v>
      </c>
      <c r="M34" s="36">
        <v>460.0</v>
      </c>
      <c r="N34" s="41" t="s">
        <v>277</v>
      </c>
      <c r="O34" s="143"/>
    </row>
    <row r="35">
      <c r="A35" s="48"/>
      <c r="B35" s="48"/>
      <c r="C35" s="48"/>
      <c r="D35" s="48"/>
      <c r="E35" s="48"/>
      <c r="F35" s="48"/>
      <c r="G35" s="48"/>
      <c r="H35" s="63" t="s">
        <v>303</v>
      </c>
      <c r="I35" s="34" t="s">
        <v>42</v>
      </c>
      <c r="J35" s="153">
        <v>2.0</v>
      </c>
      <c r="K35" s="77" t="s">
        <v>89</v>
      </c>
      <c r="L35" s="154">
        <v>120.0</v>
      </c>
      <c r="M35" s="36">
        <v>240.0</v>
      </c>
      <c r="N35" s="41" t="s">
        <v>277</v>
      </c>
      <c r="O35" s="143"/>
    </row>
    <row r="36">
      <c r="A36" s="31">
        <v>7.0</v>
      </c>
      <c r="B36" s="31">
        <v>68.0</v>
      </c>
      <c r="C36" s="32">
        <v>45571.0</v>
      </c>
      <c r="D36" s="31" t="s">
        <v>304</v>
      </c>
      <c r="E36" s="31" t="s">
        <v>266</v>
      </c>
      <c r="F36" s="31">
        <v>248.0</v>
      </c>
      <c r="G36" s="161">
        <v>45571.0</v>
      </c>
      <c r="H36" s="63" t="s">
        <v>50</v>
      </c>
      <c r="I36" s="34" t="s">
        <v>51</v>
      </c>
      <c r="J36" s="153">
        <v>1.0</v>
      </c>
      <c r="K36" s="77" t="s">
        <v>89</v>
      </c>
      <c r="L36" s="154">
        <v>35300.0</v>
      </c>
      <c r="M36" s="36">
        <v>35300.0</v>
      </c>
      <c r="N36" s="41" t="s">
        <v>305</v>
      </c>
      <c r="O36" s="143"/>
    </row>
    <row r="37">
      <c r="A37" s="68">
        <v>8.0</v>
      </c>
      <c r="B37" s="68">
        <v>863.0</v>
      </c>
      <c r="C37" s="151">
        <v>45571.0</v>
      </c>
      <c r="D37" s="68" t="s">
        <v>274</v>
      </c>
      <c r="E37" s="68" t="s">
        <v>266</v>
      </c>
      <c r="F37" s="68">
        <v>248.0</v>
      </c>
      <c r="G37" s="152">
        <v>45571.0</v>
      </c>
      <c r="H37" s="63" t="s">
        <v>267</v>
      </c>
      <c r="I37" s="34" t="s">
        <v>268</v>
      </c>
      <c r="J37" s="153">
        <v>4.0</v>
      </c>
      <c r="K37" s="77" t="s">
        <v>89</v>
      </c>
      <c r="L37" s="154">
        <v>1950.0</v>
      </c>
      <c r="M37" s="36">
        <v>7800.0</v>
      </c>
      <c r="N37" s="41" t="s">
        <v>277</v>
      </c>
      <c r="O37" s="143"/>
    </row>
    <row r="38">
      <c r="A38" s="48"/>
      <c r="B38" s="48"/>
      <c r="C38" s="48"/>
      <c r="D38" s="48"/>
      <c r="E38" s="48"/>
      <c r="F38" s="48"/>
      <c r="G38" s="48"/>
      <c r="H38" s="63" t="s">
        <v>306</v>
      </c>
      <c r="I38" s="34" t="s">
        <v>42</v>
      </c>
      <c r="J38" s="153">
        <v>2.0</v>
      </c>
      <c r="K38" s="77" t="s">
        <v>89</v>
      </c>
      <c r="L38" s="154">
        <v>425.0</v>
      </c>
      <c r="M38" s="36">
        <v>850.0</v>
      </c>
      <c r="N38" s="41" t="s">
        <v>277</v>
      </c>
      <c r="O38" s="143"/>
    </row>
    <row r="39">
      <c r="A39" s="31"/>
      <c r="B39" s="31"/>
      <c r="C39" s="80"/>
      <c r="D39" s="31"/>
      <c r="E39" s="88"/>
      <c r="F39" s="88">
        <v>248.0</v>
      </c>
      <c r="G39" s="161">
        <v>45571.0</v>
      </c>
      <c r="H39" s="155" t="s">
        <v>307</v>
      </c>
      <c r="I39" s="166" t="s">
        <v>51</v>
      </c>
      <c r="J39" s="167">
        <v>14.0</v>
      </c>
      <c r="K39" s="168" t="s">
        <v>156</v>
      </c>
      <c r="L39" s="154"/>
      <c r="M39" s="36"/>
      <c r="N39" s="41"/>
      <c r="O39" s="143"/>
    </row>
    <row r="40">
      <c r="A40" s="31"/>
      <c r="B40" s="31"/>
      <c r="C40" s="80"/>
      <c r="D40" s="31"/>
      <c r="E40" s="88"/>
      <c r="F40" s="88">
        <v>248.0</v>
      </c>
      <c r="G40" s="161">
        <v>45571.0</v>
      </c>
      <c r="H40" s="155" t="s">
        <v>308</v>
      </c>
      <c r="I40" s="166" t="s">
        <v>51</v>
      </c>
      <c r="J40" s="167">
        <v>14.0</v>
      </c>
      <c r="K40" s="168" t="s">
        <v>156</v>
      </c>
      <c r="L40" s="154"/>
      <c r="M40" s="36"/>
      <c r="N40" s="41"/>
      <c r="O40" s="143"/>
    </row>
    <row r="41">
      <c r="A41" s="31"/>
      <c r="B41" s="31"/>
      <c r="C41" s="80">
        <v>45935.0</v>
      </c>
      <c r="D41" s="31" t="s">
        <v>274</v>
      </c>
      <c r="E41" s="88"/>
      <c r="F41" s="88">
        <v>248.0</v>
      </c>
      <c r="G41" s="161">
        <v>45571.0</v>
      </c>
      <c r="H41" s="63" t="s">
        <v>309</v>
      </c>
      <c r="I41" s="34" t="s">
        <v>29</v>
      </c>
      <c r="J41" s="153">
        <v>4.0</v>
      </c>
      <c r="K41" s="77" t="s">
        <v>89</v>
      </c>
      <c r="L41" s="154">
        <v>350.0</v>
      </c>
      <c r="M41" s="36">
        <v>1400.0</v>
      </c>
      <c r="N41" s="41" t="s">
        <v>277</v>
      </c>
      <c r="O41" s="143"/>
    </row>
    <row r="42">
      <c r="A42" s="68">
        <v>9.0</v>
      </c>
      <c r="B42" s="68">
        <v>69.0</v>
      </c>
      <c r="C42" s="169">
        <v>45582.0</v>
      </c>
      <c r="D42" s="68" t="s">
        <v>304</v>
      </c>
      <c r="E42" s="170" t="s">
        <v>310</v>
      </c>
      <c r="F42" s="170">
        <v>249.0</v>
      </c>
      <c r="G42" s="152">
        <v>45584.0</v>
      </c>
      <c r="H42" s="63" t="s">
        <v>311</v>
      </c>
      <c r="I42" s="34" t="s">
        <v>29</v>
      </c>
      <c r="J42" s="153">
        <v>5.0</v>
      </c>
      <c r="K42" s="77" t="s">
        <v>89</v>
      </c>
      <c r="L42" s="154">
        <v>120.0</v>
      </c>
      <c r="M42" s="36">
        <v>600.0</v>
      </c>
      <c r="N42" s="41" t="s">
        <v>305</v>
      </c>
      <c r="O42" s="143"/>
    </row>
    <row r="43">
      <c r="A43" s="47"/>
      <c r="B43" s="47"/>
      <c r="C43" s="47"/>
      <c r="D43" s="47"/>
      <c r="E43" s="47"/>
      <c r="F43" s="47"/>
      <c r="G43" s="47"/>
      <c r="H43" s="63" t="s">
        <v>312</v>
      </c>
      <c r="I43" s="34" t="s">
        <v>51</v>
      </c>
      <c r="J43" s="153">
        <v>2.0</v>
      </c>
      <c r="K43" s="77" t="s">
        <v>89</v>
      </c>
      <c r="L43" s="154">
        <v>350.0</v>
      </c>
      <c r="M43" s="36">
        <v>700.0</v>
      </c>
      <c r="N43" s="41" t="s">
        <v>305</v>
      </c>
      <c r="O43" s="143"/>
    </row>
    <row r="44">
      <c r="A44" s="48"/>
      <c r="B44" s="48"/>
      <c r="C44" s="48"/>
      <c r="D44" s="48"/>
      <c r="E44" s="48"/>
      <c r="F44" s="48"/>
      <c r="G44" s="48"/>
      <c r="H44" s="63" t="s">
        <v>53</v>
      </c>
      <c r="I44" s="34" t="s">
        <v>51</v>
      </c>
      <c r="J44" s="153">
        <v>3.0</v>
      </c>
      <c r="K44" s="77" t="s">
        <v>89</v>
      </c>
      <c r="L44" s="154">
        <v>1200.0</v>
      </c>
      <c r="M44" s="36">
        <v>3600.0</v>
      </c>
      <c r="N44" s="41" t="s">
        <v>305</v>
      </c>
      <c r="O44" s="143"/>
    </row>
    <row r="45">
      <c r="A45" s="31">
        <v>10.0</v>
      </c>
      <c r="B45" s="31">
        <v>30430.0</v>
      </c>
      <c r="C45" s="32">
        <v>45583.0</v>
      </c>
      <c r="D45" s="31" t="s">
        <v>265</v>
      </c>
      <c r="E45" s="31" t="s">
        <v>266</v>
      </c>
      <c r="F45" s="31" t="s">
        <v>22</v>
      </c>
      <c r="G45" s="158"/>
      <c r="H45" s="33" t="s">
        <v>313</v>
      </c>
      <c r="I45" s="34" t="s">
        <v>24</v>
      </c>
      <c r="J45" s="162" t="s">
        <v>314</v>
      </c>
      <c r="K45" s="31" t="s">
        <v>25</v>
      </c>
      <c r="L45" s="87"/>
      <c r="M45" s="164">
        <v>19356.0</v>
      </c>
      <c r="N45" s="56" t="s">
        <v>91</v>
      </c>
      <c r="O45" s="143"/>
    </row>
    <row r="46">
      <c r="A46" s="31">
        <v>11.0</v>
      </c>
      <c r="B46" s="31">
        <v>113369.0</v>
      </c>
      <c r="C46" s="32">
        <v>45584.0</v>
      </c>
      <c r="D46" s="31" t="s">
        <v>265</v>
      </c>
      <c r="E46" s="31" t="s">
        <v>266</v>
      </c>
      <c r="F46" s="31">
        <v>250.0</v>
      </c>
      <c r="G46" s="161">
        <v>45584.0</v>
      </c>
      <c r="H46" s="33" t="s">
        <v>36</v>
      </c>
      <c r="I46" s="34" t="s">
        <v>24</v>
      </c>
      <c r="J46" s="162">
        <v>226.0</v>
      </c>
      <c r="K46" s="31" t="s">
        <v>25</v>
      </c>
      <c r="L46" s="35">
        <v>60.69</v>
      </c>
      <c r="M46" s="36">
        <v>13715.0</v>
      </c>
      <c r="N46" s="41" t="s">
        <v>91</v>
      </c>
      <c r="O46" s="143"/>
    </row>
    <row r="47">
      <c r="A47" s="31">
        <v>12.0</v>
      </c>
      <c r="B47" s="31">
        <v>670.0</v>
      </c>
      <c r="C47" s="32">
        <v>45584.0</v>
      </c>
      <c r="D47" s="31" t="s">
        <v>265</v>
      </c>
      <c r="E47" s="31" t="s">
        <v>266</v>
      </c>
      <c r="F47" s="31">
        <v>252.0</v>
      </c>
      <c r="G47" s="161">
        <v>45584.0</v>
      </c>
      <c r="H47" s="33" t="s">
        <v>41</v>
      </c>
      <c r="I47" s="34" t="s">
        <v>42</v>
      </c>
      <c r="J47" s="162">
        <v>1.0</v>
      </c>
      <c r="K47" s="31" t="s">
        <v>30</v>
      </c>
      <c r="L47" s="35">
        <v>2000.0</v>
      </c>
      <c r="M47" s="36">
        <v>2000.0</v>
      </c>
      <c r="N47" s="41" t="s">
        <v>191</v>
      </c>
      <c r="O47" s="143"/>
    </row>
    <row r="48">
      <c r="A48" s="68">
        <v>13.0</v>
      </c>
      <c r="B48" s="68">
        <v>1337.0</v>
      </c>
      <c r="C48" s="151">
        <v>45584.0</v>
      </c>
      <c r="D48" s="68" t="s">
        <v>315</v>
      </c>
      <c r="E48" s="68" t="s">
        <v>266</v>
      </c>
      <c r="F48" s="68">
        <v>249.0</v>
      </c>
      <c r="G48" s="152">
        <v>45584.0</v>
      </c>
      <c r="H48" s="63" t="s">
        <v>316</v>
      </c>
      <c r="I48" s="34" t="s">
        <v>82</v>
      </c>
      <c r="J48" s="153">
        <v>50.0</v>
      </c>
      <c r="K48" s="77" t="s">
        <v>89</v>
      </c>
      <c r="L48" s="154">
        <v>872.0</v>
      </c>
      <c r="M48" s="36">
        <v>43600.0</v>
      </c>
      <c r="N48" s="41" t="s">
        <v>185</v>
      </c>
      <c r="O48" s="143"/>
    </row>
    <row r="49">
      <c r="A49" s="47"/>
      <c r="B49" s="47"/>
      <c r="C49" s="47"/>
      <c r="D49" s="47"/>
      <c r="E49" s="47"/>
      <c r="F49" s="47"/>
      <c r="G49" s="47"/>
      <c r="H49" s="63" t="s">
        <v>317</v>
      </c>
      <c r="I49" s="34" t="s">
        <v>294</v>
      </c>
      <c r="J49" s="153">
        <v>10.0</v>
      </c>
      <c r="K49" s="77" t="s">
        <v>34</v>
      </c>
      <c r="L49" s="154">
        <v>76.0</v>
      </c>
      <c r="M49" s="36">
        <v>760.0</v>
      </c>
      <c r="N49" s="41" t="s">
        <v>185</v>
      </c>
      <c r="O49" s="143"/>
    </row>
    <row r="50">
      <c r="A50" s="47"/>
      <c r="B50" s="47"/>
      <c r="C50" s="47"/>
      <c r="D50" s="47"/>
      <c r="E50" s="47"/>
      <c r="F50" s="47"/>
      <c r="G50" s="47"/>
      <c r="H50" s="63" t="s">
        <v>318</v>
      </c>
      <c r="I50" s="34" t="s">
        <v>82</v>
      </c>
      <c r="J50" s="153">
        <v>6.0</v>
      </c>
      <c r="K50" s="77" t="s">
        <v>319</v>
      </c>
      <c r="L50" s="154">
        <v>215.0</v>
      </c>
      <c r="M50" s="36">
        <v>1290.0</v>
      </c>
      <c r="N50" s="41" t="s">
        <v>185</v>
      </c>
      <c r="O50" s="143"/>
    </row>
    <row r="51">
      <c r="A51" s="47"/>
      <c r="B51" s="47"/>
      <c r="C51" s="47"/>
      <c r="D51" s="47"/>
      <c r="E51" s="47"/>
      <c r="F51" s="47"/>
      <c r="G51" s="47"/>
      <c r="H51" s="63" t="s">
        <v>320</v>
      </c>
      <c r="I51" s="34" t="s">
        <v>60</v>
      </c>
      <c r="J51" s="153">
        <v>2.0</v>
      </c>
      <c r="K51" s="77" t="s">
        <v>89</v>
      </c>
      <c r="L51" s="154">
        <v>100.0</v>
      </c>
      <c r="M51" s="36">
        <v>200.0</v>
      </c>
      <c r="N51" s="41" t="s">
        <v>185</v>
      </c>
      <c r="O51" s="143"/>
    </row>
    <row r="52">
      <c r="A52" s="48"/>
      <c r="B52" s="48"/>
      <c r="C52" s="48"/>
      <c r="D52" s="48"/>
      <c r="E52" s="48"/>
      <c r="F52" s="48"/>
      <c r="G52" s="48"/>
      <c r="H52" s="63" t="s">
        <v>321</v>
      </c>
      <c r="I52" s="34" t="s">
        <v>82</v>
      </c>
      <c r="J52" s="153">
        <v>6.0</v>
      </c>
      <c r="K52" s="77" t="s">
        <v>89</v>
      </c>
      <c r="L52" s="154">
        <v>65.0</v>
      </c>
      <c r="M52" s="36">
        <v>390.0</v>
      </c>
      <c r="N52" s="41" t="s">
        <v>185</v>
      </c>
      <c r="O52" s="143"/>
    </row>
    <row r="53">
      <c r="A53" s="68">
        <v>14.0</v>
      </c>
      <c r="B53" s="68">
        <v>869.0</v>
      </c>
      <c r="C53" s="151">
        <v>45586.0</v>
      </c>
      <c r="D53" s="68" t="s">
        <v>274</v>
      </c>
      <c r="E53" s="68" t="s">
        <v>266</v>
      </c>
      <c r="F53" s="68" t="s">
        <v>322</v>
      </c>
      <c r="G53" s="152">
        <v>45584.0</v>
      </c>
      <c r="H53" s="63" t="s">
        <v>267</v>
      </c>
      <c r="I53" s="34" t="s">
        <v>268</v>
      </c>
      <c r="J53" s="153">
        <v>2.0</v>
      </c>
      <c r="K53" s="77" t="s">
        <v>89</v>
      </c>
      <c r="L53" s="154">
        <v>1950.0</v>
      </c>
      <c r="M53" s="36">
        <v>3900.0</v>
      </c>
      <c r="N53" s="41" t="s">
        <v>277</v>
      </c>
      <c r="O53" s="143"/>
    </row>
    <row r="54">
      <c r="A54" s="47"/>
      <c r="B54" s="47"/>
      <c r="C54" s="47"/>
      <c r="D54" s="47"/>
      <c r="E54" s="47"/>
      <c r="F54" s="47"/>
      <c r="G54" s="47"/>
      <c r="H54" s="63" t="s">
        <v>323</v>
      </c>
      <c r="I54" s="34" t="s">
        <v>55</v>
      </c>
      <c r="J54" s="153">
        <v>5.0</v>
      </c>
      <c r="K54" s="77" t="s">
        <v>89</v>
      </c>
      <c r="L54" s="154">
        <v>300.0</v>
      </c>
      <c r="M54" s="36">
        <v>1500.0</v>
      </c>
      <c r="N54" s="41" t="s">
        <v>277</v>
      </c>
      <c r="O54" s="143"/>
    </row>
    <row r="55">
      <c r="A55" s="47"/>
      <c r="B55" s="47"/>
      <c r="C55" s="47"/>
      <c r="D55" s="47"/>
      <c r="E55" s="47"/>
      <c r="F55" s="47"/>
      <c r="G55" s="47"/>
      <c r="H55" s="63" t="s">
        <v>324</v>
      </c>
      <c r="I55" s="34" t="s">
        <v>325</v>
      </c>
      <c r="J55" s="153">
        <v>5.0</v>
      </c>
      <c r="K55" s="77" t="s">
        <v>25</v>
      </c>
      <c r="L55" s="154">
        <v>210.0</v>
      </c>
      <c r="M55" s="36">
        <v>1050.0</v>
      </c>
      <c r="N55" s="41" t="s">
        <v>277</v>
      </c>
      <c r="O55" s="143"/>
    </row>
    <row r="56">
      <c r="A56" s="47"/>
      <c r="B56" s="47"/>
      <c r="C56" s="47"/>
      <c r="D56" s="47"/>
      <c r="E56" s="47"/>
      <c r="F56" s="47"/>
      <c r="G56" s="47"/>
      <c r="H56" s="63" t="s">
        <v>326</v>
      </c>
      <c r="I56" s="34" t="s">
        <v>325</v>
      </c>
      <c r="J56" s="153">
        <v>5.0</v>
      </c>
      <c r="K56" s="77" t="s">
        <v>25</v>
      </c>
      <c r="L56" s="154">
        <v>210.0</v>
      </c>
      <c r="M56" s="36">
        <v>1050.0</v>
      </c>
      <c r="N56" s="41" t="s">
        <v>277</v>
      </c>
      <c r="O56" s="143"/>
    </row>
    <row r="57">
      <c r="A57" s="47"/>
      <c r="B57" s="47"/>
      <c r="C57" s="47"/>
      <c r="D57" s="47"/>
      <c r="E57" s="47"/>
      <c r="F57" s="47"/>
      <c r="G57" s="47"/>
      <c r="H57" s="63" t="s">
        <v>327</v>
      </c>
      <c r="I57" s="34" t="s">
        <v>60</v>
      </c>
      <c r="J57" s="153">
        <v>1.0</v>
      </c>
      <c r="K57" s="77" t="s">
        <v>98</v>
      </c>
      <c r="L57" s="154">
        <v>3000.0</v>
      </c>
      <c r="M57" s="36">
        <v>3000.0</v>
      </c>
      <c r="N57" s="41" t="s">
        <v>277</v>
      </c>
      <c r="O57" s="143"/>
    </row>
    <row r="58">
      <c r="A58" s="47"/>
      <c r="B58" s="47"/>
      <c r="C58" s="47"/>
      <c r="D58" s="47"/>
      <c r="E58" s="47"/>
      <c r="F58" s="47"/>
      <c r="G58" s="47"/>
      <c r="H58" s="63" t="s">
        <v>328</v>
      </c>
      <c r="I58" s="34" t="s">
        <v>29</v>
      </c>
      <c r="J58" s="153">
        <v>1.0</v>
      </c>
      <c r="K58" s="77" t="s">
        <v>89</v>
      </c>
      <c r="L58" s="154">
        <v>295.0</v>
      </c>
      <c r="M58" s="36">
        <v>295.0</v>
      </c>
      <c r="N58" s="41" t="s">
        <v>277</v>
      </c>
      <c r="O58" s="143"/>
    </row>
    <row r="59">
      <c r="A59" s="47"/>
      <c r="B59" s="47"/>
      <c r="C59" s="47"/>
      <c r="D59" s="47"/>
      <c r="E59" s="47"/>
      <c r="F59" s="47"/>
      <c r="G59" s="47"/>
      <c r="H59" s="155" t="s">
        <v>329</v>
      </c>
      <c r="I59" s="34" t="s">
        <v>29</v>
      </c>
      <c r="J59" s="153">
        <v>1.0</v>
      </c>
      <c r="K59" s="77" t="s">
        <v>89</v>
      </c>
      <c r="L59" s="154">
        <v>175.0</v>
      </c>
      <c r="M59" s="36">
        <v>175.0</v>
      </c>
      <c r="N59" s="41" t="s">
        <v>277</v>
      </c>
      <c r="O59" s="143"/>
    </row>
    <row r="60">
      <c r="A60" s="47"/>
      <c r="B60" s="47"/>
      <c r="C60" s="47"/>
      <c r="D60" s="47"/>
      <c r="E60" s="47"/>
      <c r="F60" s="47"/>
      <c r="G60" s="47"/>
      <c r="H60" s="63" t="s">
        <v>330</v>
      </c>
      <c r="I60" s="34" t="s">
        <v>29</v>
      </c>
      <c r="J60" s="153">
        <v>2.0</v>
      </c>
      <c r="K60" s="77" t="s">
        <v>89</v>
      </c>
      <c r="L60" s="154">
        <v>875.0</v>
      </c>
      <c r="M60" s="36">
        <v>1750.0</v>
      </c>
      <c r="N60" s="41" t="s">
        <v>277</v>
      </c>
      <c r="O60" s="143"/>
    </row>
    <row r="61">
      <c r="A61" s="47"/>
      <c r="B61" s="47"/>
      <c r="C61" s="47"/>
      <c r="D61" s="47"/>
      <c r="E61" s="47"/>
      <c r="F61" s="47"/>
      <c r="G61" s="47"/>
      <c r="H61" s="63" t="s">
        <v>331</v>
      </c>
      <c r="I61" s="34" t="s">
        <v>29</v>
      </c>
      <c r="J61" s="153">
        <v>3.0</v>
      </c>
      <c r="K61" s="77" t="s">
        <v>89</v>
      </c>
      <c r="L61" s="154">
        <v>35.0</v>
      </c>
      <c r="M61" s="36">
        <v>105.0</v>
      </c>
      <c r="N61" s="41" t="s">
        <v>277</v>
      </c>
      <c r="O61" s="143"/>
    </row>
    <row r="62">
      <c r="A62" s="48"/>
      <c r="B62" s="48"/>
      <c r="C62" s="48"/>
      <c r="D62" s="48"/>
      <c r="E62" s="48"/>
      <c r="F62" s="48"/>
      <c r="G62" s="48"/>
      <c r="H62" s="63" t="s">
        <v>332</v>
      </c>
      <c r="I62" s="34" t="s">
        <v>29</v>
      </c>
      <c r="J62" s="153">
        <v>3.0</v>
      </c>
      <c r="K62" s="77" t="s">
        <v>89</v>
      </c>
      <c r="L62" s="154">
        <v>40.0</v>
      </c>
      <c r="M62" s="36">
        <v>120.0</v>
      </c>
      <c r="N62" s="41" t="s">
        <v>277</v>
      </c>
      <c r="O62" s="143"/>
    </row>
    <row r="63">
      <c r="A63" s="68">
        <v>15.0</v>
      </c>
      <c r="B63" s="68">
        <v>882.0</v>
      </c>
      <c r="C63" s="151">
        <v>45587.0</v>
      </c>
      <c r="D63" s="68" t="s">
        <v>274</v>
      </c>
      <c r="E63" s="68" t="s">
        <v>266</v>
      </c>
      <c r="F63" s="68">
        <v>251.0</v>
      </c>
      <c r="G63" s="152">
        <v>45584.0</v>
      </c>
      <c r="H63" s="63" t="s">
        <v>333</v>
      </c>
      <c r="I63" s="34" t="s">
        <v>51</v>
      </c>
      <c r="J63" s="153">
        <v>2.0</v>
      </c>
      <c r="K63" s="77" t="s">
        <v>89</v>
      </c>
      <c r="L63" s="154">
        <v>450.0</v>
      </c>
      <c r="M63" s="36">
        <v>900.0</v>
      </c>
      <c r="N63" s="41" t="s">
        <v>277</v>
      </c>
      <c r="O63" s="143"/>
    </row>
    <row r="64">
      <c r="A64" s="47"/>
      <c r="B64" s="47"/>
      <c r="C64" s="47"/>
      <c r="D64" s="47"/>
      <c r="E64" s="47"/>
      <c r="F64" s="47"/>
      <c r="G64" s="47"/>
      <c r="H64" s="63" t="s">
        <v>301</v>
      </c>
      <c r="I64" s="34" t="s">
        <v>51</v>
      </c>
      <c r="J64" s="153">
        <v>2.0</v>
      </c>
      <c r="K64" s="77" t="s">
        <v>89</v>
      </c>
      <c r="L64" s="154">
        <v>250.0</v>
      </c>
      <c r="M64" s="36">
        <v>500.0</v>
      </c>
      <c r="N64" s="41" t="s">
        <v>277</v>
      </c>
      <c r="O64" s="143"/>
    </row>
    <row r="65">
      <c r="A65" s="47"/>
      <c r="B65" s="47"/>
      <c r="C65" s="47"/>
      <c r="D65" s="47"/>
      <c r="E65" s="47"/>
      <c r="F65" s="47"/>
      <c r="G65" s="47"/>
      <c r="H65" s="63" t="s">
        <v>334</v>
      </c>
      <c r="I65" s="34" t="s">
        <v>325</v>
      </c>
      <c r="J65" s="153">
        <v>2.0</v>
      </c>
      <c r="K65" s="77" t="s">
        <v>34</v>
      </c>
      <c r="L65" s="154">
        <v>120.0</v>
      </c>
      <c r="M65" s="36">
        <v>240.0</v>
      </c>
      <c r="N65" s="41" t="s">
        <v>277</v>
      </c>
      <c r="O65" s="143"/>
    </row>
    <row r="66">
      <c r="A66" s="47"/>
      <c r="B66" s="47"/>
      <c r="C66" s="47"/>
      <c r="D66" s="47"/>
      <c r="E66" s="47"/>
      <c r="F66" s="47"/>
      <c r="G66" s="47"/>
      <c r="H66" s="63" t="s">
        <v>335</v>
      </c>
      <c r="I66" s="34" t="s">
        <v>55</v>
      </c>
      <c r="J66" s="153">
        <v>1.0</v>
      </c>
      <c r="K66" s="77" t="s">
        <v>98</v>
      </c>
      <c r="L66" s="154">
        <v>70.0</v>
      </c>
      <c r="M66" s="36">
        <v>70.0</v>
      </c>
      <c r="N66" s="41" t="s">
        <v>277</v>
      </c>
      <c r="O66" s="143"/>
    </row>
    <row r="67">
      <c r="A67" s="48"/>
      <c r="B67" s="48"/>
      <c r="C67" s="48"/>
      <c r="D67" s="48"/>
      <c r="E67" s="48"/>
      <c r="F67" s="48"/>
      <c r="G67" s="48"/>
      <c r="H67" s="63" t="s">
        <v>267</v>
      </c>
      <c r="I67" s="34" t="s">
        <v>268</v>
      </c>
      <c r="J67" s="153">
        <v>4.0</v>
      </c>
      <c r="K67" s="77" t="s">
        <v>89</v>
      </c>
      <c r="L67" s="154">
        <v>1950.0</v>
      </c>
      <c r="M67" s="36">
        <v>7800.0</v>
      </c>
      <c r="N67" s="41" t="s">
        <v>277</v>
      </c>
      <c r="O67" s="143"/>
    </row>
    <row r="68">
      <c r="A68" s="31"/>
      <c r="B68" s="31"/>
      <c r="C68" s="32"/>
      <c r="D68" s="31"/>
      <c r="E68" s="31"/>
      <c r="F68" s="31"/>
      <c r="G68" s="161"/>
      <c r="H68" s="155" t="s">
        <v>336</v>
      </c>
      <c r="I68" s="34"/>
      <c r="J68" s="153"/>
      <c r="K68" s="77"/>
      <c r="L68" s="154"/>
      <c r="M68" s="36"/>
      <c r="N68" s="41"/>
      <c r="O68" s="143"/>
    </row>
    <row r="69">
      <c r="A69" s="31">
        <v>16.0</v>
      </c>
      <c r="B69" s="31">
        <v>1421.0</v>
      </c>
      <c r="C69" s="32">
        <v>45607.0</v>
      </c>
      <c r="D69" s="31" t="s">
        <v>337</v>
      </c>
      <c r="E69" s="31" t="s">
        <v>338</v>
      </c>
      <c r="F69" s="31">
        <v>256.0</v>
      </c>
      <c r="G69" s="161">
        <v>45609.0</v>
      </c>
      <c r="H69" s="63" t="s">
        <v>301</v>
      </c>
      <c r="I69" s="34" t="s">
        <v>51</v>
      </c>
      <c r="J69" s="153">
        <v>5.0</v>
      </c>
      <c r="K69" s="77" t="s">
        <v>89</v>
      </c>
      <c r="L69" s="154">
        <v>325.0</v>
      </c>
      <c r="M69" s="36">
        <v>1625.0</v>
      </c>
      <c r="N69" s="41" t="s">
        <v>185</v>
      </c>
      <c r="O69" s="143"/>
    </row>
    <row r="70">
      <c r="A70" s="68">
        <v>17.0</v>
      </c>
      <c r="B70" s="68">
        <v>20961.0</v>
      </c>
      <c r="C70" s="151">
        <v>45609.0</v>
      </c>
      <c r="D70" s="68" t="s">
        <v>339</v>
      </c>
      <c r="E70" s="68" t="s">
        <v>340</v>
      </c>
      <c r="F70" s="68">
        <v>254.0</v>
      </c>
      <c r="G70" s="152">
        <v>45609.0</v>
      </c>
      <c r="H70" s="63" t="s">
        <v>36</v>
      </c>
      <c r="I70" s="34" t="s">
        <v>24</v>
      </c>
      <c r="J70" s="153">
        <v>220.0</v>
      </c>
      <c r="K70" s="77" t="s">
        <v>25</v>
      </c>
      <c r="L70" s="154">
        <v>60.51</v>
      </c>
      <c r="M70" s="36">
        <v>13312.2</v>
      </c>
      <c r="N70" s="41" t="s">
        <v>91</v>
      </c>
      <c r="O70" s="143"/>
    </row>
    <row r="71">
      <c r="A71" s="47"/>
      <c r="B71" s="47"/>
      <c r="C71" s="47"/>
      <c r="D71" s="47"/>
      <c r="E71" s="47"/>
      <c r="F71" s="47"/>
      <c r="G71" s="47"/>
      <c r="H71" s="63" t="s">
        <v>23</v>
      </c>
      <c r="I71" s="34" t="s">
        <v>24</v>
      </c>
      <c r="J71" s="153">
        <v>220.0</v>
      </c>
      <c r="K71" s="77" t="s">
        <v>25</v>
      </c>
      <c r="L71" s="154">
        <v>63.62</v>
      </c>
      <c r="M71" s="36">
        <v>13996.4</v>
      </c>
      <c r="N71" s="41" t="s">
        <v>91</v>
      </c>
      <c r="O71" s="143"/>
    </row>
    <row r="72">
      <c r="A72" s="47"/>
      <c r="B72" s="47"/>
      <c r="C72" s="47"/>
      <c r="D72" s="47"/>
      <c r="E72" s="47"/>
      <c r="F72" s="47"/>
      <c r="G72" s="47"/>
      <c r="H72" s="63" t="s">
        <v>37</v>
      </c>
      <c r="I72" s="34" t="s">
        <v>24</v>
      </c>
      <c r="J72" s="153">
        <v>5.0</v>
      </c>
      <c r="K72" s="77" t="s">
        <v>25</v>
      </c>
      <c r="L72" s="154">
        <v>1512.0</v>
      </c>
      <c r="M72" s="36">
        <v>7560.0</v>
      </c>
      <c r="N72" s="41" t="s">
        <v>91</v>
      </c>
      <c r="O72" s="143"/>
    </row>
    <row r="73">
      <c r="A73" s="47"/>
      <c r="B73" s="47"/>
      <c r="C73" s="47"/>
      <c r="D73" s="47"/>
      <c r="E73" s="47"/>
      <c r="F73" s="47"/>
      <c r="G73" s="47"/>
      <c r="H73" s="63" t="s">
        <v>38</v>
      </c>
      <c r="I73" s="34" t="s">
        <v>24</v>
      </c>
      <c r="J73" s="153">
        <v>5.0</v>
      </c>
      <c r="K73" s="77" t="s">
        <v>25</v>
      </c>
      <c r="L73" s="154">
        <v>228.0</v>
      </c>
      <c r="M73" s="36">
        <v>1140.0</v>
      </c>
      <c r="N73" s="41" t="s">
        <v>91</v>
      </c>
      <c r="O73" s="143"/>
    </row>
    <row r="74">
      <c r="A74" s="48"/>
      <c r="B74" s="48"/>
      <c r="C74" s="48"/>
      <c r="D74" s="48"/>
      <c r="E74" s="48"/>
      <c r="F74" s="48"/>
      <c r="G74" s="48"/>
      <c r="H74" s="63" t="s">
        <v>37</v>
      </c>
      <c r="I74" s="34" t="s">
        <v>24</v>
      </c>
      <c r="J74" s="153">
        <v>1.0</v>
      </c>
      <c r="K74" s="77" t="s">
        <v>25</v>
      </c>
      <c r="L74" s="154">
        <v>5850.0</v>
      </c>
      <c r="M74" s="36">
        <v>5850.0</v>
      </c>
      <c r="N74" s="41" t="s">
        <v>91</v>
      </c>
      <c r="O74" s="143"/>
    </row>
    <row r="75">
      <c r="A75" s="31">
        <v>18.0</v>
      </c>
      <c r="B75" s="31">
        <v>693.0</v>
      </c>
      <c r="C75" s="32">
        <v>45609.0</v>
      </c>
      <c r="D75" s="31" t="s">
        <v>339</v>
      </c>
      <c r="E75" s="31" t="s">
        <v>340</v>
      </c>
      <c r="F75" s="31">
        <v>255.0</v>
      </c>
      <c r="G75" s="161">
        <v>45609.0</v>
      </c>
      <c r="H75" s="63" t="s">
        <v>41</v>
      </c>
      <c r="I75" s="34" t="s">
        <v>42</v>
      </c>
      <c r="J75" s="153">
        <v>2.0</v>
      </c>
      <c r="K75" s="77" t="s">
        <v>89</v>
      </c>
      <c r="L75" s="154">
        <v>2000.0</v>
      </c>
      <c r="M75" s="36">
        <v>4000.0</v>
      </c>
      <c r="N75" s="41" t="s">
        <v>341</v>
      </c>
      <c r="O75" s="143"/>
    </row>
    <row r="76">
      <c r="A76" s="31">
        <v>19.0</v>
      </c>
      <c r="B76" s="31">
        <v>935.0</v>
      </c>
      <c r="C76" s="32">
        <v>45609.0</v>
      </c>
      <c r="D76" s="31" t="s">
        <v>342</v>
      </c>
      <c r="E76" s="31" t="s">
        <v>338</v>
      </c>
      <c r="F76" s="31">
        <v>255.0</v>
      </c>
      <c r="G76" s="161">
        <v>45609.0</v>
      </c>
      <c r="H76" s="63" t="s">
        <v>267</v>
      </c>
      <c r="I76" s="34" t="s">
        <v>268</v>
      </c>
      <c r="J76" s="153">
        <v>10.0</v>
      </c>
      <c r="K76" s="77" t="s">
        <v>89</v>
      </c>
      <c r="L76" s="154">
        <v>1950.0</v>
      </c>
      <c r="M76" s="36">
        <v>19500.0</v>
      </c>
      <c r="N76" s="41" t="s">
        <v>277</v>
      </c>
      <c r="O76" s="143"/>
    </row>
    <row r="77">
      <c r="A77" s="31"/>
      <c r="B77" s="156"/>
      <c r="C77" s="32"/>
      <c r="D77" s="31"/>
      <c r="E77" s="157"/>
      <c r="F77" s="31">
        <v>255.0</v>
      </c>
      <c r="G77" s="158"/>
      <c r="H77" s="155" t="s">
        <v>308</v>
      </c>
      <c r="I77" s="34"/>
      <c r="J77" s="153">
        <v>20.0</v>
      </c>
      <c r="K77" s="64"/>
      <c r="L77" s="154"/>
      <c r="M77" s="171"/>
      <c r="N77" s="160"/>
      <c r="O77" s="143"/>
    </row>
    <row r="78">
      <c r="A78" s="31"/>
      <c r="B78" s="156"/>
      <c r="C78" s="32"/>
      <c r="D78" s="31"/>
      <c r="E78" s="157"/>
      <c r="F78" s="31">
        <v>255.0</v>
      </c>
      <c r="G78" s="158"/>
      <c r="H78" s="155" t="s">
        <v>307</v>
      </c>
      <c r="I78" s="34"/>
      <c r="J78" s="153">
        <v>20.0</v>
      </c>
      <c r="K78" s="64"/>
      <c r="L78" s="154"/>
      <c r="M78" s="171"/>
      <c r="N78" s="160"/>
      <c r="O78" s="143"/>
    </row>
    <row r="79">
      <c r="A79" s="31">
        <v>20.0</v>
      </c>
      <c r="B79" s="156" t="s">
        <v>92</v>
      </c>
      <c r="C79" s="32">
        <v>45610.0</v>
      </c>
      <c r="D79" s="31" t="s">
        <v>271</v>
      </c>
      <c r="E79" s="157">
        <v>45982.0</v>
      </c>
      <c r="F79" s="31" t="s">
        <v>92</v>
      </c>
      <c r="G79" s="158"/>
      <c r="H79" s="63" t="s">
        <v>343</v>
      </c>
      <c r="I79" s="34" t="s">
        <v>273</v>
      </c>
      <c r="J79" s="159"/>
      <c r="K79" s="64"/>
      <c r="L79" s="154">
        <v>18689.0</v>
      </c>
      <c r="M79" s="171">
        <v>18689.0</v>
      </c>
      <c r="N79" s="160"/>
      <c r="O79" s="143"/>
    </row>
    <row r="80">
      <c r="A80" s="68">
        <v>21.0</v>
      </c>
      <c r="B80" s="68">
        <v>1419.0</v>
      </c>
      <c r="C80" s="151">
        <v>45611.0</v>
      </c>
      <c r="D80" s="68" t="s">
        <v>337</v>
      </c>
      <c r="E80" s="68" t="s">
        <v>338</v>
      </c>
      <c r="F80" s="68" t="s">
        <v>344</v>
      </c>
      <c r="G80" s="152">
        <v>45609.0</v>
      </c>
      <c r="H80" s="63" t="s">
        <v>345</v>
      </c>
      <c r="I80" s="34" t="s">
        <v>276</v>
      </c>
      <c r="J80" s="153">
        <v>30.0</v>
      </c>
      <c r="K80" s="77" t="s">
        <v>89</v>
      </c>
      <c r="L80" s="154">
        <v>195.0</v>
      </c>
      <c r="M80" s="36">
        <v>5850.0</v>
      </c>
      <c r="N80" s="41" t="s">
        <v>185</v>
      </c>
      <c r="O80" s="143"/>
    </row>
    <row r="81">
      <c r="A81" s="47"/>
      <c r="B81" s="47"/>
      <c r="C81" s="47"/>
      <c r="D81" s="47"/>
      <c r="E81" s="47"/>
      <c r="F81" s="47"/>
      <c r="G81" s="47"/>
      <c r="H81" s="63" t="s">
        <v>346</v>
      </c>
      <c r="I81" s="34" t="s">
        <v>276</v>
      </c>
      <c r="J81" s="153">
        <v>30.0</v>
      </c>
      <c r="K81" s="77" t="s">
        <v>89</v>
      </c>
      <c r="L81" s="154">
        <v>25.0</v>
      </c>
      <c r="M81" s="36">
        <v>750.0</v>
      </c>
      <c r="N81" s="41" t="s">
        <v>185</v>
      </c>
      <c r="O81" s="143"/>
    </row>
    <row r="82">
      <c r="A82" s="47"/>
      <c r="B82" s="47"/>
      <c r="C82" s="47"/>
      <c r="D82" s="47"/>
      <c r="E82" s="47"/>
      <c r="F82" s="47"/>
      <c r="G82" s="47"/>
      <c r="H82" s="63" t="s">
        <v>281</v>
      </c>
      <c r="I82" s="34" t="s">
        <v>276</v>
      </c>
      <c r="J82" s="153">
        <v>400.0</v>
      </c>
      <c r="K82" s="77" t="s">
        <v>74</v>
      </c>
      <c r="L82" s="154">
        <v>17.0</v>
      </c>
      <c r="M82" s="36">
        <v>6800.0</v>
      </c>
      <c r="N82" s="41" t="s">
        <v>185</v>
      </c>
      <c r="O82" s="143"/>
    </row>
    <row r="83">
      <c r="A83" s="47"/>
      <c r="B83" s="47"/>
      <c r="C83" s="47"/>
      <c r="D83" s="47"/>
      <c r="E83" s="47"/>
      <c r="F83" s="47"/>
      <c r="G83" s="47"/>
      <c r="H83" s="63" t="s">
        <v>288</v>
      </c>
      <c r="I83" s="34" t="s">
        <v>276</v>
      </c>
      <c r="J83" s="153">
        <v>10.0</v>
      </c>
      <c r="K83" s="77" t="s">
        <v>98</v>
      </c>
      <c r="L83" s="154">
        <v>12.0</v>
      </c>
      <c r="M83" s="36">
        <v>120.0</v>
      </c>
      <c r="N83" s="41" t="s">
        <v>185</v>
      </c>
      <c r="O83" s="143"/>
    </row>
    <row r="84">
      <c r="A84" s="47"/>
      <c r="B84" s="47"/>
      <c r="C84" s="47"/>
      <c r="D84" s="47"/>
      <c r="E84" s="47"/>
      <c r="F84" s="47"/>
      <c r="G84" s="47"/>
      <c r="H84" s="63" t="s">
        <v>299</v>
      </c>
      <c r="I84" s="34" t="s">
        <v>51</v>
      </c>
      <c r="J84" s="153">
        <v>6.0</v>
      </c>
      <c r="K84" s="77" t="s">
        <v>89</v>
      </c>
      <c r="L84" s="154">
        <v>230.0</v>
      </c>
      <c r="M84" s="36">
        <v>1380.0</v>
      </c>
      <c r="N84" s="41" t="s">
        <v>185</v>
      </c>
      <c r="O84" s="143"/>
    </row>
    <row r="85">
      <c r="A85" s="47"/>
      <c r="B85" s="47"/>
      <c r="C85" s="47"/>
      <c r="D85" s="47"/>
      <c r="E85" s="47"/>
      <c r="F85" s="47"/>
      <c r="G85" s="47"/>
      <c r="H85" s="63" t="s">
        <v>347</v>
      </c>
      <c r="I85" s="34" t="s">
        <v>51</v>
      </c>
      <c r="J85" s="153">
        <v>5.0</v>
      </c>
      <c r="K85" s="77" t="s">
        <v>89</v>
      </c>
      <c r="L85" s="154">
        <v>290.0</v>
      </c>
      <c r="M85" s="36">
        <v>1450.0</v>
      </c>
      <c r="N85" s="41" t="s">
        <v>185</v>
      </c>
      <c r="O85" s="143"/>
    </row>
    <row r="86">
      <c r="A86" s="47"/>
      <c r="B86" s="47"/>
      <c r="C86" s="47"/>
      <c r="D86" s="47"/>
      <c r="E86" s="47"/>
      <c r="F86" s="47"/>
      <c r="G86" s="47"/>
      <c r="H86" s="63" t="s">
        <v>309</v>
      </c>
      <c r="I86" s="34" t="s">
        <v>51</v>
      </c>
      <c r="J86" s="153">
        <v>5.0</v>
      </c>
      <c r="K86" s="77" t="s">
        <v>89</v>
      </c>
      <c r="L86" s="154">
        <v>350.0</v>
      </c>
      <c r="M86" s="36">
        <v>1750.0</v>
      </c>
      <c r="N86" s="41" t="s">
        <v>185</v>
      </c>
      <c r="O86" s="143"/>
    </row>
    <row r="87">
      <c r="A87" s="47"/>
      <c r="B87" s="47"/>
      <c r="C87" s="47"/>
      <c r="D87" s="47"/>
      <c r="E87" s="47"/>
      <c r="F87" s="47"/>
      <c r="G87" s="47"/>
      <c r="H87" s="63" t="s">
        <v>329</v>
      </c>
      <c r="I87" s="34" t="s">
        <v>55</v>
      </c>
      <c r="J87" s="153">
        <v>2.0</v>
      </c>
      <c r="K87" s="77" t="s">
        <v>89</v>
      </c>
      <c r="L87" s="154">
        <v>120.0</v>
      </c>
      <c r="M87" s="36">
        <v>240.0</v>
      </c>
      <c r="N87" s="41" t="s">
        <v>185</v>
      </c>
      <c r="O87" s="143"/>
    </row>
    <row r="88">
      <c r="A88" s="47"/>
      <c r="B88" s="47"/>
      <c r="C88" s="47"/>
      <c r="D88" s="47"/>
      <c r="E88" s="47"/>
      <c r="F88" s="47"/>
      <c r="G88" s="47"/>
      <c r="H88" s="63" t="s">
        <v>348</v>
      </c>
      <c r="I88" s="34" t="s">
        <v>294</v>
      </c>
      <c r="J88" s="153">
        <v>50.0</v>
      </c>
      <c r="K88" s="77" t="s">
        <v>34</v>
      </c>
      <c r="L88" s="154">
        <v>76.0</v>
      </c>
      <c r="M88" s="36">
        <v>3800.0</v>
      </c>
      <c r="N88" s="41" t="s">
        <v>185</v>
      </c>
      <c r="O88" s="143"/>
    </row>
    <row r="89">
      <c r="A89" s="47"/>
      <c r="B89" s="47"/>
      <c r="C89" s="47"/>
      <c r="D89" s="47"/>
      <c r="E89" s="47"/>
      <c r="F89" s="47"/>
      <c r="G89" s="47"/>
      <c r="H89" s="63" t="s">
        <v>349</v>
      </c>
      <c r="I89" s="34" t="s">
        <v>294</v>
      </c>
      <c r="J89" s="153">
        <v>50.0</v>
      </c>
      <c r="K89" s="77" t="s">
        <v>34</v>
      </c>
      <c r="L89" s="154">
        <v>76.0</v>
      </c>
      <c r="M89" s="36">
        <v>3800.0</v>
      </c>
      <c r="N89" s="41" t="s">
        <v>185</v>
      </c>
      <c r="O89" s="143"/>
    </row>
    <row r="90">
      <c r="A90" s="47"/>
      <c r="B90" s="47"/>
      <c r="C90" s="47"/>
      <c r="D90" s="47"/>
      <c r="E90" s="47"/>
      <c r="F90" s="47"/>
      <c r="G90" s="47"/>
      <c r="H90" s="63" t="s">
        <v>350</v>
      </c>
      <c r="I90" s="34" t="s">
        <v>294</v>
      </c>
      <c r="J90" s="153">
        <v>50.0</v>
      </c>
      <c r="K90" s="77" t="s">
        <v>34</v>
      </c>
      <c r="L90" s="154">
        <v>76.0</v>
      </c>
      <c r="M90" s="36">
        <v>3800.0</v>
      </c>
      <c r="N90" s="41" t="s">
        <v>185</v>
      </c>
      <c r="O90" s="143"/>
    </row>
    <row r="91">
      <c r="A91" s="47"/>
      <c r="B91" s="47"/>
      <c r="C91" s="47"/>
      <c r="D91" s="47"/>
      <c r="E91" s="47"/>
      <c r="F91" s="47"/>
      <c r="G91" s="47"/>
      <c r="H91" s="63" t="s">
        <v>351</v>
      </c>
      <c r="I91" s="34" t="s">
        <v>294</v>
      </c>
      <c r="J91" s="153">
        <v>50.0</v>
      </c>
      <c r="K91" s="77" t="s">
        <v>34</v>
      </c>
      <c r="L91" s="154">
        <v>76.0</v>
      </c>
      <c r="M91" s="36">
        <v>3800.0</v>
      </c>
      <c r="N91" s="41" t="s">
        <v>185</v>
      </c>
      <c r="O91" s="143"/>
    </row>
    <row r="92">
      <c r="A92" s="47"/>
      <c r="B92" s="47"/>
      <c r="C92" s="47"/>
      <c r="D92" s="47"/>
      <c r="E92" s="47"/>
      <c r="F92" s="47"/>
      <c r="G92" s="47"/>
      <c r="H92" s="63" t="s">
        <v>352</v>
      </c>
      <c r="I92" s="34" t="s">
        <v>294</v>
      </c>
      <c r="J92" s="153">
        <v>50.0</v>
      </c>
      <c r="K92" s="77" t="s">
        <v>34</v>
      </c>
      <c r="L92" s="154">
        <v>78.0</v>
      </c>
      <c r="M92" s="36">
        <v>3900.0</v>
      </c>
      <c r="N92" s="41" t="s">
        <v>185</v>
      </c>
      <c r="O92" s="143"/>
    </row>
    <row r="93">
      <c r="A93" s="47"/>
      <c r="B93" s="47"/>
      <c r="C93" s="47"/>
      <c r="D93" s="47"/>
      <c r="E93" s="47"/>
      <c r="F93" s="47"/>
      <c r="G93" s="47"/>
      <c r="H93" s="63" t="s">
        <v>353</v>
      </c>
      <c r="I93" s="34" t="s">
        <v>29</v>
      </c>
      <c r="J93" s="153">
        <v>5.0</v>
      </c>
      <c r="K93" s="77" t="s">
        <v>89</v>
      </c>
      <c r="L93" s="154">
        <v>230.0</v>
      </c>
      <c r="M93" s="36">
        <v>1150.0</v>
      </c>
      <c r="N93" s="41" t="s">
        <v>185</v>
      </c>
      <c r="O93" s="143"/>
    </row>
    <row r="94">
      <c r="A94" s="47"/>
      <c r="B94" s="47"/>
      <c r="C94" s="47"/>
      <c r="D94" s="47"/>
      <c r="E94" s="47"/>
      <c r="F94" s="47"/>
      <c r="G94" s="47"/>
      <c r="H94" s="63" t="s">
        <v>354</v>
      </c>
      <c r="I94" s="34" t="s">
        <v>60</v>
      </c>
      <c r="J94" s="153">
        <v>1.0</v>
      </c>
      <c r="K94" s="77" t="s">
        <v>98</v>
      </c>
      <c r="L94" s="154">
        <v>3000.0</v>
      </c>
      <c r="M94" s="36">
        <v>3000.0</v>
      </c>
      <c r="N94" s="41" t="s">
        <v>185</v>
      </c>
      <c r="O94" s="143"/>
    </row>
    <row r="95">
      <c r="A95" s="48"/>
      <c r="B95" s="48"/>
      <c r="C95" s="48"/>
      <c r="D95" s="48"/>
      <c r="E95" s="48"/>
      <c r="F95" s="48"/>
      <c r="G95" s="48"/>
      <c r="H95" s="63" t="s">
        <v>355</v>
      </c>
      <c r="I95" s="34" t="s">
        <v>29</v>
      </c>
      <c r="J95" s="153">
        <v>6.0</v>
      </c>
      <c r="K95" s="77" t="s">
        <v>89</v>
      </c>
      <c r="L95" s="154">
        <v>1800.0</v>
      </c>
      <c r="M95" s="36">
        <v>10800.0</v>
      </c>
      <c r="N95" s="41" t="s">
        <v>185</v>
      </c>
      <c r="O95" s="143"/>
    </row>
    <row r="96">
      <c r="A96" s="31">
        <v>22.0</v>
      </c>
      <c r="B96" s="31" t="s">
        <v>356</v>
      </c>
      <c r="C96" s="32">
        <v>45976.0</v>
      </c>
      <c r="D96" s="31" t="s">
        <v>357</v>
      </c>
      <c r="E96" s="32">
        <v>45672.0</v>
      </c>
      <c r="F96" s="31" t="s">
        <v>92</v>
      </c>
      <c r="G96" s="158"/>
      <c r="H96" s="63" t="s">
        <v>358</v>
      </c>
      <c r="I96" s="34" t="s">
        <v>42</v>
      </c>
      <c r="J96" s="153">
        <v>1.0</v>
      </c>
      <c r="K96" s="77" t="s">
        <v>89</v>
      </c>
      <c r="L96" s="154">
        <v>372.7</v>
      </c>
      <c r="M96" s="154">
        <v>372.7</v>
      </c>
      <c r="N96" s="65" t="s">
        <v>35</v>
      </c>
      <c r="O96" s="143"/>
    </row>
    <row r="97">
      <c r="A97" s="31">
        <v>23.0</v>
      </c>
      <c r="B97" s="31">
        <v>729281.0</v>
      </c>
      <c r="C97" s="32">
        <v>45613.0</v>
      </c>
      <c r="D97" s="31" t="s">
        <v>339</v>
      </c>
      <c r="E97" s="31" t="s">
        <v>340</v>
      </c>
      <c r="F97" s="31">
        <v>259.0</v>
      </c>
      <c r="G97" s="161">
        <v>45610.0</v>
      </c>
      <c r="H97" s="63" t="s">
        <v>23</v>
      </c>
      <c r="I97" s="34" t="s">
        <v>24</v>
      </c>
      <c r="J97" s="153">
        <v>645.0</v>
      </c>
      <c r="K97" s="77" t="s">
        <v>25</v>
      </c>
      <c r="L97" s="154">
        <v>65.38</v>
      </c>
      <c r="M97" s="41">
        <v>42170.0</v>
      </c>
      <c r="N97" s="41" t="s">
        <v>91</v>
      </c>
      <c r="O97" s="143"/>
    </row>
    <row r="98">
      <c r="A98" s="31">
        <v>24.0</v>
      </c>
      <c r="B98" s="31">
        <v>9.0</v>
      </c>
      <c r="C98" s="32">
        <v>45613.0</v>
      </c>
      <c r="D98" s="31" t="s">
        <v>339</v>
      </c>
      <c r="E98" s="31" t="s">
        <v>340</v>
      </c>
      <c r="F98" s="31">
        <v>259.0</v>
      </c>
      <c r="G98" s="161">
        <v>45610.0</v>
      </c>
      <c r="H98" s="63" t="s">
        <v>41</v>
      </c>
      <c r="I98" s="34" t="s">
        <v>42</v>
      </c>
      <c r="J98" s="153">
        <v>3.0</v>
      </c>
      <c r="K98" s="77" t="s">
        <v>89</v>
      </c>
      <c r="L98" s="154">
        <v>2000.0</v>
      </c>
      <c r="M98" s="41">
        <v>6000.0</v>
      </c>
      <c r="N98" s="41" t="s">
        <v>148</v>
      </c>
      <c r="O98" s="143"/>
    </row>
    <row r="99">
      <c r="A99" s="31">
        <v>25.0</v>
      </c>
      <c r="B99" s="31" t="s">
        <v>359</v>
      </c>
      <c r="C99" s="32">
        <v>45979.0</v>
      </c>
      <c r="D99" s="31" t="s">
        <v>357</v>
      </c>
      <c r="E99" s="32">
        <v>45672.0</v>
      </c>
      <c r="F99" s="31" t="s">
        <v>92</v>
      </c>
      <c r="G99" s="158"/>
      <c r="H99" s="63" t="s">
        <v>358</v>
      </c>
      <c r="I99" s="34" t="s">
        <v>42</v>
      </c>
      <c r="J99" s="153">
        <v>1.0</v>
      </c>
      <c r="K99" s="77" t="s">
        <v>89</v>
      </c>
      <c r="L99" s="154">
        <v>427.5</v>
      </c>
      <c r="M99" s="154">
        <v>427.5</v>
      </c>
      <c r="N99" s="65" t="s">
        <v>35</v>
      </c>
      <c r="O99" s="143"/>
    </row>
    <row r="100">
      <c r="A100" s="68">
        <v>26.0</v>
      </c>
      <c r="B100" s="68">
        <v>835.0</v>
      </c>
      <c r="C100" s="151">
        <v>45615.0</v>
      </c>
      <c r="D100" s="68" t="s">
        <v>360</v>
      </c>
      <c r="E100" s="151">
        <v>45635.0</v>
      </c>
      <c r="F100" s="68">
        <v>260.0</v>
      </c>
      <c r="G100" s="152">
        <v>45617.0</v>
      </c>
      <c r="H100" s="63" t="s">
        <v>361</v>
      </c>
      <c r="I100" s="34" t="s">
        <v>276</v>
      </c>
      <c r="J100" s="153">
        <v>450.0</v>
      </c>
      <c r="K100" s="77" t="s">
        <v>74</v>
      </c>
      <c r="L100" s="154">
        <v>21.0</v>
      </c>
      <c r="M100" s="154">
        <v>9450.0</v>
      </c>
      <c r="N100" s="41" t="s">
        <v>362</v>
      </c>
      <c r="O100" s="143"/>
    </row>
    <row r="101">
      <c r="A101" s="47"/>
      <c r="B101" s="47"/>
      <c r="C101" s="47"/>
      <c r="D101" s="47"/>
      <c r="E101" s="47"/>
      <c r="F101" s="47"/>
      <c r="G101" s="47"/>
      <c r="H101" s="63" t="s">
        <v>363</v>
      </c>
      <c r="I101" s="34" t="s">
        <v>276</v>
      </c>
      <c r="J101" s="153">
        <v>270.0</v>
      </c>
      <c r="K101" s="77" t="s">
        <v>74</v>
      </c>
      <c r="L101" s="154">
        <v>38.0</v>
      </c>
      <c r="M101" s="154">
        <v>10260.0</v>
      </c>
      <c r="N101" s="41" t="s">
        <v>362</v>
      </c>
      <c r="O101" s="143"/>
    </row>
    <row r="102">
      <c r="A102" s="48"/>
      <c r="B102" s="48"/>
      <c r="C102" s="48"/>
      <c r="D102" s="48"/>
      <c r="E102" s="48"/>
      <c r="F102" s="48"/>
      <c r="G102" s="48"/>
      <c r="H102" s="63" t="s">
        <v>364</v>
      </c>
      <c r="I102" s="34" t="s">
        <v>51</v>
      </c>
      <c r="J102" s="153">
        <v>7.0</v>
      </c>
      <c r="K102" s="77" t="s">
        <v>156</v>
      </c>
      <c r="L102" s="154">
        <v>1150.0</v>
      </c>
      <c r="M102" s="154">
        <v>8050.0</v>
      </c>
      <c r="N102" s="41" t="s">
        <v>362</v>
      </c>
      <c r="O102" s="143"/>
    </row>
    <row r="103">
      <c r="A103" s="31">
        <v>27.0</v>
      </c>
      <c r="B103" s="31">
        <v>753814.0</v>
      </c>
      <c r="C103" s="32">
        <v>45621.0</v>
      </c>
      <c r="D103" s="31" t="s">
        <v>365</v>
      </c>
      <c r="E103" s="31" t="s">
        <v>366</v>
      </c>
      <c r="F103" s="31">
        <v>261.0</v>
      </c>
      <c r="G103" s="161">
        <v>45622.0</v>
      </c>
      <c r="H103" s="63" t="s">
        <v>23</v>
      </c>
      <c r="I103" s="34" t="s">
        <v>24</v>
      </c>
      <c r="J103" s="153">
        <v>430.0</v>
      </c>
      <c r="K103" s="77" t="s">
        <v>25</v>
      </c>
      <c r="L103" s="154">
        <v>65.38</v>
      </c>
      <c r="M103" s="154">
        <v>28114.0</v>
      </c>
      <c r="N103" s="41" t="s">
        <v>91</v>
      </c>
      <c r="O103" s="143"/>
    </row>
    <row r="104">
      <c r="A104" s="68">
        <v>28.0</v>
      </c>
      <c r="B104" s="68">
        <v>114658.0</v>
      </c>
      <c r="C104" s="151">
        <v>45621.0</v>
      </c>
      <c r="D104" s="68" t="s">
        <v>365</v>
      </c>
      <c r="E104" s="68" t="s">
        <v>366</v>
      </c>
      <c r="F104" s="68">
        <v>261.0</v>
      </c>
      <c r="G104" s="152">
        <v>45622.0</v>
      </c>
      <c r="H104" s="63" t="s">
        <v>38</v>
      </c>
      <c r="I104" s="34" t="s">
        <v>24</v>
      </c>
      <c r="J104" s="153">
        <v>40.0</v>
      </c>
      <c r="K104" s="77" t="s">
        <v>39</v>
      </c>
      <c r="L104" s="154">
        <v>20.0</v>
      </c>
      <c r="M104" s="154">
        <v>800.0</v>
      </c>
      <c r="N104" s="41" t="s">
        <v>102</v>
      </c>
      <c r="O104" s="143"/>
    </row>
    <row r="105">
      <c r="A105" s="48"/>
      <c r="B105" s="48"/>
      <c r="C105" s="48"/>
      <c r="D105" s="48"/>
      <c r="E105" s="48"/>
      <c r="F105" s="48"/>
      <c r="G105" s="48"/>
      <c r="H105" s="63" t="s">
        <v>37</v>
      </c>
      <c r="I105" s="34" t="s">
        <v>24</v>
      </c>
      <c r="J105" s="153">
        <v>10.0</v>
      </c>
      <c r="K105" s="77" t="s">
        <v>25</v>
      </c>
      <c r="L105" s="154">
        <v>339.0</v>
      </c>
      <c r="M105" s="154">
        <v>3390.0</v>
      </c>
      <c r="N105" s="41" t="s">
        <v>102</v>
      </c>
      <c r="O105" s="143"/>
    </row>
    <row r="106">
      <c r="A106" s="31">
        <v>29.0</v>
      </c>
      <c r="B106" s="31">
        <v>114762.0</v>
      </c>
      <c r="C106" s="32">
        <v>45625.0</v>
      </c>
      <c r="D106" s="31" t="s">
        <v>365</v>
      </c>
      <c r="E106" s="31" t="s">
        <v>366</v>
      </c>
      <c r="F106" s="31">
        <v>263.0</v>
      </c>
      <c r="G106" s="161">
        <v>45626.0</v>
      </c>
      <c r="H106" s="63" t="s">
        <v>23</v>
      </c>
      <c r="I106" s="34" t="s">
        <v>24</v>
      </c>
      <c r="J106" s="153">
        <v>645.0</v>
      </c>
      <c r="K106" s="77" t="s">
        <v>25</v>
      </c>
      <c r="L106" s="154">
        <v>65.38</v>
      </c>
      <c r="M106" s="154">
        <v>42170.0</v>
      </c>
      <c r="N106" s="41" t="s">
        <v>102</v>
      </c>
      <c r="O106" s="143"/>
    </row>
    <row r="107">
      <c r="A107" s="68">
        <v>30.0</v>
      </c>
      <c r="B107" s="68">
        <v>150.0</v>
      </c>
      <c r="C107" s="151">
        <v>45625.0</v>
      </c>
      <c r="D107" s="68" t="s">
        <v>367</v>
      </c>
      <c r="E107" s="68" t="s">
        <v>338</v>
      </c>
      <c r="F107" s="68">
        <v>263.0</v>
      </c>
      <c r="G107" s="152">
        <v>45626.0</v>
      </c>
      <c r="H107" s="63" t="s">
        <v>267</v>
      </c>
      <c r="I107" s="34" t="s">
        <v>268</v>
      </c>
      <c r="J107" s="153">
        <v>3.0</v>
      </c>
      <c r="K107" s="77" t="s">
        <v>89</v>
      </c>
      <c r="L107" s="154">
        <v>1100.0</v>
      </c>
      <c r="M107" s="154">
        <v>3300.0</v>
      </c>
      <c r="N107" s="41" t="s">
        <v>368</v>
      </c>
      <c r="O107" s="143"/>
    </row>
    <row r="108">
      <c r="A108" s="48"/>
      <c r="B108" s="48"/>
      <c r="C108" s="48"/>
      <c r="D108" s="48"/>
      <c r="E108" s="48"/>
      <c r="F108" s="48"/>
      <c r="G108" s="48"/>
      <c r="H108" s="63" t="s">
        <v>369</v>
      </c>
      <c r="I108" s="34" t="s">
        <v>268</v>
      </c>
      <c r="J108" s="153">
        <v>1.0</v>
      </c>
      <c r="K108" s="77" t="s">
        <v>98</v>
      </c>
      <c r="L108" s="154">
        <v>3080.0</v>
      </c>
      <c r="M108" s="154">
        <v>3080.0</v>
      </c>
      <c r="N108" s="41" t="s">
        <v>368</v>
      </c>
      <c r="O108" s="143"/>
    </row>
    <row r="109">
      <c r="A109" s="31">
        <v>31.0</v>
      </c>
      <c r="B109" s="31">
        <v>2739.0</v>
      </c>
      <c r="C109" s="32">
        <v>45626.0</v>
      </c>
      <c r="D109" s="31" t="s">
        <v>365</v>
      </c>
      <c r="E109" s="31" t="s">
        <v>366</v>
      </c>
      <c r="F109" s="31">
        <v>264.0</v>
      </c>
      <c r="G109" s="161">
        <v>45626.0</v>
      </c>
      <c r="H109" s="63" t="s">
        <v>370</v>
      </c>
      <c r="I109" s="34" t="s">
        <v>42</v>
      </c>
      <c r="J109" s="153">
        <v>1.0</v>
      </c>
      <c r="K109" s="77" t="s">
        <v>89</v>
      </c>
      <c r="L109" s="154">
        <v>550.0</v>
      </c>
      <c r="M109" s="154">
        <v>550.0</v>
      </c>
      <c r="N109" s="41" t="s">
        <v>371</v>
      </c>
      <c r="O109" s="143"/>
    </row>
    <row r="110">
      <c r="A110" s="31"/>
      <c r="B110" s="31"/>
      <c r="C110" s="32"/>
      <c r="D110" s="31"/>
      <c r="E110" s="31"/>
      <c r="F110" s="31">
        <v>264.0</v>
      </c>
      <c r="G110" s="161">
        <v>45626.0</v>
      </c>
      <c r="H110" s="155" t="s">
        <v>372</v>
      </c>
      <c r="I110" s="34"/>
      <c r="J110" s="153">
        <v>1.0</v>
      </c>
      <c r="K110" s="77"/>
      <c r="L110" s="154"/>
      <c r="M110" s="154"/>
      <c r="N110" s="41"/>
      <c r="O110" s="143"/>
    </row>
    <row r="111">
      <c r="A111" s="68">
        <v>32.0</v>
      </c>
      <c r="B111" s="68">
        <v>857.0</v>
      </c>
      <c r="C111" s="151">
        <v>45631.0</v>
      </c>
      <c r="D111" s="68" t="s">
        <v>373</v>
      </c>
      <c r="E111" s="68" t="s">
        <v>374</v>
      </c>
      <c r="F111" s="68">
        <v>265.0</v>
      </c>
      <c r="G111" s="152">
        <v>45632.0</v>
      </c>
      <c r="H111" s="63" t="s">
        <v>267</v>
      </c>
      <c r="I111" s="34" t="s">
        <v>268</v>
      </c>
      <c r="J111" s="153">
        <v>10.0</v>
      </c>
      <c r="K111" s="77" t="s">
        <v>89</v>
      </c>
      <c r="L111" s="154">
        <v>1100.0</v>
      </c>
      <c r="M111" s="154">
        <v>11000.0</v>
      </c>
      <c r="N111" s="41" t="s">
        <v>99</v>
      </c>
      <c r="O111" s="143"/>
    </row>
    <row r="112">
      <c r="A112" s="48"/>
      <c r="B112" s="48"/>
      <c r="C112" s="48"/>
      <c r="D112" s="48"/>
      <c r="E112" s="48"/>
      <c r="F112" s="48"/>
      <c r="G112" s="48"/>
      <c r="H112" s="63" t="s">
        <v>375</v>
      </c>
      <c r="I112" s="34" t="s">
        <v>51</v>
      </c>
      <c r="J112" s="153">
        <v>1.0</v>
      </c>
      <c r="K112" s="77" t="s">
        <v>89</v>
      </c>
      <c r="L112" s="154">
        <v>160.0</v>
      </c>
      <c r="M112" s="154">
        <v>160.0</v>
      </c>
      <c r="N112" s="41" t="s">
        <v>99</v>
      </c>
      <c r="O112" s="143"/>
    </row>
    <row r="113">
      <c r="A113" s="31"/>
      <c r="B113" s="31"/>
      <c r="C113" s="32"/>
      <c r="D113" s="31"/>
      <c r="E113" s="157"/>
      <c r="F113" s="31">
        <v>265.0</v>
      </c>
      <c r="G113" s="161"/>
      <c r="H113" s="63" t="s">
        <v>307</v>
      </c>
      <c r="I113" s="34"/>
      <c r="J113" s="153">
        <v>15.0</v>
      </c>
      <c r="K113" s="77"/>
      <c r="L113" s="154"/>
      <c r="M113" s="154"/>
      <c r="N113" s="65"/>
      <c r="O113" s="143"/>
    </row>
    <row r="114">
      <c r="A114" s="31"/>
      <c r="B114" s="31"/>
      <c r="C114" s="32"/>
      <c r="D114" s="31"/>
      <c r="E114" s="157"/>
      <c r="F114" s="31">
        <v>265.0</v>
      </c>
      <c r="G114" s="161"/>
      <c r="H114" s="63" t="s">
        <v>308</v>
      </c>
      <c r="I114" s="34"/>
      <c r="J114" s="153">
        <v>10.0</v>
      </c>
      <c r="K114" s="77"/>
      <c r="L114" s="154"/>
      <c r="M114" s="154"/>
      <c r="N114" s="65"/>
      <c r="O114" s="143"/>
    </row>
    <row r="115">
      <c r="A115" s="31">
        <v>33.0</v>
      </c>
      <c r="B115" s="31">
        <v>45.0</v>
      </c>
      <c r="C115" s="32">
        <v>46001.0</v>
      </c>
      <c r="D115" s="31" t="s">
        <v>357</v>
      </c>
      <c r="E115" s="157">
        <v>45672.0</v>
      </c>
      <c r="F115" s="31">
        <v>287.0</v>
      </c>
      <c r="G115" s="161">
        <v>45669.0</v>
      </c>
      <c r="H115" s="63" t="s">
        <v>376</v>
      </c>
      <c r="I115" s="34" t="s">
        <v>42</v>
      </c>
      <c r="J115" s="153">
        <v>1.0</v>
      </c>
      <c r="K115" s="77" t="s">
        <v>89</v>
      </c>
      <c r="L115" s="154">
        <v>900.0</v>
      </c>
      <c r="M115" s="154">
        <v>900.0</v>
      </c>
      <c r="N115" s="65" t="s">
        <v>35</v>
      </c>
      <c r="O115" s="143"/>
    </row>
    <row r="116">
      <c r="A116" s="31">
        <v>34.0</v>
      </c>
      <c r="B116" s="31">
        <v>220.0</v>
      </c>
      <c r="C116" s="32">
        <v>45636.0</v>
      </c>
      <c r="D116" s="31" t="s">
        <v>377</v>
      </c>
      <c r="E116" s="31" t="s">
        <v>378</v>
      </c>
      <c r="F116" s="31">
        <v>267.0</v>
      </c>
      <c r="G116" s="161">
        <v>45638.0</v>
      </c>
      <c r="H116" s="63" t="s">
        <v>379</v>
      </c>
      <c r="I116" s="34" t="s">
        <v>60</v>
      </c>
      <c r="J116" s="153">
        <v>2.0</v>
      </c>
      <c r="K116" s="77" t="s">
        <v>89</v>
      </c>
      <c r="L116" s="154">
        <v>3040.0</v>
      </c>
      <c r="M116" s="154">
        <v>6080.0</v>
      </c>
      <c r="N116" s="41" t="s">
        <v>380</v>
      </c>
      <c r="O116" s="143"/>
    </row>
    <row r="117">
      <c r="A117" s="68">
        <v>35.0</v>
      </c>
      <c r="B117" s="68">
        <v>1535.0</v>
      </c>
      <c r="C117" s="151">
        <v>45637.0</v>
      </c>
      <c r="D117" s="68" t="s">
        <v>381</v>
      </c>
      <c r="E117" s="68" t="s">
        <v>382</v>
      </c>
      <c r="F117" s="68">
        <v>267.0</v>
      </c>
      <c r="G117" s="152">
        <v>45638.0</v>
      </c>
      <c r="H117" s="63" t="s">
        <v>383</v>
      </c>
      <c r="I117" s="34" t="s">
        <v>82</v>
      </c>
      <c r="J117" s="153">
        <v>40.0</v>
      </c>
      <c r="K117" s="77" t="s">
        <v>89</v>
      </c>
      <c r="L117" s="154">
        <v>654.0</v>
      </c>
      <c r="M117" s="154">
        <v>26160.0</v>
      </c>
      <c r="N117" s="41" t="s">
        <v>185</v>
      </c>
      <c r="O117" s="143"/>
    </row>
    <row r="118">
      <c r="A118" s="47"/>
      <c r="B118" s="47"/>
      <c r="C118" s="47"/>
      <c r="D118" s="47"/>
      <c r="E118" s="47"/>
      <c r="F118" s="47"/>
      <c r="G118" s="47"/>
      <c r="H118" s="63" t="s">
        <v>384</v>
      </c>
      <c r="I118" s="34" t="s">
        <v>82</v>
      </c>
      <c r="J118" s="153">
        <v>52.0</v>
      </c>
      <c r="K118" s="77" t="s">
        <v>89</v>
      </c>
      <c r="L118" s="154">
        <v>872.0</v>
      </c>
      <c r="M118" s="154">
        <v>45344.0</v>
      </c>
      <c r="N118" s="41" t="s">
        <v>185</v>
      </c>
      <c r="O118" s="143"/>
    </row>
    <row r="119">
      <c r="A119" s="48"/>
      <c r="B119" s="48"/>
      <c r="C119" s="48"/>
      <c r="D119" s="48"/>
      <c r="E119" s="48"/>
      <c r="F119" s="48"/>
      <c r="G119" s="48"/>
      <c r="H119" s="63" t="s">
        <v>385</v>
      </c>
      <c r="I119" s="34" t="s">
        <v>51</v>
      </c>
      <c r="J119" s="153">
        <v>10.0</v>
      </c>
      <c r="K119" s="77" t="s">
        <v>89</v>
      </c>
      <c r="L119" s="154">
        <v>80.0</v>
      </c>
      <c r="M119" s="154">
        <v>800.0</v>
      </c>
      <c r="N119" s="41" t="s">
        <v>185</v>
      </c>
      <c r="O119" s="143"/>
    </row>
    <row r="120">
      <c r="A120" s="31">
        <v>36.0</v>
      </c>
      <c r="B120" s="31">
        <v>16944.0</v>
      </c>
      <c r="C120" s="32">
        <v>45637.0</v>
      </c>
      <c r="D120" s="31" t="s">
        <v>386</v>
      </c>
      <c r="E120" s="31" t="s">
        <v>374</v>
      </c>
      <c r="F120" s="31">
        <v>268.0</v>
      </c>
      <c r="G120" s="161">
        <v>45638.0</v>
      </c>
      <c r="H120" s="63" t="s">
        <v>387</v>
      </c>
      <c r="I120" s="34" t="s">
        <v>388</v>
      </c>
      <c r="J120" s="159"/>
      <c r="K120" s="64"/>
      <c r="L120" s="154">
        <v>1445.0</v>
      </c>
      <c r="M120" s="154">
        <v>1445.0</v>
      </c>
      <c r="N120" s="160"/>
      <c r="O120" s="143"/>
    </row>
    <row r="121">
      <c r="A121" s="31">
        <v>37.0</v>
      </c>
      <c r="B121" s="31">
        <v>984.0</v>
      </c>
      <c r="C121" s="32">
        <v>45638.0</v>
      </c>
      <c r="D121" s="31" t="s">
        <v>389</v>
      </c>
      <c r="E121" s="31" t="s">
        <v>390</v>
      </c>
      <c r="F121" s="31">
        <v>272.0</v>
      </c>
      <c r="G121" s="161">
        <v>45644.0</v>
      </c>
      <c r="H121" s="63" t="s">
        <v>122</v>
      </c>
      <c r="I121" s="34" t="s">
        <v>122</v>
      </c>
      <c r="J121" s="153">
        <v>50.0</v>
      </c>
      <c r="K121" s="77" t="s">
        <v>391</v>
      </c>
      <c r="L121" s="154">
        <v>465.0</v>
      </c>
      <c r="M121" s="41">
        <v>23250.0</v>
      </c>
      <c r="N121" s="41" t="s">
        <v>392</v>
      </c>
      <c r="O121" s="143"/>
    </row>
    <row r="122">
      <c r="A122" s="68">
        <v>38.0</v>
      </c>
      <c r="B122" s="68">
        <v>1062.0</v>
      </c>
      <c r="C122" s="151">
        <v>45642.0</v>
      </c>
      <c r="D122" s="68" t="s">
        <v>393</v>
      </c>
      <c r="E122" s="172">
        <v>45701.0</v>
      </c>
      <c r="F122" s="68">
        <v>272.0</v>
      </c>
      <c r="G122" s="152">
        <v>45644.0</v>
      </c>
      <c r="H122" s="63" t="s">
        <v>394</v>
      </c>
      <c r="I122" s="34" t="s">
        <v>29</v>
      </c>
      <c r="J122" s="153">
        <v>1.0</v>
      </c>
      <c r="K122" s="77" t="s">
        <v>297</v>
      </c>
      <c r="L122" s="154">
        <v>320.0</v>
      </c>
      <c r="M122" s="41">
        <v>320.0</v>
      </c>
      <c r="N122" s="41" t="s">
        <v>277</v>
      </c>
      <c r="O122" s="143"/>
    </row>
    <row r="123">
      <c r="A123" s="47"/>
      <c r="B123" s="47"/>
      <c r="C123" s="47"/>
      <c r="D123" s="47"/>
      <c r="E123" s="47"/>
      <c r="F123" s="47"/>
      <c r="G123" s="47"/>
      <c r="H123" s="63" t="s">
        <v>395</v>
      </c>
      <c r="I123" s="34" t="s">
        <v>29</v>
      </c>
      <c r="J123" s="153">
        <v>10.0</v>
      </c>
      <c r="K123" s="77" t="s">
        <v>89</v>
      </c>
      <c r="L123" s="154">
        <v>250.0</v>
      </c>
      <c r="M123" s="41">
        <v>2500.0</v>
      </c>
      <c r="N123" s="41" t="s">
        <v>277</v>
      </c>
      <c r="O123" s="143"/>
    </row>
    <row r="124">
      <c r="A124" s="47"/>
      <c r="B124" s="47"/>
      <c r="C124" s="47"/>
      <c r="D124" s="47"/>
      <c r="E124" s="47"/>
      <c r="F124" s="47"/>
      <c r="G124" s="47"/>
      <c r="H124" s="63" t="s">
        <v>396</v>
      </c>
      <c r="I124" s="34" t="s">
        <v>29</v>
      </c>
      <c r="J124" s="153">
        <v>1.0</v>
      </c>
      <c r="K124" s="77" t="s">
        <v>98</v>
      </c>
      <c r="L124" s="154">
        <v>250.0</v>
      </c>
      <c r="M124" s="41">
        <v>250.0</v>
      </c>
      <c r="N124" s="41" t="s">
        <v>277</v>
      </c>
      <c r="O124" s="143"/>
    </row>
    <row r="125">
      <c r="A125" s="47"/>
      <c r="B125" s="47"/>
      <c r="C125" s="47"/>
      <c r="D125" s="47"/>
      <c r="E125" s="47"/>
      <c r="F125" s="47"/>
      <c r="G125" s="47"/>
      <c r="H125" s="63" t="s">
        <v>397</v>
      </c>
      <c r="I125" s="34" t="s">
        <v>29</v>
      </c>
      <c r="J125" s="153">
        <v>2.0</v>
      </c>
      <c r="K125" s="77" t="s">
        <v>34</v>
      </c>
      <c r="L125" s="154">
        <v>95.0</v>
      </c>
      <c r="M125" s="41">
        <v>190.0</v>
      </c>
      <c r="N125" s="41" t="s">
        <v>277</v>
      </c>
      <c r="O125" s="143"/>
    </row>
    <row r="126">
      <c r="A126" s="48"/>
      <c r="B126" s="48"/>
      <c r="C126" s="48"/>
      <c r="D126" s="48"/>
      <c r="E126" s="48"/>
      <c r="F126" s="48"/>
      <c r="G126" s="48"/>
      <c r="H126" s="63" t="s">
        <v>398</v>
      </c>
      <c r="I126" s="34" t="s">
        <v>29</v>
      </c>
      <c r="J126" s="153">
        <v>4.0</v>
      </c>
      <c r="K126" s="77" t="s">
        <v>89</v>
      </c>
      <c r="L126" s="154">
        <v>75.0</v>
      </c>
      <c r="M126" s="41">
        <v>300.0</v>
      </c>
      <c r="N126" s="41" t="s">
        <v>277</v>
      </c>
      <c r="O126" s="143"/>
    </row>
    <row r="127">
      <c r="A127" s="31">
        <v>39.0</v>
      </c>
      <c r="B127" s="31">
        <v>916.0</v>
      </c>
      <c r="C127" s="32">
        <v>45644.0</v>
      </c>
      <c r="D127" s="31" t="s">
        <v>399</v>
      </c>
      <c r="E127" s="32">
        <v>45701.0</v>
      </c>
      <c r="F127" s="31">
        <v>272.0</v>
      </c>
      <c r="G127" s="161">
        <v>45644.0</v>
      </c>
      <c r="H127" s="63" t="s">
        <v>88</v>
      </c>
      <c r="I127" s="34" t="s">
        <v>29</v>
      </c>
      <c r="J127" s="153">
        <v>10.0</v>
      </c>
      <c r="K127" s="77" t="s">
        <v>89</v>
      </c>
      <c r="L127" s="154">
        <v>325.0</v>
      </c>
      <c r="M127" s="41">
        <v>3250.0</v>
      </c>
      <c r="N127" s="41" t="s">
        <v>99</v>
      </c>
      <c r="O127" s="143"/>
    </row>
    <row r="128">
      <c r="A128" s="68">
        <v>40.0</v>
      </c>
      <c r="B128" s="68">
        <v>701.0</v>
      </c>
      <c r="C128" s="151">
        <v>45648.0</v>
      </c>
      <c r="D128" s="68" t="s">
        <v>400</v>
      </c>
      <c r="E128" s="68" t="s">
        <v>378</v>
      </c>
      <c r="F128" s="68">
        <v>274.0</v>
      </c>
      <c r="G128" s="152">
        <v>45650.0</v>
      </c>
      <c r="H128" s="63" t="s">
        <v>401</v>
      </c>
      <c r="I128" s="34" t="s">
        <v>29</v>
      </c>
      <c r="J128" s="153">
        <v>6.0</v>
      </c>
      <c r="K128" s="77" t="s">
        <v>89</v>
      </c>
      <c r="L128" s="154">
        <v>70.0</v>
      </c>
      <c r="M128" s="41">
        <v>420.0</v>
      </c>
      <c r="N128" s="41" t="s">
        <v>99</v>
      </c>
      <c r="O128" s="143"/>
    </row>
    <row r="129">
      <c r="A129" s="47"/>
      <c r="B129" s="47"/>
      <c r="C129" s="47"/>
      <c r="D129" s="47"/>
      <c r="E129" s="47"/>
      <c r="F129" s="47"/>
      <c r="G129" s="47"/>
      <c r="H129" s="63" t="s">
        <v>402</v>
      </c>
      <c r="I129" s="34" t="s">
        <v>29</v>
      </c>
      <c r="J129" s="153">
        <v>6.0</v>
      </c>
      <c r="K129" s="77" t="s">
        <v>89</v>
      </c>
      <c r="L129" s="154">
        <v>70.0</v>
      </c>
      <c r="M129" s="41">
        <v>420.0</v>
      </c>
      <c r="N129" s="41" t="s">
        <v>99</v>
      </c>
      <c r="O129" s="143"/>
    </row>
    <row r="130">
      <c r="A130" s="47"/>
      <c r="B130" s="47"/>
      <c r="C130" s="47"/>
      <c r="D130" s="47"/>
      <c r="E130" s="47"/>
      <c r="F130" s="47"/>
      <c r="G130" s="47"/>
      <c r="H130" s="63" t="s">
        <v>403</v>
      </c>
      <c r="I130" s="34" t="s">
        <v>29</v>
      </c>
      <c r="J130" s="153">
        <v>6.0</v>
      </c>
      <c r="K130" s="77" t="s">
        <v>89</v>
      </c>
      <c r="L130" s="154">
        <v>70.0</v>
      </c>
      <c r="M130" s="41">
        <v>420.0</v>
      </c>
      <c r="N130" s="41" t="s">
        <v>99</v>
      </c>
      <c r="O130" s="143"/>
    </row>
    <row r="131">
      <c r="A131" s="47"/>
      <c r="B131" s="47"/>
      <c r="C131" s="47"/>
      <c r="D131" s="47"/>
      <c r="E131" s="47"/>
      <c r="F131" s="47"/>
      <c r="G131" s="47"/>
      <c r="H131" s="63" t="s">
        <v>404</v>
      </c>
      <c r="I131" s="34" t="s">
        <v>42</v>
      </c>
      <c r="J131" s="153">
        <v>10.0</v>
      </c>
      <c r="K131" s="77" t="s">
        <v>405</v>
      </c>
      <c r="L131" s="154">
        <v>19.0</v>
      </c>
      <c r="M131" s="41">
        <v>190.0</v>
      </c>
      <c r="N131" s="41" t="s">
        <v>99</v>
      </c>
      <c r="O131" s="143"/>
    </row>
    <row r="132">
      <c r="A132" s="47"/>
      <c r="B132" s="47"/>
      <c r="C132" s="47"/>
      <c r="D132" s="47"/>
      <c r="E132" s="47"/>
      <c r="F132" s="47"/>
      <c r="G132" s="47"/>
      <c r="H132" s="63" t="s">
        <v>97</v>
      </c>
      <c r="I132" s="34" t="s">
        <v>60</v>
      </c>
      <c r="J132" s="153">
        <v>2.0</v>
      </c>
      <c r="K132" s="77" t="s">
        <v>98</v>
      </c>
      <c r="L132" s="154">
        <v>3000.0</v>
      </c>
      <c r="M132" s="41">
        <v>6000.0</v>
      </c>
      <c r="N132" s="41" t="s">
        <v>99</v>
      </c>
      <c r="O132" s="143"/>
    </row>
    <row r="133">
      <c r="A133" s="47"/>
      <c r="B133" s="47"/>
      <c r="C133" s="47"/>
      <c r="D133" s="47"/>
      <c r="E133" s="47"/>
      <c r="F133" s="47"/>
      <c r="G133" s="47"/>
      <c r="H133" s="63" t="s">
        <v>406</v>
      </c>
      <c r="I133" s="34" t="s">
        <v>60</v>
      </c>
      <c r="J133" s="153">
        <v>5.0</v>
      </c>
      <c r="K133" s="77" t="s">
        <v>89</v>
      </c>
      <c r="L133" s="154">
        <v>90.0</v>
      </c>
      <c r="M133" s="41">
        <v>450.0</v>
      </c>
      <c r="N133" s="41" t="s">
        <v>99</v>
      </c>
      <c r="O133" s="143"/>
    </row>
    <row r="134">
      <c r="A134" s="48"/>
      <c r="B134" s="48"/>
      <c r="C134" s="48"/>
      <c r="D134" s="48"/>
      <c r="E134" s="48"/>
      <c r="F134" s="48"/>
      <c r="G134" s="48"/>
      <c r="H134" s="63" t="s">
        <v>407</v>
      </c>
      <c r="I134" s="34" t="s">
        <v>82</v>
      </c>
      <c r="J134" s="153">
        <v>4.0</v>
      </c>
      <c r="K134" s="77" t="s">
        <v>89</v>
      </c>
      <c r="L134" s="154">
        <v>17.0</v>
      </c>
      <c r="M134" s="41">
        <v>68.0</v>
      </c>
      <c r="N134" s="41" t="s">
        <v>99</v>
      </c>
      <c r="O134" s="143"/>
    </row>
    <row r="135">
      <c r="A135" s="31">
        <v>41.0</v>
      </c>
      <c r="B135" s="31">
        <v>2566.0</v>
      </c>
      <c r="C135" s="32">
        <v>45649.0</v>
      </c>
      <c r="D135" s="31" t="s">
        <v>40</v>
      </c>
      <c r="E135" s="31" t="s">
        <v>27</v>
      </c>
      <c r="F135" s="31">
        <v>274.0</v>
      </c>
      <c r="G135" s="161">
        <v>45650.0</v>
      </c>
      <c r="H135" s="63" t="s">
        <v>408</v>
      </c>
      <c r="I135" s="34" t="s">
        <v>388</v>
      </c>
      <c r="J135" s="153">
        <v>3.0</v>
      </c>
      <c r="K135" s="77" t="s">
        <v>39</v>
      </c>
      <c r="L135" s="154">
        <v>60.0</v>
      </c>
      <c r="M135" s="41">
        <v>180.0</v>
      </c>
      <c r="N135" s="37"/>
      <c r="O135" s="143"/>
    </row>
    <row r="136">
      <c r="A136" s="68">
        <v>42.0</v>
      </c>
      <c r="B136" s="68">
        <v>259.0</v>
      </c>
      <c r="C136" s="151">
        <v>45652.0</v>
      </c>
      <c r="D136" s="68" t="s">
        <v>409</v>
      </c>
      <c r="E136" s="68" t="s">
        <v>378</v>
      </c>
      <c r="F136" s="68">
        <v>289.0</v>
      </c>
      <c r="G136" s="152">
        <v>45669.0</v>
      </c>
      <c r="H136" s="63" t="s">
        <v>410</v>
      </c>
      <c r="I136" s="34" t="s">
        <v>42</v>
      </c>
      <c r="J136" s="153">
        <v>2.0</v>
      </c>
      <c r="K136" s="77" t="s">
        <v>89</v>
      </c>
      <c r="L136" s="154">
        <v>9500.0</v>
      </c>
      <c r="M136" s="41">
        <v>19000.0</v>
      </c>
      <c r="N136" s="41" t="s">
        <v>411</v>
      </c>
      <c r="O136" s="143"/>
    </row>
    <row r="137">
      <c r="A137" s="47"/>
      <c r="B137" s="47"/>
      <c r="C137" s="47"/>
      <c r="D137" s="47"/>
      <c r="E137" s="47"/>
      <c r="F137" s="47"/>
      <c r="G137" s="47"/>
      <c r="H137" s="63" t="s">
        <v>412</v>
      </c>
      <c r="I137" s="34" t="s">
        <v>42</v>
      </c>
      <c r="J137" s="153">
        <v>2.0</v>
      </c>
      <c r="K137" s="77" t="s">
        <v>89</v>
      </c>
      <c r="L137" s="154">
        <v>1250.0</v>
      </c>
      <c r="M137" s="41">
        <v>2500.0</v>
      </c>
      <c r="N137" s="41" t="s">
        <v>411</v>
      </c>
      <c r="O137" s="143"/>
    </row>
    <row r="138">
      <c r="A138" s="47"/>
      <c r="B138" s="47"/>
      <c r="C138" s="47"/>
      <c r="D138" s="47"/>
      <c r="E138" s="47"/>
      <c r="F138" s="47"/>
      <c r="G138" s="47"/>
      <c r="H138" s="63" t="s">
        <v>413</v>
      </c>
      <c r="I138" s="34" t="s">
        <v>42</v>
      </c>
      <c r="J138" s="153">
        <v>1.0</v>
      </c>
      <c r="K138" s="77" t="s">
        <v>89</v>
      </c>
      <c r="L138" s="154">
        <v>1650.0</v>
      </c>
      <c r="M138" s="41">
        <v>1650.0</v>
      </c>
      <c r="N138" s="41" t="s">
        <v>411</v>
      </c>
      <c r="O138" s="143"/>
    </row>
    <row r="139">
      <c r="A139" s="47"/>
      <c r="B139" s="47"/>
      <c r="C139" s="47"/>
      <c r="D139" s="47"/>
      <c r="E139" s="47"/>
      <c r="F139" s="47"/>
      <c r="G139" s="47"/>
      <c r="H139" s="63" t="s">
        <v>414</v>
      </c>
      <c r="I139" s="34" t="s">
        <v>42</v>
      </c>
      <c r="J139" s="153">
        <v>1.0</v>
      </c>
      <c r="K139" s="77" t="s">
        <v>319</v>
      </c>
      <c r="L139" s="154">
        <v>700.0</v>
      </c>
      <c r="M139" s="41">
        <v>700.0</v>
      </c>
      <c r="N139" s="41" t="s">
        <v>411</v>
      </c>
      <c r="O139" s="143"/>
    </row>
    <row r="140">
      <c r="A140" s="48"/>
      <c r="B140" s="48"/>
      <c r="C140" s="48"/>
      <c r="D140" s="48"/>
      <c r="E140" s="48"/>
      <c r="F140" s="48"/>
      <c r="G140" s="48"/>
      <c r="H140" s="63" t="s">
        <v>415</v>
      </c>
      <c r="I140" s="34" t="s">
        <v>42</v>
      </c>
      <c r="J140" s="153">
        <v>1.0</v>
      </c>
      <c r="K140" s="77" t="s">
        <v>89</v>
      </c>
      <c r="L140" s="154">
        <v>1200.0</v>
      </c>
      <c r="M140" s="41">
        <v>1200.0</v>
      </c>
      <c r="N140" s="41" t="s">
        <v>411</v>
      </c>
      <c r="O140" s="143"/>
    </row>
    <row r="141">
      <c r="A141" s="68">
        <v>43.0</v>
      </c>
      <c r="B141" s="68">
        <v>1079.0</v>
      </c>
      <c r="C141" s="151">
        <v>46017.0</v>
      </c>
      <c r="D141" s="68" t="s">
        <v>357</v>
      </c>
      <c r="E141" s="172">
        <v>45672.0</v>
      </c>
      <c r="F141" s="68">
        <v>287.0</v>
      </c>
      <c r="G141" s="173">
        <v>45669.0</v>
      </c>
      <c r="H141" s="63" t="s">
        <v>416</v>
      </c>
      <c r="I141" s="34" t="s">
        <v>42</v>
      </c>
      <c r="J141" s="153">
        <v>2.0</v>
      </c>
      <c r="K141" s="77" t="s">
        <v>89</v>
      </c>
      <c r="L141" s="154">
        <v>200.0</v>
      </c>
      <c r="M141" s="41">
        <v>400.0</v>
      </c>
      <c r="N141" s="41" t="s">
        <v>417</v>
      </c>
      <c r="O141" s="143"/>
    </row>
    <row r="142">
      <c r="A142" s="47"/>
      <c r="B142" s="47"/>
      <c r="C142" s="47"/>
      <c r="D142" s="47"/>
      <c r="E142" s="47"/>
      <c r="F142" s="47"/>
      <c r="G142" s="47"/>
      <c r="H142" s="63" t="s">
        <v>418</v>
      </c>
      <c r="I142" s="34" t="s">
        <v>42</v>
      </c>
      <c r="J142" s="153">
        <v>1.0</v>
      </c>
      <c r="K142" s="77" t="s">
        <v>89</v>
      </c>
      <c r="L142" s="154">
        <v>200.0</v>
      </c>
      <c r="M142" s="41">
        <v>200.0</v>
      </c>
      <c r="N142" s="41" t="s">
        <v>417</v>
      </c>
      <c r="O142" s="143"/>
    </row>
    <row r="143">
      <c r="A143" s="48"/>
      <c r="B143" s="48"/>
      <c r="C143" s="48"/>
      <c r="D143" s="48"/>
      <c r="E143" s="48"/>
      <c r="F143" s="48"/>
      <c r="G143" s="48"/>
      <c r="H143" s="63" t="s">
        <v>419</v>
      </c>
      <c r="I143" s="34" t="s">
        <v>42</v>
      </c>
      <c r="J143" s="153">
        <v>1.0</v>
      </c>
      <c r="K143" s="77" t="s">
        <v>89</v>
      </c>
      <c r="L143" s="154">
        <v>600.0</v>
      </c>
      <c r="M143" s="41">
        <v>600.0</v>
      </c>
      <c r="N143" s="41" t="s">
        <v>417</v>
      </c>
      <c r="O143" s="143"/>
    </row>
    <row r="144">
      <c r="A144" s="68">
        <v>44.0</v>
      </c>
      <c r="B144" s="68">
        <v>954.0</v>
      </c>
      <c r="C144" s="151">
        <v>45656.0</v>
      </c>
      <c r="D144" s="68" t="s">
        <v>399</v>
      </c>
      <c r="E144" s="68" t="s">
        <v>378</v>
      </c>
      <c r="F144" s="68">
        <v>288.0</v>
      </c>
      <c r="G144" s="152">
        <v>45669.0</v>
      </c>
      <c r="H144" s="63" t="s">
        <v>267</v>
      </c>
      <c r="I144" s="34" t="s">
        <v>268</v>
      </c>
      <c r="J144" s="153">
        <v>15.0</v>
      </c>
      <c r="K144" s="77" t="s">
        <v>89</v>
      </c>
      <c r="L144" s="154">
        <v>1100.0</v>
      </c>
      <c r="M144" s="41">
        <v>16500.0</v>
      </c>
      <c r="N144" s="41" t="s">
        <v>99</v>
      </c>
      <c r="O144" s="143"/>
    </row>
    <row r="145">
      <c r="A145" s="48"/>
      <c r="B145" s="48"/>
      <c r="C145" s="48"/>
      <c r="D145" s="48"/>
      <c r="E145" s="48"/>
      <c r="F145" s="48"/>
      <c r="G145" s="48"/>
      <c r="H145" s="63" t="s">
        <v>354</v>
      </c>
      <c r="I145" s="34" t="s">
        <v>60</v>
      </c>
      <c r="J145" s="153">
        <v>2.0</v>
      </c>
      <c r="K145" s="77" t="s">
        <v>89</v>
      </c>
      <c r="L145" s="154">
        <v>3000.0</v>
      </c>
      <c r="M145" s="41">
        <v>6000.0</v>
      </c>
      <c r="N145" s="41" t="s">
        <v>99</v>
      </c>
      <c r="O145" s="143"/>
    </row>
    <row r="146">
      <c r="A146" s="31">
        <v>45.0</v>
      </c>
      <c r="B146" s="31">
        <v>1138.0</v>
      </c>
      <c r="C146" s="32">
        <v>46021.0</v>
      </c>
      <c r="D146" s="31" t="s">
        <v>393</v>
      </c>
      <c r="E146" s="157">
        <v>45701.0</v>
      </c>
      <c r="F146" s="31">
        <v>283.0</v>
      </c>
      <c r="G146" s="161">
        <v>45669.0</v>
      </c>
      <c r="H146" s="63" t="s">
        <v>420</v>
      </c>
      <c r="I146" s="34" t="s">
        <v>82</v>
      </c>
      <c r="J146" s="153">
        <v>45.0</v>
      </c>
      <c r="K146" s="77" t="s">
        <v>89</v>
      </c>
      <c r="L146" s="154">
        <v>870.0</v>
      </c>
      <c r="M146" s="41">
        <v>39150.0</v>
      </c>
      <c r="N146" s="41" t="s">
        <v>277</v>
      </c>
      <c r="O146" s="143"/>
    </row>
    <row r="147">
      <c r="A147" s="68">
        <v>46.0</v>
      </c>
      <c r="B147" s="68">
        <v>72.0</v>
      </c>
      <c r="C147" s="151">
        <v>45658.0</v>
      </c>
      <c r="D147" s="68" t="s">
        <v>381</v>
      </c>
      <c r="E147" s="68" t="s">
        <v>378</v>
      </c>
      <c r="F147" s="31">
        <v>300.0</v>
      </c>
      <c r="G147" s="161">
        <v>45680.0</v>
      </c>
      <c r="H147" s="63" t="s">
        <v>421</v>
      </c>
      <c r="I147" s="34" t="s">
        <v>55</v>
      </c>
      <c r="J147" s="153">
        <v>16.0</v>
      </c>
      <c r="K147" s="77" t="s">
        <v>34</v>
      </c>
      <c r="L147" s="154">
        <v>190.0</v>
      </c>
      <c r="M147" s="41">
        <v>3083.7</v>
      </c>
      <c r="N147" s="41" t="s">
        <v>185</v>
      </c>
      <c r="O147" s="143"/>
    </row>
    <row r="148">
      <c r="A148" s="48"/>
      <c r="B148" s="48"/>
      <c r="C148" s="48"/>
      <c r="D148" s="48"/>
      <c r="E148" s="48"/>
      <c r="F148" s="31">
        <v>272.0</v>
      </c>
      <c r="G148" s="161">
        <v>45644.0</v>
      </c>
      <c r="H148" s="63" t="s">
        <v>422</v>
      </c>
      <c r="I148" s="34" t="s">
        <v>82</v>
      </c>
      <c r="J148" s="153">
        <v>76.0</v>
      </c>
      <c r="K148" s="77" t="s">
        <v>34</v>
      </c>
      <c r="L148" s="154">
        <v>63.0</v>
      </c>
      <c r="M148" s="41">
        <v>4788.0</v>
      </c>
      <c r="N148" s="41" t="s">
        <v>185</v>
      </c>
      <c r="O148" s="143"/>
    </row>
    <row r="149">
      <c r="A149" s="68">
        <v>47.0</v>
      </c>
      <c r="B149" s="68">
        <v>1153.0</v>
      </c>
      <c r="C149" s="151">
        <v>45661.0</v>
      </c>
      <c r="D149" s="68" t="s">
        <v>423</v>
      </c>
      <c r="E149" s="68" t="s">
        <v>150</v>
      </c>
      <c r="F149" s="68">
        <v>279.0</v>
      </c>
      <c r="G149" s="152">
        <v>45663.0</v>
      </c>
      <c r="H149" s="33" t="s">
        <v>424</v>
      </c>
      <c r="I149" s="34" t="s">
        <v>29</v>
      </c>
      <c r="J149" s="162">
        <v>10.0</v>
      </c>
      <c r="K149" s="31" t="s">
        <v>30</v>
      </c>
      <c r="L149" s="35">
        <v>750.0</v>
      </c>
      <c r="M149" s="41">
        <v>7500.0</v>
      </c>
      <c r="N149" s="41" t="s">
        <v>277</v>
      </c>
      <c r="O149" s="143"/>
    </row>
    <row r="150">
      <c r="A150" s="47"/>
      <c r="B150" s="47"/>
      <c r="C150" s="47"/>
      <c r="D150" s="47"/>
      <c r="E150" s="47"/>
      <c r="F150" s="47"/>
      <c r="G150" s="47"/>
      <c r="H150" s="33" t="s">
        <v>425</v>
      </c>
      <c r="I150" s="34" t="s">
        <v>29</v>
      </c>
      <c r="J150" s="162">
        <v>5.0</v>
      </c>
      <c r="K150" s="31" t="s">
        <v>30</v>
      </c>
      <c r="L150" s="35">
        <v>280.0</v>
      </c>
      <c r="M150" s="41">
        <v>1400.0</v>
      </c>
      <c r="N150" s="41" t="s">
        <v>277</v>
      </c>
      <c r="O150" s="143"/>
    </row>
    <row r="151">
      <c r="A151" s="48"/>
      <c r="B151" s="48"/>
      <c r="C151" s="48"/>
      <c r="D151" s="48"/>
      <c r="E151" s="48"/>
      <c r="F151" s="48"/>
      <c r="G151" s="48"/>
      <c r="H151" s="33" t="s">
        <v>426</v>
      </c>
      <c r="I151" s="34" t="s">
        <v>29</v>
      </c>
      <c r="J151" s="162">
        <v>10.0</v>
      </c>
      <c r="K151" s="31" t="s">
        <v>30</v>
      </c>
      <c r="L151" s="35">
        <v>280.0</v>
      </c>
      <c r="M151" s="41">
        <v>2800.0</v>
      </c>
      <c r="N151" s="41" t="s">
        <v>277</v>
      </c>
      <c r="O151" s="143"/>
    </row>
    <row r="152">
      <c r="A152" s="68">
        <v>48.0</v>
      </c>
      <c r="B152" s="68">
        <v>26.0</v>
      </c>
      <c r="C152" s="151">
        <v>45661.0</v>
      </c>
      <c r="D152" s="68" t="s">
        <v>427</v>
      </c>
      <c r="E152" s="68" t="s">
        <v>27</v>
      </c>
      <c r="F152" s="68">
        <v>278.0</v>
      </c>
      <c r="G152" s="152">
        <v>45663.0</v>
      </c>
      <c r="H152" s="63" t="s">
        <v>428</v>
      </c>
      <c r="I152" s="34" t="s">
        <v>429</v>
      </c>
      <c r="J152" s="153">
        <v>2.0</v>
      </c>
      <c r="K152" s="77" t="s">
        <v>89</v>
      </c>
      <c r="L152" s="154">
        <v>5400.0</v>
      </c>
      <c r="M152" s="41">
        <v>10800.0</v>
      </c>
      <c r="N152" s="41" t="s">
        <v>430</v>
      </c>
      <c r="O152" s="143"/>
    </row>
    <row r="153">
      <c r="A153" s="47"/>
      <c r="B153" s="47"/>
      <c r="C153" s="47"/>
      <c r="D153" s="47"/>
      <c r="E153" s="47"/>
      <c r="F153" s="47"/>
      <c r="G153" s="47"/>
      <c r="H153" s="63" t="s">
        <v>431</v>
      </c>
      <c r="I153" s="34" t="s">
        <v>429</v>
      </c>
      <c r="J153" s="153">
        <v>2.0</v>
      </c>
      <c r="K153" s="77" t="s">
        <v>89</v>
      </c>
      <c r="L153" s="154">
        <v>5040.0</v>
      </c>
      <c r="M153" s="41">
        <v>10080.0</v>
      </c>
      <c r="N153" s="41" t="s">
        <v>430</v>
      </c>
      <c r="O153" s="143"/>
    </row>
    <row r="154">
      <c r="A154" s="47"/>
      <c r="B154" s="47"/>
      <c r="C154" s="47"/>
      <c r="D154" s="47"/>
      <c r="E154" s="47"/>
      <c r="F154" s="47"/>
      <c r="G154" s="47"/>
      <c r="H154" s="63" t="s">
        <v>432</v>
      </c>
      <c r="I154" s="34" t="s">
        <v>429</v>
      </c>
      <c r="J154" s="153">
        <v>2.0</v>
      </c>
      <c r="K154" s="77" t="s">
        <v>89</v>
      </c>
      <c r="L154" s="154">
        <v>700.0</v>
      </c>
      <c r="M154" s="41">
        <v>1400.0</v>
      </c>
      <c r="N154" s="41" t="s">
        <v>430</v>
      </c>
      <c r="O154" s="143"/>
    </row>
    <row r="155">
      <c r="A155" s="47"/>
      <c r="B155" s="47"/>
      <c r="C155" s="47"/>
      <c r="D155" s="47"/>
      <c r="E155" s="47"/>
      <c r="F155" s="47"/>
      <c r="G155" s="47"/>
      <c r="H155" s="63" t="s">
        <v>433</v>
      </c>
      <c r="I155" s="34" t="s">
        <v>429</v>
      </c>
      <c r="J155" s="153">
        <v>2.0</v>
      </c>
      <c r="K155" s="77" t="s">
        <v>89</v>
      </c>
      <c r="L155" s="154">
        <v>80.0</v>
      </c>
      <c r="M155" s="41">
        <v>160.0</v>
      </c>
      <c r="N155" s="41" t="s">
        <v>430</v>
      </c>
      <c r="O155" s="143"/>
    </row>
    <row r="156">
      <c r="A156" s="47"/>
      <c r="B156" s="47"/>
      <c r="C156" s="47"/>
      <c r="D156" s="47"/>
      <c r="E156" s="47"/>
      <c r="F156" s="47"/>
      <c r="G156" s="47"/>
      <c r="H156" s="63" t="s">
        <v>434</v>
      </c>
      <c r="I156" s="34" t="s">
        <v>429</v>
      </c>
      <c r="J156" s="153">
        <v>4.0</v>
      </c>
      <c r="K156" s="77" t="s">
        <v>89</v>
      </c>
      <c r="L156" s="154">
        <v>430.0</v>
      </c>
      <c r="M156" s="41">
        <v>1720.0</v>
      </c>
      <c r="N156" s="41" t="s">
        <v>430</v>
      </c>
      <c r="O156" s="143"/>
    </row>
    <row r="157">
      <c r="A157" s="47"/>
      <c r="B157" s="47"/>
      <c r="C157" s="47"/>
      <c r="D157" s="47"/>
      <c r="E157" s="47"/>
      <c r="F157" s="47"/>
      <c r="G157" s="47"/>
      <c r="H157" s="63" t="s">
        <v>435</v>
      </c>
      <c r="I157" s="34" t="s">
        <v>429</v>
      </c>
      <c r="J157" s="153">
        <v>2.0</v>
      </c>
      <c r="K157" s="77" t="s">
        <v>89</v>
      </c>
      <c r="L157" s="154">
        <v>200.0</v>
      </c>
      <c r="M157" s="41">
        <v>400.0</v>
      </c>
      <c r="N157" s="41" t="s">
        <v>430</v>
      </c>
      <c r="O157" s="143"/>
    </row>
    <row r="158">
      <c r="A158" s="47"/>
      <c r="B158" s="47"/>
      <c r="C158" s="47"/>
      <c r="D158" s="47"/>
      <c r="E158" s="47"/>
      <c r="F158" s="47"/>
      <c r="G158" s="47"/>
      <c r="H158" s="63" t="s">
        <v>436</v>
      </c>
      <c r="I158" s="34" t="s">
        <v>42</v>
      </c>
      <c r="J158" s="153">
        <v>4.0</v>
      </c>
      <c r="K158" s="77" t="s">
        <v>89</v>
      </c>
      <c r="L158" s="154">
        <v>249.0</v>
      </c>
      <c r="M158" s="41">
        <v>996.0</v>
      </c>
      <c r="N158" s="41" t="s">
        <v>430</v>
      </c>
      <c r="O158" s="143"/>
    </row>
    <row r="159">
      <c r="A159" s="48"/>
      <c r="B159" s="48"/>
      <c r="C159" s="48"/>
      <c r="D159" s="48"/>
      <c r="E159" s="48"/>
      <c r="F159" s="48"/>
      <c r="G159" s="48"/>
      <c r="H159" s="63" t="s">
        <v>303</v>
      </c>
      <c r="I159" s="34" t="s">
        <v>42</v>
      </c>
      <c r="J159" s="153">
        <v>4.0</v>
      </c>
      <c r="K159" s="77" t="s">
        <v>89</v>
      </c>
      <c r="L159" s="154">
        <v>64.0</v>
      </c>
      <c r="M159" s="36">
        <v>256.0</v>
      </c>
      <c r="N159" s="41" t="s">
        <v>430</v>
      </c>
      <c r="O159" s="73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</row>
    <row r="160">
      <c r="A160" s="68">
        <v>49.0</v>
      </c>
      <c r="B160" s="68">
        <v>1434.0</v>
      </c>
      <c r="C160" s="151">
        <v>45661.0</v>
      </c>
      <c r="D160" s="68" t="s">
        <v>40</v>
      </c>
      <c r="E160" s="68" t="s">
        <v>27</v>
      </c>
      <c r="F160" s="68">
        <v>278.0</v>
      </c>
      <c r="G160" s="152">
        <v>45663.0</v>
      </c>
      <c r="H160" s="63" t="s">
        <v>437</v>
      </c>
      <c r="I160" s="34" t="s">
        <v>429</v>
      </c>
      <c r="J160" s="153">
        <v>2.0</v>
      </c>
      <c r="K160" s="77" t="s">
        <v>89</v>
      </c>
      <c r="L160" s="154">
        <v>680.0</v>
      </c>
      <c r="M160" s="36">
        <v>1360.0</v>
      </c>
      <c r="N160" s="37"/>
      <c r="O160" s="73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</row>
    <row r="161">
      <c r="A161" s="48"/>
      <c r="B161" s="48"/>
      <c r="C161" s="48"/>
      <c r="D161" s="48"/>
      <c r="E161" s="48"/>
      <c r="F161" s="48"/>
      <c r="G161" s="48"/>
      <c r="H161" s="63" t="s">
        <v>437</v>
      </c>
      <c r="I161" s="34" t="s">
        <v>429</v>
      </c>
      <c r="J161" s="153">
        <v>2.0</v>
      </c>
      <c r="K161" s="77" t="s">
        <v>89</v>
      </c>
      <c r="L161" s="154">
        <v>580.0</v>
      </c>
      <c r="M161" s="36">
        <v>1160.0</v>
      </c>
      <c r="N161" s="37"/>
      <c r="O161" s="73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</row>
    <row r="162">
      <c r="A162" s="68">
        <v>50.0</v>
      </c>
      <c r="B162" s="68">
        <v>6.0</v>
      </c>
      <c r="C162" s="151">
        <v>45662.0</v>
      </c>
      <c r="D162" s="68" t="s">
        <v>399</v>
      </c>
      <c r="E162" s="68" t="s">
        <v>378</v>
      </c>
      <c r="F162" s="68">
        <v>277.0</v>
      </c>
      <c r="G162" s="152">
        <v>45663.0</v>
      </c>
      <c r="H162" s="63" t="s">
        <v>279</v>
      </c>
      <c r="I162" s="34" t="s">
        <v>276</v>
      </c>
      <c r="J162" s="153">
        <v>50.0</v>
      </c>
      <c r="K162" s="77" t="s">
        <v>89</v>
      </c>
      <c r="L162" s="154">
        <v>185.0</v>
      </c>
      <c r="M162" s="41">
        <v>9250.0</v>
      </c>
      <c r="N162" s="37"/>
      <c r="O162" s="143"/>
    </row>
    <row r="163">
      <c r="A163" s="47"/>
      <c r="B163" s="47"/>
      <c r="C163" s="47"/>
      <c r="D163" s="47"/>
      <c r="E163" s="47"/>
      <c r="F163" s="47"/>
      <c r="G163" s="47"/>
      <c r="H163" s="63" t="s">
        <v>438</v>
      </c>
      <c r="I163" s="34" t="s">
        <v>276</v>
      </c>
      <c r="J163" s="153">
        <v>80.0</v>
      </c>
      <c r="K163" s="77" t="s">
        <v>89</v>
      </c>
      <c r="L163" s="154">
        <v>31.0</v>
      </c>
      <c r="M163" s="41">
        <v>2480.0</v>
      </c>
      <c r="N163" s="37"/>
      <c r="O163" s="143"/>
    </row>
    <row r="164">
      <c r="A164" s="47"/>
      <c r="B164" s="47"/>
      <c r="C164" s="47"/>
      <c r="D164" s="47"/>
      <c r="E164" s="47"/>
      <c r="F164" s="47"/>
      <c r="G164" s="47"/>
      <c r="H164" s="63" t="s">
        <v>283</v>
      </c>
      <c r="I164" s="34" t="s">
        <v>276</v>
      </c>
      <c r="J164" s="153">
        <v>80.0</v>
      </c>
      <c r="K164" s="77" t="s">
        <v>89</v>
      </c>
      <c r="L164" s="154">
        <v>80.0</v>
      </c>
      <c r="M164" s="41">
        <v>6400.0</v>
      </c>
      <c r="N164" s="37"/>
      <c r="O164" s="143"/>
    </row>
    <row r="165">
      <c r="A165" s="48"/>
      <c r="B165" s="48"/>
      <c r="C165" s="48"/>
      <c r="D165" s="48"/>
      <c r="E165" s="48"/>
      <c r="F165" s="48"/>
      <c r="G165" s="48"/>
      <c r="H165" s="63" t="s">
        <v>439</v>
      </c>
      <c r="I165" s="34" t="s">
        <v>55</v>
      </c>
      <c r="J165" s="153">
        <v>10.0</v>
      </c>
      <c r="K165" s="77" t="s">
        <v>34</v>
      </c>
      <c r="L165" s="154">
        <v>256.0</v>
      </c>
      <c r="M165" s="41">
        <v>2560.0</v>
      </c>
      <c r="N165" s="37"/>
      <c r="O165" s="143"/>
    </row>
    <row r="166">
      <c r="A166" s="68">
        <v>51.0</v>
      </c>
      <c r="B166" s="68">
        <v>5.0</v>
      </c>
      <c r="C166" s="151">
        <v>45662.0</v>
      </c>
      <c r="D166" s="68" t="s">
        <v>399</v>
      </c>
      <c r="E166" s="68" t="s">
        <v>378</v>
      </c>
      <c r="F166" s="68">
        <v>277.0</v>
      </c>
      <c r="G166" s="152">
        <v>45663.0</v>
      </c>
      <c r="H166" s="33" t="s">
        <v>28</v>
      </c>
      <c r="I166" s="34" t="s">
        <v>29</v>
      </c>
      <c r="J166" s="162">
        <v>10.0</v>
      </c>
      <c r="K166" s="31" t="s">
        <v>30</v>
      </c>
      <c r="L166" s="35">
        <v>945.0</v>
      </c>
      <c r="M166" s="41">
        <v>9450.0</v>
      </c>
      <c r="N166" s="41" t="s">
        <v>440</v>
      </c>
      <c r="O166" s="73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</row>
    <row r="167">
      <c r="A167" s="47"/>
      <c r="B167" s="47"/>
      <c r="C167" s="47"/>
      <c r="D167" s="47"/>
      <c r="E167" s="47"/>
      <c r="F167" s="47"/>
      <c r="G167" s="47"/>
      <c r="H167" s="33" t="s">
        <v>300</v>
      </c>
      <c r="I167" s="34" t="s">
        <v>29</v>
      </c>
      <c r="J167" s="162">
        <v>15.0</v>
      </c>
      <c r="K167" s="31" t="s">
        <v>30</v>
      </c>
      <c r="L167" s="35">
        <v>295.0</v>
      </c>
      <c r="M167" s="41">
        <v>4425.0</v>
      </c>
      <c r="N167" s="41" t="s">
        <v>440</v>
      </c>
      <c r="O167" s="73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</row>
    <row r="168">
      <c r="A168" s="47"/>
      <c r="B168" s="47"/>
      <c r="C168" s="47"/>
      <c r="D168" s="47"/>
      <c r="E168" s="47"/>
      <c r="F168" s="47"/>
      <c r="G168" s="47"/>
      <c r="H168" s="33" t="s">
        <v>299</v>
      </c>
      <c r="I168" s="34" t="s">
        <v>29</v>
      </c>
      <c r="J168" s="162">
        <v>15.0</v>
      </c>
      <c r="K168" s="31" t="s">
        <v>30</v>
      </c>
      <c r="L168" s="35">
        <v>220.0</v>
      </c>
      <c r="M168" s="41">
        <v>3300.0</v>
      </c>
      <c r="N168" s="41" t="s">
        <v>440</v>
      </c>
      <c r="O168" s="73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</row>
    <row r="169">
      <c r="A169" s="47"/>
      <c r="B169" s="47"/>
      <c r="C169" s="47"/>
      <c r="D169" s="47"/>
      <c r="E169" s="47"/>
      <c r="F169" s="47"/>
      <c r="G169" s="47"/>
      <c r="H169" s="33" t="s">
        <v>333</v>
      </c>
      <c r="I169" s="34" t="s">
        <v>29</v>
      </c>
      <c r="J169" s="162">
        <v>50.0</v>
      </c>
      <c r="K169" s="31" t="s">
        <v>30</v>
      </c>
      <c r="L169" s="35">
        <v>215.0</v>
      </c>
      <c r="M169" s="41">
        <v>10750.0</v>
      </c>
      <c r="N169" s="41" t="s">
        <v>440</v>
      </c>
      <c r="O169" s="73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</row>
    <row r="170">
      <c r="A170" s="48"/>
      <c r="B170" s="48"/>
      <c r="C170" s="48"/>
      <c r="D170" s="48"/>
      <c r="E170" s="48"/>
      <c r="F170" s="48"/>
      <c r="G170" s="48"/>
      <c r="H170" s="33" t="s">
        <v>309</v>
      </c>
      <c r="I170" s="34" t="s">
        <v>29</v>
      </c>
      <c r="J170" s="162">
        <v>10.0</v>
      </c>
      <c r="K170" s="31" t="s">
        <v>30</v>
      </c>
      <c r="L170" s="35">
        <v>350.0</v>
      </c>
      <c r="M170" s="41">
        <v>3500.0</v>
      </c>
      <c r="N170" s="41" t="s">
        <v>440</v>
      </c>
      <c r="O170" s="73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</row>
    <row r="171">
      <c r="A171" s="31">
        <v>52.0</v>
      </c>
      <c r="B171" s="31">
        <v>25.0</v>
      </c>
      <c r="C171" s="32">
        <v>45666.0</v>
      </c>
      <c r="D171" s="31" t="s">
        <v>399</v>
      </c>
      <c r="E171" s="32">
        <v>45701.0</v>
      </c>
      <c r="F171" s="31">
        <v>279.0</v>
      </c>
      <c r="G171" s="161">
        <v>45663.0</v>
      </c>
      <c r="H171" s="63" t="s">
        <v>441</v>
      </c>
      <c r="I171" s="34" t="s">
        <v>82</v>
      </c>
      <c r="J171" s="153">
        <v>50.0</v>
      </c>
      <c r="K171" s="77" t="s">
        <v>89</v>
      </c>
      <c r="L171" s="154">
        <v>1360.0</v>
      </c>
      <c r="M171" s="41">
        <v>68000.0</v>
      </c>
      <c r="N171" s="41" t="s">
        <v>99</v>
      </c>
      <c r="O171" s="143"/>
    </row>
    <row r="172" ht="15.0" customHeight="1">
      <c r="A172" s="68">
        <v>53.0</v>
      </c>
      <c r="B172" s="68">
        <v>32.0</v>
      </c>
      <c r="C172" s="151">
        <v>45667.0</v>
      </c>
      <c r="D172" s="68" t="s">
        <v>400</v>
      </c>
      <c r="E172" s="68" t="s">
        <v>378</v>
      </c>
      <c r="F172" s="68">
        <v>284.0</v>
      </c>
      <c r="G172" s="152">
        <v>45669.0</v>
      </c>
      <c r="H172" s="63" t="s">
        <v>442</v>
      </c>
      <c r="I172" s="34" t="s">
        <v>29</v>
      </c>
      <c r="J172" s="153">
        <v>3.0</v>
      </c>
      <c r="K172" s="77" t="s">
        <v>89</v>
      </c>
      <c r="L172" s="154">
        <v>320.0</v>
      </c>
      <c r="M172" s="41">
        <v>960.0</v>
      </c>
      <c r="N172" s="41" t="s">
        <v>99</v>
      </c>
      <c r="O172" s="143"/>
    </row>
    <row r="173" ht="15.0" customHeight="1">
      <c r="A173" s="47"/>
      <c r="B173" s="47"/>
      <c r="C173" s="47"/>
      <c r="D173" s="47"/>
      <c r="E173" s="47"/>
      <c r="F173" s="47"/>
      <c r="G173" s="47"/>
      <c r="H173" s="63" t="s">
        <v>443</v>
      </c>
      <c r="I173" s="34" t="s">
        <v>29</v>
      </c>
      <c r="J173" s="153">
        <v>10.0</v>
      </c>
      <c r="K173" s="77" t="s">
        <v>89</v>
      </c>
      <c r="L173" s="154">
        <v>220.0</v>
      </c>
      <c r="M173" s="41">
        <v>2200.0</v>
      </c>
      <c r="N173" s="41" t="s">
        <v>99</v>
      </c>
      <c r="O173" s="143"/>
    </row>
    <row r="174" ht="15.0" customHeight="1">
      <c r="A174" s="47"/>
      <c r="B174" s="47"/>
      <c r="C174" s="47"/>
      <c r="D174" s="47"/>
      <c r="E174" s="47"/>
      <c r="F174" s="47"/>
      <c r="G174" s="47"/>
      <c r="H174" s="63" t="s">
        <v>444</v>
      </c>
      <c r="I174" s="34" t="s">
        <v>82</v>
      </c>
      <c r="J174" s="153">
        <v>50.0</v>
      </c>
      <c r="K174" s="77" t="s">
        <v>89</v>
      </c>
      <c r="L174" s="154">
        <v>1360.0</v>
      </c>
      <c r="M174" s="41">
        <v>68000.0</v>
      </c>
      <c r="N174" s="41" t="s">
        <v>99</v>
      </c>
      <c r="O174" s="143"/>
    </row>
    <row r="175" ht="15.0" customHeight="1">
      <c r="A175" s="47"/>
      <c r="B175" s="47"/>
      <c r="C175" s="47"/>
      <c r="D175" s="47"/>
      <c r="E175" s="47"/>
      <c r="F175" s="47"/>
      <c r="G175" s="47"/>
      <c r="H175" s="63" t="s">
        <v>445</v>
      </c>
      <c r="I175" s="34" t="s">
        <v>82</v>
      </c>
      <c r="J175" s="153">
        <v>50.0</v>
      </c>
      <c r="K175" s="77" t="s">
        <v>89</v>
      </c>
      <c r="L175" s="154">
        <v>870.0</v>
      </c>
      <c r="M175" s="41">
        <v>43500.0</v>
      </c>
      <c r="N175" s="41" t="s">
        <v>99</v>
      </c>
      <c r="O175" s="143"/>
    </row>
    <row r="176" ht="15.0" customHeight="1">
      <c r="A176" s="47"/>
      <c r="B176" s="47"/>
      <c r="C176" s="47"/>
      <c r="D176" s="47"/>
      <c r="E176" s="47"/>
      <c r="F176" s="47"/>
      <c r="G176" s="47"/>
      <c r="H176" s="63" t="s">
        <v>323</v>
      </c>
      <c r="I176" s="34" t="s">
        <v>29</v>
      </c>
      <c r="J176" s="153">
        <v>15.0</v>
      </c>
      <c r="K176" s="77" t="s">
        <v>89</v>
      </c>
      <c r="L176" s="154">
        <v>380.0</v>
      </c>
      <c r="M176" s="41">
        <v>5700.0</v>
      </c>
      <c r="N176" s="41" t="s">
        <v>99</v>
      </c>
      <c r="O176" s="143"/>
    </row>
    <row r="177" ht="15.0" customHeight="1">
      <c r="A177" s="47"/>
      <c r="B177" s="47"/>
      <c r="C177" s="47"/>
      <c r="D177" s="47"/>
      <c r="E177" s="47"/>
      <c r="F177" s="47"/>
      <c r="G177" s="47"/>
      <c r="H177" s="63" t="s">
        <v>446</v>
      </c>
      <c r="I177" s="34" t="s">
        <v>29</v>
      </c>
      <c r="J177" s="153">
        <v>20.0</v>
      </c>
      <c r="K177" s="77" t="s">
        <v>89</v>
      </c>
      <c r="L177" s="154">
        <v>80.0</v>
      </c>
      <c r="M177" s="41">
        <v>1600.0</v>
      </c>
      <c r="N177" s="41" t="s">
        <v>99</v>
      </c>
      <c r="O177" s="143"/>
    </row>
    <row r="178">
      <c r="A178" s="47"/>
      <c r="B178" s="47"/>
      <c r="C178" s="47"/>
      <c r="D178" s="47"/>
      <c r="E178" s="47"/>
      <c r="F178" s="47"/>
      <c r="G178" s="47"/>
      <c r="H178" s="63" t="s">
        <v>447</v>
      </c>
      <c r="I178" s="34" t="s">
        <v>42</v>
      </c>
      <c r="J178" s="153">
        <v>5.0</v>
      </c>
      <c r="K178" s="77" t="s">
        <v>89</v>
      </c>
      <c r="L178" s="78">
        <v>425.0</v>
      </c>
      <c r="M178" s="41">
        <v>2125.0</v>
      </c>
      <c r="N178" s="41" t="s">
        <v>99</v>
      </c>
      <c r="O178" s="143"/>
    </row>
    <row r="179" ht="15.0" customHeight="1">
      <c r="A179" s="48"/>
      <c r="B179" s="48"/>
      <c r="C179" s="48"/>
      <c r="D179" s="48"/>
      <c r="E179" s="48"/>
      <c r="F179" s="48"/>
      <c r="G179" s="48"/>
      <c r="H179" s="63" t="s">
        <v>354</v>
      </c>
      <c r="I179" s="34" t="s">
        <v>60</v>
      </c>
      <c r="J179" s="153">
        <v>2.0</v>
      </c>
      <c r="K179" s="77" t="s">
        <v>98</v>
      </c>
      <c r="L179" s="154">
        <v>3000.0</v>
      </c>
      <c r="M179" s="41">
        <v>6000.0</v>
      </c>
      <c r="N179" s="41" t="s">
        <v>99</v>
      </c>
      <c r="O179" s="143"/>
    </row>
    <row r="180">
      <c r="A180" s="68">
        <v>54.0</v>
      </c>
      <c r="B180" s="68">
        <v>15.0</v>
      </c>
      <c r="C180" s="151">
        <v>45667.0</v>
      </c>
      <c r="D180" s="68" t="s">
        <v>393</v>
      </c>
      <c r="E180" s="151">
        <v>45701.0</v>
      </c>
      <c r="F180" s="68">
        <v>284.0</v>
      </c>
      <c r="G180" s="152">
        <v>45669.0</v>
      </c>
      <c r="H180" s="63" t="s">
        <v>442</v>
      </c>
      <c r="I180" s="34" t="s">
        <v>29</v>
      </c>
      <c r="J180" s="153">
        <v>2.0</v>
      </c>
      <c r="K180" s="77" t="s">
        <v>89</v>
      </c>
      <c r="L180" s="154">
        <v>320.0</v>
      </c>
      <c r="M180" s="41">
        <v>640.0</v>
      </c>
      <c r="N180" s="41" t="s">
        <v>277</v>
      </c>
      <c r="O180" s="143"/>
    </row>
    <row r="181">
      <c r="A181" s="48"/>
      <c r="B181" s="48"/>
      <c r="C181" s="48"/>
      <c r="D181" s="48"/>
      <c r="E181" s="48"/>
      <c r="F181" s="48"/>
      <c r="G181" s="48"/>
      <c r="H181" s="63" t="s">
        <v>448</v>
      </c>
      <c r="I181" s="34" t="s">
        <v>29</v>
      </c>
      <c r="J181" s="153">
        <v>5.0</v>
      </c>
      <c r="K181" s="77" t="s">
        <v>89</v>
      </c>
      <c r="L181" s="154">
        <v>90.0</v>
      </c>
      <c r="M181" s="41">
        <v>450.0</v>
      </c>
      <c r="N181" s="41" t="s">
        <v>277</v>
      </c>
      <c r="O181" s="143"/>
    </row>
    <row r="182">
      <c r="A182" s="68">
        <v>55.0</v>
      </c>
      <c r="B182" s="68">
        <v>30.0</v>
      </c>
      <c r="C182" s="151">
        <v>45667.0</v>
      </c>
      <c r="D182" s="68" t="s">
        <v>400</v>
      </c>
      <c r="E182" s="68" t="s">
        <v>378</v>
      </c>
      <c r="F182" s="68">
        <v>293.0</v>
      </c>
      <c r="G182" s="152">
        <v>45669.0</v>
      </c>
      <c r="H182" s="63" t="s">
        <v>449</v>
      </c>
      <c r="I182" s="34" t="s">
        <v>60</v>
      </c>
      <c r="J182" s="153">
        <v>2.0</v>
      </c>
      <c r="K182" s="77" t="s">
        <v>89</v>
      </c>
      <c r="L182" s="154">
        <v>150.0</v>
      </c>
      <c r="M182" s="41">
        <v>300.0</v>
      </c>
      <c r="N182" s="41" t="s">
        <v>99</v>
      </c>
      <c r="O182" s="143"/>
    </row>
    <row r="183">
      <c r="A183" s="47"/>
      <c r="B183" s="47"/>
      <c r="C183" s="47"/>
      <c r="D183" s="47"/>
      <c r="E183" s="47"/>
      <c r="F183" s="47"/>
      <c r="G183" s="47"/>
      <c r="H183" s="63" t="s">
        <v>450</v>
      </c>
      <c r="I183" s="34" t="s">
        <v>60</v>
      </c>
      <c r="J183" s="153">
        <v>2.0</v>
      </c>
      <c r="K183" s="77" t="s">
        <v>89</v>
      </c>
      <c r="L183" s="154">
        <v>150.0</v>
      </c>
      <c r="M183" s="41">
        <v>300.0</v>
      </c>
      <c r="N183" s="41" t="s">
        <v>99</v>
      </c>
      <c r="O183" s="143"/>
    </row>
    <row r="184">
      <c r="A184" s="47"/>
      <c r="B184" s="47"/>
      <c r="C184" s="47"/>
      <c r="D184" s="47"/>
      <c r="E184" s="47"/>
      <c r="F184" s="47"/>
      <c r="G184" s="47"/>
      <c r="H184" s="63" t="s">
        <v>451</v>
      </c>
      <c r="I184" s="34" t="s">
        <v>60</v>
      </c>
      <c r="J184" s="153">
        <v>2.0</v>
      </c>
      <c r="K184" s="77" t="s">
        <v>89</v>
      </c>
      <c r="L184" s="78">
        <v>35.0</v>
      </c>
      <c r="M184" s="41">
        <v>70.0</v>
      </c>
      <c r="N184" s="41" t="s">
        <v>99</v>
      </c>
      <c r="O184" s="143"/>
    </row>
    <row r="185">
      <c r="A185" s="47"/>
      <c r="B185" s="47"/>
      <c r="C185" s="47"/>
      <c r="D185" s="47"/>
      <c r="E185" s="47"/>
      <c r="F185" s="47"/>
      <c r="G185" s="47"/>
      <c r="H185" s="63" t="s">
        <v>452</v>
      </c>
      <c r="I185" s="34" t="s">
        <v>60</v>
      </c>
      <c r="J185" s="153">
        <v>2.0</v>
      </c>
      <c r="K185" s="77" t="s">
        <v>89</v>
      </c>
      <c r="L185" s="154">
        <v>59.0</v>
      </c>
      <c r="M185" s="41">
        <v>118.0</v>
      </c>
      <c r="N185" s="41" t="s">
        <v>99</v>
      </c>
      <c r="O185" s="143"/>
    </row>
    <row r="186">
      <c r="A186" s="47"/>
      <c r="B186" s="47"/>
      <c r="C186" s="47"/>
      <c r="D186" s="47"/>
      <c r="E186" s="47"/>
      <c r="F186" s="47"/>
      <c r="G186" s="47"/>
      <c r="H186" s="63" t="s">
        <v>345</v>
      </c>
      <c r="I186" s="34" t="s">
        <v>276</v>
      </c>
      <c r="J186" s="153">
        <v>2.0</v>
      </c>
      <c r="K186" s="77" t="s">
        <v>89</v>
      </c>
      <c r="L186" s="154">
        <v>80.0</v>
      </c>
      <c r="M186" s="41">
        <v>160.0</v>
      </c>
      <c r="N186" s="41" t="s">
        <v>99</v>
      </c>
      <c r="O186" s="143"/>
    </row>
    <row r="187">
      <c r="A187" s="47"/>
      <c r="B187" s="47"/>
      <c r="C187" s="47"/>
      <c r="D187" s="47"/>
      <c r="E187" s="47"/>
      <c r="F187" s="47"/>
      <c r="G187" s="47"/>
      <c r="H187" s="63" t="s">
        <v>438</v>
      </c>
      <c r="I187" s="34" t="s">
        <v>276</v>
      </c>
      <c r="J187" s="153">
        <v>2.0</v>
      </c>
      <c r="K187" s="77" t="s">
        <v>89</v>
      </c>
      <c r="L187" s="154">
        <v>31.0</v>
      </c>
      <c r="M187" s="41">
        <v>62.0</v>
      </c>
      <c r="N187" s="41" t="s">
        <v>99</v>
      </c>
      <c r="O187" s="143"/>
    </row>
    <row r="188">
      <c r="A188" s="47"/>
      <c r="B188" s="47"/>
      <c r="C188" s="47"/>
      <c r="D188" s="47"/>
      <c r="E188" s="47"/>
      <c r="F188" s="47"/>
      <c r="G188" s="47"/>
      <c r="H188" s="63" t="s">
        <v>354</v>
      </c>
      <c r="I188" s="34" t="s">
        <v>60</v>
      </c>
      <c r="J188" s="153">
        <v>1.0</v>
      </c>
      <c r="K188" s="77" t="s">
        <v>98</v>
      </c>
      <c r="L188" s="154">
        <v>3000.0</v>
      </c>
      <c r="M188" s="41">
        <v>3000.0</v>
      </c>
      <c r="N188" s="41" t="s">
        <v>99</v>
      </c>
      <c r="O188" s="143"/>
    </row>
    <row r="189">
      <c r="A189" s="47"/>
      <c r="B189" s="47"/>
      <c r="C189" s="47"/>
      <c r="D189" s="47"/>
      <c r="E189" s="47"/>
      <c r="F189" s="47"/>
      <c r="G189" s="47"/>
      <c r="H189" s="63" t="s">
        <v>453</v>
      </c>
      <c r="I189" s="34" t="s">
        <v>276</v>
      </c>
      <c r="J189" s="153">
        <v>1.0</v>
      </c>
      <c r="K189" s="77" t="s">
        <v>98</v>
      </c>
      <c r="L189" s="154">
        <v>2250.0</v>
      </c>
      <c r="M189" s="41">
        <v>2250.0</v>
      </c>
      <c r="N189" s="41" t="s">
        <v>99</v>
      </c>
      <c r="O189" s="143"/>
    </row>
    <row r="190">
      <c r="A190" s="47"/>
      <c r="B190" s="47"/>
      <c r="C190" s="47"/>
      <c r="D190" s="47"/>
      <c r="E190" s="47"/>
      <c r="F190" s="47"/>
      <c r="G190" s="47"/>
      <c r="H190" s="63" t="s">
        <v>279</v>
      </c>
      <c r="I190" s="34" t="s">
        <v>276</v>
      </c>
      <c r="J190" s="153">
        <v>2.0</v>
      </c>
      <c r="K190" s="77" t="s">
        <v>89</v>
      </c>
      <c r="L190" s="154">
        <v>185.0</v>
      </c>
      <c r="M190" s="41">
        <v>370.0</v>
      </c>
      <c r="N190" s="41" t="s">
        <v>99</v>
      </c>
      <c r="O190" s="143"/>
    </row>
    <row r="191">
      <c r="A191" s="48"/>
      <c r="B191" s="48"/>
      <c r="C191" s="48"/>
      <c r="D191" s="48"/>
      <c r="E191" s="48"/>
      <c r="F191" s="48"/>
      <c r="G191" s="48"/>
      <c r="H191" s="63" t="s">
        <v>454</v>
      </c>
      <c r="I191" s="34" t="s">
        <v>276</v>
      </c>
      <c r="J191" s="153">
        <v>1.0</v>
      </c>
      <c r="K191" s="77" t="s">
        <v>89</v>
      </c>
      <c r="L191" s="154">
        <v>490.0</v>
      </c>
      <c r="M191" s="41">
        <v>490.0</v>
      </c>
      <c r="N191" s="41" t="s">
        <v>99</v>
      </c>
      <c r="O191" s="143"/>
    </row>
    <row r="192">
      <c r="A192" s="68">
        <v>56.0</v>
      </c>
      <c r="B192" s="68">
        <v>66.0</v>
      </c>
      <c r="C192" s="151">
        <v>45674.0</v>
      </c>
      <c r="D192" s="68" t="s">
        <v>381</v>
      </c>
      <c r="E192" s="68" t="s">
        <v>455</v>
      </c>
      <c r="F192" s="68">
        <v>283.0</v>
      </c>
      <c r="G192" s="152">
        <v>45669.0</v>
      </c>
      <c r="H192" s="63" t="s">
        <v>397</v>
      </c>
      <c r="I192" s="34" t="s">
        <v>325</v>
      </c>
      <c r="J192" s="153">
        <v>10.0</v>
      </c>
      <c r="K192" s="77" t="s">
        <v>34</v>
      </c>
      <c r="L192" s="154">
        <v>61.0</v>
      </c>
      <c r="M192" s="41">
        <v>610.0</v>
      </c>
      <c r="N192" s="41" t="s">
        <v>185</v>
      </c>
      <c r="O192" s="143"/>
    </row>
    <row r="193">
      <c r="A193" s="47"/>
      <c r="B193" s="47"/>
      <c r="C193" s="47"/>
      <c r="D193" s="47"/>
      <c r="E193" s="47"/>
      <c r="F193" s="47"/>
      <c r="G193" s="47"/>
      <c r="H193" s="63" t="s">
        <v>334</v>
      </c>
      <c r="I193" s="34" t="s">
        <v>325</v>
      </c>
      <c r="J193" s="153">
        <v>5.0</v>
      </c>
      <c r="K193" s="77" t="s">
        <v>34</v>
      </c>
      <c r="L193" s="154">
        <v>61.0</v>
      </c>
      <c r="M193" s="41">
        <v>305.0</v>
      </c>
      <c r="N193" s="41" t="s">
        <v>185</v>
      </c>
      <c r="O193" s="143"/>
    </row>
    <row r="194">
      <c r="A194" s="47"/>
      <c r="B194" s="47"/>
      <c r="C194" s="47"/>
      <c r="D194" s="47"/>
      <c r="E194" s="47"/>
      <c r="F194" s="47"/>
      <c r="G194" s="47"/>
      <c r="H194" s="63" t="s">
        <v>456</v>
      </c>
      <c r="I194" s="34" t="s">
        <v>294</v>
      </c>
      <c r="J194" s="153">
        <v>4.0</v>
      </c>
      <c r="K194" s="77" t="s">
        <v>297</v>
      </c>
      <c r="L194" s="154">
        <v>450.0</v>
      </c>
      <c r="M194" s="41">
        <v>1800.0</v>
      </c>
      <c r="N194" s="41" t="s">
        <v>185</v>
      </c>
      <c r="O194" s="143"/>
    </row>
    <row r="195">
      <c r="A195" s="48"/>
      <c r="B195" s="48"/>
      <c r="C195" s="48"/>
      <c r="D195" s="48"/>
      <c r="E195" s="48"/>
      <c r="F195" s="48"/>
      <c r="G195" s="48"/>
      <c r="H195" s="63" t="s">
        <v>394</v>
      </c>
      <c r="I195" s="34" t="s">
        <v>29</v>
      </c>
      <c r="J195" s="153">
        <v>40.0</v>
      </c>
      <c r="K195" s="77" t="s">
        <v>98</v>
      </c>
      <c r="L195" s="154">
        <v>25.0</v>
      </c>
      <c r="M195" s="41">
        <v>1000.0</v>
      </c>
      <c r="N195" s="41" t="s">
        <v>185</v>
      </c>
      <c r="O195" s="143"/>
    </row>
    <row r="196">
      <c r="A196" s="68">
        <v>57.0</v>
      </c>
      <c r="B196" s="68">
        <v>84.0</v>
      </c>
      <c r="C196" s="151">
        <v>45678.0</v>
      </c>
      <c r="D196" s="68" t="s">
        <v>400</v>
      </c>
      <c r="E196" s="68" t="s">
        <v>378</v>
      </c>
      <c r="F196" s="68">
        <v>295.0</v>
      </c>
      <c r="G196" s="152">
        <v>45680.0</v>
      </c>
      <c r="H196" s="63" t="s">
        <v>457</v>
      </c>
      <c r="I196" s="34" t="s">
        <v>82</v>
      </c>
      <c r="J196" s="153">
        <v>13.0</v>
      </c>
      <c r="K196" s="77" t="s">
        <v>89</v>
      </c>
      <c r="L196" s="154">
        <v>90.0</v>
      </c>
      <c r="M196" s="41">
        <v>1170.0</v>
      </c>
      <c r="N196" s="41" t="s">
        <v>99</v>
      </c>
      <c r="O196" s="143"/>
    </row>
    <row r="197">
      <c r="A197" s="48"/>
      <c r="B197" s="48"/>
      <c r="C197" s="48"/>
      <c r="D197" s="48"/>
      <c r="E197" s="48"/>
      <c r="F197" s="48"/>
      <c r="G197" s="48"/>
      <c r="H197" s="63" t="s">
        <v>458</v>
      </c>
      <c r="I197" s="34" t="s">
        <v>82</v>
      </c>
      <c r="J197" s="153">
        <v>13.0</v>
      </c>
      <c r="K197" s="77" t="s">
        <v>89</v>
      </c>
      <c r="L197" s="154">
        <v>180.0</v>
      </c>
      <c r="M197" s="41">
        <v>2340.0</v>
      </c>
      <c r="N197" s="41" t="s">
        <v>99</v>
      </c>
      <c r="O197" s="143"/>
    </row>
    <row r="198">
      <c r="A198" s="68">
        <v>58.0</v>
      </c>
      <c r="B198" s="68">
        <v>82.0</v>
      </c>
      <c r="C198" s="151">
        <v>45678.0</v>
      </c>
      <c r="D198" s="68" t="s">
        <v>400</v>
      </c>
      <c r="E198" s="68" t="s">
        <v>378</v>
      </c>
      <c r="F198" s="68">
        <v>294.0</v>
      </c>
      <c r="G198" s="152">
        <v>45677.0</v>
      </c>
      <c r="H198" s="63" t="s">
        <v>459</v>
      </c>
      <c r="I198" s="34" t="s">
        <v>294</v>
      </c>
      <c r="J198" s="153">
        <v>5.0</v>
      </c>
      <c r="K198" s="77" t="s">
        <v>34</v>
      </c>
      <c r="L198" s="154">
        <v>650.0</v>
      </c>
      <c r="M198" s="41">
        <v>3250.0</v>
      </c>
      <c r="N198" s="41" t="s">
        <v>99</v>
      </c>
      <c r="O198" s="143"/>
    </row>
    <row r="199">
      <c r="A199" s="47"/>
      <c r="B199" s="47"/>
      <c r="C199" s="47"/>
      <c r="D199" s="47"/>
      <c r="E199" s="47"/>
      <c r="F199" s="47"/>
      <c r="G199" s="47"/>
      <c r="H199" s="63" t="s">
        <v>460</v>
      </c>
      <c r="I199" s="34" t="s">
        <v>29</v>
      </c>
      <c r="J199" s="153">
        <v>3.0</v>
      </c>
      <c r="K199" s="77" t="s">
        <v>89</v>
      </c>
      <c r="L199" s="154">
        <v>180.0</v>
      </c>
      <c r="M199" s="41">
        <v>540.0</v>
      </c>
      <c r="N199" s="41" t="s">
        <v>99</v>
      </c>
      <c r="O199" s="143"/>
    </row>
    <row r="200">
      <c r="A200" s="47"/>
      <c r="B200" s="47"/>
      <c r="C200" s="47"/>
      <c r="D200" s="47"/>
      <c r="E200" s="47"/>
      <c r="F200" s="47"/>
      <c r="G200" s="47"/>
      <c r="H200" s="63" t="s">
        <v>461</v>
      </c>
      <c r="I200" s="34" t="s">
        <v>29</v>
      </c>
      <c r="J200" s="153">
        <v>10.0</v>
      </c>
      <c r="K200" s="77" t="s">
        <v>89</v>
      </c>
      <c r="L200" s="154">
        <v>18.0</v>
      </c>
      <c r="M200" s="41">
        <v>180.0</v>
      </c>
      <c r="N200" s="41" t="s">
        <v>99</v>
      </c>
      <c r="O200" s="143"/>
    </row>
    <row r="201">
      <c r="A201" s="48"/>
      <c r="B201" s="48"/>
      <c r="C201" s="48"/>
      <c r="D201" s="48"/>
      <c r="E201" s="48"/>
      <c r="F201" s="48"/>
      <c r="G201" s="48"/>
      <c r="H201" s="63" t="s">
        <v>352</v>
      </c>
      <c r="I201" s="34" t="s">
        <v>294</v>
      </c>
      <c r="J201" s="153">
        <v>5.0</v>
      </c>
      <c r="K201" s="77" t="s">
        <v>34</v>
      </c>
      <c r="L201" s="154">
        <v>74.0</v>
      </c>
      <c r="M201" s="41">
        <v>370.0</v>
      </c>
      <c r="N201" s="41" t="s">
        <v>99</v>
      </c>
      <c r="O201" s="143"/>
    </row>
    <row r="202">
      <c r="A202" s="68">
        <v>59.0</v>
      </c>
      <c r="B202" s="68">
        <v>86.0</v>
      </c>
      <c r="C202" s="151">
        <v>45678.0</v>
      </c>
      <c r="D202" s="68" t="s">
        <v>400</v>
      </c>
      <c r="E202" s="68" t="s">
        <v>378</v>
      </c>
      <c r="F202" s="68" t="s">
        <v>462</v>
      </c>
      <c r="G202" s="152">
        <v>45680.0</v>
      </c>
      <c r="H202" s="63" t="s">
        <v>459</v>
      </c>
      <c r="I202" s="34" t="s">
        <v>294</v>
      </c>
      <c r="J202" s="153">
        <v>3.0</v>
      </c>
      <c r="K202" s="77" t="s">
        <v>34</v>
      </c>
      <c r="L202" s="154">
        <v>650.0</v>
      </c>
      <c r="M202" s="41">
        <v>1950.0</v>
      </c>
      <c r="N202" s="41" t="s">
        <v>99</v>
      </c>
      <c r="O202" s="143"/>
    </row>
    <row r="203">
      <c r="A203" s="48"/>
      <c r="B203" s="48"/>
      <c r="C203" s="48"/>
      <c r="D203" s="48"/>
      <c r="E203" s="48"/>
      <c r="F203" s="48"/>
      <c r="G203" s="48"/>
      <c r="H203" s="63" t="s">
        <v>448</v>
      </c>
      <c r="I203" s="34" t="s">
        <v>29</v>
      </c>
      <c r="J203" s="153">
        <v>5.0</v>
      </c>
      <c r="K203" s="77" t="s">
        <v>89</v>
      </c>
      <c r="L203" s="154">
        <v>90.0</v>
      </c>
      <c r="M203" s="41">
        <v>450.0</v>
      </c>
      <c r="N203" s="41" t="s">
        <v>99</v>
      </c>
      <c r="O203" s="143"/>
    </row>
    <row r="204">
      <c r="A204" s="68">
        <v>60.0</v>
      </c>
      <c r="B204" s="68">
        <v>100.0</v>
      </c>
      <c r="C204" s="151">
        <v>45678.0</v>
      </c>
      <c r="D204" s="68" t="s">
        <v>381</v>
      </c>
      <c r="E204" s="68" t="s">
        <v>378</v>
      </c>
      <c r="F204" s="68">
        <v>602.0</v>
      </c>
      <c r="G204" s="152">
        <v>45685.0</v>
      </c>
      <c r="H204" s="63" t="s">
        <v>463</v>
      </c>
      <c r="I204" s="34" t="s">
        <v>82</v>
      </c>
      <c r="J204" s="153">
        <v>234.55</v>
      </c>
      <c r="K204" s="77" t="s">
        <v>464</v>
      </c>
      <c r="L204" s="154">
        <v>50.0</v>
      </c>
      <c r="M204" s="41">
        <v>11725.0</v>
      </c>
      <c r="N204" s="41" t="s">
        <v>185</v>
      </c>
      <c r="O204" s="143"/>
    </row>
    <row r="205">
      <c r="A205" s="48"/>
      <c r="B205" s="48"/>
      <c r="C205" s="48"/>
      <c r="D205" s="48"/>
      <c r="E205" s="48"/>
      <c r="F205" s="48"/>
      <c r="G205" s="48"/>
      <c r="H205" s="63" t="s">
        <v>465</v>
      </c>
      <c r="I205" s="34" t="s">
        <v>82</v>
      </c>
      <c r="J205" s="153">
        <v>26.0</v>
      </c>
      <c r="K205" s="77" t="s">
        <v>89</v>
      </c>
      <c r="L205" s="154">
        <v>12.0</v>
      </c>
      <c r="M205" s="41">
        <v>312.0</v>
      </c>
      <c r="N205" s="41" t="s">
        <v>185</v>
      </c>
      <c r="O205" s="143"/>
    </row>
    <row r="206">
      <c r="A206" s="68">
        <v>61.0</v>
      </c>
      <c r="B206" s="68">
        <v>99.0</v>
      </c>
      <c r="C206" s="151">
        <v>45683.0</v>
      </c>
      <c r="D206" s="68" t="s">
        <v>381</v>
      </c>
      <c r="E206" s="68" t="s">
        <v>382</v>
      </c>
      <c r="F206" s="68">
        <v>601.0</v>
      </c>
      <c r="G206" s="152">
        <v>45685.0</v>
      </c>
      <c r="H206" s="63" t="s">
        <v>466</v>
      </c>
      <c r="I206" s="34" t="s">
        <v>82</v>
      </c>
      <c r="J206" s="153">
        <v>12.0</v>
      </c>
      <c r="K206" s="77" t="s">
        <v>89</v>
      </c>
      <c r="L206" s="154">
        <v>641.0</v>
      </c>
      <c r="M206" s="41">
        <v>7692.0</v>
      </c>
      <c r="N206" s="41" t="s">
        <v>185</v>
      </c>
      <c r="O206" s="143"/>
    </row>
    <row r="207">
      <c r="A207" s="47"/>
      <c r="B207" s="47"/>
      <c r="C207" s="47"/>
      <c r="D207" s="47"/>
      <c r="E207" s="47"/>
      <c r="F207" s="47"/>
      <c r="G207" s="47"/>
      <c r="H207" s="63" t="s">
        <v>467</v>
      </c>
      <c r="I207" s="34" t="s">
        <v>82</v>
      </c>
      <c r="J207" s="153">
        <v>20.0</v>
      </c>
      <c r="K207" s="77" t="s">
        <v>89</v>
      </c>
      <c r="L207" s="154">
        <v>962.0</v>
      </c>
      <c r="M207" s="41">
        <v>19240.0</v>
      </c>
      <c r="N207" s="41" t="s">
        <v>185</v>
      </c>
      <c r="O207" s="143"/>
    </row>
    <row r="208">
      <c r="A208" s="47"/>
      <c r="B208" s="47"/>
      <c r="C208" s="47"/>
      <c r="D208" s="47"/>
      <c r="E208" s="47"/>
      <c r="F208" s="47"/>
      <c r="G208" s="47"/>
      <c r="H208" s="63" t="s">
        <v>468</v>
      </c>
      <c r="I208" s="34" t="s">
        <v>29</v>
      </c>
      <c r="J208" s="153">
        <v>200.0</v>
      </c>
      <c r="K208" s="77" t="s">
        <v>89</v>
      </c>
      <c r="L208" s="154">
        <v>20.0</v>
      </c>
      <c r="M208" s="41">
        <v>4000.0</v>
      </c>
      <c r="N208" s="41" t="s">
        <v>185</v>
      </c>
      <c r="O208" s="143"/>
    </row>
    <row r="209">
      <c r="A209" s="47"/>
      <c r="B209" s="47"/>
      <c r="C209" s="47"/>
      <c r="D209" s="47"/>
      <c r="E209" s="47"/>
      <c r="F209" s="47"/>
      <c r="G209" s="47"/>
      <c r="H209" s="63" t="s">
        <v>469</v>
      </c>
      <c r="I209" s="34" t="s">
        <v>29</v>
      </c>
      <c r="J209" s="153">
        <v>20.0</v>
      </c>
      <c r="K209" s="77" t="s">
        <v>89</v>
      </c>
      <c r="L209" s="154">
        <v>15.0</v>
      </c>
      <c r="M209" s="41">
        <v>300.0</v>
      </c>
      <c r="N209" s="41" t="s">
        <v>185</v>
      </c>
      <c r="O209" s="143"/>
    </row>
    <row r="210">
      <c r="A210" s="47"/>
      <c r="B210" s="47"/>
      <c r="C210" s="47"/>
      <c r="D210" s="47"/>
      <c r="E210" s="47"/>
      <c r="F210" s="47"/>
      <c r="G210" s="47"/>
      <c r="H210" s="63" t="s">
        <v>470</v>
      </c>
      <c r="I210" s="34" t="s">
        <v>29</v>
      </c>
      <c r="J210" s="153">
        <v>25.0</v>
      </c>
      <c r="K210" s="77" t="s">
        <v>89</v>
      </c>
      <c r="L210" s="154">
        <v>12.0</v>
      </c>
      <c r="M210" s="41">
        <v>300.0</v>
      </c>
      <c r="N210" s="41" t="s">
        <v>185</v>
      </c>
      <c r="O210" s="143"/>
    </row>
    <row r="211">
      <c r="A211" s="48"/>
      <c r="B211" s="48"/>
      <c r="C211" s="48"/>
      <c r="D211" s="48"/>
      <c r="E211" s="48"/>
      <c r="F211" s="48"/>
      <c r="G211" s="48"/>
      <c r="H211" s="63" t="s">
        <v>471</v>
      </c>
      <c r="I211" s="34" t="s">
        <v>29</v>
      </c>
      <c r="J211" s="153">
        <v>25.0</v>
      </c>
      <c r="K211" s="77" t="s">
        <v>89</v>
      </c>
      <c r="L211" s="154">
        <v>9.0</v>
      </c>
      <c r="M211" s="41">
        <v>225.0</v>
      </c>
      <c r="N211" s="41" t="s">
        <v>185</v>
      </c>
      <c r="O211" s="143"/>
    </row>
    <row r="212">
      <c r="A212" s="68">
        <v>62.0</v>
      </c>
      <c r="B212" s="68">
        <v>74.0</v>
      </c>
      <c r="C212" s="151">
        <v>45678.0</v>
      </c>
      <c r="D212" s="68" t="s">
        <v>381</v>
      </c>
      <c r="E212" s="68" t="s">
        <v>378</v>
      </c>
      <c r="F212" s="68">
        <v>295.0</v>
      </c>
      <c r="G212" s="152">
        <v>45680.0</v>
      </c>
      <c r="H212" s="63" t="s">
        <v>472</v>
      </c>
      <c r="I212" s="34" t="s">
        <v>82</v>
      </c>
      <c r="J212" s="153">
        <v>10.0</v>
      </c>
      <c r="K212" s="77" t="s">
        <v>89</v>
      </c>
      <c r="L212" s="154">
        <v>855.0</v>
      </c>
      <c r="M212" s="41">
        <v>8550.0</v>
      </c>
      <c r="N212" s="41" t="s">
        <v>185</v>
      </c>
      <c r="O212" s="143"/>
    </row>
    <row r="213">
      <c r="A213" s="47"/>
      <c r="B213" s="47"/>
      <c r="C213" s="47"/>
      <c r="D213" s="47"/>
      <c r="E213" s="47"/>
      <c r="F213" s="47"/>
      <c r="G213" s="47"/>
      <c r="H213" s="63" t="s">
        <v>473</v>
      </c>
      <c r="I213" s="34" t="s">
        <v>82</v>
      </c>
      <c r="J213" s="153">
        <v>39.0</v>
      </c>
      <c r="K213" s="77" t="s">
        <v>89</v>
      </c>
      <c r="L213" s="154">
        <v>962.0</v>
      </c>
      <c r="M213" s="41">
        <v>37518.0</v>
      </c>
      <c r="N213" s="41" t="s">
        <v>185</v>
      </c>
      <c r="O213" s="143"/>
    </row>
    <row r="214">
      <c r="A214" s="47"/>
      <c r="B214" s="47"/>
      <c r="C214" s="47"/>
      <c r="D214" s="47"/>
      <c r="E214" s="47"/>
      <c r="F214" s="47"/>
      <c r="G214" s="47"/>
      <c r="H214" s="63" t="s">
        <v>474</v>
      </c>
      <c r="I214" s="34" t="s">
        <v>82</v>
      </c>
      <c r="J214" s="153">
        <v>28.0</v>
      </c>
      <c r="K214" s="77" t="s">
        <v>89</v>
      </c>
      <c r="L214" s="154">
        <v>1100.0</v>
      </c>
      <c r="M214" s="41">
        <v>30800.0</v>
      </c>
      <c r="N214" s="41" t="s">
        <v>185</v>
      </c>
      <c r="O214" s="143"/>
    </row>
    <row r="215">
      <c r="A215" s="48"/>
      <c r="B215" s="48"/>
      <c r="C215" s="48"/>
      <c r="D215" s="48"/>
      <c r="E215" s="48"/>
      <c r="F215" s="48"/>
      <c r="G215" s="48"/>
      <c r="H215" s="63" t="s">
        <v>475</v>
      </c>
      <c r="I215" s="34" t="s">
        <v>82</v>
      </c>
      <c r="J215" s="153">
        <v>16.0</v>
      </c>
      <c r="K215" s="77" t="s">
        <v>89</v>
      </c>
      <c r="L215" s="154">
        <v>335.0</v>
      </c>
      <c r="M215" s="41">
        <v>5360.0</v>
      </c>
      <c r="N215" s="41" t="s">
        <v>185</v>
      </c>
      <c r="O215" s="143"/>
    </row>
    <row r="216">
      <c r="A216" s="68">
        <v>63.0</v>
      </c>
      <c r="B216" s="68">
        <v>58.0</v>
      </c>
      <c r="C216" s="151">
        <v>45678.0</v>
      </c>
      <c r="D216" s="68" t="s">
        <v>399</v>
      </c>
      <c r="E216" s="68" t="s">
        <v>378</v>
      </c>
      <c r="F216" s="68" t="s">
        <v>476</v>
      </c>
      <c r="G216" s="152">
        <v>45680.0</v>
      </c>
      <c r="H216" s="63" t="s">
        <v>477</v>
      </c>
      <c r="I216" s="34" t="s">
        <v>276</v>
      </c>
      <c r="J216" s="153">
        <v>2.0</v>
      </c>
      <c r="K216" s="77" t="s">
        <v>89</v>
      </c>
      <c r="L216" s="154">
        <v>4690.0</v>
      </c>
      <c r="M216" s="41">
        <v>9380.0</v>
      </c>
      <c r="N216" s="41" t="s">
        <v>99</v>
      </c>
      <c r="O216" s="143"/>
    </row>
    <row r="217">
      <c r="A217" s="47"/>
      <c r="B217" s="47"/>
      <c r="C217" s="47"/>
      <c r="D217" s="47"/>
      <c r="E217" s="47"/>
      <c r="F217" s="47"/>
      <c r="G217" s="47"/>
      <c r="H217" s="63" t="s">
        <v>478</v>
      </c>
      <c r="I217" s="34" t="s">
        <v>276</v>
      </c>
      <c r="J217" s="153">
        <v>200.0</v>
      </c>
      <c r="K217" s="77" t="s">
        <v>89</v>
      </c>
      <c r="L217" s="154">
        <v>15.0</v>
      </c>
      <c r="M217" s="41">
        <v>3000.0</v>
      </c>
      <c r="N217" s="41" t="s">
        <v>99</v>
      </c>
      <c r="O217" s="143"/>
    </row>
    <row r="218">
      <c r="A218" s="47"/>
      <c r="B218" s="47"/>
      <c r="C218" s="47"/>
      <c r="D218" s="47"/>
      <c r="E218" s="47"/>
      <c r="F218" s="47"/>
      <c r="G218" s="47"/>
      <c r="H218" s="63" t="s">
        <v>479</v>
      </c>
      <c r="I218" s="34" t="s">
        <v>276</v>
      </c>
      <c r="J218" s="153">
        <v>200.0</v>
      </c>
      <c r="K218" s="77" t="s">
        <v>89</v>
      </c>
      <c r="L218" s="154">
        <v>20.0</v>
      </c>
      <c r="M218" s="41">
        <v>4000.0</v>
      </c>
      <c r="N218" s="41" t="s">
        <v>99</v>
      </c>
      <c r="O218" s="143"/>
    </row>
    <row r="219">
      <c r="A219" s="47"/>
      <c r="B219" s="47"/>
      <c r="C219" s="47"/>
      <c r="D219" s="47"/>
      <c r="E219" s="47"/>
      <c r="F219" s="47"/>
      <c r="G219" s="47"/>
      <c r="H219" s="63" t="s">
        <v>279</v>
      </c>
      <c r="I219" s="34" t="s">
        <v>276</v>
      </c>
      <c r="J219" s="153">
        <v>100.0</v>
      </c>
      <c r="K219" s="77" t="s">
        <v>89</v>
      </c>
      <c r="L219" s="154">
        <v>185.0</v>
      </c>
      <c r="M219" s="41">
        <v>18500.0</v>
      </c>
      <c r="N219" s="41" t="s">
        <v>99</v>
      </c>
      <c r="O219" s="143"/>
    </row>
    <row r="220">
      <c r="A220" s="47"/>
      <c r="B220" s="47"/>
      <c r="C220" s="47"/>
      <c r="D220" s="47"/>
      <c r="E220" s="47"/>
      <c r="F220" s="47"/>
      <c r="G220" s="47"/>
      <c r="H220" s="63" t="s">
        <v>275</v>
      </c>
      <c r="I220" s="34" t="s">
        <v>276</v>
      </c>
      <c r="J220" s="153">
        <v>630.0</v>
      </c>
      <c r="K220" s="77" t="s">
        <v>74</v>
      </c>
      <c r="L220" s="154">
        <v>34.9</v>
      </c>
      <c r="M220" s="41">
        <v>21987.0</v>
      </c>
      <c r="N220" s="41" t="s">
        <v>99</v>
      </c>
      <c r="O220" s="143"/>
    </row>
    <row r="221">
      <c r="A221" s="47"/>
      <c r="B221" s="47"/>
      <c r="C221" s="47"/>
      <c r="D221" s="47"/>
      <c r="E221" s="47"/>
      <c r="F221" s="47"/>
      <c r="G221" s="47"/>
      <c r="H221" s="63" t="s">
        <v>480</v>
      </c>
      <c r="I221" s="34" t="s">
        <v>294</v>
      </c>
      <c r="J221" s="153">
        <v>1.0</v>
      </c>
      <c r="K221" s="77" t="s">
        <v>39</v>
      </c>
      <c r="L221" s="154">
        <v>450.0</v>
      </c>
      <c r="M221" s="41">
        <v>450.0</v>
      </c>
      <c r="N221" s="41" t="s">
        <v>99</v>
      </c>
      <c r="O221" s="143"/>
    </row>
    <row r="222">
      <c r="A222" s="47"/>
      <c r="B222" s="47"/>
      <c r="C222" s="47"/>
      <c r="D222" s="47"/>
      <c r="E222" s="47"/>
      <c r="F222" s="47"/>
      <c r="G222" s="47"/>
      <c r="H222" s="63" t="s">
        <v>481</v>
      </c>
      <c r="I222" s="34" t="s">
        <v>29</v>
      </c>
      <c r="J222" s="153">
        <v>3.0</v>
      </c>
      <c r="K222" s="77" t="s">
        <v>89</v>
      </c>
      <c r="L222" s="154">
        <v>250.0</v>
      </c>
      <c r="M222" s="41">
        <v>750.0</v>
      </c>
      <c r="N222" s="41" t="s">
        <v>99</v>
      </c>
      <c r="O222" s="143"/>
    </row>
    <row r="223">
      <c r="A223" s="47"/>
      <c r="B223" s="47"/>
      <c r="C223" s="47"/>
      <c r="D223" s="47"/>
      <c r="E223" s="47"/>
      <c r="F223" s="47"/>
      <c r="G223" s="47"/>
      <c r="H223" s="63" t="s">
        <v>482</v>
      </c>
      <c r="I223" s="34" t="s">
        <v>29</v>
      </c>
      <c r="J223" s="153">
        <v>3.0</v>
      </c>
      <c r="K223" s="77" t="s">
        <v>319</v>
      </c>
      <c r="L223" s="154">
        <v>210.0</v>
      </c>
      <c r="M223" s="41">
        <v>630.0</v>
      </c>
      <c r="N223" s="41" t="s">
        <v>99</v>
      </c>
      <c r="O223" s="143"/>
    </row>
    <row r="224">
      <c r="A224" s="47"/>
      <c r="B224" s="47"/>
      <c r="C224" s="47"/>
      <c r="D224" s="47"/>
      <c r="E224" s="47"/>
      <c r="F224" s="47"/>
      <c r="G224" s="47"/>
      <c r="H224" s="174" t="s">
        <v>483</v>
      </c>
      <c r="I224" s="34" t="s">
        <v>29</v>
      </c>
      <c r="J224" s="153">
        <v>1.0</v>
      </c>
      <c r="K224" s="77" t="s">
        <v>89</v>
      </c>
      <c r="L224" s="154">
        <v>4095.0</v>
      </c>
      <c r="M224" s="41">
        <v>4095.0</v>
      </c>
      <c r="N224" s="41" t="s">
        <v>99</v>
      </c>
      <c r="O224" s="143"/>
    </row>
    <row r="225">
      <c r="A225" s="47"/>
      <c r="B225" s="47"/>
      <c r="C225" s="47"/>
      <c r="D225" s="47"/>
      <c r="E225" s="47"/>
      <c r="F225" s="47"/>
      <c r="G225" s="47"/>
      <c r="H225" s="63" t="s">
        <v>484</v>
      </c>
      <c r="I225" s="34" t="s">
        <v>276</v>
      </c>
      <c r="J225" s="153">
        <v>3.0</v>
      </c>
      <c r="K225" s="77" t="s">
        <v>89</v>
      </c>
      <c r="L225" s="154">
        <v>3315.0</v>
      </c>
      <c r="M225" s="41">
        <v>9945.0</v>
      </c>
      <c r="N225" s="41" t="s">
        <v>99</v>
      </c>
      <c r="O225" s="143"/>
    </row>
    <row r="226">
      <c r="A226" s="47"/>
      <c r="B226" s="47"/>
      <c r="C226" s="47"/>
      <c r="D226" s="47"/>
      <c r="E226" s="47"/>
      <c r="F226" s="47"/>
      <c r="G226" s="47"/>
      <c r="H226" s="63" t="s">
        <v>284</v>
      </c>
      <c r="I226" s="34" t="s">
        <v>276</v>
      </c>
      <c r="J226" s="153">
        <v>8.0</v>
      </c>
      <c r="K226" s="77" t="s">
        <v>89</v>
      </c>
      <c r="L226" s="154">
        <v>125.0</v>
      </c>
      <c r="M226" s="41">
        <v>1000.0</v>
      </c>
      <c r="N226" s="41" t="s">
        <v>99</v>
      </c>
      <c r="O226" s="143"/>
    </row>
    <row r="227">
      <c r="A227" s="47"/>
      <c r="B227" s="47"/>
      <c r="C227" s="47"/>
      <c r="D227" s="47"/>
      <c r="E227" s="47"/>
      <c r="F227" s="47"/>
      <c r="G227" s="47"/>
      <c r="H227" s="63" t="s">
        <v>485</v>
      </c>
      <c r="I227" s="34" t="s">
        <v>276</v>
      </c>
      <c r="J227" s="153">
        <v>8.0</v>
      </c>
      <c r="K227" s="77" t="s">
        <v>89</v>
      </c>
      <c r="L227" s="154">
        <v>125.0</v>
      </c>
      <c r="M227" s="41">
        <v>1000.0</v>
      </c>
      <c r="N227" s="41" t="s">
        <v>99</v>
      </c>
      <c r="O227" s="143"/>
    </row>
    <row r="228">
      <c r="A228" s="48"/>
      <c r="B228" s="48"/>
      <c r="C228" s="48"/>
      <c r="D228" s="48"/>
      <c r="E228" s="48"/>
      <c r="F228" s="48"/>
      <c r="G228" s="48"/>
      <c r="H228" s="63" t="s">
        <v>288</v>
      </c>
      <c r="I228" s="34" t="s">
        <v>276</v>
      </c>
      <c r="J228" s="153">
        <v>50.0</v>
      </c>
      <c r="K228" s="77" t="s">
        <v>98</v>
      </c>
      <c r="L228" s="154">
        <v>12.0</v>
      </c>
      <c r="M228" s="41">
        <v>600.0</v>
      </c>
      <c r="N228" s="41" t="s">
        <v>99</v>
      </c>
      <c r="O228" s="143"/>
    </row>
    <row r="229">
      <c r="A229" s="68">
        <v>64.0</v>
      </c>
      <c r="B229" s="68">
        <v>59.0</v>
      </c>
      <c r="C229" s="151">
        <v>45678.0</v>
      </c>
      <c r="D229" s="68" t="s">
        <v>399</v>
      </c>
      <c r="E229" s="68" t="s">
        <v>378</v>
      </c>
      <c r="F229" s="68" t="s">
        <v>486</v>
      </c>
      <c r="G229" s="152">
        <v>45680.0</v>
      </c>
      <c r="H229" s="63" t="s">
        <v>487</v>
      </c>
      <c r="I229" s="34" t="s">
        <v>276</v>
      </c>
      <c r="J229" s="153">
        <v>35.0</v>
      </c>
      <c r="K229" s="77" t="s">
        <v>89</v>
      </c>
      <c r="L229" s="154">
        <v>48.0</v>
      </c>
      <c r="M229" s="41">
        <v>1680.0</v>
      </c>
      <c r="N229" s="41" t="s">
        <v>99</v>
      </c>
      <c r="O229" s="143"/>
    </row>
    <row r="230">
      <c r="A230" s="47"/>
      <c r="B230" s="47"/>
      <c r="C230" s="47"/>
      <c r="D230" s="47"/>
      <c r="E230" s="47"/>
      <c r="F230" s="47"/>
      <c r="G230" s="47"/>
      <c r="H230" s="63" t="s">
        <v>488</v>
      </c>
      <c r="I230" s="34" t="s">
        <v>276</v>
      </c>
      <c r="J230" s="153">
        <v>25.0</v>
      </c>
      <c r="K230" s="77" t="s">
        <v>89</v>
      </c>
      <c r="L230" s="154">
        <v>4.0</v>
      </c>
      <c r="M230" s="41">
        <v>100.0</v>
      </c>
      <c r="N230" s="41" t="s">
        <v>99</v>
      </c>
      <c r="O230" s="143"/>
    </row>
    <row r="231">
      <c r="A231" s="47"/>
      <c r="B231" s="47"/>
      <c r="C231" s="47"/>
      <c r="D231" s="47"/>
      <c r="E231" s="47"/>
      <c r="F231" s="47"/>
      <c r="G231" s="47"/>
      <c r="H231" s="63" t="s">
        <v>489</v>
      </c>
      <c r="I231" s="34" t="s">
        <v>276</v>
      </c>
      <c r="J231" s="153">
        <v>10.0</v>
      </c>
      <c r="K231" s="77" t="s">
        <v>39</v>
      </c>
      <c r="L231" s="154">
        <v>35.0</v>
      </c>
      <c r="M231" s="41">
        <v>350.0</v>
      </c>
      <c r="N231" s="41" t="s">
        <v>99</v>
      </c>
      <c r="O231" s="143"/>
    </row>
    <row r="232">
      <c r="A232" s="47"/>
      <c r="B232" s="47"/>
      <c r="C232" s="47"/>
      <c r="D232" s="47"/>
      <c r="E232" s="47"/>
      <c r="F232" s="47"/>
      <c r="G232" s="47"/>
      <c r="H232" s="63" t="s">
        <v>275</v>
      </c>
      <c r="I232" s="34" t="s">
        <v>276</v>
      </c>
      <c r="J232" s="153">
        <v>270.0</v>
      </c>
      <c r="K232" s="77" t="s">
        <v>74</v>
      </c>
      <c r="L232" s="154">
        <v>34.9</v>
      </c>
      <c r="M232" s="41">
        <v>9423.0</v>
      </c>
      <c r="N232" s="41" t="s">
        <v>99</v>
      </c>
      <c r="O232" s="143"/>
    </row>
    <row r="233">
      <c r="A233" s="47"/>
      <c r="B233" s="47"/>
      <c r="C233" s="47"/>
      <c r="D233" s="47"/>
      <c r="E233" s="47"/>
      <c r="F233" s="47"/>
      <c r="G233" s="47"/>
      <c r="H233" s="63" t="s">
        <v>490</v>
      </c>
      <c r="I233" s="34" t="s">
        <v>276</v>
      </c>
      <c r="J233" s="153">
        <v>270.0</v>
      </c>
      <c r="K233" s="77" t="s">
        <v>74</v>
      </c>
      <c r="L233" s="154">
        <v>15.5</v>
      </c>
      <c r="M233" s="41">
        <v>4185.0</v>
      </c>
      <c r="N233" s="41" t="s">
        <v>99</v>
      </c>
      <c r="O233" s="143"/>
    </row>
    <row r="234">
      <c r="A234" s="47"/>
      <c r="B234" s="47"/>
      <c r="C234" s="47"/>
      <c r="D234" s="47"/>
      <c r="E234" s="47"/>
      <c r="F234" s="47"/>
      <c r="G234" s="47"/>
      <c r="H234" s="63" t="s">
        <v>491</v>
      </c>
      <c r="I234" s="34" t="s">
        <v>276</v>
      </c>
      <c r="J234" s="153">
        <v>11.0</v>
      </c>
      <c r="K234" s="77" t="s">
        <v>89</v>
      </c>
      <c r="L234" s="154">
        <v>155.0</v>
      </c>
      <c r="M234" s="41">
        <v>1705.0</v>
      </c>
      <c r="N234" s="41" t="s">
        <v>99</v>
      </c>
      <c r="O234" s="143"/>
    </row>
    <row r="235">
      <c r="A235" s="47"/>
      <c r="B235" s="47"/>
      <c r="C235" s="47"/>
      <c r="D235" s="47"/>
      <c r="E235" s="47"/>
      <c r="F235" s="47"/>
      <c r="G235" s="47"/>
      <c r="H235" s="63" t="s">
        <v>492</v>
      </c>
      <c r="I235" s="34" t="s">
        <v>276</v>
      </c>
      <c r="J235" s="153">
        <v>5.0</v>
      </c>
      <c r="K235" s="77" t="s">
        <v>89</v>
      </c>
      <c r="L235" s="154">
        <v>31.0</v>
      </c>
      <c r="M235" s="41">
        <v>155.0</v>
      </c>
      <c r="N235" s="41" t="s">
        <v>99</v>
      </c>
      <c r="O235" s="143"/>
    </row>
    <row r="236">
      <c r="A236" s="47"/>
      <c r="B236" s="47"/>
      <c r="C236" s="47"/>
      <c r="D236" s="47"/>
      <c r="E236" s="47"/>
      <c r="F236" s="47"/>
      <c r="G236" s="47"/>
      <c r="H236" s="63" t="s">
        <v>493</v>
      </c>
      <c r="I236" s="34" t="s">
        <v>276</v>
      </c>
      <c r="J236" s="153">
        <v>5.0</v>
      </c>
      <c r="K236" s="77" t="s">
        <v>89</v>
      </c>
      <c r="L236" s="65">
        <v>80.0</v>
      </c>
      <c r="M236" s="41">
        <v>400.0</v>
      </c>
      <c r="N236" s="41" t="s">
        <v>99</v>
      </c>
      <c r="O236" s="143"/>
    </row>
    <row r="237">
      <c r="A237" s="47"/>
      <c r="B237" s="47"/>
      <c r="C237" s="47"/>
      <c r="D237" s="47"/>
      <c r="E237" s="47"/>
      <c r="F237" s="47"/>
      <c r="G237" s="47"/>
      <c r="H237" s="63" t="s">
        <v>494</v>
      </c>
      <c r="I237" s="34" t="s">
        <v>276</v>
      </c>
      <c r="J237" s="153">
        <v>11.0</v>
      </c>
      <c r="K237" s="77" t="s">
        <v>89</v>
      </c>
      <c r="L237" s="154">
        <v>22.0</v>
      </c>
      <c r="M237" s="41">
        <v>242.0</v>
      </c>
      <c r="N237" s="41" t="s">
        <v>99</v>
      </c>
      <c r="O237" s="143"/>
    </row>
    <row r="238">
      <c r="A238" s="47"/>
      <c r="B238" s="47"/>
      <c r="C238" s="47"/>
      <c r="D238" s="47"/>
      <c r="E238" s="47"/>
      <c r="F238" s="47"/>
      <c r="G238" s="47"/>
      <c r="H238" s="63" t="s">
        <v>495</v>
      </c>
      <c r="I238" s="34" t="s">
        <v>276</v>
      </c>
      <c r="J238" s="153">
        <v>15.0</v>
      </c>
      <c r="K238" s="77" t="s">
        <v>89</v>
      </c>
      <c r="L238" s="154">
        <v>15.0</v>
      </c>
      <c r="M238" s="41">
        <v>225.0</v>
      </c>
      <c r="N238" s="41" t="s">
        <v>99</v>
      </c>
      <c r="O238" s="143"/>
    </row>
    <row r="239">
      <c r="A239" s="47"/>
      <c r="B239" s="47"/>
      <c r="C239" s="47"/>
      <c r="D239" s="47"/>
      <c r="E239" s="47"/>
      <c r="F239" s="47"/>
      <c r="G239" s="47"/>
      <c r="H239" s="63" t="s">
        <v>496</v>
      </c>
      <c r="I239" s="34" t="s">
        <v>276</v>
      </c>
      <c r="J239" s="153">
        <v>2.0</v>
      </c>
      <c r="K239" s="77" t="s">
        <v>89</v>
      </c>
      <c r="L239" s="154">
        <v>54.0</v>
      </c>
      <c r="M239" s="41">
        <v>108.0</v>
      </c>
      <c r="N239" s="41" t="s">
        <v>99</v>
      </c>
      <c r="O239" s="143"/>
    </row>
    <row r="240">
      <c r="A240" s="47"/>
      <c r="B240" s="47"/>
      <c r="C240" s="47"/>
      <c r="D240" s="47"/>
      <c r="E240" s="47"/>
      <c r="F240" s="47"/>
      <c r="G240" s="47"/>
      <c r="H240" s="63" t="s">
        <v>497</v>
      </c>
      <c r="I240" s="34" t="s">
        <v>276</v>
      </c>
      <c r="J240" s="153">
        <v>2.0</v>
      </c>
      <c r="K240" s="77" t="s">
        <v>89</v>
      </c>
      <c r="L240" s="154">
        <v>54.0</v>
      </c>
      <c r="M240" s="41">
        <v>108.0</v>
      </c>
      <c r="N240" s="41" t="s">
        <v>99</v>
      </c>
      <c r="O240" s="143"/>
    </row>
    <row r="241">
      <c r="A241" s="47"/>
      <c r="B241" s="47"/>
      <c r="C241" s="47"/>
      <c r="D241" s="47"/>
      <c r="E241" s="47"/>
      <c r="F241" s="47"/>
      <c r="G241" s="47"/>
      <c r="H241" s="63" t="s">
        <v>498</v>
      </c>
      <c r="I241" s="34" t="s">
        <v>276</v>
      </c>
      <c r="J241" s="153">
        <v>2.0</v>
      </c>
      <c r="K241" s="77" t="s">
        <v>89</v>
      </c>
      <c r="L241" s="154">
        <v>42.0</v>
      </c>
      <c r="M241" s="41">
        <v>84.0</v>
      </c>
      <c r="N241" s="41" t="s">
        <v>99</v>
      </c>
      <c r="O241" s="143"/>
    </row>
    <row r="242">
      <c r="A242" s="47"/>
      <c r="B242" s="47"/>
      <c r="C242" s="47"/>
      <c r="D242" s="47"/>
      <c r="E242" s="47"/>
      <c r="F242" s="47"/>
      <c r="G242" s="47"/>
      <c r="H242" s="63" t="s">
        <v>499</v>
      </c>
      <c r="I242" s="34" t="s">
        <v>276</v>
      </c>
      <c r="J242" s="153">
        <v>2.0</v>
      </c>
      <c r="K242" s="77" t="s">
        <v>89</v>
      </c>
      <c r="L242" s="154">
        <v>42.0</v>
      </c>
      <c r="M242" s="41">
        <v>84.0</v>
      </c>
      <c r="N242" s="41" t="s">
        <v>99</v>
      </c>
      <c r="O242" s="143"/>
    </row>
    <row r="243">
      <c r="A243" s="47"/>
      <c r="B243" s="47"/>
      <c r="C243" s="47"/>
      <c r="D243" s="47"/>
      <c r="E243" s="47"/>
      <c r="F243" s="47"/>
      <c r="G243" s="47"/>
      <c r="H243" s="63" t="s">
        <v>500</v>
      </c>
      <c r="I243" s="34" t="s">
        <v>276</v>
      </c>
      <c r="J243" s="153">
        <v>1.0</v>
      </c>
      <c r="K243" s="77" t="s">
        <v>89</v>
      </c>
      <c r="L243" s="154">
        <v>2850.0</v>
      </c>
      <c r="M243" s="41">
        <v>2850.0</v>
      </c>
      <c r="N243" s="41" t="s">
        <v>99</v>
      </c>
      <c r="O243" s="143"/>
    </row>
    <row r="244">
      <c r="A244" s="47"/>
      <c r="B244" s="47"/>
      <c r="C244" s="47"/>
      <c r="D244" s="47"/>
      <c r="E244" s="47"/>
      <c r="F244" s="47"/>
      <c r="G244" s="47"/>
      <c r="H244" s="63" t="s">
        <v>501</v>
      </c>
      <c r="I244" s="34" t="s">
        <v>276</v>
      </c>
      <c r="J244" s="153">
        <v>1.0</v>
      </c>
      <c r="K244" s="77" t="s">
        <v>89</v>
      </c>
      <c r="L244" s="154">
        <v>1450.0</v>
      </c>
      <c r="M244" s="41">
        <v>1450.0</v>
      </c>
      <c r="N244" s="41" t="s">
        <v>99</v>
      </c>
      <c r="O244" s="143"/>
    </row>
    <row r="245">
      <c r="A245" s="47"/>
      <c r="B245" s="47"/>
      <c r="C245" s="47"/>
      <c r="D245" s="47"/>
      <c r="E245" s="47"/>
      <c r="F245" s="47"/>
      <c r="G245" s="47"/>
      <c r="H245" s="63" t="s">
        <v>502</v>
      </c>
      <c r="I245" s="34" t="s">
        <v>276</v>
      </c>
      <c r="J245" s="153">
        <v>1.0</v>
      </c>
      <c r="K245" s="77" t="s">
        <v>89</v>
      </c>
      <c r="L245" s="154">
        <v>190.0</v>
      </c>
      <c r="M245" s="41">
        <v>190.0</v>
      </c>
      <c r="N245" s="41" t="s">
        <v>99</v>
      </c>
      <c r="O245" s="143"/>
    </row>
    <row r="246">
      <c r="A246" s="47"/>
      <c r="B246" s="47"/>
      <c r="C246" s="47"/>
      <c r="D246" s="47"/>
      <c r="E246" s="47"/>
      <c r="F246" s="47"/>
      <c r="G246" s="47"/>
      <c r="H246" s="63" t="s">
        <v>503</v>
      </c>
      <c r="I246" s="34" t="s">
        <v>276</v>
      </c>
      <c r="J246" s="153">
        <v>90.0</v>
      </c>
      <c r="K246" s="77" t="s">
        <v>74</v>
      </c>
      <c r="L246" s="154">
        <v>8.9</v>
      </c>
      <c r="M246" s="41">
        <v>801.0</v>
      </c>
      <c r="N246" s="41" t="s">
        <v>99</v>
      </c>
      <c r="O246" s="143"/>
    </row>
    <row r="247">
      <c r="A247" s="47"/>
      <c r="B247" s="47"/>
      <c r="C247" s="47"/>
      <c r="D247" s="47"/>
      <c r="E247" s="47"/>
      <c r="F247" s="47"/>
      <c r="G247" s="47"/>
      <c r="H247" s="63" t="s">
        <v>504</v>
      </c>
      <c r="I247" s="34" t="s">
        <v>276</v>
      </c>
      <c r="J247" s="153">
        <v>15.0</v>
      </c>
      <c r="K247" s="77" t="s">
        <v>156</v>
      </c>
      <c r="L247" s="171">
        <v>20.0</v>
      </c>
      <c r="M247" s="41">
        <v>300.0</v>
      </c>
      <c r="N247" s="41" t="s">
        <v>99</v>
      </c>
      <c r="O247" s="143"/>
    </row>
    <row r="248">
      <c r="A248" s="47"/>
      <c r="B248" s="47"/>
      <c r="C248" s="47"/>
      <c r="D248" s="47"/>
      <c r="E248" s="47"/>
      <c r="F248" s="47"/>
      <c r="G248" s="47"/>
      <c r="H248" s="63" t="s">
        <v>505</v>
      </c>
      <c r="I248" s="34" t="s">
        <v>60</v>
      </c>
      <c r="J248" s="153">
        <v>1.0</v>
      </c>
      <c r="K248" s="77" t="s">
        <v>98</v>
      </c>
      <c r="L248" s="154">
        <v>395.0</v>
      </c>
      <c r="M248" s="41">
        <v>395.0</v>
      </c>
      <c r="N248" s="41" t="s">
        <v>99</v>
      </c>
      <c r="O248" s="143"/>
    </row>
    <row r="249">
      <c r="A249" s="47"/>
      <c r="B249" s="47"/>
      <c r="C249" s="47"/>
      <c r="D249" s="47"/>
      <c r="E249" s="47"/>
      <c r="F249" s="47"/>
      <c r="G249" s="47"/>
      <c r="H249" s="63" t="s">
        <v>284</v>
      </c>
      <c r="I249" s="34" t="s">
        <v>276</v>
      </c>
      <c r="J249" s="153">
        <v>8.0</v>
      </c>
      <c r="K249" s="77" t="s">
        <v>156</v>
      </c>
      <c r="L249" s="154">
        <v>125.0</v>
      </c>
      <c r="M249" s="41">
        <v>1000.0</v>
      </c>
      <c r="N249" s="41" t="s">
        <v>99</v>
      </c>
      <c r="O249" s="143"/>
    </row>
    <row r="250">
      <c r="A250" s="47"/>
      <c r="B250" s="47"/>
      <c r="C250" s="47"/>
      <c r="D250" s="47"/>
      <c r="E250" s="47"/>
      <c r="F250" s="47"/>
      <c r="G250" s="47"/>
      <c r="H250" s="63" t="s">
        <v>506</v>
      </c>
      <c r="I250" s="34" t="s">
        <v>276</v>
      </c>
      <c r="J250" s="153">
        <v>1.0</v>
      </c>
      <c r="K250" s="77" t="s">
        <v>89</v>
      </c>
      <c r="L250" s="154">
        <v>385.0</v>
      </c>
      <c r="M250" s="41">
        <v>385.0</v>
      </c>
      <c r="N250" s="41" t="s">
        <v>99</v>
      </c>
      <c r="O250" s="143"/>
    </row>
    <row r="251">
      <c r="A251" s="47"/>
      <c r="B251" s="47"/>
      <c r="C251" s="47"/>
      <c r="D251" s="47"/>
      <c r="E251" s="47"/>
      <c r="F251" s="47"/>
      <c r="G251" s="47"/>
      <c r="H251" s="63" t="s">
        <v>507</v>
      </c>
      <c r="I251" s="34" t="s">
        <v>276</v>
      </c>
      <c r="J251" s="153">
        <v>1.0</v>
      </c>
      <c r="K251" s="77" t="s">
        <v>89</v>
      </c>
      <c r="L251" s="65">
        <v>1330.0</v>
      </c>
      <c r="M251" s="41">
        <v>1330.0</v>
      </c>
      <c r="N251" s="41" t="s">
        <v>99</v>
      </c>
      <c r="O251" s="143"/>
    </row>
    <row r="252">
      <c r="A252" s="47"/>
      <c r="B252" s="47"/>
      <c r="C252" s="47"/>
      <c r="D252" s="47"/>
      <c r="E252" s="47"/>
      <c r="F252" s="47"/>
      <c r="G252" s="47"/>
      <c r="H252" s="63" t="s">
        <v>508</v>
      </c>
      <c r="I252" s="34" t="s">
        <v>276</v>
      </c>
      <c r="J252" s="153">
        <v>2.0</v>
      </c>
      <c r="K252" s="77" t="s">
        <v>39</v>
      </c>
      <c r="L252" s="65">
        <v>450.0</v>
      </c>
      <c r="M252" s="41">
        <v>900.0</v>
      </c>
      <c r="N252" s="41" t="s">
        <v>99</v>
      </c>
      <c r="O252" s="143"/>
    </row>
    <row r="253">
      <c r="A253" s="47"/>
      <c r="B253" s="47"/>
      <c r="C253" s="47"/>
      <c r="D253" s="47"/>
      <c r="E253" s="47"/>
      <c r="F253" s="47"/>
      <c r="G253" s="47"/>
      <c r="H253" s="63" t="s">
        <v>288</v>
      </c>
      <c r="I253" s="34" t="s">
        <v>276</v>
      </c>
      <c r="J253" s="153">
        <v>10.0</v>
      </c>
      <c r="K253" s="77" t="s">
        <v>98</v>
      </c>
      <c r="L253" s="65">
        <v>12.0</v>
      </c>
      <c r="M253" s="41">
        <v>120.0</v>
      </c>
      <c r="N253" s="41" t="s">
        <v>99</v>
      </c>
      <c r="O253" s="143"/>
    </row>
    <row r="254">
      <c r="A254" s="48"/>
      <c r="B254" s="48"/>
      <c r="C254" s="48"/>
      <c r="D254" s="48"/>
      <c r="E254" s="48"/>
      <c r="F254" s="48"/>
      <c r="G254" s="48"/>
      <c r="H254" s="63" t="s">
        <v>509</v>
      </c>
      <c r="I254" s="34" t="s">
        <v>276</v>
      </c>
      <c r="J254" s="153">
        <v>1.0</v>
      </c>
      <c r="K254" s="77" t="s">
        <v>39</v>
      </c>
      <c r="L254" s="154">
        <v>70.0</v>
      </c>
      <c r="M254" s="41">
        <v>70.0</v>
      </c>
      <c r="N254" s="41" t="s">
        <v>99</v>
      </c>
      <c r="O254" s="143"/>
    </row>
    <row r="255">
      <c r="A255" s="68">
        <v>65.0</v>
      </c>
      <c r="B255" s="68">
        <v>89.0</v>
      </c>
      <c r="C255" s="151">
        <v>45681.0</v>
      </c>
      <c r="D255" s="68" t="s">
        <v>399</v>
      </c>
      <c r="E255" s="68" t="s">
        <v>378</v>
      </c>
      <c r="F255" s="68">
        <v>604.0</v>
      </c>
      <c r="G255" s="152">
        <v>45685.0</v>
      </c>
      <c r="H255" s="63" t="s">
        <v>510</v>
      </c>
      <c r="I255" s="34" t="s">
        <v>276</v>
      </c>
      <c r="J255" s="153">
        <v>1.0</v>
      </c>
      <c r="K255" s="77" t="s">
        <v>89</v>
      </c>
      <c r="L255" s="154">
        <v>1690.0</v>
      </c>
      <c r="M255" s="41">
        <v>1690.0</v>
      </c>
      <c r="N255" s="41" t="s">
        <v>99</v>
      </c>
      <c r="O255" s="143"/>
    </row>
    <row r="256">
      <c r="A256" s="47"/>
      <c r="B256" s="47"/>
      <c r="C256" s="47"/>
      <c r="D256" s="47"/>
      <c r="E256" s="47"/>
      <c r="F256" s="47"/>
      <c r="G256" s="47"/>
      <c r="H256" s="63" t="s">
        <v>511</v>
      </c>
      <c r="I256" s="34" t="s">
        <v>276</v>
      </c>
      <c r="J256" s="153">
        <v>1.0</v>
      </c>
      <c r="K256" s="77" t="s">
        <v>89</v>
      </c>
      <c r="L256" s="154">
        <v>900.0</v>
      </c>
      <c r="M256" s="41">
        <v>900.0</v>
      </c>
      <c r="N256" s="41" t="s">
        <v>99</v>
      </c>
      <c r="O256" s="143"/>
    </row>
    <row r="257">
      <c r="A257" s="47"/>
      <c r="B257" s="47"/>
      <c r="C257" s="47"/>
      <c r="D257" s="47"/>
      <c r="E257" s="47"/>
      <c r="F257" s="47"/>
      <c r="G257" s="47"/>
      <c r="H257" s="63" t="s">
        <v>512</v>
      </c>
      <c r="I257" s="34" t="s">
        <v>276</v>
      </c>
      <c r="J257" s="153">
        <v>3.0</v>
      </c>
      <c r="K257" s="77" t="s">
        <v>89</v>
      </c>
      <c r="L257" s="154">
        <v>540.0</v>
      </c>
      <c r="M257" s="41">
        <v>1620.0</v>
      </c>
      <c r="N257" s="41" t="s">
        <v>99</v>
      </c>
      <c r="O257" s="143"/>
    </row>
    <row r="258">
      <c r="A258" s="47"/>
      <c r="B258" s="47"/>
      <c r="C258" s="47"/>
      <c r="D258" s="47"/>
      <c r="E258" s="47"/>
      <c r="F258" s="47"/>
      <c r="G258" s="47"/>
      <c r="H258" s="63" t="s">
        <v>487</v>
      </c>
      <c r="I258" s="34" t="s">
        <v>276</v>
      </c>
      <c r="J258" s="153">
        <v>50.0</v>
      </c>
      <c r="K258" s="77" t="s">
        <v>89</v>
      </c>
      <c r="L258" s="154">
        <v>48.0</v>
      </c>
      <c r="M258" s="41">
        <v>2400.0</v>
      </c>
      <c r="N258" s="41" t="s">
        <v>99</v>
      </c>
      <c r="O258" s="143"/>
    </row>
    <row r="259">
      <c r="A259" s="47"/>
      <c r="B259" s="47"/>
      <c r="C259" s="47"/>
      <c r="D259" s="47"/>
      <c r="E259" s="47"/>
      <c r="F259" s="47"/>
      <c r="G259" s="47"/>
      <c r="H259" s="63" t="s">
        <v>513</v>
      </c>
      <c r="I259" s="34" t="s">
        <v>276</v>
      </c>
      <c r="J259" s="153">
        <v>50.0</v>
      </c>
      <c r="K259" s="77" t="s">
        <v>89</v>
      </c>
      <c r="L259" s="154">
        <v>5.0</v>
      </c>
      <c r="M259" s="41">
        <v>250.0</v>
      </c>
      <c r="N259" s="41" t="s">
        <v>99</v>
      </c>
      <c r="O259" s="143"/>
    </row>
    <row r="260">
      <c r="A260" s="47"/>
      <c r="B260" s="47"/>
      <c r="C260" s="47"/>
      <c r="D260" s="47"/>
      <c r="E260" s="47"/>
      <c r="F260" s="47"/>
      <c r="G260" s="47"/>
      <c r="H260" s="63" t="s">
        <v>514</v>
      </c>
      <c r="I260" s="34" t="s">
        <v>276</v>
      </c>
      <c r="J260" s="153">
        <v>10.0</v>
      </c>
      <c r="K260" s="77" t="s">
        <v>39</v>
      </c>
      <c r="L260" s="154">
        <v>35.0</v>
      </c>
      <c r="M260" s="41">
        <v>350.0</v>
      </c>
      <c r="N260" s="41" t="s">
        <v>99</v>
      </c>
      <c r="O260" s="143"/>
    </row>
    <row r="261">
      <c r="A261" s="47"/>
      <c r="B261" s="47"/>
      <c r="C261" s="47"/>
      <c r="D261" s="47"/>
      <c r="E261" s="47"/>
      <c r="F261" s="47"/>
      <c r="G261" s="47"/>
      <c r="H261" s="63" t="s">
        <v>279</v>
      </c>
      <c r="I261" s="34" t="s">
        <v>276</v>
      </c>
      <c r="J261" s="153">
        <v>15.0</v>
      </c>
      <c r="K261" s="77" t="s">
        <v>89</v>
      </c>
      <c r="L261" s="154">
        <v>185.0</v>
      </c>
      <c r="M261" s="41">
        <v>2775.0</v>
      </c>
      <c r="N261" s="41" t="s">
        <v>99</v>
      </c>
      <c r="O261" s="143"/>
    </row>
    <row r="262">
      <c r="A262" s="47"/>
      <c r="B262" s="47"/>
      <c r="C262" s="47"/>
      <c r="D262" s="47"/>
      <c r="E262" s="47"/>
      <c r="F262" s="48"/>
      <c r="G262" s="48"/>
      <c r="H262" s="63" t="s">
        <v>491</v>
      </c>
      <c r="I262" s="34" t="s">
        <v>276</v>
      </c>
      <c r="J262" s="153">
        <v>10.0</v>
      </c>
      <c r="K262" s="77" t="s">
        <v>89</v>
      </c>
      <c r="L262" s="171">
        <v>165.0</v>
      </c>
      <c r="M262" s="41">
        <v>1650.0</v>
      </c>
      <c r="N262" s="41" t="s">
        <v>99</v>
      </c>
      <c r="O262" s="143"/>
    </row>
    <row r="263">
      <c r="A263" s="47"/>
      <c r="B263" s="47"/>
      <c r="C263" s="47"/>
      <c r="D263" s="47"/>
      <c r="E263" s="47"/>
      <c r="F263" s="68">
        <v>605.0</v>
      </c>
      <c r="G263" s="152">
        <v>45685.0</v>
      </c>
      <c r="H263" s="63" t="s">
        <v>515</v>
      </c>
      <c r="I263" s="34" t="s">
        <v>276</v>
      </c>
      <c r="J263" s="153">
        <v>2.0</v>
      </c>
      <c r="K263" s="77" t="s">
        <v>89</v>
      </c>
      <c r="L263" s="171">
        <v>35.0</v>
      </c>
      <c r="M263" s="41">
        <v>70.0</v>
      </c>
      <c r="N263" s="41" t="s">
        <v>99</v>
      </c>
      <c r="O263" s="143"/>
    </row>
    <row r="264">
      <c r="A264" s="47"/>
      <c r="B264" s="47"/>
      <c r="C264" s="47"/>
      <c r="D264" s="47"/>
      <c r="E264" s="47"/>
      <c r="F264" s="47"/>
      <c r="G264" s="47"/>
      <c r="H264" s="63" t="s">
        <v>516</v>
      </c>
      <c r="I264" s="34" t="s">
        <v>276</v>
      </c>
      <c r="J264" s="153">
        <v>5.0</v>
      </c>
      <c r="K264" s="77" t="s">
        <v>89</v>
      </c>
      <c r="L264" s="171">
        <v>30.0</v>
      </c>
      <c r="M264" s="41">
        <v>150.0</v>
      </c>
      <c r="N264" s="41" t="s">
        <v>99</v>
      </c>
      <c r="O264" s="143"/>
    </row>
    <row r="265">
      <c r="A265" s="47"/>
      <c r="B265" s="47"/>
      <c r="C265" s="47"/>
      <c r="D265" s="47"/>
      <c r="E265" s="47"/>
      <c r="F265" s="47"/>
      <c r="G265" s="47"/>
      <c r="H265" s="63" t="s">
        <v>517</v>
      </c>
      <c r="I265" s="34" t="s">
        <v>276</v>
      </c>
      <c r="J265" s="153">
        <v>4.0</v>
      </c>
      <c r="K265" s="77" t="s">
        <v>89</v>
      </c>
      <c r="L265" s="154">
        <v>25.0</v>
      </c>
      <c r="M265" s="41">
        <v>100.0</v>
      </c>
      <c r="N265" s="41" t="s">
        <v>99</v>
      </c>
      <c r="O265" s="143"/>
    </row>
    <row r="266">
      <c r="A266" s="47"/>
      <c r="B266" s="47"/>
      <c r="C266" s="47"/>
      <c r="D266" s="47"/>
      <c r="E266" s="47"/>
      <c r="F266" s="47"/>
      <c r="G266" s="47"/>
      <c r="H266" s="63" t="s">
        <v>479</v>
      </c>
      <c r="I266" s="34" t="s">
        <v>276</v>
      </c>
      <c r="J266" s="153">
        <v>4.0</v>
      </c>
      <c r="K266" s="77" t="s">
        <v>89</v>
      </c>
      <c r="L266" s="154">
        <v>20.0</v>
      </c>
      <c r="M266" s="41">
        <v>80.0</v>
      </c>
      <c r="N266" s="41" t="s">
        <v>99</v>
      </c>
      <c r="O266" s="143"/>
    </row>
    <row r="267">
      <c r="A267" s="47"/>
      <c r="B267" s="47"/>
      <c r="C267" s="47"/>
      <c r="D267" s="47"/>
      <c r="E267" s="47"/>
      <c r="F267" s="47"/>
      <c r="G267" s="47"/>
      <c r="H267" s="63" t="s">
        <v>501</v>
      </c>
      <c r="I267" s="34" t="s">
        <v>276</v>
      </c>
      <c r="J267" s="153">
        <v>3.0</v>
      </c>
      <c r="K267" s="77" t="s">
        <v>89</v>
      </c>
      <c r="L267" s="154">
        <v>1450.0</v>
      </c>
      <c r="M267" s="41">
        <v>4350.0</v>
      </c>
      <c r="N267" s="41" t="s">
        <v>99</v>
      </c>
      <c r="O267" s="143"/>
    </row>
    <row r="268">
      <c r="A268" s="47"/>
      <c r="B268" s="47"/>
      <c r="C268" s="47"/>
      <c r="D268" s="47"/>
      <c r="E268" s="47"/>
      <c r="F268" s="47"/>
      <c r="G268" s="47"/>
      <c r="H268" s="63" t="s">
        <v>518</v>
      </c>
      <c r="I268" s="34" t="s">
        <v>276</v>
      </c>
      <c r="J268" s="153">
        <v>1.0</v>
      </c>
      <c r="K268" s="77" t="s">
        <v>89</v>
      </c>
      <c r="L268" s="154">
        <v>3315.0</v>
      </c>
      <c r="M268" s="41">
        <v>3315.0</v>
      </c>
      <c r="N268" s="41" t="s">
        <v>99</v>
      </c>
      <c r="O268" s="143"/>
    </row>
    <row r="269">
      <c r="A269" s="47"/>
      <c r="B269" s="47"/>
      <c r="C269" s="47"/>
      <c r="D269" s="47"/>
      <c r="E269" s="47"/>
      <c r="F269" s="47"/>
      <c r="G269" s="47"/>
      <c r="H269" s="63" t="s">
        <v>519</v>
      </c>
      <c r="I269" s="34" t="s">
        <v>276</v>
      </c>
      <c r="J269" s="153">
        <v>1.0</v>
      </c>
      <c r="K269" s="77" t="s">
        <v>89</v>
      </c>
      <c r="L269" s="154">
        <v>512.0</v>
      </c>
      <c r="M269" s="41">
        <v>512.0</v>
      </c>
      <c r="N269" s="41" t="s">
        <v>99</v>
      </c>
      <c r="O269" s="143"/>
    </row>
    <row r="270">
      <c r="A270" s="47"/>
      <c r="B270" s="47"/>
      <c r="C270" s="47"/>
      <c r="D270" s="47"/>
      <c r="E270" s="47"/>
      <c r="F270" s="47"/>
      <c r="G270" s="47"/>
      <c r="H270" s="63" t="s">
        <v>520</v>
      </c>
      <c r="I270" s="34" t="s">
        <v>276</v>
      </c>
      <c r="J270" s="153">
        <v>2.0</v>
      </c>
      <c r="K270" s="77" t="s">
        <v>89</v>
      </c>
      <c r="L270" s="154">
        <v>92.0</v>
      </c>
      <c r="M270" s="41">
        <v>184.0</v>
      </c>
      <c r="N270" s="41" t="s">
        <v>99</v>
      </c>
      <c r="O270" s="143"/>
    </row>
    <row r="271">
      <c r="A271" s="47"/>
      <c r="B271" s="47"/>
      <c r="C271" s="47"/>
      <c r="D271" s="47"/>
      <c r="E271" s="47"/>
      <c r="F271" s="47"/>
      <c r="G271" s="47"/>
      <c r="H271" s="63" t="s">
        <v>286</v>
      </c>
      <c r="I271" s="34" t="s">
        <v>276</v>
      </c>
      <c r="J271" s="153">
        <v>2.0</v>
      </c>
      <c r="K271" s="77" t="s">
        <v>89</v>
      </c>
      <c r="L271" s="154">
        <v>285.0</v>
      </c>
      <c r="M271" s="41">
        <v>570.0</v>
      </c>
      <c r="N271" s="41" t="s">
        <v>99</v>
      </c>
      <c r="O271" s="143"/>
    </row>
    <row r="272">
      <c r="A272" s="47"/>
      <c r="B272" s="47"/>
      <c r="C272" s="47"/>
      <c r="D272" s="47"/>
      <c r="E272" s="47"/>
      <c r="F272" s="47"/>
      <c r="G272" s="47"/>
      <c r="H272" s="63" t="s">
        <v>503</v>
      </c>
      <c r="I272" s="34" t="s">
        <v>276</v>
      </c>
      <c r="J272" s="153">
        <v>2.0</v>
      </c>
      <c r="K272" s="77" t="s">
        <v>98</v>
      </c>
      <c r="L272" s="154">
        <v>801.0</v>
      </c>
      <c r="M272" s="41">
        <v>1602.0</v>
      </c>
      <c r="N272" s="41" t="s">
        <v>99</v>
      </c>
      <c r="O272" s="143"/>
    </row>
    <row r="273">
      <c r="A273" s="47"/>
      <c r="B273" s="47"/>
      <c r="C273" s="47"/>
      <c r="D273" s="47"/>
      <c r="E273" s="47"/>
      <c r="F273" s="47"/>
      <c r="G273" s="47"/>
      <c r="H273" s="63" t="s">
        <v>521</v>
      </c>
      <c r="I273" s="34" t="s">
        <v>276</v>
      </c>
      <c r="J273" s="153">
        <v>5.0</v>
      </c>
      <c r="K273" s="77" t="s">
        <v>156</v>
      </c>
      <c r="L273" s="154">
        <v>31.0</v>
      </c>
      <c r="M273" s="41">
        <v>155.0</v>
      </c>
      <c r="N273" s="41" t="s">
        <v>99</v>
      </c>
      <c r="O273" s="143"/>
    </row>
    <row r="274">
      <c r="A274" s="47"/>
      <c r="B274" s="47"/>
      <c r="C274" s="47"/>
      <c r="D274" s="47"/>
      <c r="E274" s="47"/>
      <c r="F274" s="47"/>
      <c r="G274" s="47"/>
      <c r="H274" s="63" t="s">
        <v>522</v>
      </c>
      <c r="I274" s="34" t="s">
        <v>276</v>
      </c>
      <c r="J274" s="153">
        <v>8.0</v>
      </c>
      <c r="K274" s="77" t="s">
        <v>89</v>
      </c>
      <c r="L274" s="154">
        <v>31.0</v>
      </c>
      <c r="M274" s="41">
        <v>248.0</v>
      </c>
      <c r="N274" s="41" t="s">
        <v>99</v>
      </c>
      <c r="O274" s="143"/>
    </row>
    <row r="275">
      <c r="A275" s="47"/>
      <c r="B275" s="47"/>
      <c r="C275" s="47"/>
      <c r="D275" s="47"/>
      <c r="E275" s="47"/>
      <c r="F275" s="47"/>
      <c r="G275" s="47"/>
      <c r="H275" s="63" t="s">
        <v>523</v>
      </c>
      <c r="I275" s="34" t="s">
        <v>276</v>
      </c>
      <c r="J275" s="153">
        <v>300.0</v>
      </c>
      <c r="K275" s="77" t="s">
        <v>524</v>
      </c>
      <c r="L275" s="154">
        <v>58.0</v>
      </c>
      <c r="M275" s="41">
        <v>17400.0</v>
      </c>
      <c r="N275" s="41" t="s">
        <v>99</v>
      </c>
      <c r="O275" s="143"/>
    </row>
    <row r="276">
      <c r="A276" s="47"/>
      <c r="B276" s="47"/>
      <c r="C276" s="47"/>
      <c r="D276" s="47"/>
      <c r="E276" s="47"/>
      <c r="F276" s="48"/>
      <c r="G276" s="48"/>
      <c r="H276" s="63" t="s">
        <v>525</v>
      </c>
      <c r="I276" s="34" t="s">
        <v>276</v>
      </c>
      <c r="J276" s="153">
        <v>10.0</v>
      </c>
      <c r="K276" s="77" t="s">
        <v>156</v>
      </c>
      <c r="L276" s="154">
        <v>22.0</v>
      </c>
      <c r="M276" s="41">
        <v>220.0</v>
      </c>
      <c r="N276" s="41" t="s">
        <v>99</v>
      </c>
      <c r="O276" s="143"/>
    </row>
    <row r="277">
      <c r="A277" s="47"/>
      <c r="B277" s="47"/>
      <c r="C277" s="47"/>
      <c r="D277" s="47"/>
      <c r="E277" s="47"/>
      <c r="F277" s="68">
        <v>606.0</v>
      </c>
      <c r="G277" s="152">
        <v>45685.0</v>
      </c>
      <c r="H277" s="63" t="s">
        <v>526</v>
      </c>
      <c r="I277" s="34" t="s">
        <v>276</v>
      </c>
      <c r="J277" s="153">
        <v>1.0</v>
      </c>
      <c r="K277" s="77" t="s">
        <v>89</v>
      </c>
      <c r="L277" s="65">
        <v>4290.0</v>
      </c>
      <c r="M277" s="41">
        <v>4290.0</v>
      </c>
      <c r="N277" s="41" t="s">
        <v>99</v>
      </c>
      <c r="O277" s="143"/>
    </row>
    <row r="278">
      <c r="A278" s="48"/>
      <c r="B278" s="48"/>
      <c r="C278" s="48"/>
      <c r="D278" s="48"/>
      <c r="E278" s="48"/>
      <c r="F278" s="48"/>
      <c r="G278" s="48"/>
      <c r="H278" s="63" t="s">
        <v>502</v>
      </c>
      <c r="I278" s="34" t="s">
        <v>276</v>
      </c>
      <c r="J278" s="153">
        <v>3.0</v>
      </c>
      <c r="K278" s="77" t="s">
        <v>89</v>
      </c>
      <c r="L278" s="65">
        <v>200.0</v>
      </c>
      <c r="M278" s="41">
        <v>600.0</v>
      </c>
      <c r="N278" s="41" t="s">
        <v>99</v>
      </c>
      <c r="O278" s="143"/>
    </row>
    <row r="279">
      <c r="A279" s="68">
        <v>66.0</v>
      </c>
      <c r="B279" s="68">
        <v>87.0</v>
      </c>
      <c r="C279" s="151">
        <v>45683.0</v>
      </c>
      <c r="D279" s="68" t="s">
        <v>400</v>
      </c>
      <c r="E279" s="68" t="s">
        <v>378</v>
      </c>
      <c r="F279" s="31">
        <v>601.0</v>
      </c>
      <c r="G279" s="161">
        <v>45685.0</v>
      </c>
      <c r="H279" s="63" t="s">
        <v>527</v>
      </c>
      <c r="I279" s="34" t="s">
        <v>294</v>
      </c>
      <c r="J279" s="153">
        <v>50.0</v>
      </c>
      <c r="K279" s="77" t="s">
        <v>34</v>
      </c>
      <c r="L279" s="154">
        <v>72.0</v>
      </c>
      <c r="M279" s="41">
        <v>3600.0</v>
      </c>
      <c r="N279" s="41" t="s">
        <v>99</v>
      </c>
      <c r="O279" s="143"/>
    </row>
    <row r="280">
      <c r="A280" s="47"/>
      <c r="B280" s="47"/>
      <c r="C280" s="47"/>
      <c r="D280" s="47"/>
      <c r="E280" s="47"/>
      <c r="F280" s="68">
        <v>603.0</v>
      </c>
      <c r="G280" s="152">
        <v>45685.0</v>
      </c>
      <c r="H280" s="63" t="s">
        <v>528</v>
      </c>
      <c r="I280" s="34" t="s">
        <v>60</v>
      </c>
      <c r="J280" s="153">
        <v>4.0</v>
      </c>
      <c r="K280" s="77" t="s">
        <v>98</v>
      </c>
      <c r="L280" s="154">
        <v>3000.0</v>
      </c>
      <c r="M280" s="41">
        <v>12000.0</v>
      </c>
      <c r="N280" s="41" t="s">
        <v>99</v>
      </c>
      <c r="O280" s="143"/>
    </row>
    <row r="281">
      <c r="A281" s="48"/>
      <c r="B281" s="48"/>
      <c r="C281" s="48"/>
      <c r="D281" s="48"/>
      <c r="E281" s="48"/>
      <c r="F281" s="48"/>
      <c r="G281" s="48"/>
      <c r="H281" s="63" t="s">
        <v>267</v>
      </c>
      <c r="I281" s="34" t="s">
        <v>268</v>
      </c>
      <c r="J281" s="153">
        <v>15.0</v>
      </c>
      <c r="K281" s="77" t="s">
        <v>89</v>
      </c>
      <c r="L281" s="154">
        <v>1100.0</v>
      </c>
      <c r="M281" s="41">
        <v>16500.0</v>
      </c>
      <c r="N281" s="41" t="s">
        <v>99</v>
      </c>
      <c r="O281" s="143"/>
    </row>
    <row r="282">
      <c r="A282" s="31">
        <v>67.0</v>
      </c>
      <c r="B282" s="31">
        <v>144.0</v>
      </c>
      <c r="C282" s="32">
        <v>45690.0</v>
      </c>
      <c r="D282" s="31" t="s">
        <v>529</v>
      </c>
      <c r="E282" s="157">
        <v>45743.0</v>
      </c>
      <c r="F282" s="31">
        <v>615.0</v>
      </c>
      <c r="G282" s="161">
        <v>45698.0</v>
      </c>
      <c r="H282" s="63" t="s">
        <v>387</v>
      </c>
      <c r="I282" s="34" t="s">
        <v>42</v>
      </c>
      <c r="J282" s="153">
        <v>1.0</v>
      </c>
      <c r="K282" s="77" t="s">
        <v>530</v>
      </c>
      <c r="L282" s="154">
        <v>2115.0</v>
      </c>
      <c r="M282" s="41">
        <v>2115.0</v>
      </c>
      <c r="N282" s="37"/>
      <c r="O282" s="143"/>
    </row>
    <row r="283">
      <c r="A283" s="68">
        <v>68.0</v>
      </c>
      <c r="B283" s="68">
        <v>110.0</v>
      </c>
      <c r="C283" s="151">
        <v>45696.0</v>
      </c>
      <c r="D283" s="68" t="s">
        <v>531</v>
      </c>
      <c r="E283" s="68" t="s">
        <v>96</v>
      </c>
      <c r="F283" s="68">
        <v>613.0</v>
      </c>
      <c r="G283" s="152">
        <v>45698.0</v>
      </c>
      <c r="H283" s="63" t="s">
        <v>532</v>
      </c>
      <c r="I283" s="34" t="s">
        <v>51</v>
      </c>
      <c r="J283" s="153">
        <v>2.0</v>
      </c>
      <c r="K283" s="77" t="s">
        <v>65</v>
      </c>
      <c r="L283" s="65">
        <v>650.0</v>
      </c>
      <c r="M283" s="41">
        <v>1300.0</v>
      </c>
      <c r="N283" s="41" t="s">
        <v>533</v>
      </c>
      <c r="O283" s="143"/>
    </row>
    <row r="284">
      <c r="A284" s="48"/>
      <c r="B284" s="48"/>
      <c r="C284" s="48"/>
      <c r="D284" s="48"/>
      <c r="E284" s="48"/>
      <c r="F284" s="48"/>
      <c r="G284" s="48"/>
      <c r="H284" s="63" t="s">
        <v>534</v>
      </c>
      <c r="I284" s="34" t="s">
        <v>29</v>
      </c>
      <c r="J284" s="153">
        <v>1.0</v>
      </c>
      <c r="K284" s="77" t="s">
        <v>65</v>
      </c>
      <c r="L284" s="65">
        <v>450.0</v>
      </c>
      <c r="M284" s="41">
        <v>450.0</v>
      </c>
      <c r="N284" s="87"/>
      <c r="O284" s="143"/>
    </row>
    <row r="285">
      <c r="A285" s="31">
        <v>69.0</v>
      </c>
      <c r="B285" s="31">
        <v>1728.0</v>
      </c>
      <c r="C285" s="32">
        <v>45710.0</v>
      </c>
      <c r="D285" s="31" t="s">
        <v>531</v>
      </c>
      <c r="E285" s="31" t="s">
        <v>96</v>
      </c>
      <c r="F285" s="31">
        <v>622.0</v>
      </c>
      <c r="G285" s="161">
        <v>45708.0</v>
      </c>
      <c r="H285" s="63" t="s">
        <v>408</v>
      </c>
      <c r="I285" s="34" t="s">
        <v>42</v>
      </c>
      <c r="J285" s="153">
        <v>10.0</v>
      </c>
      <c r="K285" s="77" t="s">
        <v>39</v>
      </c>
      <c r="L285" s="65">
        <v>60.0</v>
      </c>
      <c r="M285" s="41">
        <v>600.0</v>
      </c>
      <c r="N285" s="41" t="s">
        <v>535</v>
      </c>
      <c r="O285" s="143"/>
    </row>
    <row r="286">
      <c r="A286" s="68">
        <v>70.0</v>
      </c>
      <c r="B286" s="170" t="s">
        <v>536</v>
      </c>
      <c r="C286" s="169">
        <v>45711.0</v>
      </c>
      <c r="D286" s="170" t="s">
        <v>537</v>
      </c>
      <c r="E286" s="175">
        <v>45743.0</v>
      </c>
      <c r="F286" s="170">
        <v>616.0</v>
      </c>
      <c r="G286" s="152">
        <v>45703.0</v>
      </c>
      <c r="H286" s="63" t="s">
        <v>538</v>
      </c>
      <c r="I286" s="34" t="s">
        <v>388</v>
      </c>
      <c r="J286" s="153">
        <v>6.0</v>
      </c>
      <c r="K286" s="77" t="s">
        <v>539</v>
      </c>
      <c r="L286" s="154">
        <v>190.0</v>
      </c>
      <c r="M286" s="41">
        <v>1140.0</v>
      </c>
      <c r="N286" s="41" t="s">
        <v>540</v>
      </c>
      <c r="O286" s="143"/>
    </row>
    <row r="287">
      <c r="A287" s="48"/>
      <c r="B287" s="48"/>
      <c r="C287" s="48"/>
      <c r="D287" s="48"/>
      <c r="E287" s="48"/>
      <c r="F287" s="48"/>
      <c r="G287" s="48"/>
      <c r="H287" s="63" t="s">
        <v>541</v>
      </c>
      <c r="I287" s="34" t="s">
        <v>388</v>
      </c>
      <c r="J287" s="153">
        <v>5.0</v>
      </c>
      <c r="K287" s="77" t="s">
        <v>89</v>
      </c>
      <c r="L287" s="154">
        <v>79.0</v>
      </c>
      <c r="M287" s="41">
        <v>395.0</v>
      </c>
      <c r="N287" s="41" t="s">
        <v>540</v>
      </c>
      <c r="O287" s="143"/>
    </row>
    <row r="288">
      <c r="A288" s="31">
        <v>71.0</v>
      </c>
      <c r="B288" s="31">
        <v>221.0</v>
      </c>
      <c r="C288" s="32">
        <v>45712.0</v>
      </c>
      <c r="D288" s="31" t="s">
        <v>542</v>
      </c>
      <c r="E288" s="31" t="s">
        <v>150</v>
      </c>
      <c r="F288" s="31">
        <v>628.0</v>
      </c>
      <c r="G288" s="161">
        <v>45715.0</v>
      </c>
      <c r="H288" s="63" t="s">
        <v>543</v>
      </c>
      <c r="I288" s="34" t="s">
        <v>388</v>
      </c>
      <c r="J288" s="153">
        <v>1.0</v>
      </c>
      <c r="K288" s="77" t="s">
        <v>89</v>
      </c>
      <c r="L288" s="171">
        <v>1155.0</v>
      </c>
      <c r="M288" s="41">
        <v>1155.0</v>
      </c>
      <c r="N288" s="41" t="s">
        <v>544</v>
      </c>
      <c r="O288" s="143"/>
    </row>
    <row r="289">
      <c r="A289" s="68">
        <v>72.0</v>
      </c>
      <c r="B289" s="176">
        <v>1341.0</v>
      </c>
      <c r="C289" s="177">
        <v>45820.0</v>
      </c>
      <c r="D289" s="176" t="s">
        <v>545</v>
      </c>
      <c r="E289" s="176" t="s">
        <v>235</v>
      </c>
      <c r="F289" s="176">
        <v>1218.0</v>
      </c>
      <c r="G289" s="178">
        <v>45821.0</v>
      </c>
      <c r="H289" s="63" t="s">
        <v>546</v>
      </c>
      <c r="I289" s="34" t="s">
        <v>547</v>
      </c>
      <c r="J289" s="153">
        <v>1.0</v>
      </c>
      <c r="K289" s="77" t="s">
        <v>89</v>
      </c>
      <c r="L289" s="78">
        <v>3500.0</v>
      </c>
      <c r="M289" s="41">
        <v>3500.0</v>
      </c>
      <c r="N289" s="41" t="s">
        <v>548</v>
      </c>
      <c r="O289" s="143"/>
    </row>
    <row r="290">
      <c r="A290" s="47"/>
      <c r="B290" s="47"/>
      <c r="C290" s="47"/>
      <c r="D290" s="47"/>
      <c r="E290" s="47"/>
      <c r="F290" s="47"/>
      <c r="G290" s="47"/>
      <c r="H290" s="63" t="s">
        <v>549</v>
      </c>
      <c r="I290" s="34" t="s">
        <v>547</v>
      </c>
      <c r="J290" s="153">
        <v>7.0</v>
      </c>
      <c r="K290" s="77" t="s">
        <v>156</v>
      </c>
      <c r="L290" s="65">
        <v>79.0</v>
      </c>
      <c r="M290" s="41">
        <v>553.0</v>
      </c>
      <c r="N290" s="41" t="s">
        <v>548</v>
      </c>
      <c r="O290" s="143"/>
    </row>
    <row r="291">
      <c r="A291" s="48"/>
      <c r="B291" s="48"/>
      <c r="C291" s="48"/>
      <c r="D291" s="48"/>
      <c r="E291" s="48"/>
      <c r="F291" s="48"/>
      <c r="G291" s="48"/>
      <c r="H291" s="63" t="s">
        <v>550</v>
      </c>
      <c r="I291" s="34" t="s">
        <v>547</v>
      </c>
      <c r="J291" s="153">
        <v>1.0</v>
      </c>
      <c r="K291" s="77" t="s">
        <v>98</v>
      </c>
      <c r="L291" s="65">
        <v>45.0</v>
      </c>
      <c r="M291" s="41">
        <v>45.0</v>
      </c>
      <c r="N291" s="41" t="s">
        <v>548</v>
      </c>
      <c r="O291" s="143"/>
    </row>
    <row r="292">
      <c r="A292" s="119"/>
      <c r="B292" s="119"/>
      <c r="C292" s="119"/>
      <c r="D292" s="119"/>
      <c r="E292" s="119"/>
      <c r="F292" s="119"/>
      <c r="G292" s="179"/>
      <c r="H292" s="179" t="s">
        <v>259</v>
      </c>
      <c r="I292" s="119"/>
      <c r="J292" s="119"/>
      <c r="K292" s="119"/>
      <c r="L292" s="119"/>
      <c r="M292" s="180">
        <f>SUBTOTAL(109,'PMU Temp.sched'!$M$5:$M$291)</f>
        <v>1480001.5</v>
      </c>
      <c r="N292" s="119"/>
      <c r="O292" s="181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  <c r="AC292" s="182"/>
      <c r="AD292" s="182"/>
    </row>
    <row r="293">
      <c r="G293" s="183"/>
    </row>
    <row r="294">
      <c r="G294" s="183"/>
    </row>
    <row r="295">
      <c r="G295" s="183"/>
    </row>
    <row r="296">
      <c r="G296" s="183"/>
    </row>
    <row r="297">
      <c r="G297" s="183"/>
    </row>
    <row r="298">
      <c r="G298" s="183"/>
    </row>
    <row r="299">
      <c r="G299" s="183"/>
    </row>
    <row r="300">
      <c r="G300" s="183"/>
    </row>
    <row r="301">
      <c r="G301" s="183"/>
    </row>
    <row r="302">
      <c r="G302" s="183"/>
    </row>
    <row r="303">
      <c r="G303" s="183"/>
    </row>
    <row r="304">
      <c r="G304" s="183"/>
    </row>
    <row r="305">
      <c r="G305" s="183"/>
    </row>
    <row r="306">
      <c r="G306" s="183"/>
    </row>
    <row r="307">
      <c r="G307" s="183"/>
    </row>
    <row r="308">
      <c r="G308" s="183"/>
    </row>
    <row r="309">
      <c r="G309" s="183"/>
    </row>
    <row r="310">
      <c r="G310" s="183"/>
    </row>
    <row r="311">
      <c r="G311" s="183"/>
    </row>
    <row r="312">
      <c r="G312" s="183"/>
    </row>
    <row r="313">
      <c r="G313" s="183"/>
    </row>
    <row r="314">
      <c r="G314" s="183"/>
    </row>
    <row r="315">
      <c r="G315" s="183"/>
    </row>
    <row r="316">
      <c r="G316" s="183"/>
    </row>
    <row r="317">
      <c r="G317" s="183"/>
    </row>
    <row r="318">
      <c r="G318" s="183"/>
    </row>
    <row r="319">
      <c r="G319" s="183"/>
    </row>
    <row r="320">
      <c r="G320" s="183"/>
    </row>
    <row r="321">
      <c r="G321" s="183"/>
    </row>
    <row r="322">
      <c r="G322" s="183"/>
    </row>
    <row r="323">
      <c r="G323" s="183"/>
    </row>
    <row r="324">
      <c r="G324" s="183"/>
    </row>
    <row r="325">
      <c r="G325" s="183"/>
    </row>
    <row r="326">
      <c r="G326" s="183"/>
    </row>
    <row r="327">
      <c r="G327" s="183"/>
    </row>
    <row r="328">
      <c r="G328" s="183"/>
    </row>
    <row r="329">
      <c r="G329" s="183"/>
    </row>
    <row r="330">
      <c r="G330" s="183"/>
    </row>
    <row r="331">
      <c r="G331" s="183"/>
    </row>
    <row r="332">
      <c r="G332" s="183"/>
    </row>
    <row r="333">
      <c r="G333" s="183"/>
    </row>
    <row r="334">
      <c r="G334" s="183"/>
    </row>
    <row r="335">
      <c r="G335" s="183"/>
    </row>
    <row r="336">
      <c r="G336" s="183"/>
    </row>
    <row r="337">
      <c r="G337" s="183"/>
    </row>
    <row r="338">
      <c r="G338" s="183"/>
    </row>
    <row r="339">
      <c r="G339" s="183"/>
    </row>
    <row r="340">
      <c r="G340" s="183"/>
    </row>
    <row r="341">
      <c r="G341" s="183"/>
    </row>
    <row r="342">
      <c r="G342" s="183"/>
    </row>
    <row r="343">
      <c r="G343" s="183"/>
    </row>
    <row r="344">
      <c r="G344" s="183"/>
    </row>
    <row r="345">
      <c r="G345" s="183"/>
    </row>
    <row r="346">
      <c r="G346" s="183"/>
    </row>
    <row r="347">
      <c r="G347" s="183"/>
    </row>
    <row r="348">
      <c r="G348" s="183"/>
    </row>
    <row r="349">
      <c r="G349" s="183"/>
    </row>
    <row r="350">
      <c r="G350" s="183"/>
    </row>
    <row r="351">
      <c r="G351" s="183"/>
    </row>
    <row r="352">
      <c r="G352" s="183"/>
    </row>
    <row r="353">
      <c r="G353" s="183"/>
    </row>
    <row r="354">
      <c r="G354" s="183"/>
    </row>
    <row r="355">
      <c r="G355" s="183"/>
    </row>
    <row r="356">
      <c r="G356" s="183"/>
    </row>
    <row r="357">
      <c r="G357" s="183"/>
    </row>
    <row r="358">
      <c r="G358" s="183"/>
    </row>
    <row r="359">
      <c r="G359" s="183"/>
    </row>
    <row r="360">
      <c r="G360" s="183"/>
    </row>
    <row r="361">
      <c r="G361" s="183"/>
    </row>
    <row r="362">
      <c r="G362" s="183"/>
    </row>
    <row r="363">
      <c r="G363" s="183"/>
    </row>
    <row r="364">
      <c r="G364" s="183"/>
    </row>
    <row r="365">
      <c r="G365" s="183"/>
    </row>
    <row r="366">
      <c r="G366" s="183"/>
    </row>
    <row r="367">
      <c r="G367" s="183"/>
    </row>
    <row r="368">
      <c r="G368" s="183"/>
    </row>
    <row r="369">
      <c r="G369" s="183"/>
    </row>
    <row r="370">
      <c r="G370" s="183"/>
    </row>
    <row r="371">
      <c r="G371" s="183"/>
    </row>
    <row r="372">
      <c r="G372" s="183"/>
    </row>
    <row r="373">
      <c r="G373" s="183"/>
    </row>
    <row r="374">
      <c r="G374" s="183"/>
    </row>
    <row r="375">
      <c r="G375" s="183"/>
    </row>
    <row r="376">
      <c r="G376" s="183"/>
    </row>
    <row r="377">
      <c r="G377" s="183"/>
    </row>
    <row r="378">
      <c r="G378" s="183"/>
    </row>
    <row r="379">
      <c r="G379" s="183"/>
    </row>
    <row r="380">
      <c r="G380" s="183"/>
    </row>
    <row r="381">
      <c r="G381" s="183"/>
    </row>
    <row r="382">
      <c r="G382" s="183"/>
    </row>
    <row r="383">
      <c r="G383" s="183"/>
    </row>
    <row r="384">
      <c r="G384" s="183"/>
    </row>
    <row r="385">
      <c r="G385" s="183"/>
    </row>
    <row r="386">
      <c r="G386" s="183"/>
    </row>
    <row r="387">
      <c r="G387" s="183"/>
    </row>
    <row r="388">
      <c r="G388" s="183"/>
    </row>
    <row r="389">
      <c r="G389" s="183"/>
    </row>
    <row r="390">
      <c r="G390" s="183"/>
    </row>
    <row r="391">
      <c r="G391" s="183"/>
    </row>
    <row r="392">
      <c r="G392" s="183"/>
    </row>
    <row r="393">
      <c r="G393" s="183"/>
    </row>
    <row r="394">
      <c r="G394" s="183"/>
    </row>
    <row r="395">
      <c r="G395" s="183"/>
    </row>
    <row r="396">
      <c r="G396" s="183"/>
    </row>
    <row r="397">
      <c r="G397" s="183"/>
    </row>
    <row r="398">
      <c r="G398" s="183"/>
    </row>
    <row r="399">
      <c r="G399" s="183"/>
    </row>
    <row r="400">
      <c r="G400" s="183"/>
    </row>
    <row r="401">
      <c r="G401" s="183"/>
    </row>
    <row r="402">
      <c r="G402" s="183"/>
    </row>
    <row r="403">
      <c r="G403" s="183"/>
    </row>
    <row r="404">
      <c r="G404" s="183"/>
    </row>
    <row r="405">
      <c r="G405" s="183"/>
    </row>
    <row r="406">
      <c r="G406" s="183"/>
    </row>
    <row r="407">
      <c r="G407" s="183"/>
    </row>
    <row r="408">
      <c r="G408" s="183"/>
    </row>
    <row r="409">
      <c r="G409" s="183"/>
    </row>
    <row r="410">
      <c r="G410" s="183"/>
    </row>
    <row r="411">
      <c r="G411" s="183"/>
    </row>
    <row r="412">
      <c r="G412" s="183"/>
    </row>
    <row r="413">
      <c r="G413" s="183"/>
    </row>
    <row r="414">
      <c r="G414" s="183"/>
    </row>
    <row r="415">
      <c r="G415" s="183"/>
    </row>
    <row r="416">
      <c r="G416" s="183"/>
    </row>
    <row r="417">
      <c r="G417" s="183"/>
    </row>
    <row r="418">
      <c r="G418" s="183"/>
    </row>
    <row r="419">
      <c r="G419" s="183"/>
    </row>
    <row r="420">
      <c r="G420" s="183"/>
    </row>
    <row r="421">
      <c r="G421" s="183"/>
    </row>
    <row r="422">
      <c r="G422" s="183"/>
    </row>
    <row r="423">
      <c r="G423" s="183"/>
    </row>
    <row r="424">
      <c r="G424" s="183"/>
    </row>
    <row r="425">
      <c r="G425" s="183"/>
    </row>
    <row r="426">
      <c r="G426" s="183"/>
    </row>
    <row r="427">
      <c r="G427" s="183"/>
    </row>
    <row r="428">
      <c r="G428" s="183"/>
    </row>
    <row r="429">
      <c r="G429" s="183"/>
    </row>
    <row r="430">
      <c r="G430" s="183"/>
    </row>
    <row r="431">
      <c r="G431" s="183"/>
    </row>
    <row r="432">
      <c r="G432" s="183"/>
    </row>
    <row r="433">
      <c r="G433" s="183"/>
    </row>
    <row r="434">
      <c r="G434" s="183"/>
    </row>
    <row r="435">
      <c r="G435" s="183"/>
    </row>
    <row r="436">
      <c r="G436" s="183"/>
    </row>
    <row r="437">
      <c r="G437" s="183"/>
    </row>
    <row r="438">
      <c r="G438" s="183"/>
    </row>
    <row r="439">
      <c r="G439" s="183"/>
    </row>
    <row r="440">
      <c r="G440" s="183"/>
    </row>
    <row r="441">
      <c r="G441" s="183"/>
    </row>
    <row r="442">
      <c r="G442" s="183"/>
    </row>
    <row r="443">
      <c r="G443" s="183"/>
    </row>
    <row r="444">
      <c r="G444" s="183"/>
    </row>
    <row r="445">
      <c r="G445" s="183"/>
    </row>
    <row r="446">
      <c r="G446" s="183"/>
    </row>
    <row r="447">
      <c r="G447" s="183"/>
    </row>
    <row r="448">
      <c r="G448" s="183"/>
    </row>
    <row r="449">
      <c r="G449" s="183"/>
    </row>
    <row r="450">
      <c r="G450" s="183"/>
    </row>
    <row r="451">
      <c r="G451" s="183"/>
    </row>
    <row r="452">
      <c r="G452" s="183"/>
    </row>
    <row r="453">
      <c r="G453" s="183"/>
    </row>
    <row r="454">
      <c r="G454" s="183"/>
    </row>
    <row r="455">
      <c r="G455" s="183"/>
    </row>
    <row r="456">
      <c r="G456" s="183"/>
    </row>
    <row r="457">
      <c r="G457" s="183"/>
    </row>
    <row r="458">
      <c r="G458" s="183"/>
    </row>
    <row r="459">
      <c r="G459" s="183"/>
    </row>
    <row r="460">
      <c r="G460" s="183"/>
    </row>
    <row r="461">
      <c r="G461" s="183"/>
    </row>
    <row r="462">
      <c r="G462" s="183"/>
    </row>
    <row r="463">
      <c r="G463" s="183"/>
    </row>
    <row r="464">
      <c r="G464" s="183"/>
    </row>
    <row r="465">
      <c r="G465" s="183"/>
    </row>
    <row r="466">
      <c r="G466" s="183"/>
    </row>
    <row r="467">
      <c r="G467" s="183"/>
    </row>
    <row r="468">
      <c r="G468" s="183"/>
    </row>
    <row r="469">
      <c r="G469" s="183"/>
    </row>
    <row r="470">
      <c r="G470" s="183"/>
    </row>
    <row r="471">
      <c r="G471" s="183"/>
    </row>
    <row r="472">
      <c r="G472" s="183"/>
    </row>
    <row r="473">
      <c r="G473" s="183"/>
    </row>
    <row r="474">
      <c r="G474" s="183"/>
    </row>
    <row r="475">
      <c r="G475" s="183"/>
    </row>
    <row r="476">
      <c r="G476" s="183"/>
    </row>
    <row r="477">
      <c r="G477" s="183"/>
    </row>
    <row r="478">
      <c r="G478" s="183"/>
    </row>
    <row r="479">
      <c r="G479" s="183"/>
    </row>
    <row r="480">
      <c r="G480" s="183"/>
    </row>
    <row r="481">
      <c r="G481" s="183"/>
    </row>
    <row r="482">
      <c r="G482" s="183"/>
    </row>
    <row r="483">
      <c r="G483" s="183"/>
    </row>
    <row r="484">
      <c r="G484" s="183"/>
    </row>
    <row r="485">
      <c r="G485" s="183"/>
    </row>
    <row r="486">
      <c r="G486" s="183"/>
    </row>
    <row r="487">
      <c r="G487" s="183"/>
    </row>
    <row r="488">
      <c r="G488" s="183"/>
    </row>
    <row r="489">
      <c r="G489" s="183"/>
    </row>
    <row r="490">
      <c r="G490" s="183"/>
    </row>
    <row r="491">
      <c r="G491" s="183"/>
    </row>
    <row r="492">
      <c r="G492" s="183"/>
    </row>
    <row r="493">
      <c r="G493" s="183"/>
    </row>
    <row r="494">
      <c r="G494" s="183"/>
    </row>
    <row r="495">
      <c r="G495" s="183"/>
    </row>
    <row r="496">
      <c r="G496" s="183"/>
    </row>
    <row r="497">
      <c r="G497" s="183"/>
    </row>
    <row r="498">
      <c r="G498" s="183"/>
    </row>
    <row r="499">
      <c r="G499" s="183"/>
    </row>
    <row r="500">
      <c r="G500" s="183"/>
    </row>
    <row r="501">
      <c r="G501" s="183"/>
    </row>
    <row r="502">
      <c r="G502" s="183"/>
    </row>
    <row r="503">
      <c r="G503" s="183"/>
    </row>
    <row r="504">
      <c r="G504" s="183"/>
    </row>
    <row r="505">
      <c r="G505" s="183"/>
    </row>
    <row r="506">
      <c r="G506" s="183"/>
    </row>
    <row r="507">
      <c r="G507" s="183"/>
    </row>
    <row r="508">
      <c r="G508" s="183"/>
    </row>
    <row r="509">
      <c r="G509" s="183"/>
    </row>
    <row r="510">
      <c r="G510" s="183"/>
    </row>
    <row r="511">
      <c r="G511" s="183"/>
    </row>
    <row r="512">
      <c r="G512" s="183"/>
    </row>
    <row r="513">
      <c r="G513" s="183"/>
    </row>
    <row r="514">
      <c r="G514" s="183"/>
    </row>
    <row r="515">
      <c r="G515" s="183"/>
    </row>
    <row r="516">
      <c r="G516" s="183"/>
    </row>
    <row r="517">
      <c r="G517" s="183"/>
    </row>
    <row r="518">
      <c r="G518" s="183"/>
    </row>
    <row r="519">
      <c r="G519" s="183"/>
    </row>
    <row r="520">
      <c r="G520" s="183"/>
    </row>
    <row r="521">
      <c r="G521" s="183"/>
    </row>
    <row r="522">
      <c r="G522" s="183"/>
    </row>
    <row r="523">
      <c r="G523" s="183"/>
    </row>
    <row r="524">
      <c r="G524" s="183"/>
    </row>
    <row r="525">
      <c r="G525" s="183"/>
    </row>
    <row r="526">
      <c r="G526" s="183"/>
    </row>
    <row r="527">
      <c r="G527" s="183"/>
    </row>
    <row r="528">
      <c r="G528" s="183"/>
    </row>
    <row r="529">
      <c r="G529" s="183"/>
    </row>
    <row r="530">
      <c r="G530" s="183"/>
    </row>
    <row r="531">
      <c r="G531" s="183"/>
    </row>
    <row r="532">
      <c r="G532" s="183"/>
    </row>
    <row r="533">
      <c r="G533" s="183"/>
    </row>
    <row r="534">
      <c r="G534" s="183"/>
    </row>
    <row r="535">
      <c r="G535" s="183"/>
    </row>
    <row r="536">
      <c r="G536" s="183"/>
    </row>
    <row r="537">
      <c r="G537" s="183"/>
    </row>
    <row r="538">
      <c r="G538" s="183"/>
    </row>
    <row r="539">
      <c r="G539" s="183"/>
    </row>
    <row r="540">
      <c r="G540" s="183"/>
    </row>
    <row r="541">
      <c r="G541" s="183"/>
    </row>
    <row r="542">
      <c r="G542" s="183"/>
    </row>
    <row r="543">
      <c r="G543" s="183"/>
    </row>
    <row r="544">
      <c r="G544" s="183"/>
    </row>
    <row r="545">
      <c r="G545" s="183"/>
    </row>
    <row r="546">
      <c r="G546" s="183"/>
    </row>
    <row r="547">
      <c r="G547" s="183"/>
    </row>
    <row r="548">
      <c r="G548" s="183"/>
    </row>
    <row r="549">
      <c r="G549" s="183"/>
    </row>
    <row r="550">
      <c r="G550" s="183"/>
    </row>
    <row r="551">
      <c r="G551" s="183"/>
    </row>
    <row r="552">
      <c r="G552" s="183"/>
    </row>
    <row r="553">
      <c r="G553" s="183"/>
    </row>
    <row r="554">
      <c r="G554" s="183"/>
    </row>
    <row r="555">
      <c r="G555" s="183"/>
    </row>
    <row r="556">
      <c r="G556" s="183"/>
    </row>
    <row r="557">
      <c r="G557" s="183"/>
    </row>
    <row r="558">
      <c r="G558" s="183"/>
    </row>
    <row r="559">
      <c r="G559" s="183"/>
    </row>
    <row r="560">
      <c r="G560" s="183"/>
    </row>
    <row r="561">
      <c r="G561" s="183"/>
    </row>
    <row r="562">
      <c r="G562" s="183"/>
    </row>
    <row r="563">
      <c r="G563" s="183"/>
    </row>
    <row r="564">
      <c r="G564" s="183"/>
    </row>
    <row r="565">
      <c r="G565" s="183"/>
    </row>
    <row r="566">
      <c r="G566" s="183"/>
    </row>
    <row r="567">
      <c r="G567" s="183"/>
    </row>
    <row r="568">
      <c r="G568" s="183"/>
    </row>
    <row r="569">
      <c r="G569" s="183"/>
    </row>
    <row r="570">
      <c r="G570" s="183"/>
    </row>
    <row r="571">
      <c r="G571" s="183"/>
    </row>
    <row r="572">
      <c r="G572" s="183"/>
    </row>
    <row r="573">
      <c r="G573" s="183"/>
    </row>
    <row r="574">
      <c r="G574" s="183"/>
    </row>
    <row r="575">
      <c r="G575" s="183"/>
    </row>
    <row r="576">
      <c r="G576" s="183"/>
    </row>
    <row r="577">
      <c r="G577" s="183"/>
    </row>
    <row r="578">
      <c r="G578" s="183"/>
    </row>
    <row r="579">
      <c r="G579" s="183"/>
    </row>
    <row r="580">
      <c r="G580" s="183"/>
    </row>
    <row r="581">
      <c r="G581" s="183"/>
    </row>
    <row r="582">
      <c r="G582" s="183"/>
    </row>
    <row r="583">
      <c r="G583" s="183"/>
    </row>
    <row r="584">
      <c r="G584" s="183"/>
    </row>
    <row r="585">
      <c r="G585" s="183"/>
    </row>
    <row r="586">
      <c r="G586" s="183"/>
    </row>
    <row r="587">
      <c r="G587" s="183"/>
    </row>
    <row r="588">
      <c r="G588" s="183"/>
    </row>
    <row r="589">
      <c r="G589" s="183"/>
    </row>
    <row r="590">
      <c r="G590" s="183"/>
    </row>
    <row r="591">
      <c r="G591" s="183"/>
    </row>
    <row r="592">
      <c r="G592" s="183"/>
    </row>
    <row r="593">
      <c r="G593" s="183"/>
    </row>
    <row r="594">
      <c r="G594" s="183"/>
    </row>
    <row r="595">
      <c r="G595" s="183"/>
    </row>
    <row r="596">
      <c r="G596" s="183"/>
    </row>
    <row r="597">
      <c r="G597" s="183"/>
    </row>
    <row r="598">
      <c r="G598" s="183"/>
    </row>
    <row r="599">
      <c r="G599" s="183"/>
    </row>
    <row r="600">
      <c r="G600" s="183"/>
    </row>
    <row r="601">
      <c r="G601" s="183"/>
    </row>
    <row r="602">
      <c r="G602" s="183"/>
    </row>
    <row r="603">
      <c r="G603" s="183"/>
    </row>
    <row r="604">
      <c r="G604" s="183"/>
    </row>
    <row r="605">
      <c r="G605" s="183"/>
    </row>
    <row r="606">
      <c r="G606" s="183"/>
    </row>
    <row r="607">
      <c r="G607" s="183"/>
    </row>
    <row r="608">
      <c r="G608" s="183"/>
    </row>
    <row r="609">
      <c r="G609" s="183"/>
    </row>
    <row r="610">
      <c r="G610" s="183"/>
    </row>
    <row r="611">
      <c r="G611" s="183"/>
    </row>
    <row r="612">
      <c r="G612" s="183"/>
    </row>
    <row r="613">
      <c r="G613" s="183"/>
    </row>
    <row r="614">
      <c r="G614" s="183"/>
    </row>
    <row r="615">
      <c r="G615" s="183"/>
    </row>
    <row r="616">
      <c r="G616" s="183"/>
    </row>
    <row r="617">
      <c r="G617" s="183"/>
    </row>
    <row r="618">
      <c r="G618" s="183"/>
    </row>
    <row r="619">
      <c r="G619" s="183"/>
    </row>
    <row r="620">
      <c r="G620" s="183"/>
    </row>
    <row r="621">
      <c r="G621" s="183"/>
    </row>
    <row r="622">
      <c r="G622" s="183"/>
    </row>
    <row r="623">
      <c r="G623" s="183"/>
    </row>
    <row r="624">
      <c r="G624" s="183"/>
    </row>
    <row r="625">
      <c r="G625" s="183"/>
    </row>
    <row r="626">
      <c r="G626" s="183"/>
    </row>
    <row r="627">
      <c r="G627" s="183"/>
    </row>
    <row r="628">
      <c r="G628" s="183"/>
    </row>
    <row r="629">
      <c r="G629" s="183"/>
    </row>
    <row r="630">
      <c r="G630" s="183"/>
    </row>
    <row r="631">
      <c r="G631" s="183"/>
    </row>
    <row r="632">
      <c r="G632" s="183"/>
    </row>
    <row r="633">
      <c r="G633" s="183"/>
    </row>
    <row r="634">
      <c r="G634" s="183"/>
    </row>
    <row r="635">
      <c r="G635" s="183"/>
    </row>
    <row r="636">
      <c r="G636" s="183"/>
    </row>
    <row r="637">
      <c r="G637" s="183"/>
    </row>
    <row r="638">
      <c r="G638" s="183"/>
    </row>
    <row r="639">
      <c r="G639" s="183"/>
    </row>
    <row r="640">
      <c r="G640" s="183"/>
    </row>
    <row r="641">
      <c r="G641" s="183"/>
    </row>
    <row r="642">
      <c r="G642" s="183"/>
    </row>
    <row r="643">
      <c r="G643" s="183"/>
    </row>
    <row r="644">
      <c r="G644" s="183"/>
    </row>
    <row r="645">
      <c r="G645" s="183"/>
    </row>
    <row r="646">
      <c r="G646" s="183"/>
    </row>
    <row r="647">
      <c r="G647" s="183"/>
    </row>
    <row r="648">
      <c r="G648" s="183"/>
    </row>
    <row r="649">
      <c r="G649" s="183"/>
    </row>
    <row r="650">
      <c r="G650" s="183"/>
    </row>
    <row r="651">
      <c r="G651" s="183"/>
    </row>
    <row r="652">
      <c r="G652" s="183"/>
    </row>
    <row r="653">
      <c r="G653" s="183"/>
    </row>
    <row r="654">
      <c r="G654" s="183"/>
    </row>
    <row r="655">
      <c r="G655" s="183"/>
    </row>
    <row r="656">
      <c r="G656" s="183"/>
    </row>
    <row r="657">
      <c r="G657" s="183"/>
    </row>
    <row r="658">
      <c r="G658" s="183"/>
    </row>
    <row r="659">
      <c r="G659" s="183"/>
    </row>
    <row r="660">
      <c r="G660" s="183"/>
    </row>
    <row r="661">
      <c r="G661" s="183"/>
    </row>
    <row r="662">
      <c r="G662" s="183"/>
    </row>
    <row r="663">
      <c r="G663" s="183"/>
    </row>
    <row r="664">
      <c r="G664" s="183"/>
    </row>
    <row r="665">
      <c r="G665" s="183"/>
    </row>
    <row r="666">
      <c r="G666" s="183"/>
    </row>
    <row r="667">
      <c r="G667" s="183"/>
    </row>
    <row r="668">
      <c r="G668" s="183"/>
    </row>
    <row r="669">
      <c r="G669" s="183"/>
    </row>
    <row r="670">
      <c r="G670" s="183"/>
    </row>
    <row r="671">
      <c r="G671" s="183"/>
    </row>
    <row r="672">
      <c r="G672" s="183"/>
    </row>
    <row r="673">
      <c r="G673" s="183"/>
    </row>
    <row r="674">
      <c r="G674" s="183"/>
    </row>
    <row r="675">
      <c r="G675" s="183"/>
    </row>
    <row r="676">
      <c r="G676" s="183"/>
    </row>
    <row r="677">
      <c r="G677" s="183"/>
    </row>
    <row r="678">
      <c r="G678" s="183"/>
    </row>
    <row r="679">
      <c r="G679" s="183"/>
    </row>
    <row r="680">
      <c r="G680" s="183"/>
    </row>
    <row r="681">
      <c r="G681" s="183"/>
    </row>
    <row r="682">
      <c r="G682" s="183"/>
    </row>
    <row r="683">
      <c r="G683" s="183"/>
    </row>
    <row r="684">
      <c r="G684" s="183"/>
    </row>
    <row r="685">
      <c r="G685" s="183"/>
    </row>
    <row r="686">
      <c r="G686" s="183"/>
    </row>
    <row r="687">
      <c r="G687" s="183"/>
    </row>
    <row r="688">
      <c r="G688" s="183"/>
    </row>
    <row r="689">
      <c r="G689" s="183"/>
    </row>
    <row r="690">
      <c r="G690" s="183"/>
    </row>
    <row r="691">
      <c r="G691" s="183"/>
    </row>
    <row r="692">
      <c r="G692" s="183"/>
    </row>
    <row r="693">
      <c r="G693" s="183"/>
    </row>
    <row r="694">
      <c r="G694" s="183"/>
    </row>
    <row r="695">
      <c r="G695" s="183"/>
    </row>
    <row r="696">
      <c r="G696" s="183"/>
    </row>
    <row r="697">
      <c r="G697" s="183"/>
    </row>
    <row r="698">
      <c r="G698" s="183"/>
    </row>
    <row r="699">
      <c r="G699" s="183"/>
    </row>
    <row r="700">
      <c r="G700" s="183"/>
    </row>
    <row r="701">
      <c r="G701" s="183"/>
    </row>
    <row r="702">
      <c r="G702" s="183"/>
    </row>
    <row r="703">
      <c r="G703" s="183"/>
    </row>
    <row r="704">
      <c r="G704" s="183"/>
    </row>
    <row r="705">
      <c r="G705" s="183"/>
    </row>
    <row r="706">
      <c r="G706" s="183"/>
    </row>
    <row r="707">
      <c r="G707" s="183"/>
    </row>
    <row r="708">
      <c r="G708" s="183"/>
    </row>
    <row r="709">
      <c r="G709" s="183"/>
    </row>
    <row r="710">
      <c r="G710" s="183"/>
    </row>
    <row r="711">
      <c r="G711" s="183"/>
    </row>
    <row r="712">
      <c r="G712" s="183"/>
    </row>
    <row r="713">
      <c r="G713" s="183"/>
    </row>
    <row r="714">
      <c r="G714" s="183"/>
    </row>
    <row r="715">
      <c r="G715" s="183"/>
    </row>
    <row r="716">
      <c r="G716" s="183"/>
    </row>
    <row r="717">
      <c r="G717" s="183"/>
    </row>
    <row r="718">
      <c r="G718" s="183"/>
    </row>
    <row r="719">
      <c r="G719" s="183"/>
    </row>
    <row r="720">
      <c r="G720" s="183"/>
    </row>
    <row r="721">
      <c r="G721" s="183"/>
    </row>
    <row r="722">
      <c r="G722" s="183"/>
    </row>
    <row r="723">
      <c r="G723" s="183"/>
    </row>
    <row r="724">
      <c r="G724" s="183"/>
    </row>
    <row r="725">
      <c r="G725" s="183"/>
    </row>
    <row r="726">
      <c r="G726" s="183"/>
    </row>
    <row r="727">
      <c r="G727" s="183"/>
    </row>
    <row r="728">
      <c r="G728" s="183"/>
    </row>
    <row r="729">
      <c r="G729" s="183"/>
    </row>
    <row r="730">
      <c r="G730" s="183"/>
    </row>
    <row r="731">
      <c r="G731" s="183"/>
    </row>
    <row r="732">
      <c r="G732" s="183"/>
    </row>
    <row r="733">
      <c r="G733" s="183"/>
    </row>
    <row r="734">
      <c r="G734" s="183"/>
    </row>
    <row r="735">
      <c r="G735" s="183"/>
    </row>
    <row r="736">
      <c r="G736" s="183"/>
    </row>
    <row r="737">
      <c r="G737" s="183"/>
    </row>
    <row r="738">
      <c r="G738" s="183"/>
    </row>
    <row r="739">
      <c r="G739" s="183"/>
    </row>
    <row r="740">
      <c r="G740" s="183"/>
    </row>
    <row r="741">
      <c r="G741" s="183"/>
    </row>
    <row r="742">
      <c r="G742" s="183"/>
    </row>
    <row r="743">
      <c r="G743" s="183"/>
    </row>
    <row r="744">
      <c r="G744" s="183"/>
    </row>
    <row r="745">
      <c r="G745" s="183"/>
    </row>
    <row r="746">
      <c r="G746" s="183"/>
    </row>
    <row r="747">
      <c r="G747" s="183"/>
    </row>
    <row r="748">
      <c r="G748" s="183"/>
    </row>
    <row r="749">
      <c r="G749" s="183"/>
    </row>
    <row r="750">
      <c r="G750" s="183"/>
    </row>
    <row r="751">
      <c r="G751" s="183"/>
    </row>
    <row r="752">
      <c r="G752" s="183"/>
    </row>
    <row r="753">
      <c r="G753" s="183"/>
    </row>
    <row r="754">
      <c r="G754" s="183"/>
    </row>
    <row r="755">
      <c r="G755" s="183"/>
    </row>
    <row r="756">
      <c r="G756" s="183"/>
    </row>
    <row r="757">
      <c r="G757" s="183"/>
    </row>
    <row r="758">
      <c r="G758" s="183"/>
    </row>
    <row r="759">
      <c r="G759" s="183"/>
    </row>
    <row r="760">
      <c r="G760" s="183"/>
    </row>
    <row r="761">
      <c r="G761" s="183"/>
    </row>
    <row r="762">
      <c r="G762" s="183"/>
    </row>
    <row r="763">
      <c r="G763" s="183"/>
    </row>
    <row r="764">
      <c r="G764" s="183"/>
    </row>
    <row r="765">
      <c r="G765" s="183"/>
    </row>
    <row r="766">
      <c r="G766" s="183"/>
    </row>
    <row r="767">
      <c r="G767" s="183"/>
    </row>
    <row r="768">
      <c r="G768" s="183"/>
    </row>
    <row r="769">
      <c r="G769" s="183"/>
    </row>
    <row r="770">
      <c r="G770" s="183"/>
    </row>
    <row r="771">
      <c r="G771" s="183"/>
    </row>
    <row r="772">
      <c r="G772" s="183"/>
    </row>
    <row r="773">
      <c r="G773" s="183"/>
    </row>
    <row r="774">
      <c r="G774" s="183"/>
    </row>
    <row r="775">
      <c r="G775" s="183"/>
    </row>
    <row r="776">
      <c r="G776" s="183"/>
    </row>
    <row r="777">
      <c r="G777" s="183"/>
    </row>
    <row r="778">
      <c r="G778" s="183"/>
    </row>
    <row r="779">
      <c r="G779" s="183"/>
    </row>
    <row r="780">
      <c r="G780" s="183"/>
    </row>
    <row r="781">
      <c r="G781" s="183"/>
    </row>
    <row r="782">
      <c r="G782" s="183"/>
    </row>
    <row r="783">
      <c r="G783" s="183"/>
    </row>
    <row r="784">
      <c r="G784" s="183"/>
    </row>
    <row r="785">
      <c r="G785" s="183"/>
    </row>
    <row r="786">
      <c r="G786" s="183"/>
    </row>
    <row r="787">
      <c r="G787" s="183"/>
    </row>
    <row r="788">
      <c r="G788" s="183"/>
    </row>
    <row r="789">
      <c r="G789" s="183"/>
    </row>
    <row r="790">
      <c r="G790" s="183"/>
    </row>
    <row r="791">
      <c r="G791" s="183"/>
    </row>
    <row r="792">
      <c r="G792" s="183"/>
    </row>
    <row r="793">
      <c r="G793" s="183"/>
    </row>
    <row r="794">
      <c r="G794" s="183"/>
    </row>
    <row r="795">
      <c r="G795" s="183"/>
    </row>
    <row r="796">
      <c r="G796" s="183"/>
    </row>
    <row r="797">
      <c r="G797" s="183"/>
    </row>
    <row r="798">
      <c r="G798" s="183"/>
    </row>
    <row r="799">
      <c r="G799" s="183"/>
    </row>
    <row r="800">
      <c r="G800" s="183"/>
    </row>
    <row r="801">
      <c r="G801" s="183"/>
    </row>
    <row r="802">
      <c r="G802" s="183"/>
    </row>
    <row r="803">
      <c r="G803" s="183"/>
    </row>
    <row r="804">
      <c r="G804" s="183"/>
    </row>
    <row r="805">
      <c r="G805" s="183"/>
    </row>
    <row r="806">
      <c r="G806" s="183"/>
    </row>
    <row r="807">
      <c r="G807" s="183"/>
    </row>
    <row r="808">
      <c r="G808" s="183"/>
    </row>
    <row r="809">
      <c r="G809" s="183"/>
    </row>
    <row r="810">
      <c r="G810" s="183"/>
    </row>
    <row r="811">
      <c r="G811" s="183"/>
    </row>
    <row r="812">
      <c r="G812" s="183"/>
    </row>
    <row r="813">
      <c r="G813" s="183"/>
    </row>
    <row r="814">
      <c r="G814" s="183"/>
    </row>
    <row r="815">
      <c r="G815" s="183"/>
    </row>
    <row r="816">
      <c r="G816" s="183"/>
    </row>
    <row r="817">
      <c r="G817" s="183"/>
    </row>
    <row r="818">
      <c r="G818" s="183"/>
    </row>
    <row r="819">
      <c r="G819" s="183"/>
    </row>
    <row r="820">
      <c r="G820" s="183"/>
    </row>
    <row r="821">
      <c r="G821" s="183"/>
    </row>
    <row r="822">
      <c r="G822" s="183"/>
    </row>
    <row r="823">
      <c r="G823" s="183"/>
    </row>
    <row r="824">
      <c r="G824" s="183"/>
    </row>
    <row r="825">
      <c r="G825" s="183"/>
    </row>
    <row r="826">
      <c r="G826" s="183"/>
    </row>
    <row r="827">
      <c r="G827" s="183"/>
    </row>
    <row r="828">
      <c r="G828" s="183"/>
    </row>
    <row r="829">
      <c r="G829" s="183"/>
    </row>
    <row r="830">
      <c r="G830" s="183"/>
    </row>
    <row r="831">
      <c r="G831" s="183"/>
    </row>
    <row r="832">
      <c r="G832" s="183"/>
    </row>
    <row r="833">
      <c r="G833" s="183"/>
    </row>
    <row r="834">
      <c r="G834" s="183"/>
    </row>
    <row r="835">
      <c r="G835" s="183"/>
    </row>
    <row r="836">
      <c r="G836" s="183"/>
    </row>
    <row r="837">
      <c r="G837" s="183"/>
    </row>
    <row r="838">
      <c r="G838" s="183"/>
    </row>
    <row r="839">
      <c r="G839" s="183"/>
    </row>
    <row r="840">
      <c r="G840" s="183"/>
    </row>
    <row r="841">
      <c r="G841" s="183"/>
    </row>
    <row r="842">
      <c r="G842" s="183"/>
    </row>
    <row r="843">
      <c r="G843" s="183"/>
    </row>
    <row r="844">
      <c r="G844" s="183"/>
    </row>
    <row r="845">
      <c r="G845" s="183"/>
    </row>
    <row r="846">
      <c r="G846" s="183"/>
    </row>
    <row r="847">
      <c r="G847" s="183"/>
    </row>
    <row r="848">
      <c r="G848" s="183"/>
    </row>
    <row r="849">
      <c r="G849" s="183"/>
    </row>
    <row r="850">
      <c r="G850" s="183"/>
    </row>
    <row r="851">
      <c r="G851" s="183"/>
    </row>
    <row r="852">
      <c r="G852" s="183"/>
    </row>
    <row r="853">
      <c r="G853" s="183"/>
    </row>
    <row r="854">
      <c r="G854" s="183"/>
    </row>
    <row r="855">
      <c r="G855" s="183"/>
    </row>
    <row r="856">
      <c r="G856" s="183"/>
    </row>
    <row r="857">
      <c r="G857" s="183"/>
    </row>
  </sheetData>
  <mergeCells count="314">
    <mergeCell ref="A166:A170"/>
    <mergeCell ref="B166:B170"/>
    <mergeCell ref="C166:C170"/>
    <mergeCell ref="D166:D170"/>
    <mergeCell ref="E166:E170"/>
    <mergeCell ref="F166:F170"/>
    <mergeCell ref="G166:G170"/>
    <mergeCell ref="A172:A179"/>
    <mergeCell ref="B172:B179"/>
    <mergeCell ref="C172:C179"/>
    <mergeCell ref="D172:D179"/>
    <mergeCell ref="E172:E179"/>
    <mergeCell ref="F172:F179"/>
    <mergeCell ref="G172:G179"/>
    <mergeCell ref="A192:A195"/>
    <mergeCell ref="B192:B195"/>
    <mergeCell ref="C192:C195"/>
    <mergeCell ref="D192:D195"/>
    <mergeCell ref="E192:E195"/>
    <mergeCell ref="F192:F195"/>
    <mergeCell ref="G192:G195"/>
    <mergeCell ref="A196:A197"/>
    <mergeCell ref="B196:B197"/>
    <mergeCell ref="C196:C197"/>
    <mergeCell ref="D196:D197"/>
    <mergeCell ref="E196:E197"/>
    <mergeCell ref="F196:F197"/>
    <mergeCell ref="G196:G197"/>
    <mergeCell ref="A198:A201"/>
    <mergeCell ref="B198:B201"/>
    <mergeCell ref="C198:C201"/>
    <mergeCell ref="D198:D201"/>
    <mergeCell ref="E198:E201"/>
    <mergeCell ref="F198:F201"/>
    <mergeCell ref="G198:G201"/>
    <mergeCell ref="A202:A203"/>
    <mergeCell ref="B202:B203"/>
    <mergeCell ref="C202:C203"/>
    <mergeCell ref="D202:D203"/>
    <mergeCell ref="E202:E203"/>
    <mergeCell ref="F202:F203"/>
    <mergeCell ref="G202:G203"/>
    <mergeCell ref="A204:A205"/>
    <mergeCell ref="B204:B205"/>
    <mergeCell ref="C204:C205"/>
    <mergeCell ref="D204:D205"/>
    <mergeCell ref="E204:E205"/>
    <mergeCell ref="F204:F205"/>
    <mergeCell ref="G204:G205"/>
    <mergeCell ref="A206:A211"/>
    <mergeCell ref="B206:B211"/>
    <mergeCell ref="C206:C211"/>
    <mergeCell ref="D206:D211"/>
    <mergeCell ref="E206:E211"/>
    <mergeCell ref="F206:F211"/>
    <mergeCell ref="G206:G211"/>
    <mergeCell ref="A212:A215"/>
    <mergeCell ref="B212:B215"/>
    <mergeCell ref="C212:C215"/>
    <mergeCell ref="D212:D215"/>
    <mergeCell ref="E212:E215"/>
    <mergeCell ref="F212:F215"/>
    <mergeCell ref="G212:G215"/>
    <mergeCell ref="A216:A228"/>
    <mergeCell ref="B216:B228"/>
    <mergeCell ref="C216:C228"/>
    <mergeCell ref="D216:D228"/>
    <mergeCell ref="E216:E228"/>
    <mergeCell ref="F216:F228"/>
    <mergeCell ref="G216:G228"/>
    <mergeCell ref="F263:F276"/>
    <mergeCell ref="G263:G276"/>
    <mergeCell ref="F277:F278"/>
    <mergeCell ref="G277:G278"/>
    <mergeCell ref="A255:A278"/>
    <mergeCell ref="B255:B278"/>
    <mergeCell ref="C255:C278"/>
    <mergeCell ref="D255:D278"/>
    <mergeCell ref="E255:E278"/>
    <mergeCell ref="F255:F262"/>
    <mergeCell ref="G255:G262"/>
    <mergeCell ref="A279:A281"/>
    <mergeCell ref="B279:B281"/>
    <mergeCell ref="C279:C281"/>
    <mergeCell ref="D279:D281"/>
    <mergeCell ref="E279:E281"/>
    <mergeCell ref="F280:F281"/>
    <mergeCell ref="G280:G281"/>
    <mergeCell ref="A283:A284"/>
    <mergeCell ref="B283:B284"/>
    <mergeCell ref="C283:C284"/>
    <mergeCell ref="D283:D284"/>
    <mergeCell ref="E283:E284"/>
    <mergeCell ref="F283:F284"/>
    <mergeCell ref="G283:G284"/>
    <mergeCell ref="A289:A291"/>
    <mergeCell ref="B289:B291"/>
    <mergeCell ref="C289:C291"/>
    <mergeCell ref="D289:D291"/>
    <mergeCell ref="E289:E291"/>
    <mergeCell ref="F289:F291"/>
    <mergeCell ref="G289:G291"/>
    <mergeCell ref="A286:A287"/>
    <mergeCell ref="B286:B287"/>
    <mergeCell ref="C286:C287"/>
    <mergeCell ref="D286:D287"/>
    <mergeCell ref="E286:E287"/>
    <mergeCell ref="F286:F287"/>
    <mergeCell ref="G286:G287"/>
    <mergeCell ref="E149:E151"/>
    <mergeCell ref="F149:F151"/>
    <mergeCell ref="G149:G151"/>
    <mergeCell ref="A147:A148"/>
    <mergeCell ref="B147:B148"/>
    <mergeCell ref="C147:C148"/>
    <mergeCell ref="D147:D148"/>
    <mergeCell ref="E147:E148"/>
    <mergeCell ref="A149:A151"/>
    <mergeCell ref="B149:B151"/>
    <mergeCell ref="F152:F159"/>
    <mergeCell ref="G152:G159"/>
    <mergeCell ref="C149:C151"/>
    <mergeCell ref="D149:D151"/>
    <mergeCell ref="A152:A159"/>
    <mergeCell ref="B152:B159"/>
    <mergeCell ref="C152:C159"/>
    <mergeCell ref="D152:D159"/>
    <mergeCell ref="E152:E159"/>
    <mergeCell ref="A160:A161"/>
    <mergeCell ref="B160:B161"/>
    <mergeCell ref="C160:C161"/>
    <mergeCell ref="D160:D161"/>
    <mergeCell ref="E160:E161"/>
    <mergeCell ref="F160:F161"/>
    <mergeCell ref="G160:G161"/>
    <mergeCell ref="A162:A165"/>
    <mergeCell ref="B162:B165"/>
    <mergeCell ref="C162:C165"/>
    <mergeCell ref="D162:D165"/>
    <mergeCell ref="E162:E165"/>
    <mergeCell ref="F162:F165"/>
    <mergeCell ref="G162:G165"/>
    <mergeCell ref="A229:A254"/>
    <mergeCell ref="B229:B254"/>
    <mergeCell ref="C229:C254"/>
    <mergeCell ref="D229:D254"/>
    <mergeCell ref="E229:E254"/>
    <mergeCell ref="F229:F254"/>
    <mergeCell ref="G229:G254"/>
    <mergeCell ref="A37:A38"/>
    <mergeCell ref="B42:B44"/>
    <mergeCell ref="C42:C44"/>
    <mergeCell ref="D42:D44"/>
    <mergeCell ref="E42:E44"/>
    <mergeCell ref="F42:F44"/>
    <mergeCell ref="G42:G44"/>
    <mergeCell ref="A42:A44"/>
    <mergeCell ref="B48:B52"/>
    <mergeCell ref="C48:C52"/>
    <mergeCell ref="D48:D52"/>
    <mergeCell ref="E48:E52"/>
    <mergeCell ref="F48:F52"/>
    <mergeCell ref="G48:G52"/>
    <mergeCell ref="E5:E6"/>
    <mergeCell ref="F5:F6"/>
    <mergeCell ref="A1:B3"/>
    <mergeCell ref="C1:F3"/>
    <mergeCell ref="I1:M1"/>
    <mergeCell ref="J2:L2"/>
    <mergeCell ref="J3:L3"/>
    <mergeCell ref="A5:A6"/>
    <mergeCell ref="B5:B6"/>
    <mergeCell ref="G5:G6"/>
    <mergeCell ref="C5:C6"/>
    <mergeCell ref="D5:D6"/>
    <mergeCell ref="C9:C10"/>
    <mergeCell ref="D9:D10"/>
    <mergeCell ref="E9:E10"/>
    <mergeCell ref="F9:F10"/>
    <mergeCell ref="G9:G10"/>
    <mergeCell ref="B9:B10"/>
    <mergeCell ref="B11:B24"/>
    <mergeCell ref="C11:C24"/>
    <mergeCell ref="D11:D24"/>
    <mergeCell ref="E11:E24"/>
    <mergeCell ref="F11:F24"/>
    <mergeCell ref="G11:G24"/>
    <mergeCell ref="A11:A24"/>
    <mergeCell ref="B25:B35"/>
    <mergeCell ref="C25:C35"/>
    <mergeCell ref="D25:D35"/>
    <mergeCell ref="E25:E35"/>
    <mergeCell ref="F25:F35"/>
    <mergeCell ref="G25:G35"/>
    <mergeCell ref="A25:A35"/>
    <mergeCell ref="B37:B38"/>
    <mergeCell ref="C37:C38"/>
    <mergeCell ref="D37:D38"/>
    <mergeCell ref="E37:E38"/>
    <mergeCell ref="F37:F38"/>
    <mergeCell ref="G37:G38"/>
    <mergeCell ref="A63:A67"/>
    <mergeCell ref="A70:A74"/>
    <mergeCell ref="B70:B74"/>
    <mergeCell ref="C70:C74"/>
    <mergeCell ref="D70:D74"/>
    <mergeCell ref="E70:E74"/>
    <mergeCell ref="F70:F74"/>
    <mergeCell ref="G70:G74"/>
    <mergeCell ref="A111:A112"/>
    <mergeCell ref="B111:B112"/>
    <mergeCell ref="C111:C112"/>
    <mergeCell ref="D111:D112"/>
    <mergeCell ref="E111:E112"/>
    <mergeCell ref="F111:F112"/>
    <mergeCell ref="G111:G112"/>
    <mergeCell ref="A117:A119"/>
    <mergeCell ref="B117:B119"/>
    <mergeCell ref="C117:C119"/>
    <mergeCell ref="D117:D119"/>
    <mergeCell ref="E117:E119"/>
    <mergeCell ref="F117:F119"/>
    <mergeCell ref="G117:G119"/>
    <mergeCell ref="A122:A126"/>
    <mergeCell ref="B122:B126"/>
    <mergeCell ref="C122:C126"/>
    <mergeCell ref="D122:D126"/>
    <mergeCell ref="E122:E126"/>
    <mergeCell ref="F122:F126"/>
    <mergeCell ref="G122:G126"/>
    <mergeCell ref="A128:A134"/>
    <mergeCell ref="B128:B134"/>
    <mergeCell ref="C128:C134"/>
    <mergeCell ref="D128:D134"/>
    <mergeCell ref="E128:E134"/>
    <mergeCell ref="F128:F134"/>
    <mergeCell ref="G128:G134"/>
    <mergeCell ref="A136:A140"/>
    <mergeCell ref="B136:B140"/>
    <mergeCell ref="C136:C140"/>
    <mergeCell ref="D136:D140"/>
    <mergeCell ref="E136:E140"/>
    <mergeCell ref="F136:F140"/>
    <mergeCell ref="G136:G140"/>
    <mergeCell ref="A141:A143"/>
    <mergeCell ref="B141:B143"/>
    <mergeCell ref="C141:C143"/>
    <mergeCell ref="D141:D143"/>
    <mergeCell ref="E141:E143"/>
    <mergeCell ref="F141:F143"/>
    <mergeCell ref="G141:G143"/>
    <mergeCell ref="A48:A52"/>
    <mergeCell ref="B53:B62"/>
    <mergeCell ref="C53:C62"/>
    <mergeCell ref="D53:D62"/>
    <mergeCell ref="E53:E62"/>
    <mergeCell ref="F53:F62"/>
    <mergeCell ref="G53:G62"/>
    <mergeCell ref="A53:A62"/>
    <mergeCell ref="B63:B67"/>
    <mergeCell ref="C63:C67"/>
    <mergeCell ref="D63:D67"/>
    <mergeCell ref="E63:E67"/>
    <mergeCell ref="F63:F67"/>
    <mergeCell ref="G63:G67"/>
    <mergeCell ref="A80:A95"/>
    <mergeCell ref="B80:B95"/>
    <mergeCell ref="C80:C95"/>
    <mergeCell ref="D80:D95"/>
    <mergeCell ref="E80:E95"/>
    <mergeCell ref="F80:F95"/>
    <mergeCell ref="G80:G95"/>
    <mergeCell ref="A100:A102"/>
    <mergeCell ref="B100:B102"/>
    <mergeCell ref="C100:C102"/>
    <mergeCell ref="D100:D102"/>
    <mergeCell ref="E100:E102"/>
    <mergeCell ref="F100:F102"/>
    <mergeCell ref="G100:G102"/>
    <mergeCell ref="A104:A105"/>
    <mergeCell ref="B104:B105"/>
    <mergeCell ref="C104:C105"/>
    <mergeCell ref="D104:D105"/>
    <mergeCell ref="E104:E105"/>
    <mergeCell ref="F104:F105"/>
    <mergeCell ref="G104:G105"/>
    <mergeCell ref="A107:A108"/>
    <mergeCell ref="B107:B108"/>
    <mergeCell ref="C107:C108"/>
    <mergeCell ref="D107:D108"/>
    <mergeCell ref="E107:E108"/>
    <mergeCell ref="F107:F108"/>
    <mergeCell ref="G107:G108"/>
    <mergeCell ref="A144:A145"/>
    <mergeCell ref="B144:B145"/>
    <mergeCell ref="C144:C145"/>
    <mergeCell ref="D144:D145"/>
    <mergeCell ref="E144:E145"/>
    <mergeCell ref="F144:F145"/>
    <mergeCell ref="G144:G145"/>
    <mergeCell ref="A180:A181"/>
    <mergeCell ref="B180:B181"/>
    <mergeCell ref="C180:C181"/>
    <mergeCell ref="D180:D181"/>
    <mergeCell ref="E180:E181"/>
    <mergeCell ref="F180:F181"/>
    <mergeCell ref="G180:G181"/>
    <mergeCell ref="A182:A191"/>
    <mergeCell ref="B182:B191"/>
    <mergeCell ref="C182:C191"/>
    <mergeCell ref="D182:D191"/>
    <mergeCell ref="E182:E191"/>
    <mergeCell ref="F182:F191"/>
    <mergeCell ref="G182:G191"/>
  </mergeCells>
  <conditionalFormatting sqref="B1:B857">
    <cfRule type="expression" dxfId="0" priority="1">
      <formula>COUNTIF(B:B,B1)&gt;1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4.89"/>
    <col customWidth="1" min="2" max="2" width="13.89"/>
    <col customWidth="1" min="3" max="3" width="11.11"/>
    <col customWidth="1" min="4" max="4" width="9.56"/>
    <col customWidth="1" min="5" max="5" width="10.67"/>
    <col customWidth="1" min="6" max="6" width="10.33"/>
    <col customWidth="1" min="7" max="7" width="13.33"/>
    <col customWidth="1" min="8" max="8" width="32.22"/>
    <col customWidth="1" min="9" max="9" width="25.78"/>
    <col customWidth="1" min="10" max="10" width="8.89"/>
    <col customWidth="1" min="11" max="11" width="9.67"/>
    <col customWidth="1" min="12" max="12" width="10.56"/>
    <col customWidth="1" min="13" max="13" width="16.44"/>
    <col customWidth="1" min="14" max="14" width="24.11"/>
    <col customWidth="1" min="15" max="15" width="29.0"/>
    <col customWidth="1" min="16" max="29" width="8.56"/>
  </cols>
  <sheetData>
    <row r="1">
      <c r="A1" s="184" t="s">
        <v>0</v>
      </c>
      <c r="B1" s="130"/>
      <c r="C1" s="185" t="s">
        <v>1</v>
      </c>
      <c r="D1" s="132"/>
      <c r="E1" s="132"/>
      <c r="F1" s="130"/>
      <c r="G1" s="186"/>
      <c r="H1" s="187" t="s">
        <v>551</v>
      </c>
      <c r="I1" s="135"/>
      <c r="J1" s="135"/>
      <c r="K1" s="135"/>
      <c r="L1" s="135"/>
      <c r="M1" s="136"/>
      <c r="N1" s="188"/>
      <c r="O1" s="189"/>
    </row>
    <row r="2">
      <c r="A2" s="139"/>
      <c r="B2" s="71"/>
      <c r="C2" s="139"/>
      <c r="F2" s="71"/>
      <c r="G2" s="190"/>
      <c r="H2" s="191" t="s">
        <v>3</v>
      </c>
      <c r="I2" s="191" t="s">
        <v>4</v>
      </c>
      <c r="J2" s="192"/>
      <c r="K2" s="193" t="s">
        <v>5</v>
      </c>
      <c r="L2" s="135"/>
      <c r="M2" s="135"/>
      <c r="N2" s="194"/>
      <c r="O2" s="195"/>
    </row>
    <row r="3">
      <c r="A3" s="144"/>
      <c r="B3" s="72"/>
      <c r="C3" s="144"/>
      <c r="D3" s="145"/>
      <c r="E3" s="145"/>
      <c r="F3" s="72"/>
      <c r="G3" s="196"/>
      <c r="H3" s="197">
        <v>1.5E7</v>
      </c>
      <c r="I3" s="198">
        <f>M652</f>
        <v>14389999.92</v>
      </c>
      <c r="J3" s="199"/>
      <c r="K3" s="200">
        <f>H3-I3</f>
        <v>610000.0765</v>
      </c>
      <c r="L3" s="135"/>
      <c r="M3" s="136"/>
      <c r="N3" s="201"/>
      <c r="O3" s="202"/>
    </row>
    <row r="4">
      <c r="A4" s="23" t="s">
        <v>6</v>
      </c>
      <c r="B4" s="23" t="s">
        <v>7</v>
      </c>
      <c r="C4" s="203" t="s">
        <v>261</v>
      </c>
      <c r="D4" s="24" t="s">
        <v>262</v>
      </c>
      <c r="E4" s="203" t="s">
        <v>552</v>
      </c>
      <c r="F4" s="24" t="s">
        <v>553</v>
      </c>
      <c r="G4" s="204" t="s">
        <v>264</v>
      </c>
      <c r="H4" s="29" t="s">
        <v>13</v>
      </c>
      <c r="I4" s="29" t="s">
        <v>14</v>
      </c>
      <c r="J4" s="29" t="s">
        <v>15</v>
      </c>
      <c r="K4" s="29" t="s">
        <v>16</v>
      </c>
      <c r="L4" s="205" t="s">
        <v>17</v>
      </c>
      <c r="M4" s="206" t="s">
        <v>18</v>
      </c>
      <c r="N4" s="206" t="s">
        <v>19</v>
      </c>
      <c r="O4" s="207" t="s">
        <v>554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31">
        <v>1.0</v>
      </c>
      <c r="B5" s="208">
        <v>62.0</v>
      </c>
      <c r="C5" s="209">
        <v>45652.0</v>
      </c>
      <c r="D5" s="31" t="s">
        <v>555</v>
      </c>
      <c r="E5" s="209">
        <v>45740.0</v>
      </c>
      <c r="F5" s="31">
        <v>289.0</v>
      </c>
      <c r="G5" s="161">
        <v>45669.0</v>
      </c>
      <c r="H5" s="63" t="s">
        <v>556</v>
      </c>
      <c r="I5" s="34" t="s">
        <v>42</v>
      </c>
      <c r="J5" s="153">
        <v>1.0</v>
      </c>
      <c r="K5" s="77" t="s">
        <v>89</v>
      </c>
      <c r="L5" s="210">
        <v>2645.0</v>
      </c>
      <c r="M5" s="41">
        <v>2645.0</v>
      </c>
      <c r="N5" s="41" t="s">
        <v>557</v>
      </c>
      <c r="O5" s="211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</row>
    <row r="6">
      <c r="A6" s="42">
        <v>2.0</v>
      </c>
      <c r="B6" s="212">
        <v>3.0</v>
      </c>
      <c r="C6" s="213">
        <v>45661.0</v>
      </c>
      <c r="D6" s="42" t="s">
        <v>558</v>
      </c>
      <c r="E6" s="213">
        <v>45736.0</v>
      </c>
      <c r="F6" s="42">
        <v>277.0</v>
      </c>
      <c r="G6" s="214">
        <v>45663.0</v>
      </c>
      <c r="H6" s="63" t="s">
        <v>559</v>
      </c>
      <c r="I6" s="34" t="s">
        <v>276</v>
      </c>
      <c r="J6" s="77">
        <v>500.0</v>
      </c>
      <c r="K6" s="77" t="s">
        <v>74</v>
      </c>
      <c r="L6" s="210">
        <v>58.0</v>
      </c>
      <c r="M6" s="41">
        <v>29000.0</v>
      </c>
      <c r="N6" s="41" t="s">
        <v>560</v>
      </c>
      <c r="O6" s="211"/>
    </row>
    <row r="7">
      <c r="A7" s="47"/>
      <c r="B7" s="47"/>
      <c r="C7" s="47"/>
      <c r="D7" s="47"/>
      <c r="E7" s="47"/>
      <c r="F7" s="47"/>
      <c r="G7" s="47"/>
      <c r="H7" s="63" t="s">
        <v>275</v>
      </c>
      <c r="I7" s="34" t="s">
        <v>276</v>
      </c>
      <c r="J7" s="77">
        <v>360.0</v>
      </c>
      <c r="K7" s="77" t="s">
        <v>74</v>
      </c>
      <c r="L7" s="210">
        <v>34.9</v>
      </c>
      <c r="M7" s="41">
        <v>12564.0</v>
      </c>
      <c r="N7" s="41" t="s">
        <v>560</v>
      </c>
      <c r="O7" s="211"/>
    </row>
    <row r="8">
      <c r="A8" s="47"/>
      <c r="B8" s="47"/>
      <c r="C8" s="47"/>
      <c r="D8" s="47"/>
      <c r="E8" s="47"/>
      <c r="F8" s="47"/>
      <c r="G8" s="47"/>
      <c r="H8" s="63" t="s">
        <v>485</v>
      </c>
      <c r="I8" s="34" t="s">
        <v>276</v>
      </c>
      <c r="J8" s="77">
        <v>5.0</v>
      </c>
      <c r="K8" s="77" t="s">
        <v>30</v>
      </c>
      <c r="L8" s="210">
        <v>125.0</v>
      </c>
      <c r="M8" s="41">
        <v>625.0</v>
      </c>
      <c r="N8" s="41" t="s">
        <v>560</v>
      </c>
      <c r="O8" s="211"/>
    </row>
    <row r="9">
      <c r="A9" s="47"/>
      <c r="B9" s="47"/>
      <c r="C9" s="47"/>
      <c r="D9" s="47"/>
      <c r="E9" s="47"/>
      <c r="F9" s="47"/>
      <c r="G9" s="47"/>
      <c r="H9" s="63" t="s">
        <v>286</v>
      </c>
      <c r="I9" s="34" t="s">
        <v>276</v>
      </c>
      <c r="J9" s="77">
        <v>1.0</v>
      </c>
      <c r="K9" s="77" t="s">
        <v>30</v>
      </c>
      <c r="L9" s="210">
        <v>360.0</v>
      </c>
      <c r="M9" s="41">
        <v>360.0</v>
      </c>
      <c r="N9" s="41" t="s">
        <v>560</v>
      </c>
      <c r="O9" s="211"/>
    </row>
    <row r="10">
      <c r="A10" s="48"/>
      <c r="B10" s="48"/>
      <c r="C10" s="48"/>
      <c r="D10" s="48"/>
      <c r="E10" s="48"/>
      <c r="F10" s="48"/>
      <c r="G10" s="48"/>
      <c r="H10" s="63" t="s">
        <v>561</v>
      </c>
      <c r="I10" s="34" t="s">
        <v>60</v>
      </c>
      <c r="J10" s="77">
        <v>10.0</v>
      </c>
      <c r="K10" s="77" t="s">
        <v>98</v>
      </c>
      <c r="L10" s="210">
        <v>12.0</v>
      </c>
      <c r="M10" s="41">
        <v>120.0</v>
      </c>
      <c r="N10" s="41" t="s">
        <v>560</v>
      </c>
      <c r="O10" s="211"/>
    </row>
    <row r="11">
      <c r="A11" s="31">
        <v>3.0</v>
      </c>
      <c r="B11" s="208">
        <v>103.0</v>
      </c>
      <c r="C11" s="209">
        <v>45664.0</v>
      </c>
      <c r="D11" s="31" t="s">
        <v>562</v>
      </c>
      <c r="E11" s="209">
        <v>45821.0</v>
      </c>
      <c r="F11" s="31">
        <v>642.0</v>
      </c>
      <c r="G11" s="161">
        <v>45737.0</v>
      </c>
      <c r="H11" s="63" t="s">
        <v>563</v>
      </c>
      <c r="I11" s="34" t="s">
        <v>564</v>
      </c>
      <c r="J11" s="77">
        <v>574.41</v>
      </c>
      <c r="K11" s="77" t="s">
        <v>565</v>
      </c>
      <c r="L11" s="210">
        <v>328.0</v>
      </c>
      <c r="M11" s="41">
        <v>188406.48</v>
      </c>
      <c r="N11" s="41" t="s">
        <v>566</v>
      </c>
      <c r="O11" s="211"/>
    </row>
    <row r="12">
      <c r="A12" s="42">
        <v>4.0</v>
      </c>
      <c r="B12" s="212" t="s">
        <v>567</v>
      </c>
      <c r="C12" s="213">
        <v>45665.0</v>
      </c>
      <c r="D12" s="75" t="s">
        <v>568</v>
      </c>
      <c r="E12" s="215">
        <v>45763.0</v>
      </c>
      <c r="F12" s="75">
        <v>620.0</v>
      </c>
      <c r="G12" s="214">
        <v>45706.0</v>
      </c>
      <c r="H12" s="63" t="s">
        <v>569</v>
      </c>
      <c r="I12" s="34" t="s">
        <v>429</v>
      </c>
      <c r="J12" s="77">
        <v>2.0</v>
      </c>
      <c r="K12" s="77" t="s">
        <v>156</v>
      </c>
      <c r="L12" s="210">
        <v>249.0</v>
      </c>
      <c r="M12" s="41">
        <v>498.0</v>
      </c>
      <c r="N12" s="41" t="s">
        <v>570</v>
      </c>
      <c r="O12" s="211"/>
    </row>
    <row r="13">
      <c r="A13" s="48"/>
      <c r="B13" s="48"/>
      <c r="C13" s="48"/>
      <c r="D13" s="48"/>
      <c r="E13" s="48"/>
      <c r="F13" s="48"/>
      <c r="G13" s="48"/>
      <c r="H13" s="63" t="s">
        <v>571</v>
      </c>
      <c r="I13" s="34" t="s">
        <v>429</v>
      </c>
      <c r="J13" s="77">
        <v>2.0</v>
      </c>
      <c r="K13" s="77" t="s">
        <v>156</v>
      </c>
      <c r="L13" s="210">
        <v>64.0</v>
      </c>
      <c r="M13" s="41">
        <v>128.0</v>
      </c>
      <c r="N13" s="41" t="s">
        <v>570</v>
      </c>
      <c r="O13" s="211"/>
    </row>
    <row r="14">
      <c r="A14" s="31">
        <v>5.0</v>
      </c>
      <c r="B14" s="208">
        <v>104.0</v>
      </c>
      <c r="C14" s="209">
        <v>45666.0</v>
      </c>
      <c r="D14" s="31" t="s">
        <v>562</v>
      </c>
      <c r="E14" s="209">
        <v>45821.0</v>
      </c>
      <c r="F14" s="31">
        <v>642.0</v>
      </c>
      <c r="G14" s="158" t="s">
        <v>572</v>
      </c>
      <c r="H14" s="63" t="s">
        <v>563</v>
      </c>
      <c r="I14" s="34" t="s">
        <v>564</v>
      </c>
      <c r="J14" s="77">
        <v>604.97</v>
      </c>
      <c r="K14" s="77" t="s">
        <v>565</v>
      </c>
      <c r="L14" s="210">
        <v>328.0</v>
      </c>
      <c r="M14" s="41">
        <v>198430.16</v>
      </c>
      <c r="N14" s="41" t="s">
        <v>566</v>
      </c>
      <c r="O14" s="211"/>
    </row>
    <row r="15">
      <c r="A15" s="42">
        <v>6.0</v>
      </c>
      <c r="B15" s="212">
        <v>40.0</v>
      </c>
      <c r="C15" s="213">
        <v>45667.0</v>
      </c>
      <c r="D15" s="42" t="s">
        <v>558</v>
      </c>
      <c r="E15" s="213">
        <v>45736.0</v>
      </c>
      <c r="F15" s="42">
        <v>283.0</v>
      </c>
      <c r="G15" s="216"/>
      <c r="H15" s="63" t="s">
        <v>573</v>
      </c>
      <c r="I15" s="34" t="s">
        <v>82</v>
      </c>
      <c r="J15" s="77">
        <v>186.0</v>
      </c>
      <c r="K15" s="77" t="s">
        <v>30</v>
      </c>
      <c r="L15" s="210">
        <v>3780.0</v>
      </c>
      <c r="M15" s="41">
        <v>703080.0</v>
      </c>
      <c r="N15" s="41" t="s">
        <v>560</v>
      </c>
      <c r="O15" s="211"/>
    </row>
    <row r="16">
      <c r="A16" s="47"/>
      <c r="B16" s="47"/>
      <c r="C16" s="47"/>
      <c r="D16" s="47"/>
      <c r="E16" s="47"/>
      <c r="F16" s="47"/>
      <c r="G16" s="216"/>
      <c r="H16" s="63" t="s">
        <v>574</v>
      </c>
      <c r="I16" s="34" t="s">
        <v>82</v>
      </c>
      <c r="J16" s="77">
        <v>72.0</v>
      </c>
      <c r="K16" s="77" t="s">
        <v>30</v>
      </c>
      <c r="L16" s="210">
        <v>2565.0</v>
      </c>
      <c r="M16" s="41">
        <v>184680.0</v>
      </c>
      <c r="N16" s="41" t="s">
        <v>560</v>
      </c>
      <c r="O16" s="211"/>
    </row>
    <row r="17">
      <c r="A17" s="47"/>
      <c r="B17" s="47"/>
      <c r="C17" s="47"/>
      <c r="D17" s="47"/>
      <c r="E17" s="47"/>
      <c r="F17" s="47"/>
      <c r="G17" s="216"/>
      <c r="H17" s="63" t="s">
        <v>575</v>
      </c>
      <c r="I17" s="34" t="s">
        <v>82</v>
      </c>
      <c r="J17" s="77">
        <v>180.0</v>
      </c>
      <c r="K17" s="77" t="s">
        <v>30</v>
      </c>
      <c r="L17" s="210">
        <v>2835.0</v>
      </c>
      <c r="M17" s="41">
        <v>510300.0</v>
      </c>
      <c r="N17" s="41" t="s">
        <v>560</v>
      </c>
      <c r="O17" s="211"/>
    </row>
    <row r="18">
      <c r="A18" s="48"/>
      <c r="B18" s="48"/>
      <c r="C18" s="48"/>
      <c r="D18" s="48"/>
      <c r="E18" s="48"/>
      <c r="F18" s="48"/>
      <c r="G18" s="216"/>
      <c r="H18" s="63" t="s">
        <v>576</v>
      </c>
      <c r="I18" s="34" t="s">
        <v>82</v>
      </c>
      <c r="J18" s="77">
        <v>99.0</v>
      </c>
      <c r="K18" s="77" t="s">
        <v>30</v>
      </c>
      <c r="L18" s="210">
        <v>875.0</v>
      </c>
      <c r="M18" s="41">
        <v>86625.0</v>
      </c>
      <c r="N18" s="41" t="s">
        <v>560</v>
      </c>
      <c r="O18" s="211"/>
    </row>
    <row r="19">
      <c r="A19" s="31">
        <v>7.0</v>
      </c>
      <c r="B19" s="208">
        <v>1709.0</v>
      </c>
      <c r="C19" s="209">
        <v>45667.0</v>
      </c>
      <c r="D19" s="31" t="s">
        <v>555</v>
      </c>
      <c r="E19" s="209">
        <v>45740.0</v>
      </c>
      <c r="F19" s="31">
        <v>285.0</v>
      </c>
      <c r="G19" s="161">
        <v>45669.0</v>
      </c>
      <c r="H19" s="63" t="s">
        <v>408</v>
      </c>
      <c r="I19" s="34" t="s">
        <v>42</v>
      </c>
      <c r="J19" s="77">
        <v>5.0</v>
      </c>
      <c r="K19" s="77" t="s">
        <v>39</v>
      </c>
      <c r="L19" s="210">
        <v>60.0</v>
      </c>
      <c r="M19" s="41">
        <v>300.0</v>
      </c>
      <c r="N19" s="41" t="s">
        <v>577</v>
      </c>
      <c r="O19" s="211"/>
    </row>
    <row r="20">
      <c r="A20" s="42">
        <v>8.0</v>
      </c>
      <c r="B20" s="212">
        <v>75.0</v>
      </c>
      <c r="C20" s="213">
        <v>45667.0</v>
      </c>
      <c r="D20" s="42" t="s">
        <v>578</v>
      </c>
      <c r="E20" s="213">
        <v>45743.0</v>
      </c>
      <c r="F20" s="42">
        <v>285.0</v>
      </c>
      <c r="G20" s="214">
        <v>45669.0</v>
      </c>
      <c r="H20" s="63" t="s">
        <v>579</v>
      </c>
      <c r="I20" s="34" t="s">
        <v>51</v>
      </c>
      <c r="J20" s="153">
        <v>10.0</v>
      </c>
      <c r="K20" s="77" t="s">
        <v>89</v>
      </c>
      <c r="L20" s="210">
        <v>1250.0</v>
      </c>
      <c r="M20" s="41">
        <v>12500.0</v>
      </c>
      <c r="N20" s="41" t="s">
        <v>417</v>
      </c>
      <c r="O20" s="21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</row>
    <row r="21">
      <c r="A21" s="48"/>
      <c r="B21" s="48"/>
      <c r="C21" s="48"/>
      <c r="D21" s="48"/>
      <c r="E21" s="48"/>
      <c r="F21" s="48"/>
      <c r="G21" s="48"/>
      <c r="H21" s="63" t="s">
        <v>580</v>
      </c>
      <c r="I21" s="34" t="s">
        <v>55</v>
      </c>
      <c r="J21" s="153">
        <v>20.0</v>
      </c>
      <c r="K21" s="77" t="s">
        <v>89</v>
      </c>
      <c r="L21" s="210">
        <v>90.0</v>
      </c>
      <c r="M21" s="41">
        <v>1800.0</v>
      </c>
      <c r="N21" s="41" t="s">
        <v>417</v>
      </c>
      <c r="O21" s="21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</row>
    <row r="22">
      <c r="A22" s="31">
        <v>9.0</v>
      </c>
      <c r="B22" s="208">
        <v>105.0</v>
      </c>
      <c r="C22" s="209">
        <v>45669.0</v>
      </c>
      <c r="D22" s="31" t="s">
        <v>562</v>
      </c>
      <c r="E22" s="209">
        <v>45821.0</v>
      </c>
      <c r="F22" s="31">
        <v>642.0</v>
      </c>
      <c r="G22" s="161">
        <v>45737.0</v>
      </c>
      <c r="H22" s="63" t="s">
        <v>563</v>
      </c>
      <c r="I22" s="34" t="s">
        <v>564</v>
      </c>
      <c r="J22" s="77">
        <v>548.72</v>
      </c>
      <c r="K22" s="77" t="s">
        <v>565</v>
      </c>
      <c r="L22" s="210">
        <v>328.0</v>
      </c>
      <c r="M22" s="41">
        <v>179980.16</v>
      </c>
      <c r="N22" s="41" t="s">
        <v>566</v>
      </c>
      <c r="O22" s="211"/>
    </row>
    <row r="23">
      <c r="A23" s="31">
        <v>10.0</v>
      </c>
      <c r="B23" s="208">
        <v>106.0</v>
      </c>
      <c r="C23" s="209">
        <v>45671.0</v>
      </c>
      <c r="D23" s="31" t="s">
        <v>562</v>
      </c>
      <c r="E23" s="209">
        <v>45821.0</v>
      </c>
      <c r="F23" s="31">
        <v>643.0</v>
      </c>
      <c r="G23" s="161">
        <v>45737.0</v>
      </c>
      <c r="H23" s="63" t="s">
        <v>563</v>
      </c>
      <c r="I23" s="34" t="s">
        <v>564</v>
      </c>
      <c r="J23" s="77">
        <v>562.94</v>
      </c>
      <c r="K23" s="77" t="s">
        <v>565</v>
      </c>
      <c r="L23" s="210">
        <v>328.0</v>
      </c>
      <c r="M23" s="41">
        <f t="shared" ref="M23:M651" si="1">L23*J23</f>
        <v>184644.32</v>
      </c>
      <c r="N23" s="41" t="s">
        <v>581</v>
      </c>
      <c r="O23" s="211"/>
    </row>
    <row r="24">
      <c r="A24" s="42">
        <v>11.0</v>
      </c>
      <c r="B24" s="212">
        <v>76.0</v>
      </c>
      <c r="C24" s="213">
        <v>45670.0</v>
      </c>
      <c r="D24" s="42" t="s">
        <v>578</v>
      </c>
      <c r="E24" s="213">
        <v>45743.0</v>
      </c>
      <c r="F24" s="42">
        <v>294.0</v>
      </c>
      <c r="G24" s="214">
        <v>45677.0</v>
      </c>
      <c r="H24" s="63" t="s">
        <v>582</v>
      </c>
      <c r="I24" s="34" t="s">
        <v>51</v>
      </c>
      <c r="J24" s="77">
        <v>3.0</v>
      </c>
      <c r="K24" s="77" t="s">
        <v>89</v>
      </c>
      <c r="L24" s="210">
        <v>7500.0</v>
      </c>
      <c r="M24" s="41">
        <f t="shared" si="1"/>
        <v>22500</v>
      </c>
      <c r="N24" s="41" t="s">
        <v>417</v>
      </c>
      <c r="O24" s="211"/>
    </row>
    <row r="25">
      <c r="A25" s="48"/>
      <c r="B25" s="48"/>
      <c r="C25" s="48"/>
      <c r="D25" s="48"/>
      <c r="E25" s="48"/>
      <c r="F25" s="48"/>
      <c r="G25" s="48"/>
      <c r="H25" s="63" t="s">
        <v>50</v>
      </c>
      <c r="I25" s="34" t="s">
        <v>51</v>
      </c>
      <c r="J25" s="77">
        <v>1.0</v>
      </c>
      <c r="K25" s="77" t="s">
        <v>89</v>
      </c>
      <c r="L25" s="210">
        <v>35300.0</v>
      </c>
      <c r="M25" s="41">
        <f t="shared" si="1"/>
        <v>35300</v>
      </c>
      <c r="N25" s="41" t="s">
        <v>417</v>
      </c>
      <c r="O25" s="211"/>
    </row>
    <row r="26">
      <c r="A26" s="31">
        <v>12.0</v>
      </c>
      <c r="B26" s="208">
        <v>107.0</v>
      </c>
      <c r="C26" s="209">
        <v>45675.0</v>
      </c>
      <c r="D26" s="31" t="s">
        <v>583</v>
      </c>
      <c r="E26" s="209">
        <v>45744.0</v>
      </c>
      <c r="F26" s="31">
        <v>644.0</v>
      </c>
      <c r="G26" s="161">
        <v>45737.0</v>
      </c>
      <c r="H26" s="63" t="s">
        <v>563</v>
      </c>
      <c r="I26" s="34" t="s">
        <v>564</v>
      </c>
      <c r="J26" s="77">
        <v>557.5</v>
      </c>
      <c r="K26" s="77" t="s">
        <v>565</v>
      </c>
      <c r="L26" s="210">
        <v>328.0</v>
      </c>
      <c r="M26" s="41">
        <f t="shared" si="1"/>
        <v>182860</v>
      </c>
      <c r="N26" s="41" t="s">
        <v>581</v>
      </c>
      <c r="O26" s="211"/>
    </row>
    <row r="27" ht="15.75" customHeight="1">
      <c r="A27" s="31">
        <v>13.0</v>
      </c>
      <c r="B27" s="208">
        <v>108.0</v>
      </c>
      <c r="C27" s="209">
        <v>45682.0</v>
      </c>
      <c r="D27" s="31" t="s">
        <v>583</v>
      </c>
      <c r="E27" s="209">
        <v>45744.0</v>
      </c>
      <c r="F27" s="31">
        <v>644.0</v>
      </c>
      <c r="G27" s="161">
        <v>45737.0</v>
      </c>
      <c r="H27" s="63" t="s">
        <v>563</v>
      </c>
      <c r="I27" s="34" t="s">
        <v>564</v>
      </c>
      <c r="J27" s="77">
        <v>568.5</v>
      </c>
      <c r="K27" s="77" t="s">
        <v>565</v>
      </c>
      <c r="L27" s="210">
        <v>328.0</v>
      </c>
      <c r="M27" s="41">
        <f t="shared" si="1"/>
        <v>186468</v>
      </c>
      <c r="N27" s="41" t="s">
        <v>581</v>
      </c>
      <c r="O27" s="211"/>
    </row>
    <row r="28">
      <c r="A28" s="31">
        <v>14.0</v>
      </c>
      <c r="B28" s="208">
        <v>136.0</v>
      </c>
      <c r="C28" s="209">
        <v>45682.0</v>
      </c>
      <c r="D28" s="31" t="s">
        <v>555</v>
      </c>
      <c r="E28" s="209">
        <v>45740.0</v>
      </c>
      <c r="F28" s="31">
        <v>602.0</v>
      </c>
      <c r="G28" s="161">
        <v>45685.0</v>
      </c>
      <c r="H28" s="63" t="s">
        <v>122</v>
      </c>
      <c r="I28" s="34" t="s">
        <v>122</v>
      </c>
      <c r="J28" s="77">
        <v>20.0</v>
      </c>
      <c r="K28" s="77" t="s">
        <v>391</v>
      </c>
      <c r="L28" s="210">
        <v>465.0</v>
      </c>
      <c r="M28" s="41">
        <f t="shared" si="1"/>
        <v>9300</v>
      </c>
      <c r="N28" s="41" t="s">
        <v>440</v>
      </c>
      <c r="O28" s="211"/>
    </row>
    <row r="29">
      <c r="A29" s="31">
        <v>15.0</v>
      </c>
      <c r="B29" s="208">
        <v>109.0</v>
      </c>
      <c r="C29" s="209">
        <v>45683.0</v>
      </c>
      <c r="D29" s="31" t="s">
        <v>583</v>
      </c>
      <c r="E29" s="209">
        <v>45744.0</v>
      </c>
      <c r="F29" s="31">
        <v>644.0</v>
      </c>
      <c r="G29" s="161">
        <v>45737.0</v>
      </c>
      <c r="H29" s="63" t="s">
        <v>563</v>
      </c>
      <c r="I29" s="34" t="s">
        <v>564</v>
      </c>
      <c r="J29" s="77">
        <v>518.61</v>
      </c>
      <c r="K29" s="77" t="s">
        <v>565</v>
      </c>
      <c r="L29" s="210">
        <v>328.0</v>
      </c>
      <c r="M29" s="41">
        <f t="shared" si="1"/>
        <v>170104.08</v>
      </c>
      <c r="N29" s="41" t="s">
        <v>581</v>
      </c>
      <c r="O29" s="211"/>
    </row>
    <row r="30">
      <c r="A30" s="42">
        <v>16.0</v>
      </c>
      <c r="B30" s="212">
        <v>71.0</v>
      </c>
      <c r="C30" s="213">
        <v>45687.0</v>
      </c>
      <c r="D30" s="42" t="s">
        <v>584</v>
      </c>
      <c r="E30" s="213">
        <v>45741.0</v>
      </c>
      <c r="F30" s="42" t="s">
        <v>92</v>
      </c>
      <c r="G30" s="216"/>
      <c r="H30" s="63" t="s">
        <v>585</v>
      </c>
      <c r="I30" s="34" t="s">
        <v>76</v>
      </c>
      <c r="J30" s="153">
        <v>1.0</v>
      </c>
      <c r="K30" s="77" t="s">
        <v>586</v>
      </c>
      <c r="L30" s="210">
        <v>16000.0</v>
      </c>
      <c r="M30" s="41">
        <f t="shared" si="1"/>
        <v>16000</v>
      </c>
      <c r="N30" s="41" t="s">
        <v>208</v>
      </c>
      <c r="O30" s="21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</row>
    <row r="31">
      <c r="A31" s="47"/>
      <c r="B31" s="47"/>
      <c r="C31" s="47"/>
      <c r="D31" s="47"/>
      <c r="E31" s="47"/>
      <c r="F31" s="47"/>
      <c r="G31" s="216"/>
      <c r="H31" s="63" t="s">
        <v>585</v>
      </c>
      <c r="I31" s="34" t="s">
        <v>76</v>
      </c>
      <c r="J31" s="77">
        <v>1.0</v>
      </c>
      <c r="K31" s="77" t="s">
        <v>586</v>
      </c>
      <c r="L31" s="210">
        <v>16000.0</v>
      </c>
      <c r="M31" s="41">
        <f t="shared" si="1"/>
        <v>16000</v>
      </c>
      <c r="N31" s="41" t="s">
        <v>208</v>
      </c>
      <c r="O31" s="211"/>
    </row>
    <row r="32">
      <c r="A32" s="48"/>
      <c r="B32" s="48"/>
      <c r="C32" s="48"/>
      <c r="D32" s="48"/>
      <c r="E32" s="48"/>
      <c r="F32" s="48"/>
      <c r="G32" s="216"/>
      <c r="H32" s="63" t="s">
        <v>585</v>
      </c>
      <c r="I32" s="34" t="s">
        <v>76</v>
      </c>
      <c r="J32" s="77">
        <v>1.0</v>
      </c>
      <c r="K32" s="77" t="s">
        <v>587</v>
      </c>
      <c r="L32" s="210">
        <v>16000.0</v>
      </c>
      <c r="M32" s="41">
        <f t="shared" si="1"/>
        <v>16000</v>
      </c>
      <c r="N32" s="41" t="s">
        <v>208</v>
      </c>
      <c r="O32" s="211"/>
    </row>
    <row r="33">
      <c r="A33" s="42">
        <v>17.0</v>
      </c>
      <c r="B33" s="212">
        <v>70.0</v>
      </c>
      <c r="C33" s="213">
        <v>45687.0</v>
      </c>
      <c r="D33" s="42" t="s">
        <v>588</v>
      </c>
      <c r="E33" s="213">
        <v>45741.0</v>
      </c>
      <c r="F33" s="42" t="s">
        <v>92</v>
      </c>
      <c r="G33" s="216"/>
      <c r="H33" s="63" t="s">
        <v>589</v>
      </c>
      <c r="I33" s="34" t="s">
        <v>76</v>
      </c>
      <c r="J33" s="77">
        <v>1.0</v>
      </c>
      <c r="K33" s="77" t="s">
        <v>586</v>
      </c>
      <c r="L33" s="210">
        <v>24000.0</v>
      </c>
      <c r="M33" s="41">
        <f t="shared" si="1"/>
        <v>24000</v>
      </c>
      <c r="N33" s="41" t="s">
        <v>208</v>
      </c>
      <c r="O33" s="211"/>
    </row>
    <row r="34">
      <c r="A34" s="48"/>
      <c r="B34" s="48"/>
      <c r="C34" s="48"/>
      <c r="D34" s="48"/>
      <c r="E34" s="48"/>
      <c r="F34" s="48"/>
      <c r="G34" s="216"/>
      <c r="H34" s="63" t="s">
        <v>590</v>
      </c>
      <c r="I34" s="34" t="s">
        <v>76</v>
      </c>
      <c r="J34" s="77">
        <v>1.0</v>
      </c>
      <c r="K34" s="77" t="s">
        <v>586</v>
      </c>
      <c r="L34" s="210">
        <v>16000.0</v>
      </c>
      <c r="M34" s="41">
        <f t="shared" si="1"/>
        <v>16000</v>
      </c>
      <c r="N34" s="41" t="s">
        <v>208</v>
      </c>
      <c r="O34" s="211"/>
    </row>
    <row r="35">
      <c r="A35" s="42">
        <v>18.0</v>
      </c>
      <c r="B35" s="212">
        <v>72.0</v>
      </c>
      <c r="C35" s="213">
        <v>45687.0</v>
      </c>
      <c r="D35" s="42" t="s">
        <v>584</v>
      </c>
      <c r="E35" s="213">
        <v>45741.0</v>
      </c>
      <c r="F35" s="42" t="s">
        <v>92</v>
      </c>
      <c r="G35" s="216"/>
      <c r="H35" s="63" t="s">
        <v>585</v>
      </c>
      <c r="I35" s="34" t="s">
        <v>76</v>
      </c>
      <c r="J35" s="77">
        <v>1.0</v>
      </c>
      <c r="K35" s="77" t="s">
        <v>586</v>
      </c>
      <c r="L35" s="210">
        <v>16000.0</v>
      </c>
      <c r="M35" s="41">
        <f t="shared" si="1"/>
        <v>16000</v>
      </c>
      <c r="N35" s="41" t="s">
        <v>208</v>
      </c>
      <c r="O35" s="211"/>
    </row>
    <row r="36">
      <c r="A36" s="48"/>
      <c r="B36" s="48"/>
      <c r="C36" s="48"/>
      <c r="D36" s="48"/>
      <c r="E36" s="48"/>
      <c r="F36" s="48"/>
      <c r="G36" s="216"/>
      <c r="H36" s="63" t="s">
        <v>585</v>
      </c>
      <c r="I36" s="34" t="s">
        <v>76</v>
      </c>
      <c r="J36" s="77">
        <v>1.0</v>
      </c>
      <c r="K36" s="77" t="s">
        <v>586</v>
      </c>
      <c r="L36" s="210">
        <v>16000.0</v>
      </c>
      <c r="M36" s="41">
        <f t="shared" si="1"/>
        <v>16000</v>
      </c>
      <c r="N36" s="41" t="s">
        <v>208</v>
      </c>
      <c r="O36" s="211"/>
    </row>
    <row r="37">
      <c r="A37" s="42">
        <v>19.0</v>
      </c>
      <c r="B37" s="212">
        <v>73.0</v>
      </c>
      <c r="C37" s="213">
        <v>45687.0</v>
      </c>
      <c r="D37" s="42" t="s">
        <v>584</v>
      </c>
      <c r="E37" s="213">
        <v>45741.0</v>
      </c>
      <c r="F37" s="42" t="s">
        <v>92</v>
      </c>
      <c r="G37" s="216"/>
      <c r="H37" s="63" t="s">
        <v>591</v>
      </c>
      <c r="I37" s="34" t="s">
        <v>76</v>
      </c>
      <c r="J37" s="77">
        <v>1.0</v>
      </c>
      <c r="K37" s="77" t="s">
        <v>586</v>
      </c>
      <c r="L37" s="210">
        <v>19500.0</v>
      </c>
      <c r="M37" s="41">
        <f t="shared" si="1"/>
        <v>19500</v>
      </c>
      <c r="N37" s="41" t="s">
        <v>208</v>
      </c>
      <c r="O37" s="211"/>
    </row>
    <row r="38">
      <c r="A38" s="47"/>
      <c r="B38" s="47"/>
      <c r="C38" s="47"/>
      <c r="D38" s="47"/>
      <c r="E38" s="47"/>
      <c r="F38" s="47"/>
      <c r="G38" s="216"/>
      <c r="H38" s="63" t="s">
        <v>591</v>
      </c>
      <c r="I38" s="34" t="s">
        <v>76</v>
      </c>
      <c r="J38" s="77">
        <v>1.0</v>
      </c>
      <c r="K38" s="77" t="s">
        <v>586</v>
      </c>
      <c r="L38" s="210">
        <v>19500.0</v>
      </c>
      <c r="M38" s="41">
        <f t="shared" si="1"/>
        <v>19500</v>
      </c>
      <c r="N38" s="41" t="s">
        <v>208</v>
      </c>
      <c r="O38" s="211"/>
    </row>
    <row r="39">
      <c r="A39" s="47"/>
      <c r="B39" s="47"/>
      <c r="C39" s="47"/>
      <c r="D39" s="47"/>
      <c r="E39" s="47"/>
      <c r="F39" s="47"/>
      <c r="G39" s="216"/>
      <c r="H39" s="63" t="s">
        <v>591</v>
      </c>
      <c r="I39" s="34" t="s">
        <v>76</v>
      </c>
      <c r="J39" s="77">
        <v>1.0</v>
      </c>
      <c r="K39" s="77" t="s">
        <v>586</v>
      </c>
      <c r="L39" s="210">
        <v>19500.0</v>
      </c>
      <c r="M39" s="41">
        <f t="shared" si="1"/>
        <v>19500</v>
      </c>
      <c r="N39" s="41" t="s">
        <v>208</v>
      </c>
      <c r="O39" s="211"/>
    </row>
    <row r="40">
      <c r="A40" s="48"/>
      <c r="B40" s="48"/>
      <c r="C40" s="48"/>
      <c r="D40" s="48"/>
      <c r="E40" s="48"/>
      <c r="F40" s="48"/>
      <c r="G40" s="216"/>
      <c r="H40" s="63" t="s">
        <v>591</v>
      </c>
      <c r="I40" s="34" t="s">
        <v>76</v>
      </c>
      <c r="J40" s="77">
        <v>1.0</v>
      </c>
      <c r="K40" s="77" t="s">
        <v>586</v>
      </c>
      <c r="L40" s="210">
        <v>19500.0</v>
      </c>
      <c r="M40" s="41">
        <f t="shared" si="1"/>
        <v>19500</v>
      </c>
      <c r="N40" s="41" t="s">
        <v>208</v>
      </c>
      <c r="O40" s="211"/>
    </row>
    <row r="41">
      <c r="A41" s="42">
        <v>20.0</v>
      </c>
      <c r="B41" s="212">
        <v>74.0</v>
      </c>
      <c r="C41" s="213">
        <v>45687.0</v>
      </c>
      <c r="D41" s="42" t="s">
        <v>584</v>
      </c>
      <c r="E41" s="213">
        <v>45741.0</v>
      </c>
      <c r="F41" s="42" t="s">
        <v>92</v>
      </c>
      <c r="G41" s="216"/>
      <c r="H41" s="63" t="s">
        <v>591</v>
      </c>
      <c r="I41" s="34" t="s">
        <v>76</v>
      </c>
      <c r="J41" s="77">
        <v>1.0</v>
      </c>
      <c r="K41" s="77" t="s">
        <v>586</v>
      </c>
      <c r="L41" s="210">
        <v>19500.0</v>
      </c>
      <c r="M41" s="41">
        <f t="shared" si="1"/>
        <v>19500</v>
      </c>
      <c r="N41" s="41" t="s">
        <v>208</v>
      </c>
      <c r="O41" s="211"/>
    </row>
    <row r="42">
      <c r="A42" s="47"/>
      <c r="B42" s="47"/>
      <c r="C42" s="47"/>
      <c r="D42" s="47"/>
      <c r="E42" s="47"/>
      <c r="F42" s="47"/>
      <c r="G42" s="216"/>
      <c r="H42" s="63" t="s">
        <v>591</v>
      </c>
      <c r="I42" s="34" t="s">
        <v>76</v>
      </c>
      <c r="J42" s="77">
        <v>1.0</v>
      </c>
      <c r="K42" s="77" t="s">
        <v>586</v>
      </c>
      <c r="L42" s="210">
        <v>19500.0</v>
      </c>
      <c r="M42" s="41">
        <f t="shared" si="1"/>
        <v>19500</v>
      </c>
      <c r="N42" s="41" t="s">
        <v>208</v>
      </c>
      <c r="O42" s="211"/>
    </row>
    <row r="43">
      <c r="A43" s="48"/>
      <c r="B43" s="48"/>
      <c r="C43" s="48"/>
      <c r="D43" s="48"/>
      <c r="E43" s="48"/>
      <c r="F43" s="48"/>
      <c r="G43" s="216"/>
      <c r="H43" s="63" t="s">
        <v>591</v>
      </c>
      <c r="I43" s="34" t="s">
        <v>76</v>
      </c>
      <c r="J43" s="77">
        <v>1.0</v>
      </c>
      <c r="K43" s="77" t="s">
        <v>586</v>
      </c>
      <c r="L43" s="210">
        <v>19500.0</v>
      </c>
      <c r="M43" s="41">
        <f t="shared" si="1"/>
        <v>19500</v>
      </c>
      <c r="N43" s="41" t="s">
        <v>208</v>
      </c>
      <c r="O43" s="211"/>
    </row>
    <row r="44">
      <c r="A44" s="42">
        <v>21.0</v>
      </c>
      <c r="B44" s="212">
        <v>164.0</v>
      </c>
      <c r="C44" s="213">
        <v>45690.0</v>
      </c>
      <c r="D44" s="42" t="s">
        <v>592</v>
      </c>
      <c r="E44" s="213" t="s">
        <v>593</v>
      </c>
      <c r="F44" s="42" t="s">
        <v>22</v>
      </c>
      <c r="G44" s="216"/>
      <c r="H44" s="63" t="s">
        <v>594</v>
      </c>
      <c r="I44" s="34" t="s">
        <v>547</v>
      </c>
      <c r="J44" s="77">
        <v>1.0</v>
      </c>
      <c r="K44" s="77" t="s">
        <v>89</v>
      </c>
      <c r="L44" s="210">
        <v>180.0</v>
      </c>
      <c r="M44" s="41">
        <f t="shared" si="1"/>
        <v>180</v>
      </c>
      <c r="N44" s="41" t="s">
        <v>595</v>
      </c>
      <c r="O44" s="211"/>
    </row>
    <row r="45">
      <c r="A45" s="47"/>
      <c r="B45" s="47"/>
      <c r="C45" s="47"/>
      <c r="D45" s="47"/>
      <c r="E45" s="47"/>
      <c r="F45" s="47"/>
      <c r="G45" s="216"/>
      <c r="H45" s="63" t="s">
        <v>596</v>
      </c>
      <c r="I45" s="34" t="s">
        <v>547</v>
      </c>
      <c r="J45" s="77">
        <v>1.0</v>
      </c>
      <c r="K45" s="77" t="s">
        <v>89</v>
      </c>
      <c r="L45" s="210">
        <v>75.0</v>
      </c>
      <c r="M45" s="41">
        <f t="shared" si="1"/>
        <v>75</v>
      </c>
      <c r="N45" s="41" t="s">
        <v>595</v>
      </c>
      <c r="O45" s="211"/>
    </row>
    <row r="46">
      <c r="A46" s="47"/>
      <c r="B46" s="47"/>
      <c r="C46" s="47"/>
      <c r="D46" s="47"/>
      <c r="E46" s="47"/>
      <c r="F46" s="47"/>
      <c r="G46" s="216"/>
      <c r="H46" s="63" t="s">
        <v>597</v>
      </c>
      <c r="I46" s="34" t="s">
        <v>547</v>
      </c>
      <c r="J46" s="77">
        <v>2.0</v>
      </c>
      <c r="K46" s="77" t="s">
        <v>156</v>
      </c>
      <c r="L46" s="210">
        <v>25.0</v>
      </c>
      <c r="M46" s="41">
        <f t="shared" si="1"/>
        <v>50</v>
      </c>
      <c r="N46" s="41" t="s">
        <v>595</v>
      </c>
      <c r="O46" s="211"/>
    </row>
    <row r="47">
      <c r="A47" s="47"/>
      <c r="B47" s="47"/>
      <c r="C47" s="47"/>
      <c r="D47" s="47"/>
      <c r="E47" s="47"/>
      <c r="F47" s="47"/>
      <c r="G47" s="216"/>
      <c r="H47" s="63" t="s">
        <v>598</v>
      </c>
      <c r="I47" s="34" t="s">
        <v>547</v>
      </c>
      <c r="J47" s="77">
        <v>2.0</v>
      </c>
      <c r="K47" s="77" t="s">
        <v>156</v>
      </c>
      <c r="L47" s="210">
        <v>10.0</v>
      </c>
      <c r="M47" s="41">
        <f t="shared" si="1"/>
        <v>20</v>
      </c>
      <c r="N47" s="41" t="s">
        <v>595</v>
      </c>
      <c r="O47" s="211"/>
    </row>
    <row r="48">
      <c r="A48" s="47"/>
      <c r="B48" s="47"/>
      <c r="C48" s="47"/>
      <c r="D48" s="47"/>
      <c r="E48" s="47"/>
      <c r="F48" s="47"/>
      <c r="G48" s="216"/>
      <c r="H48" s="63" t="s">
        <v>599</v>
      </c>
      <c r="I48" s="34" t="s">
        <v>547</v>
      </c>
      <c r="J48" s="77">
        <v>2.0</v>
      </c>
      <c r="K48" s="77" t="s">
        <v>156</v>
      </c>
      <c r="L48" s="210">
        <v>100.0</v>
      </c>
      <c r="M48" s="41">
        <f t="shared" si="1"/>
        <v>200</v>
      </c>
      <c r="N48" s="41" t="s">
        <v>595</v>
      </c>
      <c r="O48" s="211"/>
    </row>
    <row r="49">
      <c r="A49" s="47"/>
      <c r="B49" s="47"/>
      <c r="C49" s="47"/>
      <c r="D49" s="47"/>
      <c r="E49" s="47"/>
      <c r="F49" s="47"/>
      <c r="G49" s="216"/>
      <c r="H49" s="63" t="s">
        <v>600</v>
      </c>
      <c r="I49" s="34" t="s">
        <v>547</v>
      </c>
      <c r="J49" s="77">
        <v>10.0</v>
      </c>
      <c r="K49" s="77" t="s">
        <v>156</v>
      </c>
      <c r="L49" s="210">
        <v>10.0</v>
      </c>
      <c r="M49" s="41">
        <f t="shared" si="1"/>
        <v>100</v>
      </c>
      <c r="N49" s="41" t="s">
        <v>595</v>
      </c>
      <c r="O49" s="211"/>
    </row>
    <row r="50">
      <c r="A50" s="48"/>
      <c r="B50" s="48"/>
      <c r="C50" s="48"/>
      <c r="D50" s="48"/>
      <c r="E50" s="48"/>
      <c r="F50" s="48"/>
      <c r="G50" s="216"/>
      <c r="H50" s="63" t="s">
        <v>601</v>
      </c>
      <c r="I50" s="34" t="s">
        <v>547</v>
      </c>
      <c r="J50" s="77">
        <v>2.0</v>
      </c>
      <c r="K50" s="77" t="s">
        <v>156</v>
      </c>
      <c r="L50" s="210">
        <v>20.0</v>
      </c>
      <c r="M50" s="41">
        <f t="shared" si="1"/>
        <v>40</v>
      </c>
      <c r="N50" s="41" t="s">
        <v>595</v>
      </c>
      <c r="O50" s="211"/>
    </row>
    <row r="51">
      <c r="A51" s="42">
        <v>22.0</v>
      </c>
      <c r="B51" s="217">
        <v>126.0</v>
      </c>
      <c r="C51" s="213">
        <v>45690.0</v>
      </c>
      <c r="D51" s="42" t="s">
        <v>602</v>
      </c>
      <c r="E51" s="213">
        <v>45751.0</v>
      </c>
      <c r="F51" s="42">
        <v>611.0</v>
      </c>
      <c r="G51" s="214">
        <v>45692.0</v>
      </c>
      <c r="H51" s="63" t="s">
        <v>603</v>
      </c>
      <c r="I51" s="34" t="s">
        <v>82</v>
      </c>
      <c r="J51" s="77">
        <v>18.0</v>
      </c>
      <c r="K51" s="77" t="s">
        <v>89</v>
      </c>
      <c r="L51" s="210">
        <v>1021.0</v>
      </c>
      <c r="M51" s="41">
        <f t="shared" si="1"/>
        <v>18378</v>
      </c>
      <c r="N51" s="41" t="s">
        <v>560</v>
      </c>
      <c r="O51" s="211"/>
    </row>
    <row r="52">
      <c r="A52" s="47"/>
      <c r="B52" s="47"/>
      <c r="C52" s="47"/>
      <c r="D52" s="47"/>
      <c r="E52" s="47"/>
      <c r="F52" s="47"/>
      <c r="G52" s="47"/>
      <c r="H52" s="63" t="s">
        <v>467</v>
      </c>
      <c r="I52" s="34" t="s">
        <v>82</v>
      </c>
      <c r="J52" s="77">
        <v>51.0</v>
      </c>
      <c r="K52" s="77" t="s">
        <v>89</v>
      </c>
      <c r="L52" s="210">
        <v>962.0</v>
      </c>
      <c r="M52" s="41">
        <f t="shared" si="1"/>
        <v>49062</v>
      </c>
      <c r="N52" s="41" t="s">
        <v>560</v>
      </c>
      <c r="O52" s="211"/>
    </row>
    <row r="53">
      <c r="A53" s="48"/>
      <c r="B53" s="48"/>
      <c r="C53" s="48"/>
      <c r="D53" s="48"/>
      <c r="E53" s="48"/>
      <c r="F53" s="48"/>
      <c r="G53" s="48"/>
      <c r="H53" s="63" t="s">
        <v>604</v>
      </c>
      <c r="I53" s="34" t="s">
        <v>82</v>
      </c>
      <c r="J53" s="77">
        <v>29.0</v>
      </c>
      <c r="K53" s="77" t="s">
        <v>89</v>
      </c>
      <c r="L53" s="210">
        <v>875.0</v>
      </c>
      <c r="M53" s="41">
        <f t="shared" si="1"/>
        <v>25375</v>
      </c>
      <c r="N53" s="41" t="s">
        <v>560</v>
      </c>
      <c r="O53" s="211"/>
    </row>
    <row r="54">
      <c r="A54" s="42">
        <v>23.0</v>
      </c>
      <c r="B54" s="212">
        <v>117.0</v>
      </c>
      <c r="C54" s="213">
        <v>45690.0</v>
      </c>
      <c r="D54" s="42" t="s">
        <v>605</v>
      </c>
      <c r="E54" s="213" t="s">
        <v>150</v>
      </c>
      <c r="F54" s="42">
        <v>609.0</v>
      </c>
      <c r="G54" s="214">
        <v>45692.0</v>
      </c>
      <c r="H54" s="174" t="s">
        <v>606</v>
      </c>
      <c r="I54" s="34" t="s">
        <v>51</v>
      </c>
      <c r="J54" s="77">
        <v>5.0</v>
      </c>
      <c r="K54" s="77" t="s">
        <v>89</v>
      </c>
      <c r="L54" s="210">
        <v>8750.0</v>
      </c>
      <c r="M54" s="41">
        <f t="shared" si="1"/>
        <v>43750</v>
      </c>
      <c r="N54" s="41" t="s">
        <v>99</v>
      </c>
      <c r="O54" s="211"/>
    </row>
    <row r="55">
      <c r="A55" s="47"/>
      <c r="B55" s="47"/>
      <c r="C55" s="47"/>
      <c r="D55" s="47"/>
      <c r="E55" s="47"/>
      <c r="F55" s="47"/>
      <c r="G55" s="47"/>
      <c r="H55" s="63" t="s">
        <v>607</v>
      </c>
      <c r="I55" s="34" t="s">
        <v>51</v>
      </c>
      <c r="J55" s="77">
        <v>3.0</v>
      </c>
      <c r="K55" s="77" t="s">
        <v>89</v>
      </c>
      <c r="L55" s="210">
        <v>3375.0</v>
      </c>
      <c r="M55" s="41">
        <f t="shared" si="1"/>
        <v>10125</v>
      </c>
      <c r="N55" s="41" t="s">
        <v>99</v>
      </c>
      <c r="O55" s="211"/>
    </row>
    <row r="56">
      <c r="A56" s="47"/>
      <c r="B56" s="47"/>
      <c r="C56" s="47"/>
      <c r="D56" s="47"/>
      <c r="E56" s="47"/>
      <c r="F56" s="47"/>
      <c r="G56" s="47"/>
      <c r="H56" s="63" t="s">
        <v>608</v>
      </c>
      <c r="I56" s="34" t="s">
        <v>51</v>
      </c>
      <c r="J56" s="77">
        <v>2.0</v>
      </c>
      <c r="K56" s="77" t="s">
        <v>89</v>
      </c>
      <c r="L56" s="210">
        <v>9350.0</v>
      </c>
      <c r="M56" s="41">
        <f t="shared" si="1"/>
        <v>18700</v>
      </c>
      <c r="N56" s="41" t="s">
        <v>99</v>
      </c>
      <c r="O56" s="211"/>
    </row>
    <row r="57">
      <c r="A57" s="47"/>
      <c r="B57" s="47"/>
      <c r="C57" s="47"/>
      <c r="D57" s="47"/>
      <c r="E57" s="47"/>
      <c r="F57" s="47"/>
      <c r="G57" s="47"/>
      <c r="H57" s="63" t="s">
        <v>609</v>
      </c>
      <c r="I57" s="34" t="s">
        <v>55</v>
      </c>
      <c r="J57" s="77">
        <v>6.0</v>
      </c>
      <c r="K57" s="77" t="s">
        <v>89</v>
      </c>
      <c r="L57" s="210">
        <v>85.0</v>
      </c>
      <c r="M57" s="41">
        <f t="shared" si="1"/>
        <v>510</v>
      </c>
      <c r="N57" s="41" t="s">
        <v>99</v>
      </c>
      <c r="O57" s="211"/>
    </row>
    <row r="58">
      <c r="A58" s="47"/>
      <c r="B58" s="47"/>
      <c r="C58" s="47"/>
      <c r="D58" s="47"/>
      <c r="E58" s="47"/>
      <c r="F58" s="47"/>
      <c r="G58" s="47"/>
      <c r="H58" s="63" t="s">
        <v>610</v>
      </c>
      <c r="I58" s="34" t="s">
        <v>55</v>
      </c>
      <c r="J58" s="77">
        <v>20.0</v>
      </c>
      <c r="K58" s="77" t="s">
        <v>89</v>
      </c>
      <c r="L58" s="210">
        <v>80.0</v>
      </c>
      <c r="M58" s="41">
        <f t="shared" si="1"/>
        <v>1600</v>
      </c>
      <c r="N58" s="41" t="s">
        <v>99</v>
      </c>
      <c r="O58" s="211"/>
    </row>
    <row r="59">
      <c r="A59" s="48"/>
      <c r="B59" s="48"/>
      <c r="C59" s="48"/>
      <c r="D59" s="48"/>
      <c r="E59" s="48"/>
      <c r="F59" s="48"/>
      <c r="G59" s="48"/>
      <c r="H59" s="63" t="s">
        <v>611</v>
      </c>
      <c r="I59" s="34" t="s">
        <v>55</v>
      </c>
      <c r="J59" s="77">
        <v>10.0</v>
      </c>
      <c r="K59" s="77" t="s">
        <v>89</v>
      </c>
      <c r="L59" s="210">
        <v>29.0</v>
      </c>
      <c r="M59" s="41">
        <f t="shared" si="1"/>
        <v>290</v>
      </c>
      <c r="N59" s="41" t="s">
        <v>99</v>
      </c>
      <c r="O59" s="211"/>
    </row>
    <row r="60">
      <c r="A60" s="42">
        <v>24.0</v>
      </c>
      <c r="B60" s="212">
        <v>77.0</v>
      </c>
      <c r="C60" s="213">
        <v>45690.0</v>
      </c>
      <c r="D60" s="42" t="s">
        <v>578</v>
      </c>
      <c r="E60" s="213">
        <v>45743.0</v>
      </c>
      <c r="F60" s="42">
        <v>611.0</v>
      </c>
      <c r="G60" s="214">
        <v>45692.0</v>
      </c>
      <c r="H60" s="63" t="s">
        <v>53</v>
      </c>
      <c r="I60" s="34" t="s">
        <v>51</v>
      </c>
      <c r="J60" s="77">
        <v>10.0</v>
      </c>
      <c r="K60" s="77" t="s">
        <v>89</v>
      </c>
      <c r="L60" s="210">
        <v>1250.0</v>
      </c>
      <c r="M60" s="41">
        <f t="shared" si="1"/>
        <v>12500</v>
      </c>
      <c r="N60" s="41" t="s">
        <v>142</v>
      </c>
      <c r="O60" s="211"/>
    </row>
    <row r="61">
      <c r="A61" s="48"/>
      <c r="B61" s="48"/>
      <c r="C61" s="48"/>
      <c r="D61" s="48"/>
      <c r="E61" s="48"/>
      <c r="F61" s="48"/>
      <c r="G61" s="48"/>
      <c r="H61" s="63" t="s">
        <v>580</v>
      </c>
      <c r="I61" s="34" t="s">
        <v>51</v>
      </c>
      <c r="J61" s="77">
        <v>19.0</v>
      </c>
      <c r="K61" s="77" t="s">
        <v>65</v>
      </c>
      <c r="L61" s="210">
        <v>100.0</v>
      </c>
      <c r="M61" s="41">
        <f t="shared" si="1"/>
        <v>1900</v>
      </c>
      <c r="N61" s="41" t="s">
        <v>142</v>
      </c>
      <c r="O61" s="211"/>
    </row>
    <row r="62">
      <c r="A62" s="42">
        <v>25.0</v>
      </c>
      <c r="B62" s="212">
        <v>101.0</v>
      </c>
      <c r="C62" s="213">
        <v>45690.0</v>
      </c>
      <c r="D62" s="42" t="s">
        <v>612</v>
      </c>
      <c r="E62" s="213">
        <v>45751.0</v>
      </c>
      <c r="F62" s="42" t="s">
        <v>613</v>
      </c>
      <c r="G62" s="214">
        <v>45692.0</v>
      </c>
      <c r="H62" s="63" t="s">
        <v>614</v>
      </c>
      <c r="I62" s="34" t="s">
        <v>60</v>
      </c>
      <c r="J62" s="77">
        <v>15.0</v>
      </c>
      <c r="K62" s="77" t="s">
        <v>89</v>
      </c>
      <c r="L62" s="210">
        <v>59.0</v>
      </c>
      <c r="M62" s="41">
        <f t="shared" si="1"/>
        <v>885</v>
      </c>
      <c r="N62" s="41" t="s">
        <v>99</v>
      </c>
      <c r="O62" s="211"/>
    </row>
    <row r="63">
      <c r="A63" s="47"/>
      <c r="B63" s="47"/>
      <c r="C63" s="47"/>
      <c r="D63" s="47"/>
      <c r="E63" s="47"/>
      <c r="F63" s="47"/>
      <c r="G63" s="47"/>
      <c r="H63" s="63" t="s">
        <v>459</v>
      </c>
      <c r="I63" s="34" t="s">
        <v>294</v>
      </c>
      <c r="J63" s="77">
        <v>5.0</v>
      </c>
      <c r="K63" s="77" t="s">
        <v>34</v>
      </c>
      <c r="L63" s="210">
        <v>650.0</v>
      </c>
      <c r="M63" s="41">
        <f t="shared" si="1"/>
        <v>3250</v>
      </c>
      <c r="N63" s="41" t="s">
        <v>99</v>
      </c>
      <c r="O63" s="211"/>
    </row>
    <row r="64">
      <c r="A64" s="47"/>
      <c r="B64" s="47"/>
      <c r="C64" s="47"/>
      <c r="D64" s="47"/>
      <c r="E64" s="47"/>
      <c r="F64" s="47"/>
      <c r="G64" s="47"/>
      <c r="H64" s="63" t="s">
        <v>615</v>
      </c>
      <c r="I64" s="34" t="s">
        <v>60</v>
      </c>
      <c r="J64" s="77">
        <v>15.0</v>
      </c>
      <c r="K64" s="77" t="s">
        <v>89</v>
      </c>
      <c r="L64" s="210">
        <v>425.0</v>
      </c>
      <c r="M64" s="41">
        <f t="shared" si="1"/>
        <v>6375</v>
      </c>
      <c r="N64" s="41" t="s">
        <v>99</v>
      </c>
      <c r="O64" s="211"/>
    </row>
    <row r="65">
      <c r="A65" s="47"/>
      <c r="B65" s="47"/>
      <c r="C65" s="47"/>
      <c r="D65" s="47"/>
      <c r="E65" s="47"/>
      <c r="F65" s="47"/>
      <c r="G65" s="47"/>
      <c r="H65" s="63" t="s">
        <v>616</v>
      </c>
      <c r="I65" s="34" t="s">
        <v>60</v>
      </c>
      <c r="J65" s="77">
        <v>2.0</v>
      </c>
      <c r="K65" s="77" t="s">
        <v>89</v>
      </c>
      <c r="L65" s="210">
        <v>65.0</v>
      </c>
      <c r="M65" s="41">
        <f t="shared" si="1"/>
        <v>130</v>
      </c>
      <c r="N65" s="41" t="s">
        <v>99</v>
      </c>
      <c r="O65" s="211"/>
    </row>
    <row r="66">
      <c r="A66" s="47"/>
      <c r="B66" s="47"/>
      <c r="C66" s="47"/>
      <c r="D66" s="47"/>
      <c r="E66" s="47"/>
      <c r="F66" s="47"/>
      <c r="G66" s="47"/>
      <c r="H66" s="63" t="s">
        <v>617</v>
      </c>
      <c r="I66" s="34" t="s">
        <v>60</v>
      </c>
      <c r="J66" s="77">
        <v>2.0</v>
      </c>
      <c r="K66" s="77" t="s">
        <v>39</v>
      </c>
      <c r="L66" s="210">
        <v>230.0</v>
      </c>
      <c r="M66" s="41">
        <f t="shared" si="1"/>
        <v>460</v>
      </c>
      <c r="N66" s="41" t="s">
        <v>99</v>
      </c>
      <c r="O66" s="211"/>
    </row>
    <row r="67">
      <c r="A67" s="47"/>
      <c r="B67" s="47"/>
      <c r="C67" s="47"/>
      <c r="D67" s="47"/>
      <c r="E67" s="47"/>
      <c r="F67" s="47"/>
      <c r="G67" s="47"/>
      <c r="H67" s="63" t="s">
        <v>618</v>
      </c>
      <c r="I67" s="34" t="s">
        <v>60</v>
      </c>
      <c r="J67" s="153">
        <v>1.0</v>
      </c>
      <c r="K67" s="77" t="s">
        <v>297</v>
      </c>
      <c r="L67" s="210">
        <v>650.0</v>
      </c>
      <c r="M67" s="41">
        <f t="shared" si="1"/>
        <v>650</v>
      </c>
      <c r="N67" s="41" t="s">
        <v>99</v>
      </c>
      <c r="O67" s="211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</row>
    <row r="68">
      <c r="A68" s="47"/>
      <c r="B68" s="47"/>
      <c r="C68" s="47"/>
      <c r="D68" s="47"/>
      <c r="E68" s="47"/>
      <c r="F68" s="47"/>
      <c r="G68" s="47"/>
      <c r="H68" s="63" t="s">
        <v>619</v>
      </c>
      <c r="I68" s="34" t="s">
        <v>84</v>
      </c>
      <c r="J68" s="153">
        <v>1.0</v>
      </c>
      <c r="K68" s="77" t="s">
        <v>89</v>
      </c>
      <c r="L68" s="210">
        <v>700.0</v>
      </c>
      <c r="M68" s="41">
        <f t="shared" si="1"/>
        <v>700</v>
      </c>
      <c r="N68" s="41" t="s">
        <v>99</v>
      </c>
      <c r="O68" s="211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</row>
    <row r="69">
      <c r="A69" s="47"/>
      <c r="B69" s="47"/>
      <c r="C69" s="47"/>
      <c r="D69" s="47"/>
      <c r="E69" s="47"/>
      <c r="F69" s="47"/>
      <c r="G69" s="47"/>
      <c r="H69" s="63" t="s">
        <v>518</v>
      </c>
      <c r="I69" s="34" t="s">
        <v>276</v>
      </c>
      <c r="J69" s="153">
        <v>1.0</v>
      </c>
      <c r="K69" s="77" t="s">
        <v>89</v>
      </c>
      <c r="L69" s="210">
        <v>3315.0</v>
      </c>
      <c r="M69" s="41">
        <f t="shared" si="1"/>
        <v>3315</v>
      </c>
      <c r="N69" s="41" t="s">
        <v>99</v>
      </c>
      <c r="O69" s="211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</row>
    <row r="70">
      <c r="A70" s="47"/>
      <c r="B70" s="47"/>
      <c r="C70" s="47"/>
      <c r="D70" s="47"/>
      <c r="E70" s="47"/>
      <c r="F70" s="47"/>
      <c r="G70" s="47"/>
      <c r="H70" s="63" t="s">
        <v>620</v>
      </c>
      <c r="I70" s="34" t="s">
        <v>276</v>
      </c>
      <c r="J70" s="153">
        <v>1.0</v>
      </c>
      <c r="K70" s="77" t="s">
        <v>89</v>
      </c>
      <c r="L70" s="210">
        <v>4290.0</v>
      </c>
      <c r="M70" s="41">
        <f t="shared" si="1"/>
        <v>4290</v>
      </c>
      <c r="N70" s="41" t="s">
        <v>99</v>
      </c>
      <c r="O70" s="211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</row>
    <row r="71">
      <c r="A71" s="47"/>
      <c r="B71" s="47"/>
      <c r="C71" s="47"/>
      <c r="D71" s="47"/>
      <c r="E71" s="47"/>
      <c r="F71" s="47"/>
      <c r="G71" s="47"/>
      <c r="H71" s="63" t="s">
        <v>469</v>
      </c>
      <c r="I71" s="34" t="s">
        <v>276</v>
      </c>
      <c r="J71" s="153">
        <v>25.0</v>
      </c>
      <c r="K71" s="77" t="s">
        <v>89</v>
      </c>
      <c r="L71" s="210">
        <v>20.0</v>
      </c>
      <c r="M71" s="41">
        <f t="shared" si="1"/>
        <v>500</v>
      </c>
      <c r="N71" s="41" t="s">
        <v>99</v>
      </c>
      <c r="O71" s="211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</row>
    <row r="72">
      <c r="A72" s="47"/>
      <c r="B72" s="47"/>
      <c r="C72" s="47"/>
      <c r="D72" s="47"/>
      <c r="E72" s="47"/>
      <c r="F72" s="47"/>
      <c r="G72" s="47"/>
      <c r="H72" s="63" t="s">
        <v>621</v>
      </c>
      <c r="I72" s="34" t="s">
        <v>276</v>
      </c>
      <c r="J72" s="153">
        <v>40.0</v>
      </c>
      <c r="K72" s="77" t="s">
        <v>89</v>
      </c>
      <c r="L72" s="210">
        <v>15.0</v>
      </c>
      <c r="M72" s="41">
        <f t="shared" si="1"/>
        <v>600</v>
      </c>
      <c r="N72" s="41" t="s">
        <v>99</v>
      </c>
      <c r="O72" s="211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</row>
    <row r="73">
      <c r="A73" s="47"/>
      <c r="B73" s="47"/>
      <c r="C73" s="47"/>
      <c r="D73" s="47"/>
      <c r="E73" s="47"/>
      <c r="F73" s="47"/>
      <c r="G73" s="47"/>
      <c r="H73" s="63" t="s">
        <v>471</v>
      </c>
      <c r="I73" s="34" t="s">
        <v>276</v>
      </c>
      <c r="J73" s="153">
        <v>40.0</v>
      </c>
      <c r="K73" s="77" t="s">
        <v>89</v>
      </c>
      <c r="L73" s="210">
        <v>12.0</v>
      </c>
      <c r="M73" s="41">
        <f t="shared" si="1"/>
        <v>480</v>
      </c>
      <c r="N73" s="41" t="s">
        <v>99</v>
      </c>
      <c r="O73" s="211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</row>
    <row r="74">
      <c r="A74" s="47"/>
      <c r="B74" s="47"/>
      <c r="C74" s="47"/>
      <c r="D74" s="47"/>
      <c r="E74" s="47"/>
      <c r="F74" s="47"/>
      <c r="G74" s="47"/>
      <c r="H74" s="63" t="s">
        <v>622</v>
      </c>
      <c r="I74" s="34" t="s">
        <v>276</v>
      </c>
      <c r="J74" s="153">
        <v>1.0</v>
      </c>
      <c r="K74" s="77" t="s">
        <v>89</v>
      </c>
      <c r="L74" s="210">
        <v>285.0</v>
      </c>
      <c r="M74" s="41">
        <f t="shared" si="1"/>
        <v>285</v>
      </c>
      <c r="N74" s="41" t="s">
        <v>99</v>
      </c>
      <c r="O74" s="211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</row>
    <row r="75">
      <c r="A75" s="47"/>
      <c r="B75" s="47"/>
      <c r="C75" s="47"/>
      <c r="D75" s="47"/>
      <c r="E75" s="47"/>
      <c r="F75" s="47"/>
      <c r="G75" s="47"/>
      <c r="H75" s="63" t="s">
        <v>448</v>
      </c>
      <c r="I75" s="34" t="s">
        <v>29</v>
      </c>
      <c r="J75" s="153">
        <v>5.0</v>
      </c>
      <c r="K75" s="77" t="s">
        <v>89</v>
      </c>
      <c r="L75" s="210">
        <v>90.0</v>
      </c>
      <c r="M75" s="41">
        <f t="shared" si="1"/>
        <v>450</v>
      </c>
      <c r="N75" s="41" t="s">
        <v>99</v>
      </c>
      <c r="O75" s="211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</row>
    <row r="76">
      <c r="A76" s="47"/>
      <c r="B76" s="47"/>
      <c r="C76" s="47"/>
      <c r="D76" s="47"/>
      <c r="E76" s="47"/>
      <c r="F76" s="47"/>
      <c r="G76" s="47"/>
      <c r="H76" s="63" t="s">
        <v>623</v>
      </c>
      <c r="I76" s="34" t="s">
        <v>294</v>
      </c>
      <c r="J76" s="153">
        <v>50.0</v>
      </c>
      <c r="K76" s="77" t="s">
        <v>34</v>
      </c>
      <c r="L76" s="210">
        <v>73.0</v>
      </c>
      <c r="M76" s="41">
        <f t="shared" si="1"/>
        <v>3650</v>
      </c>
      <c r="N76" s="41" t="s">
        <v>99</v>
      </c>
      <c r="O76" s="211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</row>
    <row r="77">
      <c r="A77" s="48"/>
      <c r="B77" s="48"/>
      <c r="C77" s="48"/>
      <c r="D77" s="48"/>
      <c r="E77" s="48"/>
      <c r="F77" s="48"/>
      <c r="G77" s="48"/>
      <c r="H77" s="63" t="s">
        <v>624</v>
      </c>
      <c r="I77" s="34" t="s">
        <v>82</v>
      </c>
      <c r="J77" s="153">
        <v>40.0</v>
      </c>
      <c r="K77" s="77" t="s">
        <v>89</v>
      </c>
      <c r="L77" s="210">
        <v>12.0</v>
      </c>
      <c r="M77" s="41">
        <f t="shared" si="1"/>
        <v>480</v>
      </c>
      <c r="N77" s="41" t="s">
        <v>99</v>
      </c>
      <c r="O77" s="211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</row>
    <row r="78">
      <c r="A78" s="42">
        <v>26.0</v>
      </c>
      <c r="B78" s="212">
        <v>102.0</v>
      </c>
      <c r="C78" s="213">
        <v>45690.0</v>
      </c>
      <c r="D78" s="42" t="s">
        <v>612</v>
      </c>
      <c r="E78" s="213">
        <v>45751.0</v>
      </c>
      <c r="F78" s="68">
        <v>609.0</v>
      </c>
      <c r="G78" s="214">
        <v>45692.0</v>
      </c>
      <c r="H78" s="63" t="s">
        <v>625</v>
      </c>
      <c r="I78" s="34" t="s">
        <v>325</v>
      </c>
      <c r="J78" s="153">
        <v>10.0</v>
      </c>
      <c r="K78" s="77" t="s">
        <v>25</v>
      </c>
      <c r="L78" s="210">
        <v>85.0</v>
      </c>
      <c r="M78" s="41">
        <f t="shared" si="1"/>
        <v>850</v>
      </c>
      <c r="N78" s="41" t="s">
        <v>99</v>
      </c>
      <c r="O78" s="211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</row>
    <row r="79">
      <c r="A79" s="47"/>
      <c r="B79" s="47"/>
      <c r="C79" s="47"/>
      <c r="D79" s="47"/>
      <c r="E79" s="47"/>
      <c r="F79" s="47"/>
      <c r="G79" s="47"/>
      <c r="H79" s="63" t="s">
        <v>626</v>
      </c>
      <c r="I79" s="34" t="s">
        <v>325</v>
      </c>
      <c r="J79" s="153">
        <v>5.0</v>
      </c>
      <c r="K79" s="77" t="s">
        <v>89</v>
      </c>
      <c r="L79" s="210">
        <v>43.0</v>
      </c>
      <c r="M79" s="41">
        <f t="shared" si="1"/>
        <v>215</v>
      </c>
      <c r="N79" s="41" t="s">
        <v>99</v>
      </c>
      <c r="O79" s="211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</row>
    <row r="80">
      <c r="A80" s="47"/>
      <c r="B80" s="47"/>
      <c r="C80" s="47"/>
      <c r="D80" s="47"/>
      <c r="E80" s="47"/>
      <c r="F80" s="47"/>
      <c r="G80" s="47"/>
      <c r="H80" s="63" t="s">
        <v>627</v>
      </c>
      <c r="I80" s="34" t="s">
        <v>325</v>
      </c>
      <c r="J80" s="153">
        <v>5.0</v>
      </c>
      <c r="K80" s="77" t="s">
        <v>89</v>
      </c>
      <c r="L80" s="210">
        <v>94.0</v>
      </c>
      <c r="M80" s="41">
        <f t="shared" si="1"/>
        <v>470</v>
      </c>
      <c r="N80" s="41" t="s">
        <v>99</v>
      </c>
      <c r="O80" s="211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</row>
    <row r="81">
      <c r="A81" s="47"/>
      <c r="B81" s="47"/>
      <c r="C81" s="47"/>
      <c r="D81" s="47"/>
      <c r="E81" s="47"/>
      <c r="F81" s="47"/>
      <c r="G81" s="47"/>
      <c r="H81" s="63" t="s">
        <v>439</v>
      </c>
      <c r="I81" s="34" t="s">
        <v>55</v>
      </c>
      <c r="J81" s="153">
        <v>5.0</v>
      </c>
      <c r="K81" s="77" t="s">
        <v>34</v>
      </c>
      <c r="L81" s="210">
        <v>256.0</v>
      </c>
      <c r="M81" s="41">
        <f t="shared" si="1"/>
        <v>1280</v>
      </c>
      <c r="N81" s="41" t="s">
        <v>99</v>
      </c>
      <c r="O81" s="211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</row>
    <row r="82">
      <c r="A82" s="47"/>
      <c r="B82" s="47"/>
      <c r="C82" s="47"/>
      <c r="D82" s="47"/>
      <c r="E82" s="47"/>
      <c r="F82" s="47"/>
      <c r="G82" s="47"/>
      <c r="H82" s="63" t="s">
        <v>628</v>
      </c>
      <c r="I82" s="34" t="s">
        <v>294</v>
      </c>
      <c r="J82" s="153">
        <v>5.0</v>
      </c>
      <c r="K82" s="77" t="s">
        <v>34</v>
      </c>
      <c r="L82" s="210">
        <v>75.0</v>
      </c>
      <c r="M82" s="41">
        <f t="shared" si="1"/>
        <v>375</v>
      </c>
      <c r="N82" s="41" t="s">
        <v>99</v>
      </c>
      <c r="O82" s="211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</row>
    <row r="83">
      <c r="A83" s="47"/>
      <c r="B83" s="47"/>
      <c r="C83" s="47"/>
      <c r="D83" s="47"/>
      <c r="E83" s="47"/>
      <c r="F83" s="47"/>
      <c r="G83" s="47"/>
      <c r="H83" s="63" t="s">
        <v>629</v>
      </c>
      <c r="I83" s="34" t="s">
        <v>294</v>
      </c>
      <c r="J83" s="153">
        <v>15.0</v>
      </c>
      <c r="K83" s="77" t="s">
        <v>74</v>
      </c>
      <c r="L83" s="210">
        <v>250.0</v>
      </c>
      <c r="M83" s="41">
        <f t="shared" si="1"/>
        <v>3750</v>
      </c>
      <c r="N83" s="41" t="s">
        <v>99</v>
      </c>
      <c r="O83" s="211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</row>
    <row r="84">
      <c r="A84" s="47"/>
      <c r="B84" s="47"/>
      <c r="C84" s="47"/>
      <c r="D84" s="47"/>
      <c r="E84" s="47"/>
      <c r="F84" s="47"/>
      <c r="G84" s="47"/>
      <c r="H84" s="63" t="s">
        <v>630</v>
      </c>
      <c r="I84" s="34" t="s">
        <v>42</v>
      </c>
      <c r="J84" s="153">
        <v>12.0</v>
      </c>
      <c r="K84" s="77" t="s">
        <v>89</v>
      </c>
      <c r="L84" s="210">
        <v>134.0</v>
      </c>
      <c r="M84" s="41">
        <f t="shared" si="1"/>
        <v>1608</v>
      </c>
      <c r="N84" s="41" t="s">
        <v>99</v>
      </c>
      <c r="O84" s="211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</row>
    <row r="85">
      <c r="A85" s="47"/>
      <c r="B85" s="47"/>
      <c r="C85" s="47"/>
      <c r="D85" s="47"/>
      <c r="E85" s="47"/>
      <c r="F85" s="48"/>
      <c r="G85" s="48"/>
      <c r="H85" s="63" t="s">
        <v>334</v>
      </c>
      <c r="I85" s="34" t="s">
        <v>325</v>
      </c>
      <c r="J85" s="153">
        <v>15.0</v>
      </c>
      <c r="K85" s="77" t="s">
        <v>34</v>
      </c>
      <c r="L85" s="210">
        <v>61.0</v>
      </c>
      <c r="M85" s="41">
        <f t="shared" si="1"/>
        <v>915</v>
      </c>
      <c r="N85" s="41" t="s">
        <v>99</v>
      </c>
      <c r="O85" s="211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</row>
    <row r="86">
      <c r="A86" s="47"/>
      <c r="B86" s="47"/>
      <c r="C86" s="47"/>
      <c r="D86" s="47"/>
      <c r="E86" s="47"/>
      <c r="F86" s="68">
        <v>610.0</v>
      </c>
      <c r="G86" s="214">
        <v>45692.0</v>
      </c>
      <c r="H86" s="63" t="s">
        <v>631</v>
      </c>
      <c r="I86" s="34" t="s">
        <v>325</v>
      </c>
      <c r="J86" s="153">
        <v>10.0</v>
      </c>
      <c r="K86" s="77" t="s">
        <v>25</v>
      </c>
      <c r="L86" s="210">
        <v>210.0</v>
      </c>
      <c r="M86" s="41">
        <f t="shared" si="1"/>
        <v>2100</v>
      </c>
      <c r="N86" s="41" t="s">
        <v>99</v>
      </c>
      <c r="O86" s="211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</row>
    <row r="87">
      <c r="A87" s="47"/>
      <c r="B87" s="47"/>
      <c r="C87" s="47"/>
      <c r="D87" s="47"/>
      <c r="E87" s="47"/>
      <c r="F87" s="47"/>
      <c r="G87" s="47"/>
      <c r="H87" s="63" t="s">
        <v>632</v>
      </c>
      <c r="I87" s="34" t="s">
        <v>325</v>
      </c>
      <c r="J87" s="153">
        <v>20.0</v>
      </c>
      <c r="K87" s="77" t="s">
        <v>25</v>
      </c>
      <c r="L87" s="210">
        <v>210.0</v>
      </c>
      <c r="M87" s="41">
        <f t="shared" si="1"/>
        <v>4200</v>
      </c>
      <c r="N87" s="41" t="s">
        <v>99</v>
      </c>
      <c r="O87" s="211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</row>
    <row r="88">
      <c r="A88" s="48"/>
      <c r="B88" s="48"/>
      <c r="C88" s="48"/>
      <c r="D88" s="48"/>
      <c r="E88" s="48"/>
      <c r="F88" s="48"/>
      <c r="G88" s="48"/>
      <c r="H88" s="63" t="s">
        <v>528</v>
      </c>
      <c r="I88" s="34" t="s">
        <v>60</v>
      </c>
      <c r="J88" s="153">
        <v>8.0</v>
      </c>
      <c r="K88" s="77" t="s">
        <v>98</v>
      </c>
      <c r="L88" s="210">
        <v>3000.0</v>
      </c>
      <c r="M88" s="41">
        <f t="shared" si="1"/>
        <v>24000</v>
      </c>
      <c r="N88" s="41" t="s">
        <v>99</v>
      </c>
      <c r="O88" s="211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</row>
    <row r="89">
      <c r="A89" s="42">
        <v>27.0</v>
      </c>
      <c r="B89" s="212">
        <v>81.0</v>
      </c>
      <c r="C89" s="213">
        <v>45691.0</v>
      </c>
      <c r="D89" s="42" t="s">
        <v>578</v>
      </c>
      <c r="E89" s="213">
        <v>45743.0</v>
      </c>
      <c r="F89" s="42">
        <v>632.0</v>
      </c>
      <c r="G89" s="214">
        <v>45724.0</v>
      </c>
      <c r="H89" s="63" t="s">
        <v>608</v>
      </c>
      <c r="I89" s="34" t="s">
        <v>51</v>
      </c>
      <c r="J89" s="153">
        <v>1.0</v>
      </c>
      <c r="K89" s="77" t="s">
        <v>65</v>
      </c>
      <c r="L89" s="210">
        <v>9350.0</v>
      </c>
      <c r="M89" s="41">
        <f t="shared" si="1"/>
        <v>9350</v>
      </c>
      <c r="N89" s="41" t="s">
        <v>142</v>
      </c>
      <c r="O89" s="211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</row>
    <row r="90">
      <c r="A90" s="47"/>
      <c r="B90" s="47"/>
      <c r="C90" s="47"/>
      <c r="D90" s="47"/>
      <c r="E90" s="47"/>
      <c r="F90" s="47"/>
      <c r="G90" s="47"/>
      <c r="H90" s="63" t="s">
        <v>633</v>
      </c>
      <c r="I90" s="34" t="s">
        <v>51</v>
      </c>
      <c r="J90" s="153">
        <v>1.0</v>
      </c>
      <c r="K90" s="77" t="s">
        <v>65</v>
      </c>
      <c r="L90" s="210">
        <v>12300.0</v>
      </c>
      <c r="M90" s="41">
        <f t="shared" si="1"/>
        <v>12300</v>
      </c>
      <c r="N90" s="41" t="s">
        <v>142</v>
      </c>
      <c r="O90" s="211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</row>
    <row r="91">
      <c r="A91" s="47"/>
      <c r="B91" s="47"/>
      <c r="C91" s="47"/>
      <c r="D91" s="47"/>
      <c r="E91" s="47"/>
      <c r="F91" s="47"/>
      <c r="G91" s="47"/>
      <c r="H91" s="63" t="s">
        <v>607</v>
      </c>
      <c r="I91" s="34" t="s">
        <v>51</v>
      </c>
      <c r="J91" s="153">
        <v>1.0</v>
      </c>
      <c r="K91" s="77" t="s">
        <v>65</v>
      </c>
      <c r="L91" s="210">
        <v>3375.0</v>
      </c>
      <c r="M91" s="41">
        <f t="shared" si="1"/>
        <v>3375</v>
      </c>
      <c r="N91" s="41" t="s">
        <v>142</v>
      </c>
      <c r="O91" s="211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</row>
    <row r="92">
      <c r="A92" s="47"/>
      <c r="B92" s="47"/>
      <c r="C92" s="47"/>
      <c r="D92" s="47"/>
      <c r="E92" s="47"/>
      <c r="F92" s="47"/>
      <c r="G92" s="47"/>
      <c r="H92" s="63" t="s">
        <v>634</v>
      </c>
      <c r="I92" s="34" t="s">
        <v>51</v>
      </c>
      <c r="J92" s="153">
        <v>1.0</v>
      </c>
      <c r="K92" s="77" t="s">
        <v>65</v>
      </c>
      <c r="L92" s="210">
        <v>4800.0</v>
      </c>
      <c r="M92" s="41">
        <f t="shared" si="1"/>
        <v>4800</v>
      </c>
      <c r="N92" s="41" t="s">
        <v>142</v>
      </c>
      <c r="O92" s="211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</row>
    <row r="93">
      <c r="A93" s="48"/>
      <c r="B93" s="48"/>
      <c r="C93" s="48"/>
      <c r="D93" s="48"/>
      <c r="E93" s="48"/>
      <c r="F93" s="48"/>
      <c r="G93" s="48"/>
      <c r="H93" s="63" t="s">
        <v>635</v>
      </c>
      <c r="I93" s="34" t="s">
        <v>51</v>
      </c>
      <c r="J93" s="153">
        <v>1.0</v>
      </c>
      <c r="K93" s="77" t="s">
        <v>65</v>
      </c>
      <c r="L93" s="210">
        <v>3173.0</v>
      </c>
      <c r="M93" s="41">
        <f t="shared" si="1"/>
        <v>3173</v>
      </c>
      <c r="N93" s="41" t="s">
        <v>142</v>
      </c>
      <c r="O93" s="211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</row>
    <row r="94">
      <c r="A94" s="31">
        <v>28.0</v>
      </c>
      <c r="B94" s="208">
        <v>110.0</v>
      </c>
      <c r="C94" s="209">
        <v>45691.0</v>
      </c>
      <c r="D94" s="31" t="s">
        <v>583</v>
      </c>
      <c r="E94" s="209">
        <v>45744.0</v>
      </c>
      <c r="F94" s="31">
        <v>644.0</v>
      </c>
      <c r="G94" s="161">
        <v>45737.0</v>
      </c>
      <c r="H94" s="63" t="s">
        <v>563</v>
      </c>
      <c r="I94" s="34" t="s">
        <v>564</v>
      </c>
      <c r="J94" s="153">
        <v>541.89</v>
      </c>
      <c r="K94" s="77" t="s">
        <v>565</v>
      </c>
      <c r="L94" s="210">
        <v>328.0</v>
      </c>
      <c r="M94" s="41">
        <f t="shared" si="1"/>
        <v>177739.92</v>
      </c>
      <c r="N94" s="41" t="s">
        <v>581</v>
      </c>
      <c r="O94" s="211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</row>
    <row r="95">
      <c r="A95" s="31">
        <v>29.0</v>
      </c>
      <c r="B95" s="208">
        <v>111.0</v>
      </c>
      <c r="C95" s="209">
        <v>45691.0</v>
      </c>
      <c r="D95" s="31" t="s">
        <v>583</v>
      </c>
      <c r="E95" s="209">
        <v>45744.0</v>
      </c>
      <c r="F95" s="31">
        <v>644.0</v>
      </c>
      <c r="G95" s="161">
        <v>45737.0</v>
      </c>
      <c r="H95" s="63" t="s">
        <v>563</v>
      </c>
      <c r="I95" s="34" t="s">
        <v>564</v>
      </c>
      <c r="J95" s="153">
        <v>555.53</v>
      </c>
      <c r="K95" s="77" t="s">
        <v>565</v>
      </c>
      <c r="L95" s="210">
        <v>328.0</v>
      </c>
      <c r="M95" s="41">
        <f t="shared" si="1"/>
        <v>182213.84</v>
      </c>
      <c r="N95" s="41" t="s">
        <v>581</v>
      </c>
      <c r="O95" s="211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</row>
    <row r="96">
      <c r="A96" s="31">
        <v>30.0</v>
      </c>
      <c r="B96" s="218" t="s">
        <v>636</v>
      </c>
      <c r="C96" s="209">
        <v>45691.0</v>
      </c>
      <c r="D96" s="77" t="s">
        <v>637</v>
      </c>
      <c r="E96" s="219">
        <v>45761.0</v>
      </c>
      <c r="F96" s="77">
        <v>611.0</v>
      </c>
      <c r="G96" s="161">
        <v>45692.0</v>
      </c>
      <c r="H96" s="63" t="s">
        <v>638</v>
      </c>
      <c r="I96" s="34" t="s">
        <v>276</v>
      </c>
      <c r="J96" s="77">
        <v>25.0</v>
      </c>
      <c r="K96" s="77" t="s">
        <v>74</v>
      </c>
      <c r="L96" s="210">
        <v>486.5</v>
      </c>
      <c r="M96" s="41">
        <f t="shared" si="1"/>
        <v>12162.5</v>
      </c>
      <c r="N96" s="41" t="s">
        <v>107</v>
      </c>
      <c r="O96" s="211"/>
    </row>
    <row r="97">
      <c r="A97" s="31">
        <v>31.0</v>
      </c>
      <c r="B97" s="208">
        <v>1172.0</v>
      </c>
      <c r="C97" s="209">
        <v>45691.0</v>
      </c>
      <c r="D97" s="31" t="s">
        <v>555</v>
      </c>
      <c r="E97" s="209">
        <v>45740.0</v>
      </c>
      <c r="F97" s="31">
        <v>612.0</v>
      </c>
      <c r="G97" s="161">
        <v>45692.0</v>
      </c>
      <c r="H97" s="63" t="s">
        <v>122</v>
      </c>
      <c r="I97" s="34" t="s">
        <v>122</v>
      </c>
      <c r="J97" s="77">
        <v>40.0</v>
      </c>
      <c r="K97" s="77" t="s">
        <v>391</v>
      </c>
      <c r="L97" s="210">
        <v>465.0</v>
      </c>
      <c r="M97" s="41">
        <f t="shared" si="1"/>
        <v>18600</v>
      </c>
      <c r="N97" s="41" t="s">
        <v>639</v>
      </c>
      <c r="O97" s="211"/>
    </row>
    <row r="98">
      <c r="A98" s="42">
        <v>32.0</v>
      </c>
      <c r="B98" s="212">
        <v>118.0</v>
      </c>
      <c r="C98" s="213">
        <v>45693.0</v>
      </c>
      <c r="D98" s="42" t="s">
        <v>605</v>
      </c>
      <c r="E98" s="213" t="s">
        <v>150</v>
      </c>
      <c r="F98" s="42">
        <v>613.0</v>
      </c>
      <c r="G98" s="214">
        <v>45698.0</v>
      </c>
      <c r="H98" s="63" t="s">
        <v>640</v>
      </c>
      <c r="I98" s="34" t="s">
        <v>268</v>
      </c>
      <c r="J98" s="77">
        <v>15.0</v>
      </c>
      <c r="K98" s="77" t="s">
        <v>89</v>
      </c>
      <c r="L98" s="210">
        <v>1100.0</v>
      </c>
      <c r="M98" s="41">
        <f t="shared" si="1"/>
        <v>16500</v>
      </c>
      <c r="N98" s="41" t="s">
        <v>440</v>
      </c>
      <c r="O98" s="211"/>
    </row>
    <row r="99">
      <c r="A99" s="48"/>
      <c r="B99" s="48"/>
      <c r="C99" s="48"/>
      <c r="D99" s="48"/>
      <c r="E99" s="48"/>
      <c r="F99" s="48"/>
      <c r="G99" s="48"/>
      <c r="H99" s="63" t="s">
        <v>281</v>
      </c>
      <c r="I99" s="34" t="s">
        <v>276</v>
      </c>
      <c r="J99" s="77">
        <v>450.0</v>
      </c>
      <c r="K99" s="77" t="s">
        <v>74</v>
      </c>
      <c r="L99" s="210">
        <v>15.5</v>
      </c>
      <c r="M99" s="41">
        <f t="shared" si="1"/>
        <v>6975</v>
      </c>
      <c r="N99" s="41" t="s">
        <v>440</v>
      </c>
      <c r="O99" s="211"/>
    </row>
    <row r="100">
      <c r="A100" s="31">
        <v>33.0</v>
      </c>
      <c r="B100" s="208">
        <v>112.0</v>
      </c>
      <c r="C100" s="209">
        <v>45693.0</v>
      </c>
      <c r="D100" s="31" t="s">
        <v>562</v>
      </c>
      <c r="E100" s="209">
        <v>45821.0</v>
      </c>
      <c r="F100" s="31">
        <v>645.0</v>
      </c>
      <c r="G100" s="161">
        <v>45737.0</v>
      </c>
      <c r="H100" s="63" t="s">
        <v>563</v>
      </c>
      <c r="I100" s="34" t="s">
        <v>564</v>
      </c>
      <c r="J100" s="77">
        <v>538.23</v>
      </c>
      <c r="K100" s="77" t="s">
        <v>565</v>
      </c>
      <c r="L100" s="210">
        <v>328.0</v>
      </c>
      <c r="M100" s="41">
        <f t="shared" si="1"/>
        <v>176539.44</v>
      </c>
      <c r="N100" s="41" t="s">
        <v>581</v>
      </c>
      <c r="O100" s="211"/>
    </row>
    <row r="101">
      <c r="A101" s="31">
        <v>34.0</v>
      </c>
      <c r="B101" s="208">
        <v>1742.0</v>
      </c>
      <c r="C101" s="209">
        <v>45694.0</v>
      </c>
      <c r="D101" s="31" t="s">
        <v>555</v>
      </c>
      <c r="E101" s="209">
        <v>45740.0</v>
      </c>
      <c r="F101" s="31">
        <v>614.0</v>
      </c>
      <c r="G101" s="161">
        <v>45698.0</v>
      </c>
      <c r="H101" s="63" t="s">
        <v>641</v>
      </c>
      <c r="I101" s="34" t="s">
        <v>60</v>
      </c>
      <c r="J101" s="77">
        <v>2.0</v>
      </c>
      <c r="K101" s="77" t="s">
        <v>89</v>
      </c>
      <c r="L101" s="210">
        <v>2200.0</v>
      </c>
      <c r="M101" s="41">
        <f t="shared" si="1"/>
        <v>4400</v>
      </c>
      <c r="N101" s="41" t="s">
        <v>642</v>
      </c>
      <c r="O101" s="211"/>
    </row>
    <row r="102">
      <c r="A102" s="42">
        <v>35.0</v>
      </c>
      <c r="B102" s="212">
        <v>146.0</v>
      </c>
      <c r="C102" s="213">
        <v>45696.0</v>
      </c>
      <c r="D102" s="42" t="s">
        <v>602</v>
      </c>
      <c r="E102" s="213">
        <v>45751.0</v>
      </c>
      <c r="F102" s="68">
        <v>613.0</v>
      </c>
      <c r="G102" s="152">
        <v>45698.0</v>
      </c>
      <c r="H102" s="63" t="s">
        <v>643</v>
      </c>
      <c r="I102" s="34" t="s">
        <v>276</v>
      </c>
      <c r="J102" s="77">
        <v>200.0</v>
      </c>
      <c r="K102" s="77" t="s">
        <v>74</v>
      </c>
      <c r="L102" s="210">
        <v>58.0</v>
      </c>
      <c r="M102" s="41">
        <f t="shared" si="1"/>
        <v>11600</v>
      </c>
      <c r="N102" s="41" t="s">
        <v>560</v>
      </c>
      <c r="O102" s="211"/>
    </row>
    <row r="103">
      <c r="A103" s="47"/>
      <c r="B103" s="47"/>
      <c r="C103" s="47"/>
      <c r="D103" s="47"/>
      <c r="E103" s="47"/>
      <c r="F103" s="47"/>
      <c r="G103" s="47"/>
      <c r="H103" s="63" t="s">
        <v>644</v>
      </c>
      <c r="I103" s="34" t="s">
        <v>276</v>
      </c>
      <c r="J103" s="77">
        <v>1.0</v>
      </c>
      <c r="K103" s="77" t="s">
        <v>65</v>
      </c>
      <c r="L103" s="210">
        <v>1690.0</v>
      </c>
      <c r="M103" s="41">
        <f t="shared" si="1"/>
        <v>1690</v>
      </c>
      <c r="N103" s="41" t="s">
        <v>560</v>
      </c>
      <c r="O103" s="211"/>
    </row>
    <row r="104">
      <c r="A104" s="47"/>
      <c r="B104" s="47"/>
      <c r="C104" s="47"/>
      <c r="D104" s="47"/>
      <c r="E104" s="47"/>
      <c r="F104" s="47"/>
      <c r="G104" s="47"/>
      <c r="H104" s="63" t="s">
        <v>287</v>
      </c>
      <c r="I104" s="34" t="s">
        <v>276</v>
      </c>
      <c r="J104" s="153">
        <v>1.0</v>
      </c>
      <c r="K104" s="77" t="s">
        <v>65</v>
      </c>
      <c r="L104" s="210">
        <v>232.0</v>
      </c>
      <c r="M104" s="41">
        <f t="shared" si="1"/>
        <v>232</v>
      </c>
      <c r="N104" s="41" t="s">
        <v>560</v>
      </c>
      <c r="O104" s="211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</row>
    <row r="105">
      <c r="A105" s="47"/>
      <c r="B105" s="47"/>
      <c r="C105" s="47"/>
      <c r="D105" s="47"/>
      <c r="E105" s="47"/>
      <c r="F105" s="47"/>
      <c r="G105" s="47"/>
      <c r="H105" s="63" t="s">
        <v>288</v>
      </c>
      <c r="I105" s="34" t="s">
        <v>276</v>
      </c>
      <c r="J105" s="153">
        <v>30.0</v>
      </c>
      <c r="K105" s="77" t="s">
        <v>98</v>
      </c>
      <c r="L105" s="210">
        <v>12.0</v>
      </c>
      <c r="M105" s="41">
        <f t="shared" si="1"/>
        <v>360</v>
      </c>
      <c r="N105" s="41" t="s">
        <v>560</v>
      </c>
      <c r="O105" s="211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</row>
    <row r="106">
      <c r="A106" s="47"/>
      <c r="B106" s="47"/>
      <c r="C106" s="47"/>
      <c r="D106" s="47"/>
      <c r="E106" s="47"/>
      <c r="F106" s="48"/>
      <c r="G106" s="48"/>
      <c r="H106" s="63" t="s">
        <v>275</v>
      </c>
      <c r="I106" s="34" t="s">
        <v>276</v>
      </c>
      <c r="J106" s="77">
        <v>900.0</v>
      </c>
      <c r="K106" s="77" t="s">
        <v>74</v>
      </c>
      <c r="L106" s="210">
        <v>34.9</v>
      </c>
      <c r="M106" s="41">
        <f t="shared" si="1"/>
        <v>31410</v>
      </c>
      <c r="N106" s="41" t="s">
        <v>560</v>
      </c>
      <c r="O106" s="211"/>
    </row>
    <row r="107">
      <c r="A107" s="48"/>
      <c r="B107" s="48"/>
      <c r="C107" s="48"/>
      <c r="D107" s="48"/>
      <c r="E107" s="48"/>
      <c r="F107" s="31">
        <v>614.0</v>
      </c>
      <c r="G107" s="161">
        <v>45698.0</v>
      </c>
      <c r="H107" s="63" t="s">
        <v>645</v>
      </c>
      <c r="I107" s="34" t="s">
        <v>60</v>
      </c>
      <c r="J107" s="77">
        <v>2.0</v>
      </c>
      <c r="K107" s="77" t="s">
        <v>98</v>
      </c>
      <c r="L107" s="210">
        <v>3700.0</v>
      </c>
      <c r="M107" s="41">
        <f t="shared" si="1"/>
        <v>7400</v>
      </c>
      <c r="N107" s="41" t="s">
        <v>560</v>
      </c>
      <c r="O107" s="211"/>
    </row>
    <row r="108">
      <c r="A108" s="42">
        <v>36.0</v>
      </c>
      <c r="B108" s="212">
        <v>295.0</v>
      </c>
      <c r="C108" s="213">
        <v>45696.0</v>
      </c>
      <c r="D108" s="42" t="s">
        <v>646</v>
      </c>
      <c r="E108" s="213">
        <v>45758.0</v>
      </c>
      <c r="F108" s="42">
        <v>613.0</v>
      </c>
      <c r="G108" s="214">
        <v>45698.0</v>
      </c>
      <c r="H108" s="63" t="s">
        <v>647</v>
      </c>
      <c r="I108" s="34" t="s">
        <v>60</v>
      </c>
      <c r="J108" s="77">
        <v>8.0</v>
      </c>
      <c r="K108" s="77" t="s">
        <v>89</v>
      </c>
      <c r="L108" s="210">
        <v>180.0</v>
      </c>
      <c r="M108" s="41">
        <f t="shared" si="1"/>
        <v>1440</v>
      </c>
      <c r="N108" s="220" t="s">
        <v>560</v>
      </c>
      <c r="O108" s="211"/>
    </row>
    <row r="109">
      <c r="A109" s="48"/>
      <c r="B109" s="48"/>
      <c r="C109" s="48"/>
      <c r="D109" s="48"/>
      <c r="E109" s="48"/>
      <c r="F109" s="48"/>
      <c r="G109" s="48"/>
      <c r="H109" s="63" t="s">
        <v>648</v>
      </c>
      <c r="I109" s="34" t="s">
        <v>276</v>
      </c>
      <c r="J109" s="77">
        <v>1.0</v>
      </c>
      <c r="K109" s="77" t="s">
        <v>89</v>
      </c>
      <c r="L109" s="210">
        <v>1690.0</v>
      </c>
      <c r="M109" s="41">
        <f t="shared" si="1"/>
        <v>1690</v>
      </c>
      <c r="N109" s="220" t="s">
        <v>560</v>
      </c>
      <c r="O109" s="211"/>
    </row>
    <row r="110">
      <c r="A110" s="31">
        <v>37.0</v>
      </c>
      <c r="B110" s="208">
        <v>113.0</v>
      </c>
      <c r="C110" s="209">
        <v>45696.0</v>
      </c>
      <c r="D110" s="31" t="s">
        <v>562</v>
      </c>
      <c r="E110" s="209">
        <v>45821.0</v>
      </c>
      <c r="F110" s="31">
        <v>645.0</v>
      </c>
      <c r="G110" s="161">
        <v>45737.0</v>
      </c>
      <c r="H110" s="63" t="s">
        <v>563</v>
      </c>
      <c r="I110" s="34" t="s">
        <v>564</v>
      </c>
      <c r="J110" s="77">
        <v>539.03</v>
      </c>
      <c r="K110" s="77" t="s">
        <v>565</v>
      </c>
      <c r="L110" s="210">
        <v>328.0</v>
      </c>
      <c r="M110" s="41">
        <f t="shared" si="1"/>
        <v>176801.84</v>
      </c>
      <c r="N110" s="41" t="s">
        <v>581</v>
      </c>
      <c r="O110" s="211"/>
    </row>
    <row r="111">
      <c r="A111" s="42">
        <v>38.0</v>
      </c>
      <c r="B111" s="212">
        <v>155.0</v>
      </c>
      <c r="C111" s="213">
        <v>45697.0</v>
      </c>
      <c r="D111" s="42" t="s">
        <v>649</v>
      </c>
      <c r="E111" s="213">
        <v>45751.0</v>
      </c>
      <c r="F111" s="42">
        <v>616.0</v>
      </c>
      <c r="G111" s="214">
        <v>45703.0</v>
      </c>
      <c r="H111" s="63" t="s">
        <v>650</v>
      </c>
      <c r="I111" s="34" t="s">
        <v>60</v>
      </c>
      <c r="J111" s="77">
        <v>1.0</v>
      </c>
      <c r="K111" s="77" t="s">
        <v>65</v>
      </c>
      <c r="L111" s="210">
        <v>145.0</v>
      </c>
      <c r="M111" s="41">
        <f t="shared" si="1"/>
        <v>145</v>
      </c>
      <c r="N111" s="41" t="s">
        <v>99</v>
      </c>
      <c r="O111" s="211"/>
    </row>
    <row r="112">
      <c r="A112" s="47"/>
      <c r="B112" s="47"/>
      <c r="C112" s="47"/>
      <c r="D112" s="47"/>
      <c r="E112" s="47"/>
      <c r="F112" s="47"/>
      <c r="G112" s="47"/>
      <c r="H112" s="63" t="s">
        <v>651</v>
      </c>
      <c r="I112" s="34" t="s">
        <v>60</v>
      </c>
      <c r="J112" s="153">
        <v>1.0</v>
      </c>
      <c r="K112" s="77" t="s">
        <v>65</v>
      </c>
      <c r="L112" s="210">
        <v>110.0</v>
      </c>
      <c r="M112" s="41">
        <f t="shared" si="1"/>
        <v>110</v>
      </c>
      <c r="N112" s="41" t="s">
        <v>99</v>
      </c>
      <c r="O112" s="211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</row>
    <row r="113">
      <c r="A113" s="47"/>
      <c r="B113" s="47"/>
      <c r="C113" s="47"/>
      <c r="D113" s="47"/>
      <c r="E113" s="47"/>
      <c r="F113" s="47"/>
      <c r="G113" s="47"/>
      <c r="H113" s="155" t="s">
        <v>652</v>
      </c>
      <c r="I113" s="34" t="s">
        <v>60</v>
      </c>
      <c r="J113" s="153">
        <v>4.0</v>
      </c>
      <c r="K113" s="77" t="s">
        <v>65</v>
      </c>
      <c r="L113" s="210">
        <v>110.0</v>
      </c>
      <c r="M113" s="41">
        <f t="shared" si="1"/>
        <v>440</v>
      </c>
      <c r="N113" s="41" t="s">
        <v>99</v>
      </c>
      <c r="O113" s="211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</row>
    <row r="114">
      <c r="A114" s="48"/>
      <c r="B114" s="48"/>
      <c r="C114" s="48"/>
      <c r="D114" s="48"/>
      <c r="E114" s="48"/>
      <c r="F114" s="48"/>
      <c r="G114" s="48"/>
      <c r="H114" s="63" t="s">
        <v>653</v>
      </c>
      <c r="I114" s="34" t="s">
        <v>60</v>
      </c>
      <c r="J114" s="153">
        <v>4.0</v>
      </c>
      <c r="K114" s="77" t="s">
        <v>65</v>
      </c>
      <c r="L114" s="210">
        <v>94.0</v>
      </c>
      <c r="M114" s="41">
        <f t="shared" si="1"/>
        <v>376</v>
      </c>
      <c r="N114" s="41" t="s">
        <v>99</v>
      </c>
      <c r="O114" s="211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</row>
    <row r="115">
      <c r="A115" s="31">
        <v>39.0</v>
      </c>
      <c r="B115" s="208">
        <v>144.0</v>
      </c>
      <c r="C115" s="209">
        <v>45700.0</v>
      </c>
      <c r="D115" s="31" t="s">
        <v>602</v>
      </c>
      <c r="E115" s="209">
        <v>45751.0</v>
      </c>
      <c r="F115" s="31">
        <v>601.0</v>
      </c>
      <c r="G115" s="161">
        <v>45685.0</v>
      </c>
      <c r="H115" s="63" t="s">
        <v>275</v>
      </c>
      <c r="I115" s="34" t="s">
        <v>276</v>
      </c>
      <c r="J115" s="153">
        <v>1350.0</v>
      </c>
      <c r="K115" s="77" t="s">
        <v>74</v>
      </c>
      <c r="L115" s="210">
        <v>34.9</v>
      </c>
      <c r="M115" s="41">
        <f t="shared" si="1"/>
        <v>47115</v>
      </c>
      <c r="N115" s="41" t="s">
        <v>560</v>
      </c>
      <c r="O115" s="211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</row>
    <row r="116">
      <c r="A116" s="31">
        <v>40.0</v>
      </c>
      <c r="B116" s="208">
        <v>145.0</v>
      </c>
      <c r="C116" s="209">
        <v>45700.0</v>
      </c>
      <c r="D116" s="31" t="s">
        <v>602</v>
      </c>
      <c r="E116" s="209">
        <v>45751.0</v>
      </c>
      <c r="F116" s="31">
        <v>611.0</v>
      </c>
      <c r="G116" s="161">
        <v>45692.0</v>
      </c>
      <c r="H116" s="63" t="s">
        <v>350</v>
      </c>
      <c r="I116" s="34" t="s">
        <v>294</v>
      </c>
      <c r="J116" s="153">
        <v>50.0</v>
      </c>
      <c r="K116" s="77" t="s">
        <v>654</v>
      </c>
      <c r="L116" s="210">
        <v>72.0</v>
      </c>
      <c r="M116" s="41">
        <f t="shared" si="1"/>
        <v>3600</v>
      </c>
      <c r="N116" s="41" t="s">
        <v>560</v>
      </c>
      <c r="O116" s="211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</row>
    <row r="117">
      <c r="A117" s="42">
        <v>41.0</v>
      </c>
      <c r="B117" s="212">
        <v>84.0</v>
      </c>
      <c r="C117" s="213">
        <v>45701.0</v>
      </c>
      <c r="D117" s="42" t="s">
        <v>655</v>
      </c>
      <c r="E117" s="213" t="s">
        <v>105</v>
      </c>
      <c r="F117" s="42">
        <v>603.0</v>
      </c>
      <c r="G117" s="214">
        <v>45685.0</v>
      </c>
      <c r="H117" s="63" t="s">
        <v>656</v>
      </c>
      <c r="I117" s="34" t="s">
        <v>60</v>
      </c>
      <c r="J117" s="153">
        <v>6.0</v>
      </c>
      <c r="K117" s="77" t="s">
        <v>89</v>
      </c>
      <c r="L117" s="210">
        <v>26.0</v>
      </c>
      <c r="M117" s="41">
        <f t="shared" si="1"/>
        <v>156</v>
      </c>
      <c r="N117" s="41" t="s">
        <v>185</v>
      </c>
      <c r="O117" s="211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</row>
    <row r="118">
      <c r="A118" s="47"/>
      <c r="B118" s="47"/>
      <c r="C118" s="47"/>
      <c r="D118" s="47"/>
      <c r="E118" s="47"/>
      <c r="F118" s="47"/>
      <c r="G118" s="47"/>
      <c r="H118" s="63" t="s">
        <v>657</v>
      </c>
      <c r="I118" s="34" t="s">
        <v>60</v>
      </c>
      <c r="J118" s="153">
        <v>16.0</v>
      </c>
      <c r="K118" s="77" t="s">
        <v>89</v>
      </c>
      <c r="L118" s="210">
        <v>419.0</v>
      </c>
      <c r="M118" s="41">
        <f t="shared" si="1"/>
        <v>6704</v>
      </c>
      <c r="N118" s="41" t="s">
        <v>185</v>
      </c>
      <c r="O118" s="211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</row>
    <row r="119">
      <c r="A119" s="47"/>
      <c r="B119" s="47"/>
      <c r="C119" s="47"/>
      <c r="D119" s="47"/>
      <c r="E119" s="47"/>
      <c r="F119" s="47"/>
      <c r="G119" s="47"/>
      <c r="H119" s="63" t="s">
        <v>658</v>
      </c>
      <c r="I119" s="34" t="s">
        <v>60</v>
      </c>
      <c r="J119" s="153">
        <v>15.0</v>
      </c>
      <c r="K119" s="77" t="s">
        <v>89</v>
      </c>
      <c r="L119" s="210">
        <v>31.0</v>
      </c>
      <c r="M119" s="41">
        <f t="shared" si="1"/>
        <v>465</v>
      </c>
      <c r="N119" s="41" t="s">
        <v>185</v>
      </c>
      <c r="O119" s="211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</row>
    <row r="120">
      <c r="A120" s="47"/>
      <c r="B120" s="47"/>
      <c r="C120" s="47"/>
      <c r="D120" s="47"/>
      <c r="E120" s="47"/>
      <c r="F120" s="47"/>
      <c r="G120" s="47"/>
      <c r="H120" s="63" t="s">
        <v>659</v>
      </c>
      <c r="I120" s="34" t="s">
        <v>55</v>
      </c>
      <c r="J120" s="153">
        <v>1.0</v>
      </c>
      <c r="K120" s="77" t="s">
        <v>25</v>
      </c>
      <c r="L120" s="210">
        <v>250.0</v>
      </c>
      <c r="M120" s="41">
        <f t="shared" si="1"/>
        <v>250</v>
      </c>
      <c r="N120" s="41" t="s">
        <v>185</v>
      </c>
      <c r="O120" s="211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</row>
    <row r="121">
      <c r="A121" s="47"/>
      <c r="B121" s="47"/>
      <c r="C121" s="47"/>
      <c r="D121" s="47"/>
      <c r="E121" s="47"/>
      <c r="F121" s="47"/>
      <c r="G121" s="47"/>
      <c r="H121" s="63" t="s">
        <v>660</v>
      </c>
      <c r="I121" s="34" t="s">
        <v>60</v>
      </c>
      <c r="J121" s="153">
        <v>14.0</v>
      </c>
      <c r="K121" s="77" t="s">
        <v>89</v>
      </c>
      <c r="L121" s="210">
        <v>680.0</v>
      </c>
      <c r="M121" s="41">
        <f t="shared" si="1"/>
        <v>9520</v>
      </c>
      <c r="N121" s="41" t="s">
        <v>185</v>
      </c>
      <c r="O121" s="211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</row>
    <row r="122">
      <c r="A122" s="47"/>
      <c r="B122" s="47"/>
      <c r="C122" s="47"/>
      <c r="D122" s="47"/>
      <c r="E122" s="47"/>
      <c r="F122" s="47"/>
      <c r="G122" s="47"/>
      <c r="H122" s="63" t="s">
        <v>658</v>
      </c>
      <c r="I122" s="34" t="s">
        <v>60</v>
      </c>
      <c r="J122" s="153">
        <v>14.0</v>
      </c>
      <c r="K122" s="77" t="s">
        <v>89</v>
      </c>
      <c r="L122" s="210">
        <v>110.0</v>
      </c>
      <c r="M122" s="41">
        <f t="shared" si="1"/>
        <v>1540</v>
      </c>
      <c r="N122" s="41" t="s">
        <v>185</v>
      </c>
      <c r="O122" s="211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</row>
    <row r="123">
      <c r="A123" s="47"/>
      <c r="B123" s="47"/>
      <c r="C123" s="47"/>
      <c r="D123" s="47"/>
      <c r="E123" s="47"/>
      <c r="F123" s="47"/>
      <c r="G123" s="47"/>
      <c r="H123" s="63" t="s">
        <v>661</v>
      </c>
      <c r="I123" s="34" t="s">
        <v>84</v>
      </c>
      <c r="J123" s="153">
        <v>1.0</v>
      </c>
      <c r="K123" s="77" t="s">
        <v>89</v>
      </c>
      <c r="L123" s="210">
        <v>750.0</v>
      </c>
      <c r="M123" s="41">
        <f t="shared" si="1"/>
        <v>750</v>
      </c>
      <c r="N123" s="41" t="s">
        <v>185</v>
      </c>
      <c r="O123" s="211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</row>
    <row r="124">
      <c r="A124" s="47"/>
      <c r="B124" s="47"/>
      <c r="C124" s="47"/>
      <c r="D124" s="47"/>
      <c r="E124" s="47"/>
      <c r="F124" s="47"/>
      <c r="G124" s="47"/>
      <c r="H124" s="63" t="s">
        <v>662</v>
      </c>
      <c r="I124" s="34" t="s">
        <v>84</v>
      </c>
      <c r="J124" s="153">
        <v>1.0</v>
      </c>
      <c r="K124" s="77" t="s">
        <v>89</v>
      </c>
      <c r="L124" s="210">
        <v>850.0</v>
      </c>
      <c r="M124" s="41">
        <f t="shared" si="1"/>
        <v>850</v>
      </c>
      <c r="N124" s="41" t="s">
        <v>185</v>
      </c>
      <c r="O124" s="211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</row>
    <row r="125">
      <c r="A125" s="47"/>
      <c r="B125" s="47"/>
      <c r="C125" s="47"/>
      <c r="D125" s="47"/>
      <c r="E125" s="47"/>
      <c r="F125" s="47"/>
      <c r="G125" s="47"/>
      <c r="H125" s="63" t="s">
        <v>663</v>
      </c>
      <c r="I125" s="34" t="s">
        <v>84</v>
      </c>
      <c r="J125" s="153">
        <v>1.0</v>
      </c>
      <c r="K125" s="77" t="s">
        <v>89</v>
      </c>
      <c r="L125" s="210">
        <v>450.0</v>
      </c>
      <c r="M125" s="41">
        <f t="shared" si="1"/>
        <v>450</v>
      </c>
      <c r="N125" s="41" t="s">
        <v>185</v>
      </c>
      <c r="O125" s="211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</row>
    <row r="126">
      <c r="A126" s="47"/>
      <c r="B126" s="47"/>
      <c r="C126" s="47"/>
      <c r="D126" s="47"/>
      <c r="E126" s="47"/>
      <c r="F126" s="47"/>
      <c r="G126" s="48"/>
      <c r="H126" s="63" t="s">
        <v>664</v>
      </c>
      <c r="I126" s="34" t="s">
        <v>84</v>
      </c>
      <c r="J126" s="153">
        <v>1.0</v>
      </c>
      <c r="K126" s="77" t="s">
        <v>89</v>
      </c>
      <c r="L126" s="210">
        <v>7850.0</v>
      </c>
      <c r="M126" s="41">
        <f t="shared" si="1"/>
        <v>7850</v>
      </c>
      <c r="N126" s="41" t="s">
        <v>185</v>
      </c>
      <c r="O126" s="211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</row>
    <row r="127">
      <c r="A127" s="47"/>
      <c r="B127" s="47"/>
      <c r="C127" s="47"/>
      <c r="D127" s="47"/>
      <c r="E127" s="47"/>
      <c r="F127" s="42">
        <v>604.0</v>
      </c>
      <c r="G127" s="214">
        <v>45685.0</v>
      </c>
      <c r="H127" s="63" t="s">
        <v>406</v>
      </c>
      <c r="I127" s="34" t="s">
        <v>60</v>
      </c>
      <c r="J127" s="153">
        <v>5.0</v>
      </c>
      <c r="K127" s="77" t="s">
        <v>89</v>
      </c>
      <c r="L127" s="210">
        <v>90.0</v>
      </c>
      <c r="M127" s="41">
        <f t="shared" si="1"/>
        <v>450</v>
      </c>
      <c r="N127" s="41" t="s">
        <v>185</v>
      </c>
      <c r="O127" s="211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</row>
    <row r="128">
      <c r="A128" s="47"/>
      <c r="B128" s="47"/>
      <c r="C128" s="47"/>
      <c r="D128" s="47"/>
      <c r="E128" s="47"/>
      <c r="F128" s="47"/>
      <c r="G128" s="47"/>
      <c r="H128" s="63" t="s">
        <v>665</v>
      </c>
      <c r="I128" s="34" t="s">
        <v>84</v>
      </c>
      <c r="J128" s="153">
        <v>1.0</v>
      </c>
      <c r="K128" s="77" t="s">
        <v>89</v>
      </c>
      <c r="L128" s="210">
        <v>700.0</v>
      </c>
      <c r="M128" s="41">
        <f t="shared" si="1"/>
        <v>700</v>
      </c>
      <c r="N128" s="41" t="s">
        <v>185</v>
      </c>
      <c r="O128" s="211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</row>
    <row r="129">
      <c r="A129" s="47"/>
      <c r="B129" s="47"/>
      <c r="C129" s="47"/>
      <c r="D129" s="47"/>
      <c r="E129" s="47"/>
      <c r="F129" s="47"/>
      <c r="G129" s="47"/>
      <c r="H129" s="63" t="s">
        <v>666</v>
      </c>
      <c r="I129" s="34" t="s">
        <v>84</v>
      </c>
      <c r="J129" s="153">
        <v>15.0</v>
      </c>
      <c r="K129" s="77" t="s">
        <v>89</v>
      </c>
      <c r="L129" s="210">
        <v>30.0</v>
      </c>
      <c r="M129" s="41">
        <f t="shared" si="1"/>
        <v>450</v>
      </c>
      <c r="N129" s="41" t="s">
        <v>185</v>
      </c>
      <c r="O129" s="211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</row>
    <row r="130">
      <c r="A130" s="47"/>
      <c r="B130" s="47"/>
      <c r="C130" s="47"/>
      <c r="D130" s="47"/>
      <c r="E130" s="47"/>
      <c r="F130" s="47"/>
      <c r="G130" s="47"/>
      <c r="H130" s="63" t="s">
        <v>667</v>
      </c>
      <c r="I130" s="34" t="s">
        <v>84</v>
      </c>
      <c r="J130" s="153">
        <v>1.0</v>
      </c>
      <c r="K130" s="77" t="s">
        <v>89</v>
      </c>
      <c r="L130" s="210">
        <v>3850.0</v>
      </c>
      <c r="M130" s="41">
        <f t="shared" si="1"/>
        <v>3850</v>
      </c>
      <c r="N130" s="41" t="s">
        <v>185</v>
      </c>
      <c r="O130" s="211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</row>
    <row r="131">
      <c r="A131" s="48"/>
      <c r="B131" s="48"/>
      <c r="C131" s="48"/>
      <c r="D131" s="48"/>
      <c r="E131" s="48"/>
      <c r="F131" s="48"/>
      <c r="G131" s="48"/>
      <c r="H131" s="63" t="s">
        <v>668</v>
      </c>
      <c r="I131" s="34" t="s">
        <v>60</v>
      </c>
      <c r="J131" s="153">
        <v>2.0</v>
      </c>
      <c r="K131" s="77" t="s">
        <v>98</v>
      </c>
      <c r="L131" s="210">
        <v>20.0</v>
      </c>
      <c r="M131" s="41">
        <f t="shared" si="1"/>
        <v>40</v>
      </c>
      <c r="N131" s="41" t="s">
        <v>185</v>
      </c>
      <c r="O131" s="211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</row>
    <row r="132">
      <c r="A132" s="42">
        <v>42.0</v>
      </c>
      <c r="B132" s="212" t="s">
        <v>669</v>
      </c>
      <c r="C132" s="213">
        <v>45701.0</v>
      </c>
      <c r="D132" s="42" t="s">
        <v>670</v>
      </c>
      <c r="E132" s="213">
        <v>45751.0</v>
      </c>
      <c r="F132" s="42">
        <v>616.0</v>
      </c>
      <c r="G132" s="214">
        <v>45703.0</v>
      </c>
      <c r="H132" s="63" t="s">
        <v>671</v>
      </c>
      <c r="I132" s="34" t="s">
        <v>60</v>
      </c>
      <c r="J132" s="77">
        <v>1.0</v>
      </c>
      <c r="K132" s="77" t="s">
        <v>89</v>
      </c>
      <c r="L132" s="210">
        <v>1742.0</v>
      </c>
      <c r="M132" s="41">
        <f t="shared" si="1"/>
        <v>1742</v>
      </c>
      <c r="N132" s="41" t="s">
        <v>672</v>
      </c>
      <c r="O132" s="211"/>
    </row>
    <row r="133">
      <c r="A133" s="48"/>
      <c r="B133" s="48"/>
      <c r="C133" s="48"/>
      <c r="D133" s="48"/>
      <c r="E133" s="48"/>
      <c r="F133" s="48"/>
      <c r="G133" s="48"/>
      <c r="H133" s="63" t="s">
        <v>673</v>
      </c>
      <c r="I133" s="34" t="s">
        <v>60</v>
      </c>
      <c r="J133" s="77">
        <v>2.0</v>
      </c>
      <c r="K133" s="77" t="s">
        <v>89</v>
      </c>
      <c r="L133" s="210">
        <v>850.0</v>
      </c>
      <c r="M133" s="41">
        <f t="shared" si="1"/>
        <v>1700</v>
      </c>
      <c r="N133" s="41" t="s">
        <v>672</v>
      </c>
      <c r="O133" s="211"/>
    </row>
    <row r="134">
      <c r="A134" s="31">
        <v>43.0</v>
      </c>
      <c r="B134" s="208">
        <v>114.0</v>
      </c>
      <c r="C134" s="209">
        <v>45703.0</v>
      </c>
      <c r="D134" s="31" t="s">
        <v>583</v>
      </c>
      <c r="E134" s="209">
        <v>45744.0</v>
      </c>
      <c r="F134" s="31">
        <v>646.0</v>
      </c>
      <c r="G134" s="161">
        <v>45737.0</v>
      </c>
      <c r="H134" s="63" t="s">
        <v>563</v>
      </c>
      <c r="I134" s="34" t="s">
        <v>564</v>
      </c>
      <c r="J134" s="77">
        <v>565.32</v>
      </c>
      <c r="K134" s="77" t="s">
        <v>565</v>
      </c>
      <c r="L134" s="210">
        <v>328.0</v>
      </c>
      <c r="M134" s="41">
        <f t="shared" si="1"/>
        <v>185424.96</v>
      </c>
      <c r="N134" s="41" t="s">
        <v>581</v>
      </c>
      <c r="O134" s="211"/>
    </row>
    <row r="135">
      <c r="A135" s="31">
        <v>44.0</v>
      </c>
      <c r="B135" s="208">
        <v>115.0</v>
      </c>
      <c r="C135" s="209">
        <v>45703.0</v>
      </c>
      <c r="D135" s="31" t="s">
        <v>583</v>
      </c>
      <c r="E135" s="209">
        <v>45744.0</v>
      </c>
      <c r="F135" s="31">
        <v>646.0</v>
      </c>
      <c r="G135" s="161">
        <v>45737.0</v>
      </c>
      <c r="H135" s="63" t="s">
        <v>563</v>
      </c>
      <c r="I135" s="34" t="s">
        <v>564</v>
      </c>
      <c r="J135" s="77">
        <v>550.1</v>
      </c>
      <c r="K135" s="77" t="s">
        <v>565</v>
      </c>
      <c r="L135" s="210">
        <v>328.0</v>
      </c>
      <c r="M135" s="41">
        <f t="shared" si="1"/>
        <v>180432.8</v>
      </c>
      <c r="N135" s="41" t="s">
        <v>581</v>
      </c>
      <c r="O135" s="211"/>
    </row>
    <row r="136">
      <c r="A136" s="42">
        <v>45.0</v>
      </c>
      <c r="B136" s="212">
        <v>156.0</v>
      </c>
      <c r="C136" s="213">
        <v>45705.0</v>
      </c>
      <c r="D136" s="42" t="s">
        <v>674</v>
      </c>
      <c r="E136" s="213">
        <v>45769.0</v>
      </c>
      <c r="F136" s="42">
        <v>618.0</v>
      </c>
      <c r="G136" s="214">
        <v>45706.0</v>
      </c>
      <c r="H136" s="63" t="s">
        <v>675</v>
      </c>
      <c r="I136" s="34" t="s">
        <v>429</v>
      </c>
      <c r="J136" s="77">
        <v>1.0</v>
      </c>
      <c r="K136" s="77" t="s">
        <v>89</v>
      </c>
      <c r="L136" s="210">
        <v>7850.0</v>
      </c>
      <c r="M136" s="41">
        <f t="shared" si="1"/>
        <v>7850</v>
      </c>
      <c r="N136" s="220" t="s">
        <v>676</v>
      </c>
      <c r="O136" s="211"/>
    </row>
    <row r="137">
      <c r="A137" s="47"/>
      <c r="B137" s="47"/>
      <c r="C137" s="47"/>
      <c r="D137" s="47"/>
      <c r="E137" s="47"/>
      <c r="F137" s="47"/>
      <c r="G137" s="47"/>
      <c r="H137" s="63" t="s">
        <v>677</v>
      </c>
      <c r="I137" s="34" t="s">
        <v>429</v>
      </c>
      <c r="J137" s="77">
        <v>6.0</v>
      </c>
      <c r="K137" s="77" t="s">
        <v>89</v>
      </c>
      <c r="L137" s="210">
        <v>5999.0</v>
      </c>
      <c r="M137" s="41">
        <f t="shared" si="1"/>
        <v>35994</v>
      </c>
      <c r="N137" s="220" t="s">
        <v>676</v>
      </c>
      <c r="O137" s="211"/>
    </row>
    <row r="138">
      <c r="A138" s="47"/>
      <c r="B138" s="47"/>
      <c r="C138" s="47"/>
      <c r="D138" s="47"/>
      <c r="E138" s="47"/>
      <c r="F138" s="47"/>
      <c r="G138" s="47"/>
      <c r="H138" s="63" t="s">
        <v>678</v>
      </c>
      <c r="I138" s="34" t="s">
        <v>429</v>
      </c>
      <c r="J138" s="77">
        <v>7.0</v>
      </c>
      <c r="K138" s="77" t="s">
        <v>89</v>
      </c>
      <c r="L138" s="210">
        <v>680.0</v>
      </c>
      <c r="M138" s="41">
        <f t="shared" si="1"/>
        <v>4760</v>
      </c>
      <c r="N138" s="220" t="s">
        <v>676</v>
      </c>
      <c r="O138" s="211"/>
    </row>
    <row r="139">
      <c r="A139" s="47"/>
      <c r="B139" s="47"/>
      <c r="C139" s="47"/>
      <c r="D139" s="47"/>
      <c r="E139" s="47"/>
      <c r="F139" s="47"/>
      <c r="G139" s="47"/>
      <c r="H139" s="63" t="s">
        <v>679</v>
      </c>
      <c r="I139" s="34" t="s">
        <v>429</v>
      </c>
      <c r="J139" s="77">
        <v>7.0</v>
      </c>
      <c r="K139" s="77" t="s">
        <v>89</v>
      </c>
      <c r="L139" s="210">
        <v>1890.0</v>
      </c>
      <c r="M139" s="41">
        <f t="shared" si="1"/>
        <v>13230</v>
      </c>
      <c r="N139" s="220" t="s">
        <v>676</v>
      </c>
      <c r="O139" s="211"/>
    </row>
    <row r="140">
      <c r="A140" s="48"/>
      <c r="B140" s="48"/>
      <c r="C140" s="48"/>
      <c r="D140" s="48"/>
      <c r="E140" s="48"/>
      <c r="F140" s="48"/>
      <c r="G140" s="48"/>
      <c r="H140" s="63" t="s">
        <v>680</v>
      </c>
      <c r="I140" s="34" t="s">
        <v>429</v>
      </c>
      <c r="J140" s="77">
        <v>5.0</v>
      </c>
      <c r="K140" s="77" t="s">
        <v>89</v>
      </c>
      <c r="L140" s="210">
        <v>1200.0</v>
      </c>
      <c r="M140" s="41">
        <f t="shared" si="1"/>
        <v>6000</v>
      </c>
      <c r="N140" s="220" t="s">
        <v>676</v>
      </c>
      <c r="O140" s="211"/>
    </row>
    <row r="141">
      <c r="A141" s="31">
        <v>46.0</v>
      </c>
      <c r="B141" s="208">
        <v>167.0</v>
      </c>
      <c r="C141" s="209">
        <v>45706.0</v>
      </c>
      <c r="D141" s="31" t="s">
        <v>655</v>
      </c>
      <c r="E141" s="209" t="s">
        <v>105</v>
      </c>
      <c r="F141" s="31">
        <v>622.0</v>
      </c>
      <c r="G141" s="161">
        <v>45708.0</v>
      </c>
      <c r="H141" s="63" t="s">
        <v>681</v>
      </c>
      <c r="I141" s="34" t="s">
        <v>429</v>
      </c>
      <c r="J141" s="77">
        <v>1.0</v>
      </c>
      <c r="K141" s="77" t="s">
        <v>89</v>
      </c>
      <c r="L141" s="210">
        <v>1750.0</v>
      </c>
      <c r="M141" s="41">
        <f t="shared" si="1"/>
        <v>1750</v>
      </c>
      <c r="N141" s="41" t="s">
        <v>269</v>
      </c>
      <c r="O141" s="211"/>
    </row>
    <row r="142">
      <c r="A142" s="42">
        <v>47.0</v>
      </c>
      <c r="B142" s="212">
        <v>153.0</v>
      </c>
      <c r="C142" s="213">
        <v>45706.0</v>
      </c>
      <c r="D142" s="42" t="s">
        <v>649</v>
      </c>
      <c r="E142" s="213">
        <v>45751.0</v>
      </c>
      <c r="F142" s="42">
        <v>622.0</v>
      </c>
      <c r="G142" s="214">
        <v>45708.0</v>
      </c>
      <c r="H142" s="63" t="s">
        <v>275</v>
      </c>
      <c r="I142" s="34" t="s">
        <v>276</v>
      </c>
      <c r="J142" s="77">
        <v>900.0</v>
      </c>
      <c r="K142" s="77" t="s">
        <v>74</v>
      </c>
      <c r="L142" s="210">
        <v>34.9</v>
      </c>
      <c r="M142" s="41">
        <f t="shared" si="1"/>
        <v>31410</v>
      </c>
      <c r="N142" s="41" t="s">
        <v>99</v>
      </c>
      <c r="O142" s="211"/>
    </row>
    <row r="143">
      <c r="A143" s="47"/>
      <c r="B143" s="47"/>
      <c r="C143" s="47"/>
      <c r="D143" s="47"/>
      <c r="E143" s="47"/>
      <c r="F143" s="47"/>
      <c r="G143" s="47"/>
      <c r="H143" s="63" t="s">
        <v>281</v>
      </c>
      <c r="I143" s="34" t="s">
        <v>276</v>
      </c>
      <c r="J143" s="77">
        <v>450.0</v>
      </c>
      <c r="K143" s="77" t="s">
        <v>74</v>
      </c>
      <c r="L143" s="210">
        <v>15.5</v>
      </c>
      <c r="M143" s="41">
        <f t="shared" si="1"/>
        <v>6975</v>
      </c>
      <c r="N143" s="41" t="s">
        <v>99</v>
      </c>
      <c r="O143" s="211"/>
    </row>
    <row r="144">
      <c r="A144" s="47"/>
      <c r="B144" s="47"/>
      <c r="C144" s="47"/>
      <c r="D144" s="47"/>
      <c r="E144" s="47"/>
      <c r="F144" s="47"/>
      <c r="G144" s="47"/>
      <c r="H144" s="63" t="s">
        <v>279</v>
      </c>
      <c r="I144" s="34" t="s">
        <v>276</v>
      </c>
      <c r="J144" s="77">
        <v>100.0</v>
      </c>
      <c r="K144" s="77" t="s">
        <v>65</v>
      </c>
      <c r="L144" s="210">
        <v>185.0</v>
      </c>
      <c r="M144" s="41">
        <f t="shared" si="1"/>
        <v>18500</v>
      </c>
      <c r="N144" s="41" t="s">
        <v>99</v>
      </c>
      <c r="O144" s="211"/>
    </row>
    <row r="145">
      <c r="A145" s="47"/>
      <c r="B145" s="47"/>
      <c r="C145" s="47"/>
      <c r="D145" s="47"/>
      <c r="E145" s="47"/>
      <c r="F145" s="47"/>
      <c r="G145" s="47"/>
      <c r="H145" s="63" t="s">
        <v>682</v>
      </c>
      <c r="I145" s="34" t="s">
        <v>276</v>
      </c>
      <c r="J145" s="77">
        <v>100.0</v>
      </c>
      <c r="K145" s="77" t="s">
        <v>65</v>
      </c>
      <c r="L145" s="210">
        <v>31.0</v>
      </c>
      <c r="M145" s="41">
        <f t="shared" si="1"/>
        <v>3100</v>
      </c>
      <c r="N145" s="41" t="s">
        <v>99</v>
      </c>
      <c r="O145" s="211"/>
    </row>
    <row r="146">
      <c r="A146" s="47"/>
      <c r="B146" s="47"/>
      <c r="C146" s="47"/>
      <c r="D146" s="47"/>
      <c r="E146" s="47"/>
      <c r="F146" s="47"/>
      <c r="G146" s="47"/>
      <c r="H146" s="63" t="s">
        <v>511</v>
      </c>
      <c r="I146" s="34" t="s">
        <v>276</v>
      </c>
      <c r="J146" s="153">
        <v>1.0</v>
      </c>
      <c r="K146" s="77" t="s">
        <v>65</v>
      </c>
      <c r="L146" s="210">
        <v>900.0</v>
      </c>
      <c r="M146" s="41">
        <f t="shared" si="1"/>
        <v>900</v>
      </c>
      <c r="N146" s="41" t="s">
        <v>99</v>
      </c>
      <c r="O146" s="211"/>
    </row>
    <row r="147">
      <c r="A147" s="47"/>
      <c r="B147" s="47"/>
      <c r="C147" s="47"/>
      <c r="D147" s="47"/>
      <c r="E147" s="47"/>
      <c r="F147" s="47"/>
      <c r="G147" s="47"/>
      <c r="H147" s="63" t="s">
        <v>443</v>
      </c>
      <c r="I147" s="34" t="s">
        <v>276</v>
      </c>
      <c r="J147" s="153">
        <v>5.0</v>
      </c>
      <c r="K147" s="77" t="s">
        <v>65</v>
      </c>
      <c r="L147" s="210">
        <v>220.0</v>
      </c>
      <c r="M147" s="41">
        <f t="shared" si="1"/>
        <v>1100</v>
      </c>
      <c r="N147" s="41" t="s">
        <v>99</v>
      </c>
      <c r="O147" s="211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</row>
    <row r="148">
      <c r="A148" s="47"/>
      <c r="B148" s="47"/>
      <c r="C148" s="47"/>
      <c r="D148" s="47"/>
      <c r="E148" s="47"/>
      <c r="F148" s="47"/>
      <c r="G148" s="47"/>
      <c r="H148" s="63" t="s">
        <v>448</v>
      </c>
      <c r="I148" s="34" t="s">
        <v>29</v>
      </c>
      <c r="J148" s="153">
        <v>5.0</v>
      </c>
      <c r="K148" s="77" t="s">
        <v>65</v>
      </c>
      <c r="L148" s="210">
        <v>90.0</v>
      </c>
      <c r="M148" s="41">
        <f t="shared" si="1"/>
        <v>450</v>
      </c>
      <c r="N148" s="41" t="s">
        <v>99</v>
      </c>
      <c r="O148" s="211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</row>
    <row r="149">
      <c r="A149" s="47"/>
      <c r="B149" s="47"/>
      <c r="C149" s="47"/>
      <c r="D149" s="47"/>
      <c r="E149" s="47"/>
      <c r="F149" s="47"/>
      <c r="G149" s="47"/>
      <c r="H149" s="63" t="s">
        <v>634</v>
      </c>
      <c r="I149" s="34" t="s">
        <v>51</v>
      </c>
      <c r="J149" s="153">
        <v>1.0</v>
      </c>
      <c r="K149" s="77" t="s">
        <v>65</v>
      </c>
      <c r="L149" s="210">
        <v>4150.0</v>
      </c>
      <c r="M149" s="41">
        <f t="shared" si="1"/>
        <v>4150</v>
      </c>
      <c r="N149" s="41" t="s">
        <v>99</v>
      </c>
      <c r="O149" s="211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</row>
    <row r="150">
      <c r="A150" s="47"/>
      <c r="B150" s="47"/>
      <c r="C150" s="47"/>
      <c r="D150" s="47"/>
      <c r="E150" s="47"/>
      <c r="F150" s="47"/>
      <c r="G150" s="47"/>
      <c r="H150" s="63" t="s">
        <v>323</v>
      </c>
      <c r="I150" s="34" t="s">
        <v>29</v>
      </c>
      <c r="J150" s="153">
        <v>10.0</v>
      </c>
      <c r="K150" s="77" t="s">
        <v>65</v>
      </c>
      <c r="L150" s="210">
        <v>380.0</v>
      </c>
      <c r="M150" s="41">
        <f t="shared" si="1"/>
        <v>3800</v>
      </c>
      <c r="N150" s="41" t="s">
        <v>99</v>
      </c>
      <c r="O150" s="211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</row>
    <row r="151">
      <c r="A151" s="47"/>
      <c r="B151" s="47"/>
      <c r="C151" s="47"/>
      <c r="D151" s="47"/>
      <c r="E151" s="47"/>
      <c r="F151" s="47"/>
      <c r="G151" s="48"/>
      <c r="H151" s="63" t="s">
        <v>528</v>
      </c>
      <c r="I151" s="34" t="s">
        <v>60</v>
      </c>
      <c r="J151" s="153">
        <v>4.0</v>
      </c>
      <c r="K151" s="77" t="s">
        <v>98</v>
      </c>
      <c r="L151" s="210">
        <v>3000.0</v>
      </c>
      <c r="M151" s="41">
        <f t="shared" si="1"/>
        <v>12000</v>
      </c>
      <c r="N151" s="41" t="s">
        <v>99</v>
      </c>
      <c r="O151" s="211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</row>
    <row r="152">
      <c r="A152" s="47"/>
      <c r="B152" s="47"/>
      <c r="C152" s="47"/>
      <c r="D152" s="47"/>
      <c r="E152" s="47"/>
      <c r="F152" s="42">
        <v>623.0</v>
      </c>
      <c r="G152" s="214">
        <v>45708.0</v>
      </c>
      <c r="H152" s="63" t="s">
        <v>610</v>
      </c>
      <c r="I152" s="34" t="s">
        <v>29</v>
      </c>
      <c r="J152" s="153">
        <v>20.0</v>
      </c>
      <c r="K152" s="77" t="s">
        <v>65</v>
      </c>
      <c r="L152" s="210">
        <v>80.0</v>
      </c>
      <c r="M152" s="41">
        <f t="shared" si="1"/>
        <v>1600</v>
      </c>
      <c r="N152" s="41" t="s">
        <v>99</v>
      </c>
      <c r="O152" s="211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</row>
    <row r="153">
      <c r="A153" s="48"/>
      <c r="B153" s="48"/>
      <c r="C153" s="48"/>
      <c r="D153" s="48"/>
      <c r="E153" s="48"/>
      <c r="F153" s="48"/>
      <c r="G153" s="48"/>
      <c r="H153" s="63" t="s">
        <v>683</v>
      </c>
      <c r="I153" s="34" t="s">
        <v>276</v>
      </c>
      <c r="J153" s="77">
        <v>150.0</v>
      </c>
      <c r="K153" s="77" t="s">
        <v>74</v>
      </c>
      <c r="L153" s="210">
        <v>58.0</v>
      </c>
      <c r="M153" s="41">
        <f t="shared" si="1"/>
        <v>8700</v>
      </c>
      <c r="N153" s="41" t="s">
        <v>99</v>
      </c>
      <c r="O153" s="211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</row>
    <row r="154">
      <c r="A154" s="42">
        <v>48.0</v>
      </c>
      <c r="B154" s="212">
        <v>154.0</v>
      </c>
      <c r="C154" s="213">
        <v>45706.0</v>
      </c>
      <c r="D154" s="42" t="s">
        <v>649</v>
      </c>
      <c r="E154" s="213">
        <v>45751.0</v>
      </c>
      <c r="F154" s="42">
        <v>623.0</v>
      </c>
      <c r="G154" s="214">
        <v>45708.0</v>
      </c>
      <c r="H154" s="63" t="s">
        <v>624</v>
      </c>
      <c r="I154" s="34" t="s">
        <v>82</v>
      </c>
      <c r="J154" s="153">
        <v>12.0</v>
      </c>
      <c r="K154" s="77" t="s">
        <v>65</v>
      </c>
      <c r="L154" s="210">
        <v>12.0</v>
      </c>
      <c r="M154" s="41">
        <f t="shared" si="1"/>
        <v>144</v>
      </c>
      <c r="N154" s="41" t="s">
        <v>99</v>
      </c>
      <c r="O154" s="211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</row>
    <row r="155">
      <c r="A155" s="47"/>
      <c r="B155" s="47"/>
      <c r="C155" s="47"/>
      <c r="D155" s="47"/>
      <c r="E155" s="47"/>
      <c r="F155" s="47"/>
      <c r="G155" s="48"/>
      <c r="H155" s="63" t="s">
        <v>684</v>
      </c>
      <c r="I155" s="34" t="s">
        <v>82</v>
      </c>
      <c r="J155" s="153">
        <v>5.0</v>
      </c>
      <c r="K155" s="77" t="s">
        <v>65</v>
      </c>
      <c r="L155" s="210">
        <v>30.0</v>
      </c>
      <c r="M155" s="41">
        <f t="shared" si="1"/>
        <v>150</v>
      </c>
      <c r="N155" s="41" t="s">
        <v>99</v>
      </c>
      <c r="O155" s="211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</row>
    <row r="156">
      <c r="A156" s="48"/>
      <c r="B156" s="48"/>
      <c r="C156" s="48"/>
      <c r="D156" s="48"/>
      <c r="E156" s="48"/>
      <c r="F156" s="51">
        <v>626.0</v>
      </c>
      <c r="G156" s="221">
        <v>45715.0</v>
      </c>
      <c r="H156" s="63" t="s">
        <v>685</v>
      </c>
      <c r="I156" s="34" t="s">
        <v>51</v>
      </c>
      <c r="J156" s="153">
        <v>1.0</v>
      </c>
      <c r="K156" s="77" t="s">
        <v>65</v>
      </c>
      <c r="L156" s="210">
        <v>7000.0</v>
      </c>
      <c r="M156" s="41">
        <f t="shared" si="1"/>
        <v>7000</v>
      </c>
      <c r="N156" s="41" t="s">
        <v>99</v>
      </c>
      <c r="O156" s="211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</row>
    <row r="157">
      <c r="A157" s="42"/>
      <c r="B157" s="217"/>
      <c r="C157" s="213"/>
      <c r="D157" s="42"/>
      <c r="E157" s="213"/>
      <c r="F157" s="42">
        <v>618.0</v>
      </c>
      <c r="G157" s="214">
        <v>45706.0</v>
      </c>
      <c r="H157" s="63" t="s">
        <v>686</v>
      </c>
      <c r="I157" s="34" t="s">
        <v>429</v>
      </c>
      <c r="J157" s="153">
        <v>20.0</v>
      </c>
      <c r="K157" s="77" t="s">
        <v>89</v>
      </c>
      <c r="L157" s="210">
        <v>135.0</v>
      </c>
      <c r="M157" s="41">
        <f t="shared" si="1"/>
        <v>2700</v>
      </c>
      <c r="N157" s="222"/>
      <c r="O157" s="211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</row>
    <row r="158">
      <c r="A158" s="47"/>
      <c r="B158" s="47"/>
      <c r="C158" s="47"/>
      <c r="D158" s="47"/>
      <c r="E158" s="47"/>
      <c r="F158" s="47"/>
      <c r="G158" s="47"/>
      <c r="H158" s="63" t="s">
        <v>687</v>
      </c>
      <c r="I158" s="34" t="s">
        <v>429</v>
      </c>
      <c r="J158" s="153">
        <v>20.0</v>
      </c>
      <c r="K158" s="77" t="s">
        <v>89</v>
      </c>
      <c r="L158" s="210">
        <v>45.0</v>
      </c>
      <c r="M158" s="41">
        <f t="shared" si="1"/>
        <v>900</v>
      </c>
      <c r="N158" s="222"/>
      <c r="O158" s="211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</row>
    <row r="159">
      <c r="A159" s="47"/>
      <c r="B159" s="47"/>
      <c r="C159" s="47"/>
      <c r="D159" s="47"/>
      <c r="E159" s="47"/>
      <c r="F159" s="47"/>
      <c r="G159" s="47"/>
      <c r="H159" s="63" t="s">
        <v>688</v>
      </c>
      <c r="I159" s="34" t="s">
        <v>429</v>
      </c>
      <c r="J159" s="153">
        <v>20.0</v>
      </c>
      <c r="K159" s="77" t="s">
        <v>89</v>
      </c>
      <c r="L159" s="210">
        <v>45.0</v>
      </c>
      <c r="M159" s="41">
        <f t="shared" si="1"/>
        <v>900</v>
      </c>
      <c r="N159" s="222"/>
      <c r="O159" s="211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</row>
    <row r="160">
      <c r="A160" s="47"/>
      <c r="B160" s="47"/>
      <c r="C160" s="47"/>
      <c r="D160" s="47"/>
      <c r="E160" s="47"/>
      <c r="F160" s="47"/>
      <c r="G160" s="47"/>
      <c r="H160" s="63" t="s">
        <v>689</v>
      </c>
      <c r="I160" s="34" t="s">
        <v>429</v>
      </c>
      <c r="J160" s="153">
        <v>24.0</v>
      </c>
      <c r="K160" s="77" t="s">
        <v>89</v>
      </c>
      <c r="L160" s="210">
        <v>35.0</v>
      </c>
      <c r="M160" s="41">
        <f t="shared" si="1"/>
        <v>840</v>
      </c>
      <c r="N160" s="222"/>
      <c r="O160" s="211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</row>
    <row r="161">
      <c r="A161" s="47"/>
      <c r="B161" s="47"/>
      <c r="C161" s="47"/>
      <c r="D161" s="47"/>
      <c r="E161" s="47"/>
      <c r="F161" s="47"/>
      <c r="G161" s="47"/>
      <c r="H161" s="63" t="s">
        <v>690</v>
      </c>
      <c r="I161" s="34" t="s">
        <v>429</v>
      </c>
      <c r="J161" s="153">
        <v>1.0</v>
      </c>
      <c r="K161" s="77" t="s">
        <v>89</v>
      </c>
      <c r="L161" s="210">
        <v>3800.0</v>
      </c>
      <c r="M161" s="41">
        <f t="shared" si="1"/>
        <v>3800</v>
      </c>
      <c r="N161" s="222"/>
      <c r="O161" s="211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</row>
    <row r="162">
      <c r="A162" s="47"/>
      <c r="B162" s="47"/>
      <c r="C162" s="47"/>
      <c r="D162" s="47"/>
      <c r="E162" s="47"/>
      <c r="F162" s="47"/>
      <c r="G162" s="47"/>
      <c r="H162" s="63" t="s">
        <v>691</v>
      </c>
      <c r="I162" s="34" t="s">
        <v>429</v>
      </c>
      <c r="J162" s="153">
        <v>7.0</v>
      </c>
      <c r="K162" s="77" t="s">
        <v>319</v>
      </c>
      <c r="L162" s="210">
        <v>340.0</v>
      </c>
      <c r="M162" s="41">
        <f t="shared" si="1"/>
        <v>2380</v>
      </c>
      <c r="N162" s="222"/>
      <c r="O162" s="211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</row>
    <row r="163">
      <c r="A163" s="47"/>
      <c r="B163" s="47"/>
      <c r="C163" s="47"/>
      <c r="D163" s="47"/>
      <c r="E163" s="47"/>
      <c r="F163" s="47"/>
      <c r="G163" s="47"/>
      <c r="H163" s="63" t="s">
        <v>692</v>
      </c>
      <c r="I163" s="34" t="s">
        <v>429</v>
      </c>
      <c r="J163" s="153">
        <v>1.0</v>
      </c>
      <c r="K163" s="77" t="s">
        <v>89</v>
      </c>
      <c r="L163" s="210">
        <v>450.0</v>
      </c>
      <c r="M163" s="41">
        <f t="shared" si="1"/>
        <v>450</v>
      </c>
      <c r="N163" s="222"/>
      <c r="O163" s="211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</row>
    <row r="164">
      <c r="A164" s="47"/>
      <c r="B164" s="47"/>
      <c r="C164" s="47"/>
      <c r="D164" s="47"/>
      <c r="E164" s="47"/>
      <c r="F164" s="47"/>
      <c r="G164" s="47"/>
      <c r="H164" s="63" t="s">
        <v>693</v>
      </c>
      <c r="I164" s="34" t="s">
        <v>429</v>
      </c>
      <c r="J164" s="153">
        <v>20.0</v>
      </c>
      <c r="K164" s="77" t="s">
        <v>89</v>
      </c>
      <c r="L164" s="210">
        <v>55.0</v>
      </c>
      <c r="M164" s="41">
        <f t="shared" si="1"/>
        <v>1100</v>
      </c>
      <c r="N164" s="222"/>
      <c r="O164" s="211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</row>
    <row r="165">
      <c r="A165" s="47"/>
      <c r="B165" s="47"/>
      <c r="C165" s="47"/>
      <c r="D165" s="47"/>
      <c r="E165" s="47"/>
      <c r="F165" s="47"/>
      <c r="G165" s="47"/>
      <c r="H165" s="63" t="s">
        <v>694</v>
      </c>
      <c r="I165" s="34" t="s">
        <v>429</v>
      </c>
      <c r="J165" s="153">
        <v>1.0</v>
      </c>
      <c r="K165" s="77" t="s">
        <v>89</v>
      </c>
      <c r="L165" s="210">
        <v>2290.0</v>
      </c>
      <c r="M165" s="41">
        <f t="shared" si="1"/>
        <v>2290</v>
      </c>
      <c r="N165" s="222"/>
      <c r="O165" s="211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</row>
    <row r="166">
      <c r="A166" s="47"/>
      <c r="B166" s="47"/>
      <c r="C166" s="47"/>
      <c r="D166" s="47"/>
      <c r="E166" s="47"/>
      <c r="F166" s="47"/>
      <c r="G166" s="47"/>
      <c r="H166" s="63" t="s">
        <v>695</v>
      </c>
      <c r="I166" s="34" t="s">
        <v>429</v>
      </c>
      <c r="J166" s="153">
        <v>1.0</v>
      </c>
      <c r="K166" s="77" t="s">
        <v>89</v>
      </c>
      <c r="L166" s="210">
        <v>1899.0</v>
      </c>
      <c r="M166" s="41">
        <f t="shared" si="1"/>
        <v>1899</v>
      </c>
      <c r="N166" s="222"/>
      <c r="O166" s="211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</row>
    <row r="167">
      <c r="A167" s="47"/>
      <c r="B167" s="47"/>
      <c r="C167" s="47"/>
      <c r="D167" s="47"/>
      <c r="E167" s="47"/>
      <c r="F167" s="47"/>
      <c r="G167" s="48"/>
      <c r="H167" s="63" t="s">
        <v>696</v>
      </c>
      <c r="I167" s="34" t="s">
        <v>429</v>
      </c>
      <c r="J167" s="153">
        <v>2.0</v>
      </c>
      <c r="K167" s="77" t="s">
        <v>89</v>
      </c>
      <c r="L167" s="210">
        <v>1299.0</v>
      </c>
      <c r="M167" s="41">
        <f t="shared" si="1"/>
        <v>2598</v>
      </c>
      <c r="N167" s="222"/>
      <c r="O167" s="211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</row>
    <row r="168">
      <c r="A168" s="47"/>
      <c r="B168" s="47"/>
      <c r="C168" s="47"/>
      <c r="D168" s="47"/>
      <c r="E168" s="47"/>
      <c r="F168" s="223">
        <v>620.0</v>
      </c>
      <c r="G168" s="161">
        <v>45706.0</v>
      </c>
      <c r="H168" s="63" t="s">
        <v>697</v>
      </c>
      <c r="I168" s="34" t="s">
        <v>429</v>
      </c>
      <c r="J168" s="153">
        <v>1.0</v>
      </c>
      <c r="K168" s="77" t="s">
        <v>89</v>
      </c>
      <c r="L168" s="210">
        <v>1580.0</v>
      </c>
      <c r="M168" s="41">
        <f t="shared" si="1"/>
        <v>1580</v>
      </c>
      <c r="N168" s="222"/>
      <c r="O168" s="211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</row>
    <row r="169">
      <c r="A169" s="47"/>
      <c r="B169" s="47"/>
      <c r="C169" s="47"/>
      <c r="D169" s="47"/>
      <c r="E169" s="47"/>
      <c r="F169" s="68">
        <v>619.0</v>
      </c>
      <c r="G169" s="152">
        <v>45706.0</v>
      </c>
      <c r="H169" s="63" t="s">
        <v>698</v>
      </c>
      <c r="I169" s="34" t="s">
        <v>429</v>
      </c>
      <c r="J169" s="153">
        <v>1.0</v>
      </c>
      <c r="K169" s="77" t="s">
        <v>89</v>
      </c>
      <c r="L169" s="210">
        <v>2850.0</v>
      </c>
      <c r="M169" s="41">
        <f t="shared" si="1"/>
        <v>2850</v>
      </c>
      <c r="N169" s="222"/>
      <c r="O169" s="211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</row>
    <row r="170">
      <c r="A170" s="47"/>
      <c r="B170" s="47"/>
      <c r="C170" s="47"/>
      <c r="D170" s="47"/>
      <c r="E170" s="47"/>
      <c r="F170" s="47"/>
      <c r="G170" s="47"/>
      <c r="H170" s="63" t="s">
        <v>699</v>
      </c>
      <c r="I170" s="34" t="s">
        <v>429</v>
      </c>
      <c r="J170" s="153">
        <v>1.0</v>
      </c>
      <c r="K170" s="77" t="s">
        <v>89</v>
      </c>
      <c r="L170" s="210">
        <v>1450.0</v>
      </c>
      <c r="M170" s="41">
        <f t="shared" si="1"/>
        <v>1450</v>
      </c>
      <c r="N170" s="222"/>
      <c r="O170" s="211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</row>
    <row r="171">
      <c r="A171" s="47"/>
      <c r="B171" s="47"/>
      <c r="C171" s="47"/>
      <c r="D171" s="47"/>
      <c r="E171" s="47"/>
      <c r="F171" s="47"/>
      <c r="G171" s="47"/>
      <c r="H171" s="63" t="s">
        <v>700</v>
      </c>
      <c r="I171" s="34" t="s">
        <v>429</v>
      </c>
      <c r="J171" s="153">
        <v>1.0</v>
      </c>
      <c r="K171" s="77" t="s">
        <v>89</v>
      </c>
      <c r="L171" s="210">
        <v>390.0</v>
      </c>
      <c r="M171" s="41">
        <f t="shared" si="1"/>
        <v>390</v>
      </c>
      <c r="N171" s="222"/>
      <c r="O171" s="211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</row>
    <row r="172">
      <c r="A172" s="47"/>
      <c r="B172" s="47"/>
      <c r="C172" s="47"/>
      <c r="D172" s="47"/>
      <c r="E172" s="47"/>
      <c r="F172" s="47"/>
      <c r="G172" s="47"/>
      <c r="H172" s="63" t="s">
        <v>701</v>
      </c>
      <c r="I172" s="34" t="s">
        <v>429</v>
      </c>
      <c r="J172" s="153">
        <v>3.0</v>
      </c>
      <c r="K172" s="77" t="s">
        <v>89</v>
      </c>
      <c r="L172" s="210">
        <v>550.0</v>
      </c>
      <c r="M172" s="41">
        <f t="shared" si="1"/>
        <v>1650</v>
      </c>
      <c r="N172" s="222"/>
      <c r="O172" s="211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</row>
    <row r="173">
      <c r="A173" s="47"/>
      <c r="B173" s="47"/>
      <c r="C173" s="47"/>
      <c r="D173" s="47"/>
      <c r="E173" s="47"/>
      <c r="F173" s="47"/>
      <c r="G173" s="47"/>
      <c r="H173" s="63" t="s">
        <v>702</v>
      </c>
      <c r="I173" s="34" t="s">
        <v>429</v>
      </c>
      <c r="J173" s="153">
        <v>2.0</v>
      </c>
      <c r="K173" s="77" t="s">
        <v>89</v>
      </c>
      <c r="L173" s="210">
        <v>150.0</v>
      </c>
      <c r="M173" s="41">
        <f t="shared" si="1"/>
        <v>300</v>
      </c>
      <c r="N173" s="222"/>
      <c r="O173" s="211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</row>
    <row r="174">
      <c r="A174" s="47"/>
      <c r="B174" s="47"/>
      <c r="C174" s="47"/>
      <c r="D174" s="47"/>
      <c r="E174" s="47"/>
      <c r="F174" s="47"/>
      <c r="G174" s="47"/>
      <c r="H174" s="63" t="s">
        <v>703</v>
      </c>
      <c r="I174" s="34" t="s">
        <v>429</v>
      </c>
      <c r="J174" s="153">
        <v>1.0</v>
      </c>
      <c r="K174" s="77" t="s">
        <v>89</v>
      </c>
      <c r="L174" s="210">
        <v>4900.0</v>
      </c>
      <c r="M174" s="41">
        <f t="shared" si="1"/>
        <v>4900</v>
      </c>
      <c r="N174" s="222"/>
      <c r="O174" s="211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</row>
    <row r="175">
      <c r="A175" s="47"/>
      <c r="B175" s="47"/>
      <c r="C175" s="47"/>
      <c r="D175" s="47"/>
      <c r="E175" s="47"/>
      <c r="F175" s="47"/>
      <c r="G175" s="47"/>
      <c r="H175" s="63" t="s">
        <v>704</v>
      </c>
      <c r="I175" s="34" t="s">
        <v>429</v>
      </c>
      <c r="J175" s="153">
        <v>1.0</v>
      </c>
      <c r="K175" s="77" t="s">
        <v>89</v>
      </c>
      <c r="L175" s="210">
        <v>3900.0</v>
      </c>
      <c r="M175" s="41">
        <f t="shared" si="1"/>
        <v>3900</v>
      </c>
      <c r="N175" s="222"/>
      <c r="O175" s="211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</row>
    <row r="176">
      <c r="A176" s="47"/>
      <c r="B176" s="47"/>
      <c r="C176" s="47"/>
      <c r="D176" s="47"/>
      <c r="E176" s="47"/>
      <c r="F176" s="47"/>
      <c r="G176" s="47"/>
      <c r="H176" s="63" t="s">
        <v>705</v>
      </c>
      <c r="I176" s="34" t="s">
        <v>429</v>
      </c>
      <c r="J176" s="153">
        <v>1.0</v>
      </c>
      <c r="K176" s="77" t="s">
        <v>89</v>
      </c>
      <c r="L176" s="210">
        <v>1100.0</v>
      </c>
      <c r="M176" s="41">
        <f t="shared" si="1"/>
        <v>1100</v>
      </c>
      <c r="N176" s="222"/>
      <c r="O176" s="211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</row>
    <row r="177">
      <c r="A177" s="47"/>
      <c r="B177" s="47"/>
      <c r="C177" s="47"/>
      <c r="D177" s="47"/>
      <c r="E177" s="47"/>
      <c r="F177" s="47"/>
      <c r="G177" s="47"/>
      <c r="H177" s="63" t="s">
        <v>706</v>
      </c>
      <c r="I177" s="34" t="s">
        <v>429</v>
      </c>
      <c r="J177" s="153">
        <v>1.0</v>
      </c>
      <c r="K177" s="77" t="s">
        <v>89</v>
      </c>
      <c r="L177" s="210">
        <v>1050.0</v>
      </c>
      <c r="M177" s="41">
        <f t="shared" si="1"/>
        <v>1050</v>
      </c>
      <c r="N177" s="222"/>
      <c r="O177" s="211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</row>
    <row r="178">
      <c r="A178" s="47"/>
      <c r="B178" s="47"/>
      <c r="C178" s="47"/>
      <c r="D178" s="47"/>
      <c r="E178" s="47"/>
      <c r="F178" s="47"/>
      <c r="G178" s="47"/>
      <c r="H178" s="63" t="s">
        <v>707</v>
      </c>
      <c r="I178" s="34" t="s">
        <v>429</v>
      </c>
      <c r="J178" s="153">
        <v>1.0</v>
      </c>
      <c r="K178" s="77" t="s">
        <v>89</v>
      </c>
      <c r="L178" s="210">
        <v>450.0</v>
      </c>
      <c r="M178" s="41">
        <f t="shared" si="1"/>
        <v>450</v>
      </c>
      <c r="N178" s="222"/>
      <c r="O178" s="211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</row>
    <row r="179">
      <c r="A179" s="47"/>
      <c r="B179" s="47"/>
      <c r="C179" s="47"/>
      <c r="D179" s="47"/>
      <c r="E179" s="47"/>
      <c r="F179" s="47"/>
      <c r="G179" s="47"/>
      <c r="H179" s="63" t="s">
        <v>708</v>
      </c>
      <c r="I179" s="34" t="s">
        <v>429</v>
      </c>
      <c r="J179" s="153">
        <v>2.0</v>
      </c>
      <c r="K179" s="77" t="s">
        <v>89</v>
      </c>
      <c r="L179" s="210">
        <v>550.0</v>
      </c>
      <c r="M179" s="41">
        <f t="shared" si="1"/>
        <v>1100</v>
      </c>
      <c r="N179" s="222"/>
      <c r="O179" s="211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</row>
    <row r="180">
      <c r="A180" s="48"/>
      <c r="B180" s="48"/>
      <c r="C180" s="48"/>
      <c r="D180" s="48"/>
      <c r="E180" s="48"/>
      <c r="F180" s="48"/>
      <c r="G180" s="48"/>
      <c r="H180" s="63" t="s">
        <v>709</v>
      </c>
      <c r="I180" s="34" t="s">
        <v>429</v>
      </c>
      <c r="J180" s="77">
        <v>1.0</v>
      </c>
      <c r="K180" s="77" t="s">
        <v>319</v>
      </c>
      <c r="L180" s="210">
        <v>950.0</v>
      </c>
      <c r="M180" s="41">
        <f t="shared" si="1"/>
        <v>950</v>
      </c>
      <c r="N180" s="222"/>
      <c r="O180" s="211"/>
    </row>
    <row r="181">
      <c r="A181" s="42">
        <v>50.0</v>
      </c>
      <c r="B181" s="212">
        <v>227.0</v>
      </c>
      <c r="C181" s="213">
        <v>45712.0</v>
      </c>
      <c r="D181" s="42" t="s">
        <v>612</v>
      </c>
      <c r="E181" s="213">
        <v>45751.0</v>
      </c>
      <c r="F181" s="42" t="s">
        <v>710</v>
      </c>
      <c r="G181" s="214">
        <v>45719.0</v>
      </c>
      <c r="H181" s="63" t="s">
        <v>615</v>
      </c>
      <c r="I181" s="34" t="s">
        <v>60</v>
      </c>
      <c r="J181" s="77">
        <v>20.0</v>
      </c>
      <c r="K181" s="77" t="s">
        <v>89</v>
      </c>
      <c r="L181" s="210">
        <v>425.0</v>
      </c>
      <c r="M181" s="41">
        <f t="shared" si="1"/>
        <v>8500</v>
      </c>
      <c r="N181" s="41" t="s">
        <v>99</v>
      </c>
      <c r="O181" s="211"/>
    </row>
    <row r="182">
      <c r="A182" s="47"/>
      <c r="B182" s="47"/>
      <c r="C182" s="47"/>
      <c r="D182" s="47"/>
      <c r="E182" s="47"/>
      <c r="F182" s="47"/>
      <c r="G182" s="47"/>
      <c r="H182" s="63" t="s">
        <v>711</v>
      </c>
      <c r="I182" s="34" t="s">
        <v>60</v>
      </c>
      <c r="J182" s="153">
        <v>30.0</v>
      </c>
      <c r="K182" s="77" t="s">
        <v>89</v>
      </c>
      <c r="L182" s="210">
        <v>26.0</v>
      </c>
      <c r="M182" s="41">
        <f t="shared" si="1"/>
        <v>780</v>
      </c>
      <c r="N182" s="41" t="s">
        <v>99</v>
      </c>
      <c r="O182" s="211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</row>
    <row r="183">
      <c r="A183" s="47"/>
      <c r="B183" s="47"/>
      <c r="C183" s="47"/>
      <c r="D183" s="47"/>
      <c r="E183" s="47"/>
      <c r="F183" s="47"/>
      <c r="G183" s="47"/>
      <c r="H183" s="63" t="s">
        <v>712</v>
      </c>
      <c r="I183" s="34" t="s">
        <v>60</v>
      </c>
      <c r="J183" s="153">
        <v>10.0</v>
      </c>
      <c r="K183" s="77" t="s">
        <v>89</v>
      </c>
      <c r="L183" s="210">
        <v>270.0</v>
      </c>
      <c r="M183" s="41">
        <f t="shared" si="1"/>
        <v>2700</v>
      </c>
      <c r="N183" s="41" t="s">
        <v>99</v>
      </c>
      <c r="O183" s="211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</row>
    <row r="184">
      <c r="A184" s="47"/>
      <c r="B184" s="47"/>
      <c r="C184" s="47"/>
      <c r="D184" s="47"/>
      <c r="E184" s="47"/>
      <c r="F184" s="47"/>
      <c r="G184" s="47"/>
      <c r="H184" s="63" t="s">
        <v>713</v>
      </c>
      <c r="I184" s="34" t="s">
        <v>60</v>
      </c>
      <c r="J184" s="153">
        <v>8.0</v>
      </c>
      <c r="K184" s="77" t="s">
        <v>89</v>
      </c>
      <c r="L184" s="210">
        <v>300.0</v>
      </c>
      <c r="M184" s="41">
        <f t="shared" si="1"/>
        <v>2400</v>
      </c>
      <c r="N184" s="41" t="s">
        <v>99</v>
      </c>
      <c r="O184" s="211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</row>
    <row r="185">
      <c r="A185" s="47"/>
      <c r="B185" s="47"/>
      <c r="C185" s="47"/>
      <c r="D185" s="47"/>
      <c r="E185" s="47"/>
      <c r="F185" s="47"/>
      <c r="G185" s="47"/>
      <c r="H185" s="63" t="s">
        <v>714</v>
      </c>
      <c r="I185" s="34" t="s">
        <v>60</v>
      </c>
      <c r="J185" s="153">
        <v>3.0</v>
      </c>
      <c r="K185" s="77" t="s">
        <v>98</v>
      </c>
      <c r="L185" s="210">
        <v>35.0</v>
      </c>
      <c r="M185" s="41">
        <f t="shared" si="1"/>
        <v>105</v>
      </c>
      <c r="N185" s="41" t="s">
        <v>99</v>
      </c>
      <c r="O185" s="211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</row>
    <row r="186">
      <c r="A186" s="47"/>
      <c r="B186" s="47"/>
      <c r="C186" s="47"/>
      <c r="D186" s="47"/>
      <c r="E186" s="47"/>
      <c r="F186" s="47"/>
      <c r="G186" s="47"/>
      <c r="H186" s="63" t="s">
        <v>715</v>
      </c>
      <c r="I186" s="34" t="s">
        <v>60</v>
      </c>
      <c r="J186" s="153">
        <v>35.0</v>
      </c>
      <c r="K186" s="77" t="s">
        <v>89</v>
      </c>
      <c r="L186" s="210">
        <v>112.0</v>
      </c>
      <c r="M186" s="41">
        <f t="shared" si="1"/>
        <v>3920</v>
      </c>
      <c r="N186" s="41" t="s">
        <v>99</v>
      </c>
      <c r="O186" s="211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</row>
    <row r="187">
      <c r="A187" s="47"/>
      <c r="B187" s="47"/>
      <c r="C187" s="47"/>
      <c r="D187" s="47"/>
      <c r="E187" s="47"/>
      <c r="F187" s="47"/>
      <c r="G187" s="47"/>
      <c r="H187" s="63" t="s">
        <v>299</v>
      </c>
      <c r="I187" s="34" t="s">
        <v>29</v>
      </c>
      <c r="J187" s="153">
        <v>10.0</v>
      </c>
      <c r="K187" s="77" t="s">
        <v>89</v>
      </c>
      <c r="L187" s="210">
        <v>220.0</v>
      </c>
      <c r="M187" s="41">
        <f t="shared" si="1"/>
        <v>2200</v>
      </c>
      <c r="N187" s="41" t="s">
        <v>99</v>
      </c>
      <c r="O187" s="211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</row>
    <row r="188">
      <c r="A188" s="47"/>
      <c r="B188" s="47"/>
      <c r="C188" s="47"/>
      <c r="D188" s="47"/>
      <c r="E188" s="47"/>
      <c r="F188" s="47"/>
      <c r="G188" s="47"/>
      <c r="H188" s="63" t="s">
        <v>309</v>
      </c>
      <c r="I188" s="34" t="s">
        <v>29</v>
      </c>
      <c r="J188" s="153">
        <v>10.0</v>
      </c>
      <c r="K188" s="77" t="s">
        <v>89</v>
      </c>
      <c r="L188" s="210">
        <v>350.0</v>
      </c>
      <c r="M188" s="41">
        <f t="shared" si="1"/>
        <v>3500</v>
      </c>
      <c r="N188" s="41" t="s">
        <v>99</v>
      </c>
      <c r="O188" s="211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</row>
    <row r="189">
      <c r="A189" s="48"/>
      <c r="B189" s="48"/>
      <c r="C189" s="48"/>
      <c r="D189" s="48"/>
      <c r="E189" s="48"/>
      <c r="F189" s="48"/>
      <c r="G189" s="48"/>
      <c r="H189" s="63" t="s">
        <v>716</v>
      </c>
      <c r="I189" s="34" t="s">
        <v>29</v>
      </c>
      <c r="J189" s="153">
        <v>1.0</v>
      </c>
      <c r="K189" s="77" t="s">
        <v>98</v>
      </c>
      <c r="L189" s="210">
        <v>230.0</v>
      </c>
      <c r="M189" s="41">
        <f t="shared" si="1"/>
        <v>230</v>
      </c>
      <c r="N189" s="41" t="s">
        <v>99</v>
      </c>
      <c r="O189" s="211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</row>
    <row r="190">
      <c r="A190" s="31">
        <v>51.0</v>
      </c>
      <c r="B190" s="208">
        <v>116.0</v>
      </c>
      <c r="C190" s="209">
        <v>45712.0</v>
      </c>
      <c r="D190" s="31" t="s">
        <v>583</v>
      </c>
      <c r="E190" s="209">
        <v>45744.0</v>
      </c>
      <c r="F190" s="31">
        <v>646.0</v>
      </c>
      <c r="G190" s="161">
        <v>45737.0</v>
      </c>
      <c r="H190" s="63" t="s">
        <v>563</v>
      </c>
      <c r="I190" s="34" t="s">
        <v>564</v>
      </c>
      <c r="J190" s="77">
        <v>512.91</v>
      </c>
      <c r="K190" s="77" t="s">
        <v>565</v>
      </c>
      <c r="L190" s="210">
        <v>328.0</v>
      </c>
      <c r="M190" s="41">
        <f t="shared" si="1"/>
        <v>168234.48</v>
      </c>
      <c r="N190" s="41" t="s">
        <v>581</v>
      </c>
      <c r="O190" s="211"/>
    </row>
    <row r="191">
      <c r="A191" s="31">
        <v>52.0</v>
      </c>
      <c r="B191" s="208">
        <v>78.0</v>
      </c>
      <c r="C191" s="209">
        <v>45712.0</v>
      </c>
      <c r="D191" s="31" t="s">
        <v>578</v>
      </c>
      <c r="E191" s="209">
        <v>45743.0</v>
      </c>
      <c r="F191" s="31">
        <v>626.0</v>
      </c>
      <c r="G191" s="161">
        <v>45715.0</v>
      </c>
      <c r="H191" s="63" t="s">
        <v>633</v>
      </c>
      <c r="I191" s="34" t="s">
        <v>51</v>
      </c>
      <c r="J191" s="153">
        <v>1.0</v>
      </c>
      <c r="K191" s="77" t="s">
        <v>65</v>
      </c>
      <c r="L191" s="210">
        <v>12300.0</v>
      </c>
      <c r="M191" s="41">
        <f t="shared" si="1"/>
        <v>12300</v>
      </c>
      <c r="N191" s="41" t="s">
        <v>142</v>
      </c>
      <c r="O191" s="211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</row>
    <row r="192">
      <c r="A192" s="31">
        <v>53.0</v>
      </c>
      <c r="B192" s="224">
        <v>119.0</v>
      </c>
      <c r="C192" s="209">
        <v>45712.0</v>
      </c>
      <c r="D192" s="31" t="s">
        <v>655</v>
      </c>
      <c r="E192" s="209" t="s">
        <v>105</v>
      </c>
      <c r="F192" s="31">
        <v>611.0</v>
      </c>
      <c r="G192" s="161">
        <v>45692.0</v>
      </c>
      <c r="H192" s="63" t="s">
        <v>426</v>
      </c>
      <c r="I192" s="34" t="s">
        <v>29</v>
      </c>
      <c r="J192" s="153">
        <v>10.0</v>
      </c>
      <c r="K192" s="77" t="s">
        <v>89</v>
      </c>
      <c r="L192" s="210">
        <v>220.0</v>
      </c>
      <c r="M192" s="41">
        <f t="shared" si="1"/>
        <v>2200</v>
      </c>
      <c r="N192" s="41" t="s">
        <v>269</v>
      </c>
      <c r="O192" s="211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</row>
    <row r="193">
      <c r="A193" s="42">
        <v>54.0</v>
      </c>
      <c r="B193" s="212">
        <v>171.0</v>
      </c>
      <c r="C193" s="213">
        <v>45712.0</v>
      </c>
      <c r="D193" s="42" t="s">
        <v>605</v>
      </c>
      <c r="E193" s="213" t="s">
        <v>150</v>
      </c>
      <c r="F193" s="31">
        <v>623.0</v>
      </c>
      <c r="G193" s="221">
        <v>45708.0</v>
      </c>
      <c r="H193" s="63" t="s">
        <v>717</v>
      </c>
      <c r="I193" s="34" t="s">
        <v>29</v>
      </c>
      <c r="J193" s="153">
        <v>1.0</v>
      </c>
      <c r="K193" s="77" t="s">
        <v>319</v>
      </c>
      <c r="L193" s="210">
        <v>1645.0</v>
      </c>
      <c r="M193" s="41">
        <f t="shared" si="1"/>
        <v>1645</v>
      </c>
      <c r="N193" s="41" t="s">
        <v>99</v>
      </c>
      <c r="O193" s="211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</row>
    <row r="194">
      <c r="A194" s="48"/>
      <c r="B194" s="48"/>
      <c r="C194" s="48"/>
      <c r="D194" s="48"/>
      <c r="E194" s="48"/>
      <c r="F194" s="31">
        <v>627.0</v>
      </c>
      <c r="G194" s="221">
        <v>45715.0</v>
      </c>
      <c r="H194" s="63" t="s">
        <v>267</v>
      </c>
      <c r="I194" s="34" t="s">
        <v>268</v>
      </c>
      <c r="J194" s="153">
        <v>8.0</v>
      </c>
      <c r="K194" s="77" t="s">
        <v>89</v>
      </c>
      <c r="L194" s="210">
        <v>1100.0</v>
      </c>
      <c r="M194" s="41">
        <f t="shared" si="1"/>
        <v>8800</v>
      </c>
      <c r="N194" s="41" t="s">
        <v>99</v>
      </c>
      <c r="O194" s="211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</row>
    <row r="195">
      <c r="A195" s="42">
        <v>55.0</v>
      </c>
      <c r="B195" s="212">
        <v>187.0</v>
      </c>
      <c r="C195" s="213">
        <v>45712.0</v>
      </c>
      <c r="D195" s="42" t="s">
        <v>605</v>
      </c>
      <c r="E195" s="213" t="s">
        <v>150</v>
      </c>
      <c r="F195" s="68">
        <v>626.0</v>
      </c>
      <c r="G195" s="152">
        <v>45715.0</v>
      </c>
      <c r="H195" s="63" t="s">
        <v>718</v>
      </c>
      <c r="I195" s="34" t="s">
        <v>82</v>
      </c>
      <c r="J195" s="77">
        <v>308.0</v>
      </c>
      <c r="K195" s="77" t="s">
        <v>34</v>
      </c>
      <c r="L195" s="210">
        <v>68.0</v>
      </c>
      <c r="M195" s="41">
        <f t="shared" si="1"/>
        <v>20944</v>
      </c>
      <c r="N195" s="41" t="s">
        <v>99</v>
      </c>
      <c r="O195" s="211"/>
    </row>
    <row r="196">
      <c r="A196" s="47"/>
      <c r="B196" s="47"/>
      <c r="C196" s="47"/>
      <c r="D196" s="47"/>
      <c r="E196" s="47"/>
      <c r="F196" s="47"/>
      <c r="G196" s="47"/>
      <c r="H196" s="63" t="s">
        <v>351</v>
      </c>
      <c r="I196" s="34" t="s">
        <v>294</v>
      </c>
      <c r="J196" s="77">
        <v>25.0</v>
      </c>
      <c r="K196" s="77" t="s">
        <v>34</v>
      </c>
      <c r="L196" s="210">
        <v>73.0</v>
      </c>
      <c r="M196" s="41">
        <f t="shared" si="1"/>
        <v>1825</v>
      </c>
      <c r="N196" s="41" t="s">
        <v>99</v>
      </c>
      <c r="O196" s="211"/>
    </row>
    <row r="197">
      <c r="A197" s="47"/>
      <c r="B197" s="47"/>
      <c r="C197" s="47"/>
      <c r="D197" s="47"/>
      <c r="E197" s="47"/>
      <c r="F197" s="48"/>
      <c r="G197" s="48"/>
      <c r="H197" s="63" t="s">
        <v>350</v>
      </c>
      <c r="I197" s="34" t="s">
        <v>294</v>
      </c>
      <c r="J197" s="77">
        <v>25.0</v>
      </c>
      <c r="K197" s="77" t="s">
        <v>34</v>
      </c>
      <c r="L197" s="210">
        <v>72.0</v>
      </c>
      <c r="M197" s="41">
        <f t="shared" si="1"/>
        <v>1800</v>
      </c>
      <c r="N197" s="41" t="s">
        <v>99</v>
      </c>
      <c r="O197" s="211"/>
    </row>
    <row r="198">
      <c r="A198" s="47"/>
      <c r="B198" s="47"/>
      <c r="C198" s="47"/>
      <c r="D198" s="47"/>
      <c r="E198" s="47"/>
      <c r="F198" s="42"/>
      <c r="G198" s="216"/>
      <c r="H198" s="63" t="s">
        <v>719</v>
      </c>
      <c r="I198" s="34" t="s">
        <v>55</v>
      </c>
      <c r="J198" s="77">
        <v>10.0</v>
      </c>
      <c r="K198" s="77" t="s">
        <v>89</v>
      </c>
      <c r="L198" s="210">
        <v>85.0</v>
      </c>
      <c r="M198" s="41">
        <f t="shared" si="1"/>
        <v>850</v>
      </c>
      <c r="N198" s="41" t="s">
        <v>99</v>
      </c>
      <c r="O198" s="211"/>
    </row>
    <row r="199">
      <c r="A199" s="48"/>
      <c r="B199" s="48"/>
      <c r="C199" s="48"/>
      <c r="D199" s="48"/>
      <c r="E199" s="48"/>
      <c r="F199" s="51"/>
      <c r="G199" s="216"/>
      <c r="H199" s="63" t="s">
        <v>720</v>
      </c>
      <c r="I199" s="34" t="s">
        <v>55</v>
      </c>
      <c r="J199" s="77">
        <v>10.0</v>
      </c>
      <c r="K199" s="77" t="s">
        <v>89</v>
      </c>
      <c r="L199" s="210">
        <v>55.0</v>
      </c>
      <c r="M199" s="41">
        <f t="shared" si="1"/>
        <v>550</v>
      </c>
      <c r="N199" s="41" t="s">
        <v>99</v>
      </c>
      <c r="O199" s="211"/>
    </row>
    <row r="200">
      <c r="A200" s="42">
        <v>56.0</v>
      </c>
      <c r="B200" s="212" t="s">
        <v>721</v>
      </c>
      <c r="C200" s="215">
        <v>45712.0</v>
      </c>
      <c r="D200" s="75" t="s">
        <v>670</v>
      </c>
      <c r="E200" s="215">
        <v>45751.0</v>
      </c>
      <c r="F200" s="75">
        <v>626.0</v>
      </c>
      <c r="G200" s="214">
        <v>45715.0</v>
      </c>
      <c r="H200" s="63" t="s">
        <v>722</v>
      </c>
      <c r="I200" s="34" t="s">
        <v>276</v>
      </c>
      <c r="J200" s="153">
        <v>350.0</v>
      </c>
      <c r="K200" s="77" t="s">
        <v>74</v>
      </c>
      <c r="L200" s="210">
        <v>42.0</v>
      </c>
      <c r="M200" s="41">
        <f t="shared" si="1"/>
        <v>14700</v>
      </c>
      <c r="N200" s="41" t="s">
        <v>107</v>
      </c>
      <c r="O200" s="211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</row>
    <row r="201">
      <c r="A201" s="47"/>
      <c r="B201" s="47"/>
      <c r="C201" s="47"/>
      <c r="D201" s="47"/>
      <c r="E201" s="47"/>
      <c r="F201" s="47"/>
      <c r="G201" s="48"/>
      <c r="H201" s="63" t="s">
        <v>723</v>
      </c>
      <c r="I201" s="34" t="s">
        <v>276</v>
      </c>
      <c r="J201" s="153">
        <v>7.0</v>
      </c>
      <c r="K201" s="77" t="s">
        <v>89</v>
      </c>
      <c r="L201" s="210">
        <v>2450.0</v>
      </c>
      <c r="M201" s="41">
        <f t="shared" si="1"/>
        <v>17150</v>
      </c>
      <c r="N201" s="41" t="s">
        <v>107</v>
      </c>
      <c r="O201" s="211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</row>
    <row r="202">
      <c r="A202" s="48"/>
      <c r="B202" s="48"/>
      <c r="C202" s="48"/>
      <c r="D202" s="48"/>
      <c r="E202" s="48"/>
      <c r="F202" s="225">
        <v>627.0</v>
      </c>
      <c r="G202" s="221">
        <v>45715.0</v>
      </c>
      <c r="H202" s="63" t="s">
        <v>288</v>
      </c>
      <c r="I202" s="34" t="s">
        <v>276</v>
      </c>
      <c r="J202" s="77">
        <v>50.0</v>
      </c>
      <c r="K202" s="77" t="s">
        <v>98</v>
      </c>
      <c r="L202" s="210">
        <v>12.0</v>
      </c>
      <c r="M202" s="41">
        <f t="shared" si="1"/>
        <v>600</v>
      </c>
      <c r="N202" s="41" t="s">
        <v>107</v>
      </c>
      <c r="O202" s="211"/>
    </row>
    <row r="203">
      <c r="A203" s="31">
        <v>57.0</v>
      </c>
      <c r="B203" s="208" t="s">
        <v>724</v>
      </c>
      <c r="C203" s="209">
        <v>45714.0</v>
      </c>
      <c r="D203" s="31" t="s">
        <v>725</v>
      </c>
      <c r="E203" s="209">
        <v>45762.0</v>
      </c>
      <c r="F203" s="31">
        <v>622.0</v>
      </c>
      <c r="G203" s="161">
        <v>45708.0</v>
      </c>
      <c r="H203" s="63" t="s">
        <v>726</v>
      </c>
      <c r="I203" s="34" t="s">
        <v>276</v>
      </c>
      <c r="J203" s="77">
        <v>200.0</v>
      </c>
      <c r="K203" s="77" t="s">
        <v>74</v>
      </c>
      <c r="L203" s="210">
        <v>279.5</v>
      </c>
      <c r="M203" s="41">
        <f t="shared" si="1"/>
        <v>55900</v>
      </c>
      <c r="N203" s="41" t="s">
        <v>107</v>
      </c>
      <c r="O203" s="211"/>
    </row>
    <row r="204">
      <c r="A204" s="42">
        <v>58.0</v>
      </c>
      <c r="B204" s="212">
        <v>85.0</v>
      </c>
      <c r="C204" s="213">
        <v>45715.0</v>
      </c>
      <c r="D204" s="42" t="s">
        <v>727</v>
      </c>
      <c r="E204" s="213">
        <v>45742.0</v>
      </c>
      <c r="F204" s="42" t="s">
        <v>92</v>
      </c>
      <c r="G204" s="216"/>
      <c r="H204" s="63" t="s">
        <v>728</v>
      </c>
      <c r="I204" s="34" t="s">
        <v>55</v>
      </c>
      <c r="J204" s="153">
        <v>1.0</v>
      </c>
      <c r="K204" s="77" t="s">
        <v>207</v>
      </c>
      <c r="L204" s="210">
        <v>11880.0</v>
      </c>
      <c r="M204" s="41">
        <f t="shared" si="1"/>
        <v>11880</v>
      </c>
      <c r="N204" s="41" t="s">
        <v>208</v>
      </c>
      <c r="O204" s="211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</row>
    <row r="205">
      <c r="A205" s="48"/>
      <c r="B205" s="48"/>
      <c r="C205" s="48"/>
      <c r="D205" s="48"/>
      <c r="E205" s="48"/>
      <c r="F205" s="48"/>
      <c r="G205" s="216"/>
      <c r="H205" s="63" t="s">
        <v>76</v>
      </c>
      <c r="I205" s="34" t="s">
        <v>76</v>
      </c>
      <c r="J205" s="153">
        <v>1.0</v>
      </c>
      <c r="K205" s="77" t="s">
        <v>207</v>
      </c>
      <c r="L205" s="210">
        <v>13000.0</v>
      </c>
      <c r="M205" s="41">
        <f t="shared" si="1"/>
        <v>13000</v>
      </c>
      <c r="N205" s="41" t="s">
        <v>208</v>
      </c>
      <c r="O205" s="211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</row>
    <row r="206">
      <c r="A206" s="31">
        <v>59.0</v>
      </c>
      <c r="B206" s="208">
        <v>83.0</v>
      </c>
      <c r="C206" s="209">
        <v>45715.0</v>
      </c>
      <c r="D206" s="31" t="s">
        <v>727</v>
      </c>
      <c r="E206" s="209">
        <v>45742.0</v>
      </c>
      <c r="F206" s="31" t="s">
        <v>92</v>
      </c>
      <c r="G206" s="158"/>
      <c r="H206" s="63" t="s">
        <v>729</v>
      </c>
      <c r="I206" s="34" t="s">
        <v>76</v>
      </c>
      <c r="J206" s="153">
        <v>1.0</v>
      </c>
      <c r="K206" s="77" t="s">
        <v>207</v>
      </c>
      <c r="L206" s="210">
        <v>11890.5</v>
      </c>
      <c r="M206" s="41">
        <f t="shared" si="1"/>
        <v>11890.5</v>
      </c>
      <c r="N206" s="41" t="s">
        <v>208</v>
      </c>
      <c r="O206" s="211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</row>
    <row r="207">
      <c r="A207" s="42">
        <v>60.0</v>
      </c>
      <c r="B207" s="212">
        <v>184.0</v>
      </c>
      <c r="C207" s="213">
        <v>45719.0</v>
      </c>
      <c r="D207" s="42" t="s">
        <v>605</v>
      </c>
      <c r="E207" s="213" t="s">
        <v>150</v>
      </c>
      <c r="F207" s="42">
        <v>632.0</v>
      </c>
      <c r="G207" s="214">
        <v>45724.0</v>
      </c>
      <c r="H207" s="63" t="s">
        <v>283</v>
      </c>
      <c r="I207" s="34" t="s">
        <v>276</v>
      </c>
      <c r="J207" s="153">
        <v>50.0</v>
      </c>
      <c r="K207" s="77" t="s">
        <v>89</v>
      </c>
      <c r="L207" s="210">
        <v>80.0</v>
      </c>
      <c r="M207" s="41">
        <f t="shared" si="1"/>
        <v>4000</v>
      </c>
      <c r="N207" s="41" t="s">
        <v>99</v>
      </c>
      <c r="O207" s="211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</row>
    <row r="208">
      <c r="A208" s="47"/>
      <c r="B208" s="47"/>
      <c r="C208" s="47"/>
      <c r="D208" s="47"/>
      <c r="E208" s="47"/>
      <c r="F208" s="47"/>
      <c r="G208" s="48"/>
      <c r="H208" s="63" t="s">
        <v>454</v>
      </c>
      <c r="I208" s="34" t="s">
        <v>276</v>
      </c>
      <c r="J208" s="153">
        <v>1.0</v>
      </c>
      <c r="K208" s="77" t="s">
        <v>89</v>
      </c>
      <c r="L208" s="210">
        <v>490.0</v>
      </c>
      <c r="M208" s="41">
        <f t="shared" si="1"/>
        <v>490</v>
      </c>
      <c r="N208" s="41" t="s">
        <v>99</v>
      </c>
      <c r="O208" s="211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</row>
    <row r="209">
      <c r="A209" s="47"/>
      <c r="B209" s="47"/>
      <c r="C209" s="47"/>
      <c r="D209" s="47"/>
      <c r="E209" s="47"/>
      <c r="F209" s="42">
        <v>626.0</v>
      </c>
      <c r="G209" s="214">
        <v>45715.0</v>
      </c>
      <c r="H209" s="63" t="s">
        <v>97</v>
      </c>
      <c r="I209" s="34" t="s">
        <v>60</v>
      </c>
      <c r="J209" s="153">
        <v>1.0</v>
      </c>
      <c r="K209" s="77" t="s">
        <v>98</v>
      </c>
      <c r="L209" s="210">
        <v>3000.0</v>
      </c>
      <c r="M209" s="41">
        <f t="shared" si="1"/>
        <v>3000</v>
      </c>
      <c r="N209" s="41" t="s">
        <v>99</v>
      </c>
      <c r="O209" s="211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</row>
    <row r="210">
      <c r="A210" s="48"/>
      <c r="B210" s="48"/>
      <c r="C210" s="48"/>
      <c r="D210" s="48"/>
      <c r="E210" s="48"/>
      <c r="F210" s="48"/>
      <c r="G210" s="48"/>
      <c r="H210" s="63" t="s">
        <v>730</v>
      </c>
      <c r="I210" s="34" t="s">
        <v>60</v>
      </c>
      <c r="J210" s="153">
        <v>5.0</v>
      </c>
      <c r="K210" s="77" t="s">
        <v>98</v>
      </c>
      <c r="L210" s="210">
        <v>3000.0</v>
      </c>
      <c r="M210" s="41">
        <f t="shared" si="1"/>
        <v>15000</v>
      </c>
      <c r="N210" s="41" t="s">
        <v>99</v>
      </c>
      <c r="O210" s="211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</row>
    <row r="211">
      <c r="A211" s="31">
        <v>61.0</v>
      </c>
      <c r="B211" s="224">
        <v>90.0</v>
      </c>
      <c r="C211" s="209">
        <v>45723.0</v>
      </c>
      <c r="D211" s="31" t="s">
        <v>731</v>
      </c>
      <c r="E211" s="209">
        <v>45741.0</v>
      </c>
      <c r="F211" s="31">
        <v>631.0</v>
      </c>
      <c r="G211" s="161">
        <v>45724.0</v>
      </c>
      <c r="H211" s="63" t="s">
        <v>732</v>
      </c>
      <c r="I211" s="34" t="s">
        <v>122</v>
      </c>
      <c r="J211" s="153">
        <v>360.0</v>
      </c>
      <c r="K211" s="77" t="s">
        <v>123</v>
      </c>
      <c r="L211" s="210">
        <v>425.0</v>
      </c>
      <c r="M211" s="41">
        <f t="shared" si="1"/>
        <v>153000</v>
      </c>
      <c r="N211" s="41" t="s">
        <v>208</v>
      </c>
      <c r="O211" s="211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</row>
    <row r="212">
      <c r="A212" s="31">
        <v>62.0</v>
      </c>
      <c r="B212" s="224">
        <v>119.0</v>
      </c>
      <c r="C212" s="209">
        <v>45725.0</v>
      </c>
      <c r="D212" s="31" t="s">
        <v>583</v>
      </c>
      <c r="E212" s="209">
        <v>45744.0</v>
      </c>
      <c r="F212" s="31">
        <v>646.0</v>
      </c>
      <c r="G212" s="161">
        <v>45737.0</v>
      </c>
      <c r="H212" s="63" t="s">
        <v>563</v>
      </c>
      <c r="I212" s="34" t="s">
        <v>564</v>
      </c>
      <c r="J212" s="77">
        <v>563.85</v>
      </c>
      <c r="K212" s="77" t="s">
        <v>565</v>
      </c>
      <c r="L212" s="210">
        <v>328.0</v>
      </c>
      <c r="M212" s="41">
        <f t="shared" si="1"/>
        <v>184942.8</v>
      </c>
      <c r="N212" s="41" t="s">
        <v>581</v>
      </c>
      <c r="O212" s="211"/>
    </row>
    <row r="213">
      <c r="A213" s="31">
        <v>63.0</v>
      </c>
      <c r="B213" s="208">
        <v>294.0</v>
      </c>
      <c r="C213" s="209">
        <v>45722.0</v>
      </c>
      <c r="D213" s="31" t="s">
        <v>646</v>
      </c>
      <c r="E213" s="209">
        <v>45758.0</v>
      </c>
      <c r="F213" s="31">
        <v>637.0</v>
      </c>
      <c r="G213" s="161">
        <v>45730.0</v>
      </c>
      <c r="H213" s="63" t="s">
        <v>733</v>
      </c>
      <c r="I213" s="34" t="s">
        <v>294</v>
      </c>
      <c r="J213" s="77">
        <v>210.0</v>
      </c>
      <c r="K213" s="77" t="s">
        <v>734</v>
      </c>
      <c r="L213" s="210">
        <v>418.0</v>
      </c>
      <c r="M213" s="41">
        <f t="shared" si="1"/>
        <v>87780</v>
      </c>
      <c r="N213" s="220" t="s">
        <v>560</v>
      </c>
      <c r="O213" s="211"/>
    </row>
    <row r="214">
      <c r="A214" s="42">
        <v>64.0</v>
      </c>
      <c r="B214" s="212">
        <v>240.0</v>
      </c>
      <c r="C214" s="213">
        <v>45722.0</v>
      </c>
      <c r="D214" s="42" t="s">
        <v>612</v>
      </c>
      <c r="E214" s="213">
        <v>45751.0</v>
      </c>
      <c r="F214" s="42">
        <v>636.0</v>
      </c>
      <c r="G214" s="214">
        <v>45729.0</v>
      </c>
      <c r="H214" s="63" t="s">
        <v>735</v>
      </c>
      <c r="I214" s="34" t="s">
        <v>276</v>
      </c>
      <c r="J214" s="77">
        <v>1.0</v>
      </c>
      <c r="K214" s="77" t="s">
        <v>89</v>
      </c>
      <c r="L214" s="210">
        <v>180.0</v>
      </c>
      <c r="M214" s="41">
        <f t="shared" si="1"/>
        <v>180</v>
      </c>
      <c r="N214" s="41" t="s">
        <v>99</v>
      </c>
      <c r="O214" s="211"/>
    </row>
    <row r="215">
      <c r="A215" s="48"/>
      <c r="B215" s="48"/>
      <c r="C215" s="48"/>
      <c r="D215" s="48"/>
      <c r="E215" s="48"/>
      <c r="F215" s="48"/>
      <c r="G215" s="48"/>
      <c r="H215" s="63" t="s">
        <v>351</v>
      </c>
      <c r="I215" s="34" t="s">
        <v>294</v>
      </c>
      <c r="J215" s="77">
        <v>10.0</v>
      </c>
      <c r="K215" s="77" t="s">
        <v>34</v>
      </c>
      <c r="L215" s="210">
        <v>72.0</v>
      </c>
      <c r="M215" s="41">
        <f t="shared" si="1"/>
        <v>720</v>
      </c>
      <c r="N215" s="41" t="s">
        <v>99</v>
      </c>
      <c r="O215" s="211"/>
    </row>
    <row r="216">
      <c r="A216" s="42">
        <v>65.0</v>
      </c>
      <c r="B216" s="212">
        <v>239.0</v>
      </c>
      <c r="C216" s="213">
        <v>45722.0</v>
      </c>
      <c r="D216" s="42" t="s">
        <v>612</v>
      </c>
      <c r="E216" s="213">
        <v>45751.0</v>
      </c>
      <c r="F216" s="42">
        <v>629.0</v>
      </c>
      <c r="G216" s="214">
        <v>45715.0</v>
      </c>
      <c r="H216" s="63" t="s">
        <v>736</v>
      </c>
      <c r="I216" s="34" t="s">
        <v>29</v>
      </c>
      <c r="J216" s="77">
        <v>10.0</v>
      </c>
      <c r="K216" s="77" t="s">
        <v>89</v>
      </c>
      <c r="L216" s="210">
        <v>55.0</v>
      </c>
      <c r="M216" s="41">
        <f t="shared" si="1"/>
        <v>550</v>
      </c>
      <c r="N216" s="41" t="s">
        <v>99</v>
      </c>
      <c r="O216" s="211"/>
    </row>
    <row r="217">
      <c r="A217" s="47"/>
      <c r="B217" s="47"/>
      <c r="C217" s="47"/>
      <c r="D217" s="47"/>
      <c r="E217" s="47"/>
      <c r="F217" s="47"/>
      <c r="G217" s="48"/>
      <c r="H217" s="63" t="s">
        <v>737</v>
      </c>
      <c r="I217" s="34" t="s">
        <v>29</v>
      </c>
      <c r="J217" s="77">
        <v>10.0</v>
      </c>
      <c r="K217" s="77" t="s">
        <v>89</v>
      </c>
      <c r="L217" s="210">
        <v>220.0</v>
      </c>
      <c r="M217" s="41">
        <f t="shared" si="1"/>
        <v>2200</v>
      </c>
      <c r="N217" s="41" t="s">
        <v>99</v>
      </c>
      <c r="O217" s="211"/>
    </row>
    <row r="218">
      <c r="A218" s="48"/>
      <c r="B218" s="48"/>
      <c r="C218" s="48"/>
      <c r="D218" s="48"/>
      <c r="E218" s="48"/>
      <c r="F218" s="51">
        <v>633.0</v>
      </c>
      <c r="G218" s="221">
        <v>45724.0</v>
      </c>
      <c r="H218" s="63" t="s">
        <v>735</v>
      </c>
      <c r="I218" s="34" t="s">
        <v>276</v>
      </c>
      <c r="J218" s="77">
        <v>5.0</v>
      </c>
      <c r="K218" s="77" t="s">
        <v>89</v>
      </c>
      <c r="L218" s="210">
        <v>180.0</v>
      </c>
      <c r="M218" s="41">
        <f t="shared" si="1"/>
        <v>900</v>
      </c>
      <c r="N218" s="41" t="s">
        <v>99</v>
      </c>
      <c r="O218" s="211"/>
    </row>
    <row r="219">
      <c r="A219" s="42">
        <v>66.0</v>
      </c>
      <c r="B219" s="212">
        <v>255.0</v>
      </c>
      <c r="C219" s="213">
        <v>45722.0</v>
      </c>
      <c r="D219" s="42" t="s">
        <v>612</v>
      </c>
      <c r="E219" s="213">
        <v>45751.0</v>
      </c>
      <c r="F219" s="42">
        <v>631.0</v>
      </c>
      <c r="G219" s="214">
        <v>45724.0</v>
      </c>
      <c r="H219" s="63" t="s">
        <v>738</v>
      </c>
      <c r="I219" s="34" t="s">
        <v>82</v>
      </c>
      <c r="J219" s="77">
        <v>15.0</v>
      </c>
      <c r="K219" s="77" t="s">
        <v>89</v>
      </c>
      <c r="L219" s="210">
        <v>80.0</v>
      </c>
      <c r="M219" s="41">
        <f t="shared" si="1"/>
        <v>1200</v>
      </c>
      <c r="N219" s="41" t="s">
        <v>99</v>
      </c>
      <c r="O219" s="211"/>
    </row>
    <row r="220">
      <c r="A220" s="48"/>
      <c r="B220" s="48"/>
      <c r="C220" s="48"/>
      <c r="D220" s="48"/>
      <c r="E220" s="48"/>
      <c r="F220" s="48"/>
      <c r="G220" s="48"/>
      <c r="H220" s="63" t="s">
        <v>739</v>
      </c>
      <c r="I220" s="34" t="s">
        <v>82</v>
      </c>
      <c r="J220" s="77">
        <v>30.0</v>
      </c>
      <c r="K220" s="77" t="s">
        <v>89</v>
      </c>
      <c r="L220" s="210">
        <v>17.0</v>
      </c>
      <c r="M220" s="41">
        <f t="shared" si="1"/>
        <v>510</v>
      </c>
      <c r="N220" s="41" t="s">
        <v>99</v>
      </c>
      <c r="O220" s="211"/>
    </row>
    <row r="221">
      <c r="A221" s="31">
        <v>67.0</v>
      </c>
      <c r="B221" s="224">
        <v>306.0</v>
      </c>
      <c r="C221" s="209">
        <v>45722.0</v>
      </c>
      <c r="D221" s="31" t="s">
        <v>740</v>
      </c>
      <c r="E221" s="209">
        <v>45758.0</v>
      </c>
      <c r="F221" s="31">
        <v>613.0</v>
      </c>
      <c r="G221" s="161">
        <v>45698.0</v>
      </c>
      <c r="H221" s="63" t="s">
        <v>275</v>
      </c>
      <c r="I221" s="34" t="s">
        <v>276</v>
      </c>
      <c r="J221" s="153">
        <v>900.0</v>
      </c>
      <c r="K221" s="77" t="s">
        <v>74</v>
      </c>
      <c r="L221" s="210">
        <v>34.9</v>
      </c>
      <c r="M221" s="41">
        <f t="shared" si="1"/>
        <v>31410</v>
      </c>
      <c r="N221" s="41" t="s">
        <v>99</v>
      </c>
      <c r="O221" s="211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</row>
    <row r="222">
      <c r="A222" s="31">
        <v>68.0</v>
      </c>
      <c r="B222" s="208">
        <v>87.0</v>
      </c>
      <c r="C222" s="209">
        <v>45723.0</v>
      </c>
      <c r="D222" s="31" t="s">
        <v>727</v>
      </c>
      <c r="E222" s="209">
        <v>45742.0</v>
      </c>
      <c r="F222" s="31" t="s">
        <v>92</v>
      </c>
      <c r="G222" s="158"/>
      <c r="H222" s="63" t="s">
        <v>741</v>
      </c>
      <c r="I222" s="34" t="s">
        <v>76</v>
      </c>
      <c r="J222" s="153">
        <v>1.0</v>
      </c>
      <c r="K222" s="77" t="s">
        <v>207</v>
      </c>
      <c r="L222" s="210">
        <v>11890.5</v>
      </c>
      <c r="M222" s="41">
        <f t="shared" si="1"/>
        <v>11890.5</v>
      </c>
      <c r="N222" s="41" t="s">
        <v>208</v>
      </c>
      <c r="O222" s="211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</row>
    <row r="223">
      <c r="A223" s="31">
        <v>69.0</v>
      </c>
      <c r="B223" s="208">
        <v>86.0</v>
      </c>
      <c r="C223" s="209">
        <v>45723.0</v>
      </c>
      <c r="D223" s="31" t="s">
        <v>727</v>
      </c>
      <c r="E223" s="209">
        <v>45742.0</v>
      </c>
      <c r="F223" s="31" t="s">
        <v>92</v>
      </c>
      <c r="G223" s="158"/>
      <c r="H223" s="63" t="s">
        <v>742</v>
      </c>
      <c r="I223" s="34" t="s">
        <v>76</v>
      </c>
      <c r="J223" s="153">
        <v>1.0</v>
      </c>
      <c r="K223" s="77" t="s">
        <v>207</v>
      </c>
      <c r="L223" s="210">
        <v>24880.0</v>
      </c>
      <c r="M223" s="41">
        <f t="shared" si="1"/>
        <v>24880</v>
      </c>
      <c r="N223" s="41" t="s">
        <v>208</v>
      </c>
      <c r="O223" s="211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</row>
    <row r="224">
      <c r="A224" s="31">
        <v>70.0</v>
      </c>
      <c r="B224" s="208">
        <v>89.0</v>
      </c>
      <c r="C224" s="209">
        <v>45725.0</v>
      </c>
      <c r="D224" s="31" t="s">
        <v>584</v>
      </c>
      <c r="E224" s="209">
        <v>45741.0</v>
      </c>
      <c r="F224" s="31" t="s">
        <v>92</v>
      </c>
      <c r="G224" s="158"/>
      <c r="H224" s="63" t="s">
        <v>743</v>
      </c>
      <c r="I224" s="34" t="s">
        <v>76</v>
      </c>
      <c r="J224" s="153">
        <v>1.0</v>
      </c>
      <c r="K224" s="77" t="s">
        <v>207</v>
      </c>
      <c r="L224" s="210">
        <v>19500.0</v>
      </c>
      <c r="M224" s="41">
        <f t="shared" si="1"/>
        <v>19500</v>
      </c>
      <c r="N224" s="41" t="s">
        <v>208</v>
      </c>
      <c r="O224" s="211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</row>
    <row r="225">
      <c r="A225" s="42">
        <v>71.0</v>
      </c>
      <c r="B225" s="212">
        <v>347.0</v>
      </c>
      <c r="C225" s="213">
        <v>45726.0</v>
      </c>
      <c r="D225" s="42" t="s">
        <v>744</v>
      </c>
      <c r="E225" s="213">
        <v>45750.0</v>
      </c>
      <c r="F225" s="42">
        <v>636.0</v>
      </c>
      <c r="G225" s="214">
        <v>45729.0</v>
      </c>
      <c r="H225" s="63" t="s">
        <v>745</v>
      </c>
      <c r="I225" s="34" t="s">
        <v>29</v>
      </c>
      <c r="J225" s="153">
        <v>1.0</v>
      </c>
      <c r="K225" s="77" t="s">
        <v>89</v>
      </c>
      <c r="L225" s="210">
        <v>850.0</v>
      </c>
      <c r="M225" s="41">
        <f t="shared" si="1"/>
        <v>850</v>
      </c>
      <c r="N225" s="41" t="s">
        <v>746</v>
      </c>
      <c r="O225" s="211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</row>
    <row r="226">
      <c r="A226" s="48"/>
      <c r="B226" s="48"/>
      <c r="C226" s="48"/>
      <c r="D226" s="48"/>
      <c r="E226" s="48"/>
      <c r="F226" s="48"/>
      <c r="G226" s="48"/>
      <c r="H226" s="63" t="s">
        <v>747</v>
      </c>
      <c r="I226" s="34" t="s">
        <v>29</v>
      </c>
      <c r="J226" s="153">
        <v>1.0</v>
      </c>
      <c r="K226" s="77" t="s">
        <v>89</v>
      </c>
      <c r="L226" s="210">
        <v>550.0</v>
      </c>
      <c r="M226" s="41">
        <f t="shared" si="1"/>
        <v>550</v>
      </c>
      <c r="N226" s="41" t="s">
        <v>746</v>
      </c>
      <c r="O226" s="211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</row>
    <row r="227">
      <c r="A227" s="31">
        <v>72.0</v>
      </c>
      <c r="B227" s="208">
        <v>189941.0</v>
      </c>
      <c r="C227" s="209">
        <v>45732.0</v>
      </c>
      <c r="D227" s="31" t="s">
        <v>748</v>
      </c>
      <c r="E227" s="209" t="s">
        <v>749</v>
      </c>
      <c r="F227" s="31" t="s">
        <v>92</v>
      </c>
      <c r="G227" s="158"/>
      <c r="H227" s="63" t="s">
        <v>23</v>
      </c>
      <c r="I227" s="34" t="s">
        <v>24</v>
      </c>
      <c r="J227" s="153">
        <v>36.232</v>
      </c>
      <c r="K227" s="77" t="s">
        <v>25</v>
      </c>
      <c r="L227" s="210">
        <v>67.62</v>
      </c>
      <c r="M227" s="41">
        <f t="shared" si="1"/>
        <v>2450.00784</v>
      </c>
      <c r="N227" s="41" t="s">
        <v>91</v>
      </c>
      <c r="O227" s="211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</row>
    <row r="228">
      <c r="A228" s="42">
        <v>73.0</v>
      </c>
      <c r="B228" s="217">
        <v>192.0</v>
      </c>
      <c r="C228" s="213">
        <v>45733.0</v>
      </c>
      <c r="D228" s="42" t="s">
        <v>655</v>
      </c>
      <c r="E228" s="213" t="s">
        <v>105</v>
      </c>
      <c r="F228" s="31">
        <v>627.0</v>
      </c>
      <c r="G228" s="221">
        <v>45715.0</v>
      </c>
      <c r="H228" s="63" t="s">
        <v>750</v>
      </c>
      <c r="I228" s="34" t="s">
        <v>294</v>
      </c>
      <c r="J228" s="153">
        <v>5.0</v>
      </c>
      <c r="K228" s="77" t="s">
        <v>39</v>
      </c>
      <c r="L228" s="210">
        <v>435.0</v>
      </c>
      <c r="M228" s="41">
        <f t="shared" si="1"/>
        <v>2175</v>
      </c>
      <c r="N228" s="41" t="s">
        <v>269</v>
      </c>
      <c r="O228" s="211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</row>
    <row r="229">
      <c r="A229" s="47"/>
      <c r="B229" s="47"/>
      <c r="C229" s="47"/>
      <c r="D229" s="47"/>
      <c r="E229" s="47"/>
      <c r="F229" s="68">
        <v>633.0</v>
      </c>
      <c r="G229" s="214">
        <v>45724.0</v>
      </c>
      <c r="H229" s="63" t="s">
        <v>661</v>
      </c>
      <c r="I229" s="34" t="s">
        <v>84</v>
      </c>
      <c r="J229" s="153">
        <v>1.0</v>
      </c>
      <c r="K229" s="77" t="s">
        <v>89</v>
      </c>
      <c r="L229" s="210">
        <v>750.0</v>
      </c>
      <c r="M229" s="41">
        <f t="shared" si="1"/>
        <v>750</v>
      </c>
      <c r="N229" s="41" t="s">
        <v>269</v>
      </c>
      <c r="O229" s="211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</row>
    <row r="230">
      <c r="A230" s="47"/>
      <c r="B230" s="47"/>
      <c r="C230" s="47"/>
      <c r="D230" s="47"/>
      <c r="E230" s="47"/>
      <c r="F230" s="48"/>
      <c r="G230" s="48"/>
      <c r="H230" s="63" t="s">
        <v>662</v>
      </c>
      <c r="I230" s="34" t="s">
        <v>84</v>
      </c>
      <c r="J230" s="77">
        <v>1.0</v>
      </c>
      <c r="K230" s="77" t="s">
        <v>89</v>
      </c>
      <c r="L230" s="210">
        <v>850.0</v>
      </c>
      <c r="M230" s="41">
        <f t="shared" si="1"/>
        <v>850</v>
      </c>
      <c r="N230" s="41" t="s">
        <v>269</v>
      </c>
      <c r="O230" s="211"/>
    </row>
    <row r="231">
      <c r="A231" s="48"/>
      <c r="B231" s="48"/>
      <c r="C231" s="48"/>
      <c r="D231" s="48"/>
      <c r="E231" s="48"/>
      <c r="F231" s="31">
        <v>636.0</v>
      </c>
      <c r="G231" s="221">
        <v>45724.0</v>
      </c>
      <c r="H231" s="63" t="s">
        <v>394</v>
      </c>
      <c r="I231" s="34" t="s">
        <v>29</v>
      </c>
      <c r="J231" s="77">
        <v>12.0</v>
      </c>
      <c r="K231" s="77" t="s">
        <v>98</v>
      </c>
      <c r="L231" s="210">
        <v>25.0</v>
      </c>
      <c r="M231" s="41">
        <f t="shared" si="1"/>
        <v>300</v>
      </c>
      <c r="N231" s="41" t="s">
        <v>269</v>
      </c>
      <c r="O231" s="211"/>
    </row>
    <row r="232">
      <c r="A232" s="31">
        <v>74.0</v>
      </c>
      <c r="B232" s="208">
        <v>303.0</v>
      </c>
      <c r="C232" s="209">
        <v>45734.0</v>
      </c>
      <c r="D232" s="31" t="s">
        <v>740</v>
      </c>
      <c r="E232" s="209">
        <v>45758.0</v>
      </c>
      <c r="F232" s="31">
        <v>623.0</v>
      </c>
      <c r="G232" s="161">
        <v>45708.0</v>
      </c>
      <c r="H232" s="63" t="s">
        <v>751</v>
      </c>
      <c r="I232" s="34" t="s">
        <v>29</v>
      </c>
      <c r="J232" s="77">
        <v>10.0</v>
      </c>
      <c r="K232" s="77" t="s">
        <v>89</v>
      </c>
      <c r="L232" s="210">
        <v>350.0</v>
      </c>
      <c r="M232" s="41">
        <f t="shared" si="1"/>
        <v>3500</v>
      </c>
      <c r="N232" s="220" t="s">
        <v>440</v>
      </c>
      <c r="O232" s="211"/>
    </row>
    <row r="233">
      <c r="A233" s="31">
        <v>75.0</v>
      </c>
      <c r="B233" s="208">
        <v>20192.0</v>
      </c>
      <c r="C233" s="209">
        <v>45734.0</v>
      </c>
      <c r="D233" s="31" t="s">
        <v>744</v>
      </c>
      <c r="E233" s="209">
        <v>45750.0</v>
      </c>
      <c r="F233" s="31" t="s">
        <v>92</v>
      </c>
      <c r="G233" s="158"/>
      <c r="H233" s="63" t="s">
        <v>752</v>
      </c>
      <c r="I233" s="34" t="s">
        <v>429</v>
      </c>
      <c r="J233" s="77">
        <v>1.0</v>
      </c>
      <c r="K233" s="77" t="s">
        <v>89</v>
      </c>
      <c r="L233" s="210">
        <v>1163.0</v>
      </c>
      <c r="M233" s="41">
        <f t="shared" si="1"/>
        <v>1163</v>
      </c>
      <c r="N233" s="41" t="s">
        <v>753</v>
      </c>
      <c r="O233" s="211"/>
    </row>
    <row r="234">
      <c r="A234" s="31">
        <v>76.0</v>
      </c>
      <c r="B234" s="208">
        <v>2209.0</v>
      </c>
      <c r="C234" s="209">
        <v>45736.0</v>
      </c>
      <c r="D234" s="31" t="s">
        <v>754</v>
      </c>
      <c r="E234" s="209">
        <v>45750.0</v>
      </c>
      <c r="F234" s="31">
        <v>637.0</v>
      </c>
      <c r="G234" s="161">
        <v>45730.0</v>
      </c>
      <c r="H234" s="63" t="s">
        <v>755</v>
      </c>
      <c r="I234" s="34" t="s">
        <v>82</v>
      </c>
      <c r="J234" s="77">
        <v>65.0</v>
      </c>
      <c r="K234" s="77" t="s">
        <v>756</v>
      </c>
      <c r="L234" s="210">
        <v>418.0</v>
      </c>
      <c r="M234" s="41">
        <f t="shared" si="1"/>
        <v>27170</v>
      </c>
      <c r="N234" s="41" t="s">
        <v>757</v>
      </c>
      <c r="O234" s="211"/>
    </row>
    <row r="235">
      <c r="A235" s="42">
        <v>77.0</v>
      </c>
      <c r="B235" s="212">
        <v>201335.0</v>
      </c>
      <c r="C235" s="213">
        <v>45736.0</v>
      </c>
      <c r="D235" s="42" t="s">
        <v>592</v>
      </c>
      <c r="E235" s="213" t="s">
        <v>593</v>
      </c>
      <c r="F235" s="42">
        <v>683.0</v>
      </c>
      <c r="G235" s="76">
        <v>45786.0</v>
      </c>
      <c r="H235" s="33" t="s">
        <v>36</v>
      </c>
      <c r="I235" s="34" t="s">
        <v>24</v>
      </c>
      <c r="J235" s="31">
        <v>50.0</v>
      </c>
      <c r="K235" s="31" t="s">
        <v>25</v>
      </c>
      <c r="L235" s="226">
        <v>63.58</v>
      </c>
      <c r="M235" s="41">
        <f t="shared" si="1"/>
        <v>3179</v>
      </c>
      <c r="N235" s="41" t="s">
        <v>102</v>
      </c>
      <c r="O235" s="227"/>
    </row>
    <row r="236">
      <c r="A236" s="47"/>
      <c r="B236" s="47"/>
      <c r="C236" s="47"/>
      <c r="D236" s="47"/>
      <c r="E236" s="47"/>
      <c r="F236" s="47"/>
      <c r="G236" s="47"/>
      <c r="H236" s="33" t="s">
        <v>201</v>
      </c>
      <c r="I236" s="34" t="s">
        <v>24</v>
      </c>
      <c r="J236" s="162">
        <v>10.0</v>
      </c>
      <c r="K236" s="31" t="s">
        <v>25</v>
      </c>
      <c r="L236" s="226">
        <v>339.0</v>
      </c>
      <c r="M236" s="41">
        <f t="shared" si="1"/>
        <v>3390</v>
      </c>
      <c r="N236" s="41" t="s">
        <v>102</v>
      </c>
      <c r="O236" s="227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</row>
    <row r="237">
      <c r="A237" s="48"/>
      <c r="B237" s="48"/>
      <c r="C237" s="48"/>
      <c r="D237" s="48"/>
      <c r="E237" s="48"/>
      <c r="F237" s="48"/>
      <c r="G237" s="48"/>
      <c r="H237" s="33" t="s">
        <v>38</v>
      </c>
      <c r="I237" s="34" t="s">
        <v>24</v>
      </c>
      <c r="J237" s="31">
        <v>50.0</v>
      </c>
      <c r="K237" s="31" t="s">
        <v>39</v>
      </c>
      <c r="L237" s="226">
        <v>20.0</v>
      </c>
      <c r="M237" s="41">
        <f t="shared" si="1"/>
        <v>1000</v>
      </c>
      <c r="N237" s="41" t="s">
        <v>102</v>
      </c>
      <c r="O237" s="227"/>
    </row>
    <row r="238">
      <c r="A238" s="42">
        <v>78.0</v>
      </c>
      <c r="B238" s="212">
        <v>304.0</v>
      </c>
      <c r="C238" s="213">
        <v>45737.0</v>
      </c>
      <c r="D238" s="42" t="s">
        <v>758</v>
      </c>
      <c r="E238" s="213" t="s">
        <v>187</v>
      </c>
      <c r="F238" s="42">
        <v>639.0</v>
      </c>
      <c r="G238" s="214">
        <v>45737.0</v>
      </c>
      <c r="H238" s="63" t="s">
        <v>512</v>
      </c>
      <c r="I238" s="34" t="s">
        <v>276</v>
      </c>
      <c r="J238" s="77">
        <v>23.0</v>
      </c>
      <c r="K238" s="77" t="s">
        <v>89</v>
      </c>
      <c r="L238" s="210">
        <v>540.0</v>
      </c>
      <c r="M238" s="41">
        <f t="shared" si="1"/>
        <v>12420</v>
      </c>
      <c r="N238" s="41" t="s">
        <v>440</v>
      </c>
      <c r="O238" s="211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</row>
    <row r="239">
      <c r="A239" s="47"/>
      <c r="B239" s="47"/>
      <c r="C239" s="47"/>
      <c r="D239" s="47"/>
      <c r="E239" s="47"/>
      <c r="F239" s="47"/>
      <c r="G239" s="47"/>
      <c r="H239" s="63" t="s">
        <v>511</v>
      </c>
      <c r="I239" s="34" t="s">
        <v>276</v>
      </c>
      <c r="J239" s="77">
        <v>7.0</v>
      </c>
      <c r="K239" s="77" t="s">
        <v>89</v>
      </c>
      <c r="L239" s="210">
        <v>900.0</v>
      </c>
      <c r="M239" s="41">
        <f t="shared" si="1"/>
        <v>6300</v>
      </c>
      <c r="N239" s="41" t="s">
        <v>440</v>
      </c>
      <c r="O239" s="211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</row>
    <row r="240">
      <c r="A240" s="47"/>
      <c r="B240" s="47"/>
      <c r="C240" s="47"/>
      <c r="D240" s="47"/>
      <c r="E240" s="47"/>
      <c r="F240" s="47"/>
      <c r="G240" s="47"/>
      <c r="H240" s="63" t="s">
        <v>287</v>
      </c>
      <c r="I240" s="34" t="s">
        <v>276</v>
      </c>
      <c r="J240" s="77">
        <v>5.0</v>
      </c>
      <c r="K240" s="77" t="s">
        <v>89</v>
      </c>
      <c r="L240" s="210">
        <v>235.0</v>
      </c>
      <c r="M240" s="41">
        <f t="shared" si="1"/>
        <v>1175</v>
      </c>
      <c r="N240" s="41" t="s">
        <v>440</v>
      </c>
      <c r="O240" s="211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</row>
    <row r="241">
      <c r="A241" s="47"/>
      <c r="B241" s="47"/>
      <c r="C241" s="47"/>
      <c r="D241" s="47"/>
      <c r="E241" s="47"/>
      <c r="F241" s="47"/>
      <c r="G241" s="47"/>
      <c r="H241" s="63" t="s">
        <v>759</v>
      </c>
      <c r="I241" s="34" t="s">
        <v>276</v>
      </c>
      <c r="J241" s="153">
        <v>2.0</v>
      </c>
      <c r="K241" s="77" t="s">
        <v>89</v>
      </c>
      <c r="L241" s="210">
        <v>512.0</v>
      </c>
      <c r="M241" s="41">
        <f t="shared" si="1"/>
        <v>1024</v>
      </c>
      <c r="N241" s="41" t="s">
        <v>440</v>
      </c>
      <c r="O241" s="211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</row>
    <row r="242">
      <c r="A242" s="47"/>
      <c r="B242" s="47"/>
      <c r="C242" s="47"/>
      <c r="D242" s="47"/>
      <c r="E242" s="47"/>
      <c r="F242" s="47"/>
      <c r="G242" s="47"/>
      <c r="H242" s="63" t="s">
        <v>760</v>
      </c>
      <c r="I242" s="34" t="s">
        <v>276</v>
      </c>
      <c r="J242" s="153">
        <v>1.0</v>
      </c>
      <c r="K242" s="77" t="s">
        <v>89</v>
      </c>
      <c r="L242" s="210">
        <v>29.0</v>
      </c>
      <c r="M242" s="41">
        <f t="shared" si="1"/>
        <v>29</v>
      </c>
      <c r="N242" s="41" t="s">
        <v>440</v>
      </c>
      <c r="O242" s="211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</row>
    <row r="243">
      <c r="A243" s="47"/>
      <c r="B243" s="47"/>
      <c r="C243" s="47"/>
      <c r="D243" s="47"/>
      <c r="E243" s="47"/>
      <c r="F243" s="47"/>
      <c r="G243" s="47"/>
      <c r="H243" s="63" t="s">
        <v>515</v>
      </c>
      <c r="I243" s="34" t="s">
        <v>276</v>
      </c>
      <c r="J243" s="153">
        <v>1.0</v>
      </c>
      <c r="K243" s="77" t="s">
        <v>89</v>
      </c>
      <c r="L243" s="210">
        <v>39.0</v>
      </c>
      <c r="M243" s="41">
        <f t="shared" si="1"/>
        <v>39</v>
      </c>
      <c r="N243" s="41" t="s">
        <v>440</v>
      </c>
      <c r="O243" s="211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</row>
    <row r="244">
      <c r="A244" s="47"/>
      <c r="B244" s="47"/>
      <c r="C244" s="47"/>
      <c r="D244" s="47"/>
      <c r="E244" s="47"/>
      <c r="F244" s="47"/>
      <c r="G244" s="47"/>
      <c r="H244" s="63" t="s">
        <v>761</v>
      </c>
      <c r="I244" s="34" t="s">
        <v>276</v>
      </c>
      <c r="J244" s="153">
        <v>1.0</v>
      </c>
      <c r="K244" s="77" t="s">
        <v>89</v>
      </c>
      <c r="L244" s="210">
        <v>49.0</v>
      </c>
      <c r="M244" s="41">
        <f t="shared" si="1"/>
        <v>49</v>
      </c>
      <c r="N244" s="41" t="s">
        <v>440</v>
      </c>
      <c r="O244" s="211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</row>
    <row r="245">
      <c r="A245" s="47"/>
      <c r="B245" s="47"/>
      <c r="C245" s="47"/>
      <c r="D245" s="47"/>
      <c r="E245" s="47"/>
      <c r="F245" s="47"/>
      <c r="G245" s="47"/>
      <c r="H245" s="63" t="s">
        <v>517</v>
      </c>
      <c r="I245" s="34" t="s">
        <v>276</v>
      </c>
      <c r="J245" s="153">
        <v>5.0</v>
      </c>
      <c r="K245" s="77" t="s">
        <v>89</v>
      </c>
      <c r="L245" s="210">
        <v>24.0</v>
      </c>
      <c r="M245" s="41">
        <f t="shared" si="1"/>
        <v>120</v>
      </c>
      <c r="N245" s="41" t="s">
        <v>440</v>
      </c>
      <c r="O245" s="211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</row>
    <row r="246">
      <c r="A246" s="47"/>
      <c r="B246" s="47"/>
      <c r="C246" s="47"/>
      <c r="D246" s="47"/>
      <c r="E246" s="47"/>
      <c r="F246" s="47"/>
      <c r="G246" s="48"/>
      <c r="H246" s="63" t="s">
        <v>762</v>
      </c>
      <c r="I246" s="34" t="s">
        <v>60</v>
      </c>
      <c r="J246" s="153">
        <v>6.0</v>
      </c>
      <c r="K246" s="77" t="s">
        <v>89</v>
      </c>
      <c r="L246" s="210">
        <v>31.0</v>
      </c>
      <c r="M246" s="41">
        <f t="shared" si="1"/>
        <v>186</v>
      </c>
      <c r="N246" s="41" t="s">
        <v>440</v>
      </c>
      <c r="O246" s="211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</row>
    <row r="247">
      <c r="A247" s="47"/>
      <c r="B247" s="47"/>
      <c r="C247" s="47"/>
      <c r="D247" s="47"/>
      <c r="E247" s="47"/>
      <c r="F247" s="42">
        <v>638.0</v>
      </c>
      <c r="G247" s="214">
        <v>45737.0</v>
      </c>
      <c r="H247" s="63" t="s">
        <v>351</v>
      </c>
      <c r="I247" s="34" t="s">
        <v>294</v>
      </c>
      <c r="J247" s="153">
        <v>100.0</v>
      </c>
      <c r="K247" s="77" t="s">
        <v>34</v>
      </c>
      <c r="L247" s="210">
        <v>72.0</v>
      </c>
      <c r="M247" s="41">
        <f t="shared" si="1"/>
        <v>7200</v>
      </c>
      <c r="N247" s="41" t="s">
        <v>440</v>
      </c>
      <c r="O247" s="211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</row>
    <row r="248">
      <c r="A248" s="47"/>
      <c r="B248" s="47"/>
      <c r="C248" s="47"/>
      <c r="D248" s="47"/>
      <c r="E248" s="47"/>
      <c r="F248" s="47"/>
      <c r="G248" s="47"/>
      <c r="H248" s="63" t="s">
        <v>739</v>
      </c>
      <c r="I248" s="34" t="s">
        <v>82</v>
      </c>
      <c r="J248" s="153">
        <v>100.0</v>
      </c>
      <c r="K248" s="77" t="s">
        <v>89</v>
      </c>
      <c r="L248" s="210">
        <v>17.0</v>
      </c>
      <c r="M248" s="41">
        <f t="shared" si="1"/>
        <v>1700</v>
      </c>
      <c r="N248" s="41" t="s">
        <v>440</v>
      </c>
      <c r="O248" s="211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</row>
    <row r="249">
      <c r="A249" s="47"/>
      <c r="B249" s="47"/>
      <c r="C249" s="47"/>
      <c r="D249" s="47"/>
      <c r="E249" s="47"/>
      <c r="F249" s="47"/>
      <c r="G249" s="47"/>
      <c r="H249" s="63" t="s">
        <v>763</v>
      </c>
      <c r="I249" s="34" t="s">
        <v>29</v>
      </c>
      <c r="J249" s="153">
        <v>20.0</v>
      </c>
      <c r="K249" s="77" t="s">
        <v>89</v>
      </c>
      <c r="L249" s="210">
        <v>220.0</v>
      </c>
      <c r="M249" s="41">
        <f t="shared" si="1"/>
        <v>4400</v>
      </c>
      <c r="N249" s="41" t="s">
        <v>440</v>
      </c>
      <c r="O249" s="211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</row>
    <row r="250">
      <c r="A250" s="47"/>
      <c r="B250" s="47"/>
      <c r="C250" s="47"/>
      <c r="D250" s="47"/>
      <c r="E250" s="47"/>
      <c r="F250" s="47"/>
      <c r="G250" s="47"/>
      <c r="H250" s="63" t="s">
        <v>764</v>
      </c>
      <c r="I250" s="34" t="s">
        <v>82</v>
      </c>
      <c r="J250" s="153">
        <v>30.0</v>
      </c>
      <c r="K250" s="77" t="s">
        <v>89</v>
      </c>
      <c r="L250" s="210">
        <v>17.0</v>
      </c>
      <c r="M250" s="41">
        <f t="shared" si="1"/>
        <v>510</v>
      </c>
      <c r="N250" s="41" t="s">
        <v>440</v>
      </c>
      <c r="O250" s="211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</row>
    <row r="251">
      <c r="A251" s="47"/>
      <c r="B251" s="47"/>
      <c r="C251" s="47"/>
      <c r="D251" s="47"/>
      <c r="E251" s="47"/>
      <c r="F251" s="47"/>
      <c r="G251" s="47"/>
      <c r="H251" s="63" t="s">
        <v>765</v>
      </c>
      <c r="I251" s="34" t="s">
        <v>82</v>
      </c>
      <c r="J251" s="153">
        <v>20.0</v>
      </c>
      <c r="K251" s="77" t="s">
        <v>89</v>
      </c>
      <c r="L251" s="210">
        <v>45.0</v>
      </c>
      <c r="M251" s="41">
        <f t="shared" si="1"/>
        <v>900</v>
      </c>
      <c r="N251" s="41" t="s">
        <v>440</v>
      </c>
      <c r="O251" s="211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</row>
    <row r="252">
      <c r="A252" s="47"/>
      <c r="B252" s="47"/>
      <c r="C252" s="47"/>
      <c r="D252" s="47"/>
      <c r="E252" s="47"/>
      <c r="F252" s="47"/>
      <c r="G252" s="47"/>
      <c r="H252" s="63" t="s">
        <v>766</v>
      </c>
      <c r="I252" s="34" t="s">
        <v>294</v>
      </c>
      <c r="J252" s="153">
        <v>1.0</v>
      </c>
      <c r="K252" s="77" t="s">
        <v>39</v>
      </c>
      <c r="L252" s="210">
        <v>450.0</v>
      </c>
      <c r="M252" s="41">
        <f t="shared" si="1"/>
        <v>450</v>
      </c>
      <c r="N252" s="41" t="s">
        <v>440</v>
      </c>
      <c r="O252" s="211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</row>
    <row r="253">
      <c r="A253" s="47"/>
      <c r="B253" s="47"/>
      <c r="C253" s="47"/>
      <c r="D253" s="47"/>
      <c r="E253" s="47"/>
      <c r="F253" s="47"/>
      <c r="G253" s="47"/>
      <c r="H253" s="63" t="s">
        <v>767</v>
      </c>
      <c r="I253" s="34" t="s">
        <v>294</v>
      </c>
      <c r="J253" s="153">
        <v>1.0</v>
      </c>
      <c r="K253" s="77" t="s">
        <v>39</v>
      </c>
      <c r="L253" s="210">
        <v>450.0</v>
      </c>
      <c r="M253" s="41">
        <f t="shared" si="1"/>
        <v>450</v>
      </c>
      <c r="N253" s="41" t="s">
        <v>440</v>
      </c>
      <c r="O253" s="211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</row>
    <row r="254">
      <c r="A254" s="47"/>
      <c r="B254" s="47"/>
      <c r="C254" s="47"/>
      <c r="D254" s="47"/>
      <c r="E254" s="47"/>
      <c r="F254" s="47"/>
      <c r="G254" s="47"/>
      <c r="H254" s="63" t="s">
        <v>279</v>
      </c>
      <c r="I254" s="34" t="s">
        <v>276</v>
      </c>
      <c r="J254" s="153">
        <v>70.0</v>
      </c>
      <c r="K254" s="77" t="s">
        <v>89</v>
      </c>
      <c r="L254" s="210">
        <v>185.0</v>
      </c>
      <c r="M254" s="41">
        <f t="shared" si="1"/>
        <v>12950</v>
      </c>
      <c r="N254" s="41" t="s">
        <v>440</v>
      </c>
      <c r="O254" s="211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</row>
    <row r="255">
      <c r="A255" s="47"/>
      <c r="B255" s="47"/>
      <c r="C255" s="47"/>
      <c r="D255" s="47"/>
      <c r="E255" s="47"/>
      <c r="F255" s="47"/>
      <c r="G255" s="47"/>
      <c r="H255" s="63" t="s">
        <v>491</v>
      </c>
      <c r="I255" s="34" t="s">
        <v>276</v>
      </c>
      <c r="J255" s="153">
        <v>24.0</v>
      </c>
      <c r="K255" s="77" t="s">
        <v>89</v>
      </c>
      <c r="L255" s="210">
        <v>165.0</v>
      </c>
      <c r="M255" s="41">
        <f t="shared" si="1"/>
        <v>3960</v>
      </c>
      <c r="N255" s="41" t="s">
        <v>440</v>
      </c>
      <c r="O255" s="211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</row>
    <row r="256">
      <c r="A256" s="47"/>
      <c r="B256" s="47"/>
      <c r="C256" s="47"/>
      <c r="D256" s="47"/>
      <c r="E256" s="47"/>
      <c r="F256" s="47"/>
      <c r="G256" s="47"/>
      <c r="H256" s="63" t="s">
        <v>768</v>
      </c>
      <c r="I256" s="34" t="s">
        <v>276</v>
      </c>
      <c r="J256" s="153">
        <v>30.0</v>
      </c>
      <c r="K256" s="77" t="s">
        <v>156</v>
      </c>
      <c r="L256" s="210">
        <v>22.0</v>
      </c>
      <c r="M256" s="41">
        <f t="shared" si="1"/>
        <v>660</v>
      </c>
      <c r="N256" s="41" t="s">
        <v>440</v>
      </c>
      <c r="O256" s="211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</row>
    <row r="257">
      <c r="A257" s="48"/>
      <c r="B257" s="48"/>
      <c r="C257" s="48"/>
      <c r="D257" s="48"/>
      <c r="E257" s="48"/>
      <c r="F257" s="48"/>
      <c r="G257" s="48"/>
      <c r="H257" s="63" t="s">
        <v>769</v>
      </c>
      <c r="I257" s="34" t="s">
        <v>276</v>
      </c>
      <c r="J257" s="153">
        <v>30.0</v>
      </c>
      <c r="K257" s="77" t="s">
        <v>156</v>
      </c>
      <c r="L257" s="210">
        <v>25.0</v>
      </c>
      <c r="M257" s="41">
        <f t="shared" si="1"/>
        <v>750</v>
      </c>
      <c r="N257" s="41" t="s">
        <v>440</v>
      </c>
      <c r="O257" s="211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</row>
    <row r="258">
      <c r="A258" s="42">
        <v>79.0</v>
      </c>
      <c r="B258" s="212">
        <v>307.0</v>
      </c>
      <c r="C258" s="213">
        <v>45737.0</v>
      </c>
      <c r="D258" s="42" t="s">
        <v>758</v>
      </c>
      <c r="E258" s="213" t="s">
        <v>187</v>
      </c>
      <c r="F258" s="68">
        <v>655.0</v>
      </c>
      <c r="G258" s="178">
        <v>45754.0</v>
      </c>
      <c r="H258" s="63" t="s">
        <v>770</v>
      </c>
      <c r="I258" s="34" t="s">
        <v>276</v>
      </c>
      <c r="J258" s="153">
        <v>3.0</v>
      </c>
      <c r="K258" s="77" t="s">
        <v>98</v>
      </c>
      <c r="L258" s="210">
        <v>890.0</v>
      </c>
      <c r="M258" s="41">
        <f t="shared" si="1"/>
        <v>2670</v>
      </c>
      <c r="N258" s="41" t="s">
        <v>440</v>
      </c>
      <c r="O258" s="211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</row>
    <row r="259">
      <c r="A259" s="47"/>
      <c r="B259" s="47"/>
      <c r="C259" s="47"/>
      <c r="D259" s="47"/>
      <c r="E259" s="47"/>
      <c r="F259" s="47"/>
      <c r="G259" s="47"/>
      <c r="H259" s="63" t="s">
        <v>771</v>
      </c>
      <c r="I259" s="34" t="s">
        <v>276</v>
      </c>
      <c r="J259" s="153">
        <v>15.0</v>
      </c>
      <c r="K259" s="77" t="s">
        <v>89</v>
      </c>
      <c r="L259" s="210">
        <v>4.0</v>
      </c>
      <c r="M259" s="41">
        <f t="shared" si="1"/>
        <v>60</v>
      </c>
      <c r="N259" s="41" t="s">
        <v>440</v>
      </c>
      <c r="O259" s="211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</row>
    <row r="260">
      <c r="A260" s="47"/>
      <c r="B260" s="47"/>
      <c r="C260" s="47"/>
      <c r="D260" s="47"/>
      <c r="E260" s="47"/>
      <c r="F260" s="47"/>
      <c r="G260" s="47"/>
      <c r="H260" s="63" t="s">
        <v>288</v>
      </c>
      <c r="I260" s="34" t="s">
        <v>276</v>
      </c>
      <c r="J260" s="153">
        <v>30.0</v>
      </c>
      <c r="K260" s="77" t="s">
        <v>98</v>
      </c>
      <c r="L260" s="210">
        <v>12.0</v>
      </c>
      <c r="M260" s="41">
        <f t="shared" si="1"/>
        <v>360</v>
      </c>
      <c r="N260" s="41" t="s">
        <v>440</v>
      </c>
      <c r="O260" s="211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</row>
    <row r="261">
      <c r="A261" s="47"/>
      <c r="B261" s="47"/>
      <c r="C261" s="47"/>
      <c r="D261" s="47"/>
      <c r="E261" s="47"/>
      <c r="F261" s="47"/>
      <c r="G261" s="47"/>
      <c r="H261" s="63" t="s">
        <v>772</v>
      </c>
      <c r="I261" s="34" t="s">
        <v>276</v>
      </c>
      <c r="J261" s="153">
        <v>1.0</v>
      </c>
      <c r="K261" s="77" t="s">
        <v>89</v>
      </c>
      <c r="L261" s="210">
        <v>6990.0</v>
      </c>
      <c r="M261" s="41">
        <f t="shared" si="1"/>
        <v>6990</v>
      </c>
      <c r="N261" s="41" t="s">
        <v>440</v>
      </c>
      <c r="O261" s="211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</row>
    <row r="262">
      <c r="A262" s="47"/>
      <c r="B262" s="47"/>
      <c r="C262" s="47"/>
      <c r="D262" s="47"/>
      <c r="E262" s="47"/>
      <c r="F262" s="47"/>
      <c r="G262" s="47"/>
      <c r="H262" s="63" t="s">
        <v>773</v>
      </c>
      <c r="I262" s="34" t="s">
        <v>276</v>
      </c>
      <c r="J262" s="153">
        <v>1.0</v>
      </c>
      <c r="K262" s="77" t="s">
        <v>89</v>
      </c>
      <c r="L262" s="210">
        <v>6132.0</v>
      </c>
      <c r="M262" s="41">
        <f t="shared" si="1"/>
        <v>6132</v>
      </c>
      <c r="N262" s="41" t="s">
        <v>440</v>
      </c>
      <c r="O262" s="211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</row>
    <row r="263">
      <c r="A263" s="47"/>
      <c r="B263" s="47"/>
      <c r="C263" s="47"/>
      <c r="D263" s="47"/>
      <c r="E263" s="47"/>
      <c r="F263" s="47"/>
      <c r="G263" s="47"/>
      <c r="H263" s="63" t="s">
        <v>712</v>
      </c>
      <c r="I263" s="34" t="s">
        <v>60</v>
      </c>
      <c r="J263" s="153">
        <v>20.0</v>
      </c>
      <c r="K263" s="77" t="s">
        <v>89</v>
      </c>
      <c r="L263" s="210">
        <v>270.0</v>
      </c>
      <c r="M263" s="41">
        <f t="shared" si="1"/>
        <v>5400</v>
      </c>
      <c r="N263" s="41" t="s">
        <v>440</v>
      </c>
      <c r="O263" s="211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</row>
    <row r="264">
      <c r="A264" s="47"/>
      <c r="B264" s="47"/>
      <c r="C264" s="47"/>
      <c r="D264" s="47"/>
      <c r="E264" s="47"/>
      <c r="F264" s="47"/>
      <c r="G264" s="47"/>
      <c r="H264" s="63" t="s">
        <v>774</v>
      </c>
      <c r="I264" s="34" t="s">
        <v>60</v>
      </c>
      <c r="J264" s="153">
        <v>30.0</v>
      </c>
      <c r="K264" s="77" t="s">
        <v>89</v>
      </c>
      <c r="L264" s="210">
        <v>16.8</v>
      </c>
      <c r="M264" s="41">
        <f t="shared" si="1"/>
        <v>504</v>
      </c>
      <c r="N264" s="41" t="s">
        <v>440</v>
      </c>
      <c r="O264" s="211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</row>
    <row r="265">
      <c r="A265" s="47"/>
      <c r="B265" s="47"/>
      <c r="C265" s="47"/>
      <c r="D265" s="47"/>
      <c r="E265" s="47"/>
      <c r="F265" s="47"/>
      <c r="G265" s="47"/>
      <c r="H265" s="63" t="s">
        <v>775</v>
      </c>
      <c r="I265" s="34" t="s">
        <v>60</v>
      </c>
      <c r="J265" s="153">
        <v>30.0</v>
      </c>
      <c r="K265" s="77" t="s">
        <v>89</v>
      </c>
      <c r="L265" s="210">
        <v>26.0</v>
      </c>
      <c r="M265" s="41">
        <f t="shared" si="1"/>
        <v>780</v>
      </c>
      <c r="N265" s="41" t="s">
        <v>440</v>
      </c>
      <c r="O265" s="211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</row>
    <row r="266">
      <c r="A266" s="47"/>
      <c r="B266" s="47"/>
      <c r="C266" s="47"/>
      <c r="D266" s="47"/>
      <c r="E266" s="47"/>
      <c r="F266" s="47"/>
      <c r="G266" s="47"/>
      <c r="H266" s="63" t="s">
        <v>776</v>
      </c>
      <c r="I266" s="34" t="s">
        <v>60</v>
      </c>
      <c r="J266" s="153">
        <v>30.0</v>
      </c>
      <c r="K266" s="77" t="s">
        <v>89</v>
      </c>
      <c r="L266" s="210">
        <v>14.0</v>
      </c>
      <c r="M266" s="41">
        <f t="shared" si="1"/>
        <v>420</v>
      </c>
      <c r="N266" s="41" t="s">
        <v>440</v>
      </c>
      <c r="O266" s="211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</row>
    <row r="267">
      <c r="A267" s="47"/>
      <c r="B267" s="47"/>
      <c r="C267" s="47"/>
      <c r="D267" s="47"/>
      <c r="E267" s="47"/>
      <c r="F267" s="47"/>
      <c r="G267" s="47"/>
      <c r="H267" s="63" t="s">
        <v>777</v>
      </c>
      <c r="I267" s="34" t="s">
        <v>60</v>
      </c>
      <c r="J267" s="153">
        <v>30.0</v>
      </c>
      <c r="K267" s="77" t="s">
        <v>89</v>
      </c>
      <c r="L267" s="210">
        <v>89.0</v>
      </c>
      <c r="M267" s="41">
        <f t="shared" si="1"/>
        <v>2670</v>
      </c>
      <c r="N267" s="41" t="s">
        <v>440</v>
      </c>
      <c r="O267" s="211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</row>
    <row r="268">
      <c r="A268" s="47"/>
      <c r="B268" s="47"/>
      <c r="C268" s="47"/>
      <c r="D268" s="47"/>
      <c r="E268" s="47"/>
      <c r="F268" s="47"/>
      <c r="G268" s="47"/>
      <c r="H268" s="63" t="s">
        <v>713</v>
      </c>
      <c r="I268" s="34" t="s">
        <v>60</v>
      </c>
      <c r="J268" s="153">
        <v>38.0</v>
      </c>
      <c r="K268" s="77" t="s">
        <v>89</v>
      </c>
      <c r="L268" s="210">
        <v>300.0</v>
      </c>
      <c r="M268" s="41">
        <f t="shared" si="1"/>
        <v>11400</v>
      </c>
      <c r="N268" s="41" t="s">
        <v>440</v>
      </c>
      <c r="O268" s="211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</row>
    <row r="269">
      <c r="A269" s="47"/>
      <c r="B269" s="47"/>
      <c r="C269" s="47"/>
      <c r="D269" s="47"/>
      <c r="E269" s="47"/>
      <c r="F269" s="48"/>
      <c r="G269" s="48"/>
      <c r="H269" s="63" t="s">
        <v>778</v>
      </c>
      <c r="I269" s="34" t="s">
        <v>60</v>
      </c>
      <c r="J269" s="153">
        <v>68.0</v>
      </c>
      <c r="K269" s="77" t="s">
        <v>89</v>
      </c>
      <c r="L269" s="210">
        <v>525.0</v>
      </c>
      <c r="M269" s="41">
        <f t="shared" si="1"/>
        <v>35700</v>
      </c>
      <c r="N269" s="41" t="s">
        <v>440</v>
      </c>
      <c r="O269" s="211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</row>
    <row r="270">
      <c r="A270" s="47"/>
      <c r="B270" s="47"/>
      <c r="C270" s="47"/>
      <c r="D270" s="47"/>
      <c r="E270" s="47"/>
      <c r="F270" s="68">
        <v>656.0</v>
      </c>
      <c r="G270" s="178">
        <v>45754.0</v>
      </c>
      <c r="H270" s="63" t="s">
        <v>779</v>
      </c>
      <c r="I270" s="34" t="s">
        <v>60</v>
      </c>
      <c r="J270" s="153">
        <v>18.0</v>
      </c>
      <c r="K270" s="77" t="s">
        <v>89</v>
      </c>
      <c r="L270" s="210">
        <v>95.0</v>
      </c>
      <c r="M270" s="41">
        <f t="shared" si="1"/>
        <v>1710</v>
      </c>
      <c r="N270" s="41" t="s">
        <v>440</v>
      </c>
      <c r="O270" s="211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</row>
    <row r="271">
      <c r="A271" s="47"/>
      <c r="B271" s="47"/>
      <c r="C271" s="47"/>
      <c r="D271" s="47"/>
      <c r="E271" s="47"/>
      <c r="F271" s="47"/>
      <c r="G271" s="47"/>
      <c r="H271" s="63" t="s">
        <v>714</v>
      </c>
      <c r="I271" s="34" t="s">
        <v>60</v>
      </c>
      <c r="J271" s="77">
        <v>15.0</v>
      </c>
      <c r="K271" s="77" t="s">
        <v>98</v>
      </c>
      <c r="L271" s="210">
        <v>35.0</v>
      </c>
      <c r="M271" s="41">
        <f t="shared" si="1"/>
        <v>525</v>
      </c>
      <c r="N271" s="41" t="s">
        <v>440</v>
      </c>
      <c r="O271" s="211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</row>
    <row r="272">
      <c r="A272" s="47"/>
      <c r="B272" s="47"/>
      <c r="C272" s="47"/>
      <c r="D272" s="47"/>
      <c r="E272" s="47"/>
      <c r="F272" s="47"/>
      <c r="G272" s="47"/>
      <c r="H272" s="63" t="s">
        <v>647</v>
      </c>
      <c r="I272" s="34" t="s">
        <v>60</v>
      </c>
      <c r="J272" s="77">
        <v>12.0</v>
      </c>
      <c r="K272" s="77" t="s">
        <v>89</v>
      </c>
      <c r="L272" s="210">
        <v>180.0</v>
      </c>
      <c r="M272" s="41">
        <f t="shared" si="1"/>
        <v>2160</v>
      </c>
      <c r="N272" s="41" t="s">
        <v>440</v>
      </c>
      <c r="O272" s="211"/>
    </row>
    <row r="273">
      <c r="A273" s="47"/>
      <c r="B273" s="47"/>
      <c r="C273" s="47"/>
      <c r="D273" s="47"/>
      <c r="E273" s="47"/>
      <c r="F273" s="47"/>
      <c r="G273" s="47"/>
      <c r="H273" s="63" t="s">
        <v>780</v>
      </c>
      <c r="I273" s="34" t="s">
        <v>60</v>
      </c>
      <c r="J273" s="77">
        <v>10.0</v>
      </c>
      <c r="K273" s="77" t="s">
        <v>156</v>
      </c>
      <c r="L273" s="210">
        <v>90.0</v>
      </c>
      <c r="M273" s="41">
        <f t="shared" si="1"/>
        <v>900</v>
      </c>
      <c r="N273" s="41" t="s">
        <v>440</v>
      </c>
      <c r="O273" s="211"/>
    </row>
    <row r="274">
      <c r="A274" s="47"/>
      <c r="B274" s="47"/>
      <c r="C274" s="47"/>
      <c r="D274" s="47"/>
      <c r="E274" s="47"/>
      <c r="F274" s="47"/>
      <c r="G274" s="47"/>
      <c r="H274" s="63" t="s">
        <v>781</v>
      </c>
      <c r="I274" s="34" t="s">
        <v>60</v>
      </c>
      <c r="J274" s="77">
        <v>5.0</v>
      </c>
      <c r="K274" s="77" t="s">
        <v>156</v>
      </c>
      <c r="L274" s="210">
        <v>110.0</v>
      </c>
      <c r="M274" s="41">
        <f t="shared" si="1"/>
        <v>550</v>
      </c>
      <c r="N274" s="41" t="s">
        <v>440</v>
      </c>
      <c r="O274" s="211"/>
    </row>
    <row r="275">
      <c r="A275" s="47"/>
      <c r="B275" s="47"/>
      <c r="C275" s="47"/>
      <c r="D275" s="47"/>
      <c r="E275" s="47"/>
      <c r="F275" s="47"/>
      <c r="G275" s="47"/>
      <c r="H275" s="63" t="s">
        <v>782</v>
      </c>
      <c r="I275" s="34" t="s">
        <v>60</v>
      </c>
      <c r="J275" s="77">
        <v>6.0</v>
      </c>
      <c r="K275" s="77" t="s">
        <v>156</v>
      </c>
      <c r="L275" s="210">
        <v>31.0</v>
      </c>
      <c r="M275" s="41">
        <f t="shared" si="1"/>
        <v>186</v>
      </c>
      <c r="N275" s="41" t="s">
        <v>440</v>
      </c>
      <c r="O275" s="211"/>
    </row>
    <row r="276">
      <c r="A276" s="47"/>
      <c r="B276" s="47"/>
      <c r="C276" s="47"/>
      <c r="D276" s="47"/>
      <c r="E276" s="47"/>
      <c r="F276" s="47"/>
      <c r="G276" s="47"/>
      <c r="H276" s="63" t="s">
        <v>783</v>
      </c>
      <c r="I276" s="34" t="s">
        <v>60</v>
      </c>
      <c r="J276" s="77">
        <v>3.0</v>
      </c>
      <c r="K276" s="77" t="s">
        <v>156</v>
      </c>
      <c r="L276" s="210">
        <v>52.0</v>
      </c>
      <c r="M276" s="41">
        <f t="shared" si="1"/>
        <v>156</v>
      </c>
      <c r="N276" s="41" t="s">
        <v>440</v>
      </c>
      <c r="O276" s="211"/>
    </row>
    <row r="277">
      <c r="A277" s="47"/>
      <c r="B277" s="47"/>
      <c r="C277" s="47"/>
      <c r="D277" s="47"/>
      <c r="E277" s="47"/>
      <c r="F277" s="47"/>
      <c r="G277" s="47"/>
      <c r="H277" s="63" t="s">
        <v>784</v>
      </c>
      <c r="I277" s="34" t="s">
        <v>60</v>
      </c>
      <c r="J277" s="77">
        <v>3.0</v>
      </c>
      <c r="K277" s="77" t="s">
        <v>156</v>
      </c>
      <c r="L277" s="210">
        <v>850.0</v>
      </c>
      <c r="M277" s="41">
        <f t="shared" si="1"/>
        <v>2550</v>
      </c>
      <c r="N277" s="41" t="s">
        <v>440</v>
      </c>
      <c r="O277" s="211"/>
    </row>
    <row r="278">
      <c r="A278" s="47"/>
      <c r="B278" s="47"/>
      <c r="C278" s="47"/>
      <c r="D278" s="47"/>
      <c r="E278" s="47"/>
      <c r="F278" s="47"/>
      <c r="G278" s="47"/>
      <c r="H278" s="63" t="s">
        <v>785</v>
      </c>
      <c r="I278" s="34" t="s">
        <v>60</v>
      </c>
      <c r="J278" s="77">
        <v>6.0</v>
      </c>
      <c r="K278" s="77" t="s">
        <v>156</v>
      </c>
      <c r="L278" s="210">
        <v>220.0</v>
      </c>
      <c r="M278" s="41">
        <f t="shared" si="1"/>
        <v>1320</v>
      </c>
      <c r="N278" s="41" t="s">
        <v>440</v>
      </c>
      <c r="O278" s="211"/>
    </row>
    <row r="279">
      <c r="A279" s="47"/>
      <c r="B279" s="47"/>
      <c r="C279" s="47"/>
      <c r="D279" s="47"/>
      <c r="E279" s="47"/>
      <c r="F279" s="47"/>
      <c r="G279" s="47"/>
      <c r="H279" s="63" t="s">
        <v>786</v>
      </c>
      <c r="I279" s="34" t="s">
        <v>276</v>
      </c>
      <c r="J279" s="77">
        <v>100.0</v>
      </c>
      <c r="K279" s="77" t="s">
        <v>156</v>
      </c>
      <c r="L279" s="210">
        <v>48.0</v>
      </c>
      <c r="M279" s="41">
        <f t="shared" si="1"/>
        <v>4800</v>
      </c>
      <c r="N279" s="41" t="s">
        <v>440</v>
      </c>
      <c r="O279" s="211"/>
    </row>
    <row r="280">
      <c r="A280" s="48"/>
      <c r="B280" s="48"/>
      <c r="C280" s="48"/>
      <c r="D280" s="48"/>
      <c r="E280" s="48"/>
      <c r="F280" s="48"/>
      <c r="G280" s="48"/>
      <c r="H280" s="63" t="s">
        <v>787</v>
      </c>
      <c r="I280" s="34" t="s">
        <v>788</v>
      </c>
      <c r="J280" s="77">
        <v>80.0</v>
      </c>
      <c r="K280" s="77" t="s">
        <v>156</v>
      </c>
      <c r="L280" s="210">
        <v>17.0</v>
      </c>
      <c r="M280" s="41">
        <f t="shared" si="1"/>
        <v>1360</v>
      </c>
      <c r="N280" s="41" t="s">
        <v>440</v>
      </c>
      <c r="O280" s="211"/>
    </row>
    <row r="281">
      <c r="A281" s="31">
        <v>80.0</v>
      </c>
      <c r="B281" s="208">
        <v>314.0</v>
      </c>
      <c r="C281" s="209">
        <v>45741.0</v>
      </c>
      <c r="D281" s="31" t="s">
        <v>758</v>
      </c>
      <c r="E281" s="209" t="s">
        <v>187</v>
      </c>
      <c r="F281" s="31">
        <v>632.0</v>
      </c>
      <c r="G281" s="161">
        <v>45724.0</v>
      </c>
      <c r="H281" s="33" t="s">
        <v>789</v>
      </c>
      <c r="I281" s="34" t="s">
        <v>60</v>
      </c>
      <c r="J281" s="31">
        <v>3.0</v>
      </c>
      <c r="K281" s="31" t="s">
        <v>98</v>
      </c>
      <c r="L281" s="226">
        <v>3000.0</v>
      </c>
      <c r="M281" s="41">
        <f t="shared" si="1"/>
        <v>9000</v>
      </c>
      <c r="N281" s="41" t="s">
        <v>440</v>
      </c>
      <c r="O281" s="211"/>
    </row>
    <row r="282">
      <c r="A282" s="42">
        <v>81.0</v>
      </c>
      <c r="B282" s="212">
        <v>55.0</v>
      </c>
      <c r="C282" s="213">
        <v>45739.0</v>
      </c>
      <c r="D282" s="75" t="s">
        <v>790</v>
      </c>
      <c r="E282" s="215" t="s">
        <v>205</v>
      </c>
      <c r="F282" s="88">
        <v>620.0</v>
      </c>
      <c r="G282" s="221">
        <v>45706.0</v>
      </c>
      <c r="H282" s="63" t="s">
        <v>791</v>
      </c>
      <c r="I282" s="34" t="s">
        <v>429</v>
      </c>
      <c r="J282" s="77">
        <v>1.0</v>
      </c>
      <c r="K282" s="77" t="s">
        <v>156</v>
      </c>
      <c r="L282" s="210">
        <v>2300.0</v>
      </c>
      <c r="M282" s="41">
        <f t="shared" si="1"/>
        <v>2300</v>
      </c>
      <c r="N282" s="41" t="s">
        <v>792</v>
      </c>
      <c r="O282" s="211"/>
    </row>
    <row r="283">
      <c r="A283" s="48"/>
      <c r="B283" s="48"/>
      <c r="C283" s="48"/>
      <c r="D283" s="48"/>
      <c r="E283" s="48"/>
      <c r="F283" s="88">
        <v>619.0</v>
      </c>
      <c r="G283" s="221">
        <v>45706.0</v>
      </c>
      <c r="H283" s="63" t="s">
        <v>793</v>
      </c>
      <c r="I283" s="34" t="s">
        <v>429</v>
      </c>
      <c r="J283" s="77">
        <v>20.0</v>
      </c>
      <c r="K283" s="77" t="s">
        <v>156</v>
      </c>
      <c r="L283" s="210">
        <v>55.0</v>
      </c>
      <c r="M283" s="41">
        <f t="shared" si="1"/>
        <v>1100</v>
      </c>
      <c r="N283" s="41" t="s">
        <v>792</v>
      </c>
      <c r="O283" s="211"/>
    </row>
    <row r="284">
      <c r="A284" s="31">
        <v>82.0</v>
      </c>
      <c r="B284" s="224">
        <v>655.0</v>
      </c>
      <c r="C284" s="209">
        <v>45739.0</v>
      </c>
      <c r="D284" s="88" t="s">
        <v>592</v>
      </c>
      <c r="E284" s="228" t="s">
        <v>593</v>
      </c>
      <c r="F284" s="88">
        <v>683.0</v>
      </c>
      <c r="G284" s="97">
        <v>45786.0</v>
      </c>
      <c r="H284" s="63" t="s">
        <v>794</v>
      </c>
      <c r="I284" s="34" t="s">
        <v>547</v>
      </c>
      <c r="J284" s="77">
        <v>1.0</v>
      </c>
      <c r="K284" s="77" t="s">
        <v>156</v>
      </c>
      <c r="L284" s="210">
        <v>1500.0</v>
      </c>
      <c r="M284" s="41">
        <f t="shared" si="1"/>
        <v>1500</v>
      </c>
      <c r="N284" s="41" t="s">
        <v>795</v>
      </c>
      <c r="O284" s="211"/>
    </row>
    <row r="285">
      <c r="A285" s="31">
        <v>83.0</v>
      </c>
      <c r="B285" s="229">
        <v>348.0</v>
      </c>
      <c r="C285" s="228">
        <v>45741.0</v>
      </c>
      <c r="D285" s="79" t="s">
        <v>796</v>
      </c>
      <c r="E285" s="230">
        <v>45765.0</v>
      </c>
      <c r="F285" s="79">
        <v>637.0</v>
      </c>
      <c r="G285" s="161">
        <v>45730.0</v>
      </c>
      <c r="H285" s="63" t="s">
        <v>797</v>
      </c>
      <c r="I285" s="34" t="s">
        <v>51</v>
      </c>
      <c r="J285" s="77">
        <v>1.0</v>
      </c>
      <c r="K285" s="77" t="s">
        <v>156</v>
      </c>
      <c r="L285" s="210">
        <v>148750.0</v>
      </c>
      <c r="M285" s="41">
        <f t="shared" si="1"/>
        <v>148750</v>
      </c>
      <c r="N285" s="41" t="s">
        <v>560</v>
      </c>
      <c r="O285" s="211"/>
    </row>
    <row r="286">
      <c r="A286" s="42">
        <v>84.0</v>
      </c>
      <c r="B286" s="231">
        <v>10256.0</v>
      </c>
      <c r="C286" s="215">
        <v>45741.0</v>
      </c>
      <c r="D286" s="232" t="s">
        <v>592</v>
      </c>
      <c r="E286" s="233" t="s">
        <v>593</v>
      </c>
      <c r="F286" s="232">
        <v>683.0</v>
      </c>
      <c r="G286" s="76">
        <v>45786.0</v>
      </c>
      <c r="H286" s="63" t="s">
        <v>798</v>
      </c>
      <c r="I286" s="34" t="s">
        <v>294</v>
      </c>
      <c r="J286" s="77">
        <v>25.0</v>
      </c>
      <c r="K286" s="77" t="s">
        <v>654</v>
      </c>
      <c r="L286" s="210">
        <v>80.0</v>
      </c>
      <c r="M286" s="41">
        <f t="shared" si="1"/>
        <v>2000</v>
      </c>
      <c r="N286" s="41" t="s">
        <v>799</v>
      </c>
      <c r="O286" s="211"/>
    </row>
    <row r="287">
      <c r="A287" s="48"/>
      <c r="B287" s="48"/>
      <c r="C287" s="48"/>
      <c r="D287" s="48"/>
      <c r="E287" s="48"/>
      <c r="F287" s="48"/>
      <c r="G287" s="48"/>
      <c r="H287" s="63" t="s">
        <v>800</v>
      </c>
      <c r="I287" s="34" t="s">
        <v>42</v>
      </c>
      <c r="J287" s="77">
        <v>1.0</v>
      </c>
      <c r="K287" s="77" t="s">
        <v>89</v>
      </c>
      <c r="L287" s="210">
        <v>940.0</v>
      </c>
      <c r="M287" s="41">
        <f t="shared" si="1"/>
        <v>940</v>
      </c>
      <c r="N287" s="41" t="s">
        <v>799</v>
      </c>
      <c r="O287" s="211"/>
    </row>
    <row r="288">
      <c r="A288" s="31">
        <v>85.0</v>
      </c>
      <c r="B288" s="229">
        <v>349.0</v>
      </c>
      <c r="C288" s="228">
        <v>45742.0</v>
      </c>
      <c r="D288" s="79" t="s">
        <v>796</v>
      </c>
      <c r="E288" s="228">
        <v>45765.0</v>
      </c>
      <c r="F288" s="88">
        <v>656.0</v>
      </c>
      <c r="G288" s="97">
        <v>45754.0</v>
      </c>
      <c r="H288" s="63" t="s">
        <v>801</v>
      </c>
      <c r="I288" s="34" t="s">
        <v>84</v>
      </c>
      <c r="J288" s="77">
        <v>30.0</v>
      </c>
      <c r="K288" s="77" t="s">
        <v>156</v>
      </c>
      <c r="L288" s="210">
        <v>499.0</v>
      </c>
      <c r="M288" s="41">
        <f t="shared" si="1"/>
        <v>14970</v>
      </c>
      <c r="N288" s="41" t="s">
        <v>185</v>
      </c>
      <c r="O288" s="211"/>
    </row>
    <row r="289">
      <c r="A289" s="42">
        <v>86.0</v>
      </c>
      <c r="B289" s="212">
        <v>324.0</v>
      </c>
      <c r="C289" s="213">
        <v>45743.0</v>
      </c>
      <c r="D289" s="42" t="s">
        <v>802</v>
      </c>
      <c r="E289" s="213">
        <v>45763.0</v>
      </c>
      <c r="F289" s="42">
        <v>653.0</v>
      </c>
      <c r="G289" s="76">
        <v>45754.0</v>
      </c>
      <c r="H289" s="63" t="s">
        <v>330</v>
      </c>
      <c r="I289" s="34" t="s">
        <v>29</v>
      </c>
      <c r="J289" s="77">
        <v>5.0</v>
      </c>
      <c r="K289" s="77" t="s">
        <v>156</v>
      </c>
      <c r="L289" s="210">
        <v>650.0</v>
      </c>
      <c r="M289" s="41">
        <f t="shared" si="1"/>
        <v>3250</v>
      </c>
      <c r="N289" s="41" t="s">
        <v>440</v>
      </c>
      <c r="O289" s="211"/>
    </row>
    <row r="290">
      <c r="A290" s="48"/>
      <c r="B290" s="48"/>
      <c r="C290" s="48"/>
      <c r="D290" s="48"/>
      <c r="E290" s="48"/>
      <c r="F290" s="48"/>
      <c r="G290" s="48"/>
      <c r="H290" s="63" t="s">
        <v>803</v>
      </c>
      <c r="I290" s="34" t="s">
        <v>325</v>
      </c>
      <c r="J290" s="77">
        <v>10.0</v>
      </c>
      <c r="K290" s="77" t="s">
        <v>654</v>
      </c>
      <c r="L290" s="210">
        <v>61.0</v>
      </c>
      <c r="M290" s="41">
        <f t="shared" si="1"/>
        <v>610</v>
      </c>
      <c r="N290" s="41" t="s">
        <v>440</v>
      </c>
      <c r="O290" s="211"/>
    </row>
    <row r="291">
      <c r="A291" s="31">
        <v>87.0</v>
      </c>
      <c r="B291" s="208">
        <v>2559.0</v>
      </c>
      <c r="C291" s="209">
        <v>45747.0</v>
      </c>
      <c r="D291" s="31" t="s">
        <v>748</v>
      </c>
      <c r="E291" s="209" t="s">
        <v>749</v>
      </c>
      <c r="F291" s="31" t="s">
        <v>92</v>
      </c>
      <c r="G291" s="158"/>
      <c r="H291" s="63" t="s">
        <v>23</v>
      </c>
      <c r="I291" s="34" t="s">
        <v>24</v>
      </c>
      <c r="J291" s="77">
        <v>46.4</v>
      </c>
      <c r="K291" s="77" t="s">
        <v>25</v>
      </c>
      <c r="L291" s="210">
        <v>64.65</v>
      </c>
      <c r="M291" s="41">
        <f t="shared" si="1"/>
        <v>2999.76</v>
      </c>
      <c r="N291" s="41" t="s">
        <v>91</v>
      </c>
      <c r="O291" s="211"/>
    </row>
    <row r="292">
      <c r="A292" s="31">
        <v>88.0</v>
      </c>
      <c r="B292" s="224">
        <v>90.0</v>
      </c>
      <c r="C292" s="209">
        <v>45747.0</v>
      </c>
      <c r="D292" s="88" t="s">
        <v>804</v>
      </c>
      <c r="E292" s="228">
        <v>45763.0</v>
      </c>
      <c r="F292" s="88">
        <v>652.0</v>
      </c>
      <c r="G292" s="97">
        <v>45749.0</v>
      </c>
      <c r="H292" s="63" t="s">
        <v>50</v>
      </c>
      <c r="I292" s="34" t="s">
        <v>51</v>
      </c>
      <c r="J292" s="77">
        <v>5.0</v>
      </c>
      <c r="K292" s="77" t="s">
        <v>156</v>
      </c>
      <c r="L292" s="210">
        <v>35300.0</v>
      </c>
      <c r="M292" s="41">
        <f t="shared" si="1"/>
        <v>176500</v>
      </c>
      <c r="N292" s="37"/>
      <c r="O292" s="211"/>
    </row>
    <row r="293">
      <c r="A293" s="42">
        <v>89.0</v>
      </c>
      <c r="B293" s="212">
        <v>368.0</v>
      </c>
      <c r="C293" s="213">
        <v>45747.0</v>
      </c>
      <c r="D293" s="75" t="s">
        <v>805</v>
      </c>
      <c r="E293" s="215">
        <v>45763.0</v>
      </c>
      <c r="F293" s="75">
        <v>654.0</v>
      </c>
      <c r="G293" s="76">
        <v>45754.0</v>
      </c>
      <c r="H293" s="63" t="s">
        <v>806</v>
      </c>
      <c r="I293" s="34" t="s">
        <v>82</v>
      </c>
      <c r="J293" s="77">
        <v>400.0</v>
      </c>
      <c r="K293" s="77" t="s">
        <v>156</v>
      </c>
      <c r="L293" s="210">
        <v>1283.0</v>
      </c>
      <c r="M293" s="41">
        <f t="shared" si="1"/>
        <v>513200</v>
      </c>
      <c r="N293" s="41" t="s">
        <v>560</v>
      </c>
      <c r="O293" s="211"/>
    </row>
    <row r="294">
      <c r="A294" s="47"/>
      <c r="B294" s="47"/>
      <c r="C294" s="47"/>
      <c r="D294" s="47"/>
      <c r="E294" s="47"/>
      <c r="F294" s="47"/>
      <c r="G294" s="47"/>
      <c r="H294" s="63" t="s">
        <v>807</v>
      </c>
      <c r="I294" s="34" t="s">
        <v>82</v>
      </c>
      <c r="J294" s="77">
        <v>50.0</v>
      </c>
      <c r="K294" s="77" t="s">
        <v>156</v>
      </c>
      <c r="L294" s="210">
        <v>1100.0</v>
      </c>
      <c r="M294" s="41">
        <f t="shared" si="1"/>
        <v>55000</v>
      </c>
      <c r="N294" s="41" t="s">
        <v>560</v>
      </c>
      <c r="O294" s="211"/>
    </row>
    <row r="295">
      <c r="A295" s="47"/>
      <c r="B295" s="47"/>
      <c r="C295" s="47"/>
      <c r="D295" s="47"/>
      <c r="E295" s="47"/>
      <c r="F295" s="47"/>
      <c r="G295" s="47"/>
      <c r="H295" s="63" t="s">
        <v>808</v>
      </c>
      <c r="I295" s="34" t="s">
        <v>82</v>
      </c>
      <c r="J295" s="77">
        <v>50.0</v>
      </c>
      <c r="K295" s="77" t="s">
        <v>156</v>
      </c>
      <c r="L295" s="210">
        <v>962.0</v>
      </c>
      <c r="M295" s="41">
        <f t="shared" si="1"/>
        <v>48100</v>
      </c>
      <c r="N295" s="41" t="s">
        <v>560</v>
      </c>
      <c r="O295" s="211"/>
    </row>
    <row r="296">
      <c r="A296" s="47"/>
      <c r="B296" s="47"/>
      <c r="C296" s="47"/>
      <c r="D296" s="47"/>
      <c r="E296" s="47"/>
      <c r="F296" s="47"/>
      <c r="G296" s="47"/>
      <c r="H296" s="63" t="s">
        <v>275</v>
      </c>
      <c r="I296" s="34" t="s">
        <v>276</v>
      </c>
      <c r="J296" s="77">
        <v>25.0</v>
      </c>
      <c r="K296" s="77" t="s">
        <v>98</v>
      </c>
      <c r="L296" s="210">
        <v>3141.0</v>
      </c>
      <c r="M296" s="41">
        <f t="shared" si="1"/>
        <v>78525</v>
      </c>
      <c r="N296" s="41" t="s">
        <v>560</v>
      </c>
      <c r="O296" s="211"/>
    </row>
    <row r="297">
      <c r="A297" s="47"/>
      <c r="B297" s="47"/>
      <c r="C297" s="47"/>
      <c r="D297" s="47"/>
      <c r="E297" s="47"/>
      <c r="F297" s="47"/>
      <c r="G297" s="47"/>
      <c r="H297" s="63" t="s">
        <v>281</v>
      </c>
      <c r="I297" s="34" t="s">
        <v>276</v>
      </c>
      <c r="J297" s="77">
        <v>15.0</v>
      </c>
      <c r="K297" s="77" t="s">
        <v>98</v>
      </c>
      <c r="L297" s="210">
        <v>1395.0</v>
      </c>
      <c r="M297" s="41">
        <f t="shared" si="1"/>
        <v>20925</v>
      </c>
      <c r="N297" s="41" t="s">
        <v>560</v>
      </c>
      <c r="O297" s="211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>
      <c r="A298" s="47"/>
      <c r="B298" s="47"/>
      <c r="C298" s="47"/>
      <c r="D298" s="47"/>
      <c r="E298" s="47"/>
      <c r="F298" s="47"/>
      <c r="G298" s="47"/>
      <c r="H298" s="63" t="s">
        <v>809</v>
      </c>
      <c r="I298" s="34" t="s">
        <v>84</v>
      </c>
      <c r="J298" s="77">
        <v>4.0</v>
      </c>
      <c r="K298" s="77" t="s">
        <v>156</v>
      </c>
      <c r="L298" s="210">
        <v>499.0</v>
      </c>
      <c r="M298" s="41">
        <f t="shared" si="1"/>
        <v>1996</v>
      </c>
      <c r="N298" s="41" t="s">
        <v>560</v>
      </c>
      <c r="O298" s="211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>
      <c r="A299" s="47"/>
      <c r="B299" s="47"/>
      <c r="C299" s="47"/>
      <c r="D299" s="47"/>
      <c r="E299" s="47"/>
      <c r="F299" s="47"/>
      <c r="G299" s="47"/>
      <c r="H299" s="63" t="s">
        <v>85</v>
      </c>
      <c r="I299" s="34" t="s">
        <v>84</v>
      </c>
      <c r="J299" s="77">
        <v>4.0</v>
      </c>
      <c r="K299" s="77" t="s">
        <v>156</v>
      </c>
      <c r="L299" s="210">
        <v>950.0</v>
      </c>
      <c r="M299" s="41">
        <f t="shared" si="1"/>
        <v>3800</v>
      </c>
      <c r="N299" s="41" t="s">
        <v>560</v>
      </c>
      <c r="O299" s="211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>
      <c r="A300" s="48"/>
      <c r="B300" s="48"/>
      <c r="C300" s="48"/>
      <c r="D300" s="48"/>
      <c r="E300" s="48"/>
      <c r="F300" s="48"/>
      <c r="G300" s="48"/>
      <c r="H300" s="63" t="s">
        <v>810</v>
      </c>
      <c r="I300" s="34" t="s">
        <v>429</v>
      </c>
      <c r="J300" s="77">
        <v>4.0</v>
      </c>
      <c r="K300" s="77" t="s">
        <v>156</v>
      </c>
      <c r="L300" s="210">
        <v>1750.0</v>
      </c>
      <c r="M300" s="41">
        <f t="shared" si="1"/>
        <v>7000</v>
      </c>
      <c r="N300" s="41" t="s">
        <v>560</v>
      </c>
      <c r="O300" s="211"/>
    </row>
    <row r="301">
      <c r="A301" s="42">
        <v>90.0</v>
      </c>
      <c r="B301" s="212">
        <v>313.0</v>
      </c>
      <c r="C301" s="213">
        <v>45748.0</v>
      </c>
      <c r="D301" s="42" t="s">
        <v>802</v>
      </c>
      <c r="E301" s="213">
        <v>45763.0</v>
      </c>
      <c r="F301" s="42">
        <v>652.0</v>
      </c>
      <c r="G301" s="76">
        <v>45749.0</v>
      </c>
      <c r="H301" s="63" t="s">
        <v>624</v>
      </c>
      <c r="I301" s="34" t="s">
        <v>82</v>
      </c>
      <c r="J301" s="77">
        <v>90.0</v>
      </c>
      <c r="K301" s="77" t="s">
        <v>89</v>
      </c>
      <c r="L301" s="210">
        <v>17.0</v>
      </c>
      <c r="M301" s="41">
        <f t="shared" si="1"/>
        <v>1530</v>
      </c>
      <c r="N301" s="41" t="s">
        <v>99</v>
      </c>
      <c r="O301" s="211"/>
    </row>
    <row r="302">
      <c r="A302" s="48"/>
      <c r="B302" s="48"/>
      <c r="C302" s="48"/>
      <c r="D302" s="48"/>
      <c r="E302" s="48"/>
      <c r="F302" s="48"/>
      <c r="G302" s="48"/>
      <c r="H302" s="63" t="s">
        <v>352</v>
      </c>
      <c r="I302" s="34" t="s">
        <v>294</v>
      </c>
      <c r="J302" s="77">
        <v>50.0</v>
      </c>
      <c r="K302" s="77" t="s">
        <v>34</v>
      </c>
      <c r="L302" s="210">
        <v>74.0</v>
      </c>
      <c r="M302" s="41">
        <f t="shared" si="1"/>
        <v>3700</v>
      </c>
      <c r="N302" s="41" t="s">
        <v>99</v>
      </c>
      <c r="O302" s="211"/>
    </row>
    <row r="303">
      <c r="A303" s="42">
        <v>91.0</v>
      </c>
      <c r="B303" s="231" t="s">
        <v>811</v>
      </c>
      <c r="C303" s="215">
        <v>45748.0</v>
      </c>
      <c r="D303" s="232" t="s">
        <v>812</v>
      </c>
      <c r="E303" s="233" t="s">
        <v>183</v>
      </c>
      <c r="F303" s="232">
        <v>650.0</v>
      </c>
      <c r="G303" s="234">
        <v>45748.0</v>
      </c>
      <c r="H303" s="63" t="s">
        <v>813</v>
      </c>
      <c r="I303" s="34" t="s">
        <v>547</v>
      </c>
      <c r="J303" s="77">
        <v>10.0</v>
      </c>
      <c r="K303" s="77" t="s">
        <v>156</v>
      </c>
      <c r="L303" s="210">
        <v>79.0</v>
      </c>
      <c r="M303" s="41">
        <f t="shared" si="1"/>
        <v>790</v>
      </c>
      <c r="N303" s="41" t="s">
        <v>548</v>
      </c>
      <c r="O303" s="211"/>
    </row>
    <row r="304">
      <c r="A304" s="47"/>
      <c r="B304" s="47"/>
      <c r="C304" s="47"/>
      <c r="D304" s="47"/>
      <c r="E304" s="47"/>
      <c r="F304" s="47"/>
      <c r="G304" s="47"/>
      <c r="H304" s="63" t="s">
        <v>814</v>
      </c>
      <c r="I304" s="34" t="s">
        <v>547</v>
      </c>
      <c r="J304" s="77">
        <v>10.0</v>
      </c>
      <c r="K304" s="77" t="s">
        <v>156</v>
      </c>
      <c r="L304" s="210">
        <v>19.0</v>
      </c>
      <c r="M304" s="41">
        <f t="shared" si="1"/>
        <v>190</v>
      </c>
      <c r="N304" s="41" t="s">
        <v>548</v>
      </c>
      <c r="O304" s="211"/>
    </row>
    <row r="305">
      <c r="A305" s="47"/>
      <c r="B305" s="47"/>
      <c r="C305" s="47"/>
      <c r="D305" s="47"/>
      <c r="E305" s="47"/>
      <c r="F305" s="47"/>
      <c r="G305" s="47"/>
      <c r="H305" s="63" t="s">
        <v>815</v>
      </c>
      <c r="I305" s="34" t="s">
        <v>547</v>
      </c>
      <c r="J305" s="77">
        <v>3.0</v>
      </c>
      <c r="K305" s="77" t="s">
        <v>816</v>
      </c>
      <c r="L305" s="210">
        <v>218.0</v>
      </c>
      <c r="M305" s="41">
        <f t="shared" si="1"/>
        <v>654</v>
      </c>
      <c r="N305" s="41" t="s">
        <v>548</v>
      </c>
      <c r="O305" s="211"/>
    </row>
    <row r="306">
      <c r="A306" s="47"/>
      <c r="B306" s="47"/>
      <c r="C306" s="47"/>
      <c r="D306" s="47"/>
      <c r="E306" s="47"/>
      <c r="F306" s="47"/>
      <c r="G306" s="47"/>
      <c r="H306" s="63" t="s">
        <v>817</v>
      </c>
      <c r="I306" s="34" t="s">
        <v>547</v>
      </c>
      <c r="J306" s="77">
        <v>1.0</v>
      </c>
      <c r="K306" s="77" t="s">
        <v>156</v>
      </c>
      <c r="L306" s="210">
        <v>48.0</v>
      </c>
      <c r="M306" s="41">
        <f t="shared" si="1"/>
        <v>48</v>
      </c>
      <c r="N306" s="41" t="s">
        <v>548</v>
      </c>
      <c r="O306" s="211"/>
    </row>
    <row r="307">
      <c r="A307" s="47"/>
      <c r="B307" s="47"/>
      <c r="C307" s="47"/>
      <c r="D307" s="47"/>
      <c r="E307" s="47"/>
      <c r="F307" s="47"/>
      <c r="G307" s="47"/>
      <c r="H307" s="63" t="s">
        <v>818</v>
      </c>
      <c r="I307" s="34" t="s">
        <v>547</v>
      </c>
      <c r="J307" s="77">
        <v>50.0</v>
      </c>
      <c r="K307" s="77" t="s">
        <v>156</v>
      </c>
      <c r="L307" s="210">
        <v>18.0</v>
      </c>
      <c r="M307" s="41">
        <f t="shared" si="1"/>
        <v>900</v>
      </c>
      <c r="N307" s="41" t="s">
        <v>548</v>
      </c>
      <c r="O307" s="211"/>
    </row>
    <row r="308">
      <c r="A308" s="47"/>
      <c r="B308" s="47"/>
      <c r="C308" s="47"/>
      <c r="D308" s="47"/>
      <c r="E308" s="47"/>
      <c r="F308" s="47"/>
      <c r="G308" s="47"/>
      <c r="H308" s="63" t="s">
        <v>819</v>
      </c>
      <c r="I308" s="34" t="s">
        <v>547</v>
      </c>
      <c r="J308" s="77">
        <v>1.0</v>
      </c>
      <c r="K308" s="77" t="s">
        <v>319</v>
      </c>
      <c r="L308" s="210">
        <v>84.0</v>
      </c>
      <c r="M308" s="41">
        <f t="shared" si="1"/>
        <v>84</v>
      </c>
      <c r="N308" s="41" t="s">
        <v>548</v>
      </c>
      <c r="O308" s="211"/>
    </row>
    <row r="309">
      <c r="A309" s="47"/>
      <c r="B309" s="47"/>
      <c r="C309" s="47"/>
      <c r="D309" s="47"/>
      <c r="E309" s="47"/>
      <c r="F309" s="47"/>
      <c r="G309" s="47"/>
      <c r="H309" s="63" t="s">
        <v>820</v>
      </c>
      <c r="I309" s="34" t="s">
        <v>547</v>
      </c>
      <c r="J309" s="77">
        <v>2.0</v>
      </c>
      <c r="K309" s="77" t="s">
        <v>156</v>
      </c>
      <c r="L309" s="210">
        <v>13.0</v>
      </c>
      <c r="M309" s="41">
        <f t="shared" si="1"/>
        <v>26</v>
      </c>
      <c r="N309" s="41" t="s">
        <v>548</v>
      </c>
      <c r="O309" s="211"/>
    </row>
    <row r="310">
      <c r="A310" s="47"/>
      <c r="B310" s="47"/>
      <c r="C310" s="47"/>
      <c r="D310" s="47"/>
      <c r="E310" s="47"/>
      <c r="F310" s="47"/>
      <c r="G310" s="47"/>
      <c r="H310" s="63" t="s">
        <v>821</v>
      </c>
      <c r="I310" s="34" t="s">
        <v>547</v>
      </c>
      <c r="J310" s="77">
        <v>1.0</v>
      </c>
      <c r="K310" s="77" t="s">
        <v>156</v>
      </c>
      <c r="L310" s="210">
        <v>127.0</v>
      </c>
      <c r="M310" s="41">
        <f t="shared" si="1"/>
        <v>127</v>
      </c>
      <c r="N310" s="41" t="s">
        <v>548</v>
      </c>
      <c r="O310" s="211"/>
    </row>
    <row r="311">
      <c r="A311" s="47"/>
      <c r="B311" s="47"/>
      <c r="C311" s="47"/>
      <c r="D311" s="47"/>
      <c r="E311" s="47"/>
      <c r="F311" s="47"/>
      <c r="G311" s="47"/>
      <c r="H311" s="63" t="s">
        <v>822</v>
      </c>
      <c r="I311" s="34" t="s">
        <v>547</v>
      </c>
      <c r="J311" s="77">
        <v>1.0</v>
      </c>
      <c r="K311" s="77" t="s">
        <v>156</v>
      </c>
      <c r="L311" s="210">
        <v>45.0</v>
      </c>
      <c r="M311" s="41">
        <f t="shared" si="1"/>
        <v>45</v>
      </c>
      <c r="N311" s="41" t="s">
        <v>548</v>
      </c>
      <c r="O311" s="211"/>
    </row>
    <row r="312">
      <c r="A312" s="47"/>
      <c r="B312" s="47"/>
      <c r="C312" s="47"/>
      <c r="D312" s="47"/>
      <c r="E312" s="47"/>
      <c r="F312" s="47"/>
      <c r="G312" s="47"/>
      <c r="H312" s="63" t="s">
        <v>823</v>
      </c>
      <c r="I312" s="34" t="s">
        <v>547</v>
      </c>
      <c r="J312" s="77">
        <v>15.0</v>
      </c>
      <c r="K312" s="77" t="s">
        <v>39</v>
      </c>
      <c r="L312" s="210">
        <v>15.0</v>
      </c>
      <c r="M312" s="41">
        <f t="shared" si="1"/>
        <v>225</v>
      </c>
      <c r="N312" s="41" t="s">
        <v>548</v>
      </c>
      <c r="O312" s="211"/>
    </row>
    <row r="313">
      <c r="A313" s="47"/>
      <c r="B313" s="47"/>
      <c r="C313" s="47"/>
      <c r="D313" s="47"/>
      <c r="E313" s="47"/>
      <c r="F313" s="47"/>
      <c r="G313" s="47"/>
      <c r="H313" s="63" t="s">
        <v>824</v>
      </c>
      <c r="I313" s="34" t="s">
        <v>547</v>
      </c>
      <c r="J313" s="77">
        <v>1.0</v>
      </c>
      <c r="K313" s="77" t="s">
        <v>89</v>
      </c>
      <c r="L313" s="210">
        <v>2850.0</v>
      </c>
      <c r="M313" s="41">
        <f t="shared" si="1"/>
        <v>2850</v>
      </c>
      <c r="N313" s="41" t="s">
        <v>548</v>
      </c>
      <c r="O313" s="211"/>
    </row>
    <row r="314">
      <c r="A314" s="48"/>
      <c r="B314" s="48"/>
      <c r="C314" s="48"/>
      <c r="D314" s="48"/>
      <c r="E314" s="48"/>
      <c r="F314" s="48"/>
      <c r="G314" s="48"/>
      <c r="H314" s="63" t="s">
        <v>825</v>
      </c>
      <c r="I314" s="34" t="s">
        <v>547</v>
      </c>
      <c r="J314" s="77">
        <v>10.0</v>
      </c>
      <c r="K314" s="77" t="s">
        <v>156</v>
      </c>
      <c r="L314" s="210">
        <v>15.0</v>
      </c>
      <c r="M314" s="41">
        <f t="shared" si="1"/>
        <v>150</v>
      </c>
      <c r="N314" s="41" t="s">
        <v>548</v>
      </c>
      <c r="O314" s="211"/>
    </row>
    <row r="315">
      <c r="A315" s="42">
        <v>92.0</v>
      </c>
      <c r="B315" s="212" t="s">
        <v>826</v>
      </c>
      <c r="C315" s="213">
        <v>45749.0</v>
      </c>
      <c r="D315" s="42" t="s">
        <v>827</v>
      </c>
      <c r="E315" s="213">
        <v>45765.0</v>
      </c>
      <c r="F315" s="31" t="s">
        <v>828</v>
      </c>
      <c r="G315" s="221">
        <v>45737.0</v>
      </c>
      <c r="H315" s="63" t="s">
        <v>829</v>
      </c>
      <c r="I315" s="34" t="s">
        <v>294</v>
      </c>
      <c r="J315" s="77">
        <v>100.0</v>
      </c>
      <c r="K315" s="77" t="s">
        <v>34</v>
      </c>
      <c r="L315" s="210">
        <v>72.0</v>
      </c>
      <c r="M315" s="41">
        <f t="shared" si="1"/>
        <v>7200</v>
      </c>
      <c r="N315" s="220" t="s">
        <v>107</v>
      </c>
      <c r="O315" s="211"/>
    </row>
    <row r="316">
      <c r="A316" s="48"/>
      <c r="B316" s="48"/>
      <c r="C316" s="48"/>
      <c r="D316" s="48"/>
      <c r="E316" s="48"/>
      <c r="F316" s="31"/>
      <c r="G316" s="216"/>
      <c r="H316" s="63" t="s">
        <v>830</v>
      </c>
      <c r="I316" s="34" t="s">
        <v>60</v>
      </c>
      <c r="J316" s="77">
        <v>3.0</v>
      </c>
      <c r="K316" s="77" t="s">
        <v>98</v>
      </c>
      <c r="L316" s="210">
        <v>3600.0</v>
      </c>
      <c r="M316" s="41">
        <f t="shared" si="1"/>
        <v>10800</v>
      </c>
      <c r="N316" s="220" t="s">
        <v>107</v>
      </c>
      <c r="O316" s="211"/>
    </row>
    <row r="317">
      <c r="A317" s="42">
        <v>93.0</v>
      </c>
      <c r="B317" s="212" t="s">
        <v>831</v>
      </c>
      <c r="C317" s="213">
        <v>45749.0</v>
      </c>
      <c r="D317" s="42" t="s">
        <v>827</v>
      </c>
      <c r="E317" s="213">
        <v>45765.0</v>
      </c>
      <c r="F317" s="42">
        <v>661.0</v>
      </c>
      <c r="G317" s="76">
        <v>45758.0</v>
      </c>
      <c r="H317" s="63" t="s">
        <v>832</v>
      </c>
      <c r="I317" s="34" t="s">
        <v>276</v>
      </c>
      <c r="J317" s="77">
        <v>110.0</v>
      </c>
      <c r="K317" s="77" t="s">
        <v>74</v>
      </c>
      <c r="L317" s="210">
        <v>58.0</v>
      </c>
      <c r="M317" s="41">
        <f t="shared" si="1"/>
        <v>6380</v>
      </c>
      <c r="N317" s="41" t="s">
        <v>107</v>
      </c>
      <c r="O317" s="211"/>
    </row>
    <row r="318">
      <c r="A318" s="48"/>
      <c r="B318" s="48"/>
      <c r="C318" s="48"/>
      <c r="D318" s="48"/>
      <c r="E318" s="48"/>
      <c r="F318" s="48"/>
      <c r="G318" s="48"/>
      <c r="H318" s="63" t="s">
        <v>833</v>
      </c>
      <c r="I318" s="34" t="s">
        <v>276</v>
      </c>
      <c r="J318" s="77">
        <v>130.0</v>
      </c>
      <c r="K318" s="77" t="s">
        <v>74</v>
      </c>
      <c r="L318" s="210">
        <v>279.5</v>
      </c>
      <c r="M318" s="41">
        <f t="shared" si="1"/>
        <v>36335</v>
      </c>
      <c r="N318" s="41" t="s">
        <v>107</v>
      </c>
      <c r="O318" s="211"/>
    </row>
    <row r="319">
      <c r="A319" s="31">
        <v>94.0</v>
      </c>
      <c r="B319" s="229" t="s">
        <v>834</v>
      </c>
      <c r="C319" s="228">
        <v>45750.0</v>
      </c>
      <c r="D319" s="79" t="s">
        <v>835</v>
      </c>
      <c r="E319" s="230">
        <v>45757.0</v>
      </c>
      <c r="F319" s="88" t="s">
        <v>92</v>
      </c>
      <c r="G319" s="158"/>
      <c r="H319" s="63" t="s">
        <v>836</v>
      </c>
      <c r="I319" s="34" t="s">
        <v>837</v>
      </c>
      <c r="J319" s="77">
        <v>1.0</v>
      </c>
      <c r="K319" s="77" t="s">
        <v>838</v>
      </c>
      <c r="L319" s="210">
        <v>30768.0</v>
      </c>
      <c r="M319" s="41">
        <f t="shared" si="1"/>
        <v>30768</v>
      </c>
      <c r="N319" s="41" t="s">
        <v>839</v>
      </c>
      <c r="O319" s="211"/>
    </row>
    <row r="320">
      <c r="A320" s="31">
        <v>95.0</v>
      </c>
      <c r="B320" s="229">
        <v>3.0919548E7</v>
      </c>
      <c r="C320" s="228">
        <v>45751.0</v>
      </c>
      <c r="D320" s="235" t="s">
        <v>840</v>
      </c>
      <c r="E320" s="236">
        <v>45412.0</v>
      </c>
      <c r="F320" s="88" t="s">
        <v>92</v>
      </c>
      <c r="G320" s="158"/>
      <c r="H320" s="63" t="s">
        <v>841</v>
      </c>
      <c r="I320" s="34" t="s">
        <v>837</v>
      </c>
      <c r="J320" s="77">
        <v>1.0</v>
      </c>
      <c r="K320" s="77" t="s">
        <v>838</v>
      </c>
      <c r="L320" s="237">
        <v>65974.0</v>
      </c>
      <c r="M320" s="41">
        <f t="shared" si="1"/>
        <v>65974</v>
      </c>
      <c r="N320" s="41" t="s">
        <v>842</v>
      </c>
      <c r="O320" s="211"/>
    </row>
    <row r="321">
      <c r="A321" s="31">
        <v>96.0</v>
      </c>
      <c r="B321" s="229">
        <v>127.0</v>
      </c>
      <c r="C321" s="228">
        <v>45752.0</v>
      </c>
      <c r="D321" s="79" t="s">
        <v>843</v>
      </c>
      <c r="E321" s="230" t="s">
        <v>844</v>
      </c>
      <c r="F321" s="79">
        <v>679.0</v>
      </c>
      <c r="G321" s="97">
        <v>45778.0</v>
      </c>
      <c r="H321" s="63" t="s">
        <v>845</v>
      </c>
      <c r="I321" s="34" t="s">
        <v>76</v>
      </c>
      <c r="J321" s="77">
        <v>1.0</v>
      </c>
      <c r="K321" s="77" t="s">
        <v>207</v>
      </c>
      <c r="L321" s="210">
        <v>16000.0</v>
      </c>
      <c r="M321" s="41">
        <f t="shared" si="1"/>
        <v>16000</v>
      </c>
      <c r="N321" s="41" t="s">
        <v>246</v>
      </c>
      <c r="O321" s="211"/>
    </row>
    <row r="322">
      <c r="A322" s="31">
        <v>97.0</v>
      </c>
      <c r="B322" s="229">
        <v>1210174.0</v>
      </c>
      <c r="C322" s="228">
        <v>45756.0</v>
      </c>
      <c r="D322" s="79" t="s">
        <v>748</v>
      </c>
      <c r="E322" s="230" t="s">
        <v>749</v>
      </c>
      <c r="F322" s="238"/>
      <c r="G322" s="158"/>
      <c r="H322" s="63" t="s">
        <v>23</v>
      </c>
      <c r="I322" s="34" t="s">
        <v>24</v>
      </c>
      <c r="J322" s="77">
        <v>48.995</v>
      </c>
      <c r="K322" s="77" t="s">
        <v>25</v>
      </c>
      <c r="L322" s="210">
        <v>63.17</v>
      </c>
      <c r="M322" s="41">
        <f t="shared" si="1"/>
        <v>3095.01415</v>
      </c>
      <c r="N322" s="41" t="s">
        <v>91</v>
      </c>
      <c r="O322" s="211"/>
    </row>
    <row r="323">
      <c r="A323" s="31">
        <v>98.0</v>
      </c>
      <c r="B323" s="229" t="s">
        <v>846</v>
      </c>
      <c r="C323" s="228">
        <v>45758.0</v>
      </c>
      <c r="D323" s="79" t="s">
        <v>827</v>
      </c>
      <c r="E323" s="230">
        <v>45765.0</v>
      </c>
      <c r="F323" s="79">
        <v>654.0</v>
      </c>
      <c r="G323" s="97">
        <v>45754.0</v>
      </c>
      <c r="H323" s="63" t="s">
        <v>847</v>
      </c>
      <c r="I323" s="34" t="s">
        <v>60</v>
      </c>
      <c r="J323" s="77">
        <v>2.0</v>
      </c>
      <c r="K323" s="77" t="s">
        <v>98</v>
      </c>
      <c r="L323" s="210">
        <v>3600.0</v>
      </c>
      <c r="M323" s="41">
        <f t="shared" si="1"/>
        <v>7200</v>
      </c>
      <c r="N323" s="41" t="s">
        <v>107</v>
      </c>
      <c r="O323" s="211"/>
    </row>
    <row r="324">
      <c r="A324" s="42">
        <v>99.0</v>
      </c>
      <c r="B324" s="212" t="s">
        <v>848</v>
      </c>
      <c r="C324" s="213">
        <v>45758.0</v>
      </c>
      <c r="D324" s="75" t="s">
        <v>827</v>
      </c>
      <c r="E324" s="215">
        <v>45765.0</v>
      </c>
      <c r="F324" s="75">
        <v>653.0</v>
      </c>
      <c r="G324" s="76">
        <v>45754.0</v>
      </c>
      <c r="H324" s="63" t="s">
        <v>226</v>
      </c>
      <c r="I324" s="34" t="s">
        <v>82</v>
      </c>
      <c r="J324" s="77">
        <v>500.0</v>
      </c>
      <c r="K324" s="77" t="s">
        <v>89</v>
      </c>
      <c r="L324" s="210">
        <v>1360.0</v>
      </c>
      <c r="M324" s="41">
        <f t="shared" si="1"/>
        <v>680000</v>
      </c>
      <c r="N324" s="41" t="s">
        <v>107</v>
      </c>
      <c r="O324" s="211"/>
    </row>
    <row r="325">
      <c r="A325" s="48"/>
      <c r="B325" s="48"/>
      <c r="C325" s="48"/>
      <c r="D325" s="48"/>
      <c r="E325" s="48"/>
      <c r="F325" s="48"/>
      <c r="G325" s="48"/>
      <c r="H325" s="63" t="s">
        <v>849</v>
      </c>
      <c r="I325" s="34" t="s">
        <v>294</v>
      </c>
      <c r="J325" s="77">
        <v>10.0</v>
      </c>
      <c r="K325" s="77" t="s">
        <v>39</v>
      </c>
      <c r="L325" s="210">
        <v>245.0</v>
      </c>
      <c r="M325" s="41">
        <f t="shared" si="1"/>
        <v>2450</v>
      </c>
      <c r="N325" s="41" t="s">
        <v>107</v>
      </c>
      <c r="O325" s="211"/>
    </row>
    <row r="326">
      <c r="A326" s="42">
        <v>100.0</v>
      </c>
      <c r="B326" s="231">
        <v>381.0</v>
      </c>
      <c r="C326" s="215">
        <v>45759.0</v>
      </c>
      <c r="D326" s="232" t="s">
        <v>850</v>
      </c>
      <c r="E326" s="233" t="s">
        <v>183</v>
      </c>
      <c r="F326" s="232">
        <v>649.0</v>
      </c>
      <c r="G326" s="214">
        <v>45744.0</v>
      </c>
      <c r="H326" s="63" t="s">
        <v>351</v>
      </c>
      <c r="I326" s="34" t="s">
        <v>294</v>
      </c>
      <c r="J326" s="77">
        <v>100.0</v>
      </c>
      <c r="K326" s="77" t="s">
        <v>654</v>
      </c>
      <c r="L326" s="210">
        <v>72.0</v>
      </c>
      <c r="M326" s="41">
        <f t="shared" si="1"/>
        <v>7200</v>
      </c>
      <c r="N326" s="41" t="s">
        <v>99</v>
      </c>
      <c r="O326" s="211"/>
    </row>
    <row r="327">
      <c r="A327" s="48"/>
      <c r="B327" s="48"/>
      <c r="C327" s="48"/>
      <c r="D327" s="48"/>
      <c r="E327" s="48"/>
      <c r="F327" s="48"/>
      <c r="G327" s="48"/>
      <c r="H327" s="63" t="s">
        <v>349</v>
      </c>
      <c r="I327" s="34" t="s">
        <v>294</v>
      </c>
      <c r="J327" s="77">
        <v>100.0</v>
      </c>
      <c r="K327" s="77" t="s">
        <v>654</v>
      </c>
      <c r="L327" s="210">
        <v>72.0</v>
      </c>
      <c r="M327" s="41">
        <f t="shared" si="1"/>
        <v>7200</v>
      </c>
      <c r="N327" s="41" t="s">
        <v>99</v>
      </c>
      <c r="O327" s="211"/>
    </row>
    <row r="328">
      <c r="A328" s="31">
        <v>101.0</v>
      </c>
      <c r="B328" s="224">
        <v>306.0</v>
      </c>
      <c r="C328" s="209">
        <v>45762.0</v>
      </c>
      <c r="D328" s="88" t="s">
        <v>851</v>
      </c>
      <c r="E328" s="228">
        <v>45777.0</v>
      </c>
      <c r="F328" s="88">
        <v>667.0</v>
      </c>
      <c r="G328" s="97">
        <v>45768.0</v>
      </c>
      <c r="H328" s="63" t="s">
        <v>852</v>
      </c>
      <c r="I328" s="34" t="s">
        <v>60</v>
      </c>
      <c r="J328" s="77">
        <v>1.0</v>
      </c>
      <c r="K328" s="77" t="s">
        <v>156</v>
      </c>
      <c r="L328" s="210">
        <v>21000.0</v>
      </c>
      <c r="M328" s="41">
        <f t="shared" si="1"/>
        <v>21000</v>
      </c>
      <c r="N328" s="41" t="s">
        <v>269</v>
      </c>
      <c r="O328" s="211"/>
    </row>
    <row r="329">
      <c r="A329" s="31">
        <v>102.0</v>
      </c>
      <c r="B329" s="224" t="s">
        <v>92</v>
      </c>
      <c r="C329" s="209">
        <v>45762.0</v>
      </c>
      <c r="D329" s="88" t="s">
        <v>853</v>
      </c>
      <c r="E329" s="228">
        <v>45762.0</v>
      </c>
      <c r="F329" s="88" t="s">
        <v>92</v>
      </c>
      <c r="G329" s="158"/>
      <c r="H329" s="63" t="s">
        <v>854</v>
      </c>
      <c r="I329" s="34" t="s">
        <v>837</v>
      </c>
      <c r="J329" s="77">
        <v>8.0</v>
      </c>
      <c r="K329" s="77" t="s">
        <v>165</v>
      </c>
      <c r="L329" s="210">
        <v>1000.0</v>
      </c>
      <c r="M329" s="41">
        <f t="shared" si="1"/>
        <v>8000</v>
      </c>
      <c r="N329" s="41" t="s">
        <v>839</v>
      </c>
      <c r="O329" s="211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>
      <c r="A330" s="42">
        <v>103.0</v>
      </c>
      <c r="B330" s="231">
        <v>419.0</v>
      </c>
      <c r="C330" s="215">
        <v>45762.0</v>
      </c>
      <c r="D330" s="232" t="s">
        <v>850</v>
      </c>
      <c r="E330" s="233" t="s">
        <v>183</v>
      </c>
      <c r="F330" s="232">
        <v>665.0</v>
      </c>
      <c r="G330" s="76">
        <v>45764.0</v>
      </c>
      <c r="H330" s="63" t="s">
        <v>350</v>
      </c>
      <c r="I330" s="34" t="s">
        <v>294</v>
      </c>
      <c r="J330" s="77">
        <v>50.0</v>
      </c>
      <c r="K330" s="77" t="s">
        <v>654</v>
      </c>
      <c r="L330" s="210">
        <v>72.0</v>
      </c>
      <c r="M330" s="41">
        <f t="shared" si="1"/>
        <v>3600</v>
      </c>
      <c r="N330" s="41" t="s">
        <v>99</v>
      </c>
      <c r="O330" s="211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>
      <c r="A331" s="48"/>
      <c r="B331" s="48"/>
      <c r="C331" s="48"/>
      <c r="D331" s="48"/>
      <c r="E331" s="48"/>
      <c r="F331" s="48"/>
      <c r="G331" s="48"/>
      <c r="H331" s="63" t="s">
        <v>349</v>
      </c>
      <c r="I331" s="34" t="s">
        <v>294</v>
      </c>
      <c r="J331" s="77">
        <v>50.0</v>
      </c>
      <c r="K331" s="77" t="s">
        <v>654</v>
      </c>
      <c r="L331" s="210">
        <v>72.0</v>
      </c>
      <c r="M331" s="41">
        <f t="shared" si="1"/>
        <v>3600</v>
      </c>
      <c r="N331" s="41" t="s">
        <v>99</v>
      </c>
      <c r="O331" s="211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>
      <c r="A332" s="31">
        <v>104.0</v>
      </c>
      <c r="B332" s="208">
        <v>122.0</v>
      </c>
      <c r="C332" s="209">
        <v>45763.0</v>
      </c>
      <c r="D332" s="31" t="s">
        <v>855</v>
      </c>
      <c r="E332" s="209" t="s">
        <v>844</v>
      </c>
      <c r="F332" s="31">
        <v>674.0</v>
      </c>
      <c r="G332" s="97">
        <v>45772.0</v>
      </c>
      <c r="H332" s="33" t="s">
        <v>238</v>
      </c>
      <c r="I332" s="34" t="s">
        <v>55</v>
      </c>
      <c r="J332" s="31">
        <v>2.0</v>
      </c>
      <c r="K332" s="31" t="s">
        <v>207</v>
      </c>
      <c r="L332" s="226">
        <v>11890.0</v>
      </c>
      <c r="M332" s="41">
        <f t="shared" si="1"/>
        <v>23780</v>
      </c>
      <c r="N332" s="41" t="s">
        <v>208</v>
      </c>
      <c r="O332" s="211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>
      <c r="A333" s="31">
        <v>105.0</v>
      </c>
      <c r="B333" s="208">
        <v>123.0</v>
      </c>
      <c r="C333" s="209">
        <v>45764.0</v>
      </c>
      <c r="D333" s="31" t="s">
        <v>855</v>
      </c>
      <c r="E333" s="209" t="s">
        <v>844</v>
      </c>
      <c r="F333" s="31">
        <v>674.0</v>
      </c>
      <c r="G333" s="97">
        <v>45772.0</v>
      </c>
      <c r="H333" s="33" t="s">
        <v>238</v>
      </c>
      <c r="I333" s="34" t="s">
        <v>55</v>
      </c>
      <c r="J333" s="31">
        <v>2.0</v>
      </c>
      <c r="K333" s="31" t="s">
        <v>207</v>
      </c>
      <c r="L333" s="226">
        <v>11890.0</v>
      </c>
      <c r="M333" s="41">
        <f t="shared" si="1"/>
        <v>23780</v>
      </c>
      <c r="N333" s="41" t="s">
        <v>208</v>
      </c>
      <c r="O333" s="211"/>
    </row>
    <row r="334">
      <c r="A334" s="31">
        <v>106.0</v>
      </c>
      <c r="B334" s="229">
        <v>402.0</v>
      </c>
      <c r="C334" s="228">
        <v>45763.0</v>
      </c>
      <c r="D334" s="79" t="s">
        <v>850</v>
      </c>
      <c r="E334" s="230" t="s">
        <v>183</v>
      </c>
      <c r="F334" s="79">
        <v>664.0</v>
      </c>
      <c r="G334" s="97">
        <v>45768.0</v>
      </c>
      <c r="H334" s="63" t="s">
        <v>856</v>
      </c>
      <c r="I334" s="34" t="s">
        <v>29</v>
      </c>
      <c r="J334" s="77">
        <v>20.0</v>
      </c>
      <c r="K334" s="77" t="s">
        <v>156</v>
      </c>
      <c r="L334" s="210">
        <v>220.0</v>
      </c>
      <c r="M334" s="41">
        <f t="shared" si="1"/>
        <v>4400</v>
      </c>
      <c r="N334" s="41" t="s">
        <v>99</v>
      </c>
      <c r="O334" s="211"/>
    </row>
    <row r="335">
      <c r="A335" s="42">
        <v>107.0</v>
      </c>
      <c r="B335" s="231" t="s">
        <v>857</v>
      </c>
      <c r="C335" s="215">
        <v>45763.0</v>
      </c>
      <c r="D335" s="232" t="s">
        <v>858</v>
      </c>
      <c r="E335" s="233" t="s">
        <v>859</v>
      </c>
      <c r="F335" s="232" t="s">
        <v>860</v>
      </c>
      <c r="G335" s="216"/>
      <c r="H335" s="63" t="s">
        <v>861</v>
      </c>
      <c r="I335" s="239" t="s">
        <v>29</v>
      </c>
      <c r="J335" s="77">
        <v>11.0</v>
      </c>
      <c r="K335" s="77" t="s">
        <v>654</v>
      </c>
      <c r="L335" s="210">
        <v>450.0</v>
      </c>
      <c r="M335" s="41">
        <f t="shared" si="1"/>
        <v>4950</v>
      </c>
      <c r="N335" s="37"/>
      <c r="O335" s="211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>
      <c r="A336" s="48"/>
      <c r="B336" s="48"/>
      <c r="C336" s="48"/>
      <c r="D336" s="48"/>
      <c r="E336" s="48"/>
      <c r="F336" s="48"/>
      <c r="G336" s="240">
        <v>45768.0</v>
      </c>
      <c r="H336" s="63" t="s">
        <v>862</v>
      </c>
      <c r="I336" s="241" t="s">
        <v>29</v>
      </c>
      <c r="J336" s="77">
        <v>14.0</v>
      </c>
      <c r="K336" s="77" t="s">
        <v>654</v>
      </c>
      <c r="L336" s="210">
        <v>450.0</v>
      </c>
      <c r="M336" s="41">
        <f t="shared" si="1"/>
        <v>6300</v>
      </c>
      <c r="N336" s="37"/>
      <c r="O336" s="211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>
      <c r="A337" s="42">
        <v>108.0</v>
      </c>
      <c r="B337" s="231">
        <v>403.0</v>
      </c>
      <c r="C337" s="215">
        <v>45763.0</v>
      </c>
      <c r="D337" s="232" t="s">
        <v>850</v>
      </c>
      <c r="E337" s="233" t="s">
        <v>183</v>
      </c>
      <c r="F337" s="232">
        <v>663.0</v>
      </c>
      <c r="G337" s="76">
        <v>45768.0</v>
      </c>
      <c r="H337" s="63" t="s">
        <v>863</v>
      </c>
      <c r="I337" s="34" t="s">
        <v>29</v>
      </c>
      <c r="J337" s="77">
        <v>10.0</v>
      </c>
      <c r="K337" s="77" t="s">
        <v>156</v>
      </c>
      <c r="L337" s="210">
        <v>220.0</v>
      </c>
      <c r="M337" s="41">
        <f t="shared" si="1"/>
        <v>2200</v>
      </c>
      <c r="N337" s="41" t="s">
        <v>99</v>
      </c>
      <c r="O337" s="211"/>
    </row>
    <row r="338">
      <c r="A338" s="47"/>
      <c r="B338" s="47"/>
      <c r="C338" s="47"/>
      <c r="D338" s="47"/>
      <c r="E338" s="47"/>
      <c r="F338" s="47"/>
      <c r="G338" s="47"/>
      <c r="H338" s="63" t="s">
        <v>864</v>
      </c>
      <c r="I338" s="34" t="s">
        <v>29</v>
      </c>
      <c r="J338" s="77">
        <v>4.0</v>
      </c>
      <c r="K338" s="77" t="s">
        <v>156</v>
      </c>
      <c r="L338" s="210">
        <v>750.0</v>
      </c>
      <c r="M338" s="41">
        <f t="shared" si="1"/>
        <v>3000</v>
      </c>
      <c r="N338" s="41" t="s">
        <v>99</v>
      </c>
      <c r="O338" s="211"/>
    </row>
    <row r="339">
      <c r="A339" s="47"/>
      <c r="B339" s="47"/>
      <c r="C339" s="47"/>
      <c r="D339" s="47"/>
      <c r="E339" s="47"/>
      <c r="F339" s="47"/>
      <c r="G339" s="47"/>
      <c r="H339" s="63" t="s">
        <v>309</v>
      </c>
      <c r="I339" s="34" t="s">
        <v>29</v>
      </c>
      <c r="J339" s="77">
        <v>5.0</v>
      </c>
      <c r="K339" s="77" t="s">
        <v>156</v>
      </c>
      <c r="L339" s="210">
        <v>350.0</v>
      </c>
      <c r="M339" s="41">
        <f t="shared" si="1"/>
        <v>1750</v>
      </c>
      <c r="N339" s="41" t="s">
        <v>99</v>
      </c>
      <c r="O339" s="211"/>
    </row>
    <row r="340">
      <c r="A340" s="47"/>
      <c r="B340" s="47"/>
      <c r="C340" s="47"/>
      <c r="D340" s="47"/>
      <c r="E340" s="47"/>
      <c r="F340" s="47"/>
      <c r="G340" s="47"/>
      <c r="H340" s="63" t="s">
        <v>865</v>
      </c>
      <c r="I340" s="34" t="s">
        <v>29</v>
      </c>
      <c r="J340" s="77">
        <v>4.0</v>
      </c>
      <c r="K340" s="77" t="s">
        <v>156</v>
      </c>
      <c r="L340" s="210">
        <v>295.0</v>
      </c>
      <c r="M340" s="41">
        <f t="shared" si="1"/>
        <v>1180</v>
      </c>
      <c r="N340" s="41" t="s">
        <v>99</v>
      </c>
      <c r="O340" s="211"/>
    </row>
    <row r="341">
      <c r="A341" s="47"/>
      <c r="B341" s="47"/>
      <c r="C341" s="47"/>
      <c r="D341" s="47"/>
      <c r="E341" s="47"/>
      <c r="F341" s="47"/>
      <c r="G341" s="47"/>
      <c r="H341" s="63" t="s">
        <v>448</v>
      </c>
      <c r="I341" s="34" t="s">
        <v>29</v>
      </c>
      <c r="J341" s="77">
        <v>2.0</v>
      </c>
      <c r="K341" s="77" t="s">
        <v>156</v>
      </c>
      <c r="L341" s="210">
        <v>90.0</v>
      </c>
      <c r="M341" s="41">
        <f t="shared" si="1"/>
        <v>180</v>
      </c>
      <c r="N341" s="41" t="s">
        <v>99</v>
      </c>
      <c r="O341" s="211"/>
    </row>
    <row r="342">
      <c r="A342" s="47"/>
      <c r="B342" s="47"/>
      <c r="C342" s="47"/>
      <c r="D342" s="47"/>
      <c r="E342" s="47"/>
      <c r="F342" s="47"/>
      <c r="G342" s="47"/>
      <c r="H342" s="63" t="s">
        <v>866</v>
      </c>
      <c r="I342" s="34" t="s">
        <v>29</v>
      </c>
      <c r="J342" s="77">
        <v>3.0</v>
      </c>
      <c r="K342" s="77" t="s">
        <v>156</v>
      </c>
      <c r="L342" s="210">
        <v>945.0</v>
      </c>
      <c r="M342" s="41">
        <f t="shared" si="1"/>
        <v>2835</v>
      </c>
      <c r="N342" s="41" t="s">
        <v>99</v>
      </c>
      <c r="O342" s="211"/>
    </row>
    <row r="343">
      <c r="A343" s="47"/>
      <c r="B343" s="47"/>
      <c r="C343" s="47"/>
      <c r="D343" s="47"/>
      <c r="E343" s="47"/>
      <c r="F343" s="47"/>
      <c r="G343" s="47"/>
      <c r="H343" s="63" t="s">
        <v>867</v>
      </c>
      <c r="I343" s="34" t="s">
        <v>29</v>
      </c>
      <c r="J343" s="77">
        <v>10.0</v>
      </c>
      <c r="K343" s="77" t="s">
        <v>156</v>
      </c>
      <c r="L343" s="210">
        <v>145.0</v>
      </c>
      <c r="M343" s="41">
        <f t="shared" si="1"/>
        <v>1450</v>
      </c>
      <c r="N343" s="41" t="s">
        <v>99</v>
      </c>
      <c r="O343" s="211"/>
    </row>
    <row r="344">
      <c r="A344" s="48"/>
      <c r="B344" s="48"/>
      <c r="C344" s="48"/>
      <c r="D344" s="48"/>
      <c r="E344" s="48"/>
      <c r="F344" s="48"/>
      <c r="G344" s="48"/>
      <c r="H344" s="63" t="s">
        <v>736</v>
      </c>
      <c r="I344" s="34" t="s">
        <v>29</v>
      </c>
      <c r="J344" s="77">
        <v>10.0</v>
      </c>
      <c r="K344" s="77" t="s">
        <v>156</v>
      </c>
      <c r="L344" s="210">
        <v>55.0</v>
      </c>
      <c r="M344" s="41">
        <f t="shared" si="1"/>
        <v>550</v>
      </c>
      <c r="N344" s="41" t="s">
        <v>99</v>
      </c>
      <c r="O344" s="211"/>
    </row>
    <row r="345">
      <c r="A345" s="42">
        <v>109.0</v>
      </c>
      <c r="B345" s="231">
        <v>464.0</v>
      </c>
      <c r="C345" s="215">
        <v>45763.0</v>
      </c>
      <c r="D345" s="232" t="s">
        <v>868</v>
      </c>
      <c r="E345" s="233" t="s">
        <v>183</v>
      </c>
      <c r="F345" s="176">
        <v>664.0</v>
      </c>
      <c r="G345" s="178">
        <v>45768.0</v>
      </c>
      <c r="H345" s="63" t="s">
        <v>869</v>
      </c>
      <c r="I345" s="34" t="s">
        <v>84</v>
      </c>
      <c r="J345" s="77">
        <v>1.0</v>
      </c>
      <c r="K345" s="77" t="s">
        <v>156</v>
      </c>
      <c r="L345" s="210">
        <v>1350.0</v>
      </c>
      <c r="M345" s="41">
        <f t="shared" si="1"/>
        <v>1350</v>
      </c>
      <c r="N345" s="41" t="s">
        <v>560</v>
      </c>
      <c r="O345" s="211"/>
    </row>
    <row r="346">
      <c r="A346" s="47"/>
      <c r="B346" s="47"/>
      <c r="C346" s="47"/>
      <c r="D346" s="47"/>
      <c r="E346" s="47"/>
      <c r="F346" s="47"/>
      <c r="G346" s="47"/>
      <c r="H346" s="63" t="s">
        <v>85</v>
      </c>
      <c r="I346" s="34" t="s">
        <v>84</v>
      </c>
      <c r="J346" s="77">
        <v>1.0</v>
      </c>
      <c r="K346" s="77" t="s">
        <v>156</v>
      </c>
      <c r="L346" s="210">
        <v>990.0</v>
      </c>
      <c r="M346" s="41">
        <f t="shared" si="1"/>
        <v>990</v>
      </c>
      <c r="N346" s="41" t="s">
        <v>560</v>
      </c>
      <c r="O346" s="211"/>
    </row>
    <row r="347">
      <c r="A347" s="47"/>
      <c r="B347" s="47"/>
      <c r="C347" s="47"/>
      <c r="D347" s="47"/>
      <c r="E347" s="47"/>
      <c r="F347" s="47"/>
      <c r="G347" s="47"/>
      <c r="H347" s="63" t="s">
        <v>663</v>
      </c>
      <c r="I347" s="34" t="s">
        <v>84</v>
      </c>
      <c r="J347" s="77">
        <v>1.0</v>
      </c>
      <c r="K347" s="77" t="s">
        <v>156</v>
      </c>
      <c r="L347" s="210">
        <v>475.0</v>
      </c>
      <c r="M347" s="41">
        <f t="shared" si="1"/>
        <v>475</v>
      </c>
      <c r="N347" s="41" t="s">
        <v>560</v>
      </c>
      <c r="O347" s="211"/>
    </row>
    <row r="348">
      <c r="A348" s="47"/>
      <c r="B348" s="47"/>
      <c r="C348" s="47"/>
      <c r="D348" s="47"/>
      <c r="E348" s="47"/>
      <c r="F348" s="48"/>
      <c r="G348" s="48"/>
      <c r="H348" s="63" t="s">
        <v>870</v>
      </c>
      <c r="I348" s="34" t="s">
        <v>84</v>
      </c>
      <c r="J348" s="77">
        <v>3.0</v>
      </c>
      <c r="K348" s="77" t="s">
        <v>156</v>
      </c>
      <c r="L348" s="210">
        <v>140.0</v>
      </c>
      <c r="M348" s="41">
        <f t="shared" si="1"/>
        <v>420</v>
      </c>
      <c r="N348" s="41" t="s">
        <v>560</v>
      </c>
      <c r="O348" s="211"/>
    </row>
    <row r="349">
      <c r="A349" s="48"/>
      <c r="B349" s="48"/>
      <c r="C349" s="48"/>
      <c r="D349" s="48"/>
      <c r="E349" s="48"/>
      <c r="F349" s="79">
        <v>654.0</v>
      </c>
      <c r="G349" s="97">
        <v>45754.0</v>
      </c>
      <c r="H349" s="63" t="s">
        <v>871</v>
      </c>
      <c r="I349" s="34" t="s">
        <v>55</v>
      </c>
      <c r="J349" s="77">
        <v>10.0</v>
      </c>
      <c r="K349" s="77" t="s">
        <v>654</v>
      </c>
      <c r="L349" s="210">
        <v>256.0</v>
      </c>
      <c r="M349" s="41">
        <f t="shared" si="1"/>
        <v>2560</v>
      </c>
      <c r="N349" s="41" t="s">
        <v>560</v>
      </c>
      <c r="O349" s="211"/>
    </row>
    <row r="350">
      <c r="A350" s="42">
        <v>110.0</v>
      </c>
      <c r="B350" s="231">
        <v>91.0</v>
      </c>
      <c r="C350" s="215">
        <v>45763.0</v>
      </c>
      <c r="D350" s="232" t="s">
        <v>872</v>
      </c>
      <c r="E350" s="233" t="s">
        <v>183</v>
      </c>
      <c r="F350" s="232">
        <v>670.0</v>
      </c>
      <c r="G350" s="76">
        <v>45772.0</v>
      </c>
      <c r="H350" s="63" t="s">
        <v>873</v>
      </c>
      <c r="I350" s="34" t="s">
        <v>51</v>
      </c>
      <c r="J350" s="77">
        <v>2.0</v>
      </c>
      <c r="K350" s="77" t="s">
        <v>156</v>
      </c>
      <c r="L350" s="210">
        <v>3375.0</v>
      </c>
      <c r="M350" s="41">
        <f t="shared" si="1"/>
        <v>6750</v>
      </c>
      <c r="N350" s="41" t="s">
        <v>417</v>
      </c>
      <c r="O350" s="211"/>
    </row>
    <row r="351">
      <c r="A351" s="47"/>
      <c r="B351" s="47"/>
      <c r="C351" s="47"/>
      <c r="D351" s="47"/>
      <c r="E351" s="47"/>
      <c r="F351" s="47"/>
      <c r="G351" s="47"/>
      <c r="H351" s="63" t="s">
        <v>606</v>
      </c>
      <c r="I351" s="34" t="s">
        <v>51</v>
      </c>
      <c r="J351" s="77">
        <v>6.0</v>
      </c>
      <c r="K351" s="77" t="s">
        <v>156</v>
      </c>
      <c r="L351" s="210">
        <v>8750.0</v>
      </c>
      <c r="M351" s="41">
        <f t="shared" si="1"/>
        <v>52500</v>
      </c>
      <c r="N351" s="41" t="s">
        <v>417</v>
      </c>
      <c r="O351" s="211"/>
    </row>
    <row r="352">
      <c r="A352" s="47"/>
      <c r="B352" s="47"/>
      <c r="C352" s="47"/>
      <c r="D352" s="47"/>
      <c r="E352" s="47"/>
      <c r="F352" s="47"/>
      <c r="G352" s="47"/>
      <c r="H352" s="63" t="s">
        <v>633</v>
      </c>
      <c r="I352" s="34" t="s">
        <v>51</v>
      </c>
      <c r="J352" s="77">
        <v>2.0</v>
      </c>
      <c r="K352" s="77" t="s">
        <v>156</v>
      </c>
      <c r="L352" s="210">
        <v>12410.0</v>
      </c>
      <c r="M352" s="41">
        <f t="shared" si="1"/>
        <v>24820</v>
      </c>
      <c r="N352" s="41" t="s">
        <v>417</v>
      </c>
      <c r="O352" s="211"/>
    </row>
    <row r="353">
      <c r="A353" s="47"/>
      <c r="B353" s="47"/>
      <c r="C353" s="47"/>
      <c r="D353" s="47"/>
      <c r="E353" s="47"/>
      <c r="F353" s="47"/>
      <c r="G353" s="47"/>
      <c r="H353" s="63" t="s">
        <v>874</v>
      </c>
      <c r="I353" s="34" t="s">
        <v>51</v>
      </c>
      <c r="J353" s="77">
        <v>6.0</v>
      </c>
      <c r="K353" s="77" t="s">
        <v>156</v>
      </c>
      <c r="L353" s="210">
        <v>9350.0</v>
      </c>
      <c r="M353" s="41">
        <f t="shared" si="1"/>
        <v>56100</v>
      </c>
      <c r="N353" s="41" t="s">
        <v>417</v>
      </c>
      <c r="O353" s="211"/>
    </row>
    <row r="354">
      <c r="A354" s="47"/>
      <c r="B354" s="47"/>
      <c r="C354" s="47"/>
      <c r="D354" s="47"/>
      <c r="E354" s="47"/>
      <c r="F354" s="47"/>
      <c r="G354" s="47"/>
      <c r="H354" s="63" t="s">
        <v>875</v>
      </c>
      <c r="I354" s="34" t="s">
        <v>51</v>
      </c>
      <c r="J354" s="77">
        <v>4.0</v>
      </c>
      <c r="K354" s="77" t="s">
        <v>156</v>
      </c>
      <c r="L354" s="210">
        <v>550.0</v>
      </c>
      <c r="M354" s="41">
        <f t="shared" si="1"/>
        <v>2200</v>
      </c>
      <c r="N354" s="41" t="s">
        <v>417</v>
      </c>
      <c r="O354" s="211"/>
    </row>
    <row r="355">
      <c r="A355" s="47"/>
      <c r="B355" s="47"/>
      <c r="C355" s="47"/>
      <c r="D355" s="47"/>
      <c r="E355" s="47"/>
      <c r="F355" s="47"/>
      <c r="G355" s="47"/>
      <c r="H355" s="63" t="s">
        <v>634</v>
      </c>
      <c r="I355" s="34" t="s">
        <v>51</v>
      </c>
      <c r="J355" s="77">
        <v>3.0</v>
      </c>
      <c r="K355" s="77" t="s">
        <v>156</v>
      </c>
      <c r="L355" s="210">
        <v>4800.0</v>
      </c>
      <c r="M355" s="41">
        <f t="shared" si="1"/>
        <v>14400</v>
      </c>
      <c r="N355" s="41" t="s">
        <v>417</v>
      </c>
      <c r="O355" s="211"/>
    </row>
    <row r="356">
      <c r="A356" s="47"/>
      <c r="B356" s="47"/>
      <c r="C356" s="47"/>
      <c r="D356" s="47"/>
      <c r="E356" s="47"/>
      <c r="F356" s="47"/>
      <c r="G356" s="47"/>
      <c r="H356" s="63" t="s">
        <v>876</v>
      </c>
      <c r="I356" s="34" t="s">
        <v>51</v>
      </c>
      <c r="J356" s="77">
        <v>20.0</v>
      </c>
      <c r="K356" s="77" t="s">
        <v>156</v>
      </c>
      <c r="L356" s="210">
        <v>120.0</v>
      </c>
      <c r="M356" s="41">
        <f t="shared" si="1"/>
        <v>2400</v>
      </c>
      <c r="N356" s="41" t="s">
        <v>417</v>
      </c>
      <c r="O356" s="211"/>
    </row>
    <row r="357">
      <c r="A357" s="48"/>
      <c r="B357" s="48"/>
      <c r="C357" s="48"/>
      <c r="D357" s="48"/>
      <c r="E357" s="48"/>
      <c r="F357" s="48"/>
      <c r="G357" s="48"/>
      <c r="H357" s="63" t="s">
        <v>532</v>
      </c>
      <c r="I357" s="34" t="s">
        <v>51</v>
      </c>
      <c r="J357" s="77">
        <v>24.0</v>
      </c>
      <c r="K357" s="77" t="s">
        <v>156</v>
      </c>
      <c r="L357" s="210">
        <v>350.0</v>
      </c>
      <c r="M357" s="41">
        <f t="shared" si="1"/>
        <v>8400</v>
      </c>
      <c r="N357" s="41" t="s">
        <v>417</v>
      </c>
      <c r="O357" s="211"/>
    </row>
    <row r="358">
      <c r="A358" s="42">
        <v>111.0</v>
      </c>
      <c r="B358" s="231">
        <v>92.0</v>
      </c>
      <c r="C358" s="215">
        <v>45763.0</v>
      </c>
      <c r="D358" s="232" t="s">
        <v>877</v>
      </c>
      <c r="E358" s="233" t="s">
        <v>859</v>
      </c>
      <c r="F358" s="79" t="s">
        <v>878</v>
      </c>
      <c r="G358" s="97">
        <v>45768.0</v>
      </c>
      <c r="H358" s="63" t="s">
        <v>879</v>
      </c>
      <c r="I358" s="34" t="s">
        <v>51</v>
      </c>
      <c r="J358" s="77">
        <v>50.0</v>
      </c>
      <c r="K358" s="77" t="s">
        <v>156</v>
      </c>
      <c r="L358" s="210">
        <v>100.0</v>
      </c>
      <c r="M358" s="41">
        <f t="shared" si="1"/>
        <v>5000</v>
      </c>
      <c r="N358" s="41" t="s">
        <v>417</v>
      </c>
      <c r="O358" s="211"/>
    </row>
    <row r="359">
      <c r="A359" s="48"/>
      <c r="B359" s="48"/>
      <c r="C359" s="48"/>
      <c r="D359" s="48"/>
      <c r="E359" s="48"/>
      <c r="F359" s="79">
        <v>678.0</v>
      </c>
      <c r="G359" s="97">
        <v>45778.0</v>
      </c>
      <c r="H359" s="63" t="s">
        <v>880</v>
      </c>
      <c r="I359" s="34" t="s">
        <v>51</v>
      </c>
      <c r="J359" s="77">
        <v>10.0</v>
      </c>
      <c r="K359" s="77" t="s">
        <v>156</v>
      </c>
      <c r="L359" s="210">
        <v>1200.0</v>
      </c>
      <c r="M359" s="41">
        <f t="shared" si="1"/>
        <v>12000</v>
      </c>
      <c r="N359" s="41" t="s">
        <v>417</v>
      </c>
      <c r="O359" s="211"/>
    </row>
    <row r="360">
      <c r="A360" s="42">
        <v>112.0</v>
      </c>
      <c r="B360" s="231">
        <v>420.0</v>
      </c>
      <c r="C360" s="215">
        <v>45765.0</v>
      </c>
      <c r="D360" s="232" t="s">
        <v>881</v>
      </c>
      <c r="E360" s="233" t="s">
        <v>859</v>
      </c>
      <c r="F360" s="232">
        <v>679.0</v>
      </c>
      <c r="G360" s="76">
        <v>45778.0</v>
      </c>
      <c r="H360" s="63" t="s">
        <v>882</v>
      </c>
      <c r="I360" s="34" t="s">
        <v>55</v>
      </c>
      <c r="J360" s="77">
        <v>200.0</v>
      </c>
      <c r="K360" s="77" t="s">
        <v>156</v>
      </c>
      <c r="L360" s="210">
        <v>7.0</v>
      </c>
      <c r="M360" s="41">
        <f t="shared" si="1"/>
        <v>1400</v>
      </c>
      <c r="N360" s="41" t="s">
        <v>99</v>
      </c>
      <c r="O360" s="211"/>
    </row>
    <row r="361">
      <c r="A361" s="47"/>
      <c r="B361" s="47"/>
      <c r="C361" s="47"/>
      <c r="D361" s="47"/>
      <c r="E361" s="47"/>
      <c r="F361" s="47"/>
      <c r="G361" s="47"/>
      <c r="H361" s="63" t="s">
        <v>883</v>
      </c>
      <c r="I361" s="34" t="s">
        <v>55</v>
      </c>
      <c r="J361" s="77">
        <v>200.0</v>
      </c>
      <c r="K361" s="77" t="s">
        <v>156</v>
      </c>
      <c r="L361" s="210">
        <v>7.0</v>
      </c>
      <c r="M361" s="41">
        <f t="shared" si="1"/>
        <v>1400</v>
      </c>
      <c r="N361" s="41" t="s">
        <v>99</v>
      </c>
      <c r="O361" s="211"/>
    </row>
    <row r="362">
      <c r="A362" s="48"/>
      <c r="B362" s="48"/>
      <c r="C362" s="48"/>
      <c r="D362" s="48"/>
      <c r="E362" s="48"/>
      <c r="F362" s="48"/>
      <c r="G362" s="48"/>
      <c r="H362" s="63" t="s">
        <v>884</v>
      </c>
      <c r="I362" s="34" t="s">
        <v>55</v>
      </c>
      <c r="J362" s="77">
        <v>200.0</v>
      </c>
      <c r="K362" s="77" t="s">
        <v>156</v>
      </c>
      <c r="L362" s="210">
        <v>7.0</v>
      </c>
      <c r="M362" s="41">
        <f t="shared" si="1"/>
        <v>1400</v>
      </c>
      <c r="N362" s="41" t="s">
        <v>99</v>
      </c>
      <c r="O362" s="211"/>
    </row>
    <row r="363">
      <c r="A363" s="31">
        <v>113.0</v>
      </c>
      <c r="B363" s="208">
        <v>320.0</v>
      </c>
      <c r="C363" s="209">
        <v>45765.0</v>
      </c>
      <c r="D363" s="88" t="s">
        <v>851</v>
      </c>
      <c r="E363" s="228">
        <v>45777.0</v>
      </c>
      <c r="F363" s="88">
        <v>664.0</v>
      </c>
      <c r="G363" s="97">
        <v>45768.0</v>
      </c>
      <c r="H363" s="63" t="s">
        <v>885</v>
      </c>
      <c r="I363" s="34" t="s">
        <v>42</v>
      </c>
      <c r="J363" s="77">
        <v>3.0</v>
      </c>
      <c r="K363" s="77" t="s">
        <v>156</v>
      </c>
      <c r="L363" s="210">
        <v>1200.0</v>
      </c>
      <c r="M363" s="41">
        <f t="shared" si="1"/>
        <v>3600</v>
      </c>
      <c r="N363" s="41" t="s">
        <v>269</v>
      </c>
      <c r="O363" s="211"/>
    </row>
    <row r="364">
      <c r="A364" s="42">
        <v>114.0</v>
      </c>
      <c r="B364" s="231">
        <v>254.0</v>
      </c>
      <c r="C364" s="215">
        <v>45766.0</v>
      </c>
      <c r="D364" s="232" t="s">
        <v>886</v>
      </c>
      <c r="E364" s="233" t="s">
        <v>859</v>
      </c>
      <c r="F364" s="232">
        <v>664.0</v>
      </c>
      <c r="G364" s="76">
        <v>45768.0</v>
      </c>
      <c r="H364" s="63" t="s">
        <v>887</v>
      </c>
      <c r="I364" s="34" t="s">
        <v>55</v>
      </c>
      <c r="J364" s="77">
        <v>400.0</v>
      </c>
      <c r="K364" s="77" t="s">
        <v>888</v>
      </c>
      <c r="L364" s="210">
        <v>4.0</v>
      </c>
      <c r="M364" s="41">
        <f t="shared" si="1"/>
        <v>1600</v>
      </c>
      <c r="N364" s="41" t="s">
        <v>889</v>
      </c>
      <c r="O364" s="211"/>
    </row>
    <row r="365">
      <c r="A365" s="47"/>
      <c r="B365" s="47"/>
      <c r="C365" s="47"/>
      <c r="D365" s="47"/>
      <c r="E365" s="47"/>
      <c r="F365" s="47"/>
      <c r="G365" s="47"/>
      <c r="H365" s="63" t="s">
        <v>890</v>
      </c>
      <c r="I365" s="34" t="s">
        <v>55</v>
      </c>
      <c r="J365" s="77">
        <v>250.0</v>
      </c>
      <c r="K365" s="77" t="s">
        <v>888</v>
      </c>
      <c r="L365" s="210">
        <v>4.0</v>
      </c>
      <c r="M365" s="41">
        <f t="shared" si="1"/>
        <v>1000</v>
      </c>
      <c r="N365" s="41" t="s">
        <v>889</v>
      </c>
      <c r="O365" s="211"/>
    </row>
    <row r="366">
      <c r="A366" s="48"/>
      <c r="B366" s="48"/>
      <c r="C366" s="48"/>
      <c r="D366" s="48"/>
      <c r="E366" s="48"/>
      <c r="F366" s="48"/>
      <c r="G366" s="48"/>
      <c r="H366" s="63" t="s">
        <v>891</v>
      </c>
      <c r="I366" s="34" t="s">
        <v>55</v>
      </c>
      <c r="J366" s="77">
        <v>400.0</v>
      </c>
      <c r="K366" s="77" t="s">
        <v>888</v>
      </c>
      <c r="L366" s="210">
        <v>4.0</v>
      </c>
      <c r="M366" s="41">
        <f t="shared" si="1"/>
        <v>1600</v>
      </c>
      <c r="N366" s="41" t="s">
        <v>889</v>
      </c>
      <c r="O366" s="211"/>
    </row>
    <row r="367">
      <c r="A367" s="31">
        <v>114.0</v>
      </c>
      <c r="B367" s="229">
        <v>2381.0</v>
      </c>
      <c r="C367" s="228">
        <v>45767.0</v>
      </c>
      <c r="D367" s="79" t="s">
        <v>748</v>
      </c>
      <c r="E367" s="230">
        <v>45799.0</v>
      </c>
      <c r="F367" s="79" t="s">
        <v>92</v>
      </c>
      <c r="G367" s="158"/>
      <c r="H367" s="63" t="s">
        <v>23</v>
      </c>
      <c r="I367" s="34" t="s">
        <v>24</v>
      </c>
      <c r="J367" s="77">
        <v>39.11</v>
      </c>
      <c r="K367" s="77" t="s">
        <v>25</v>
      </c>
      <c r="L367" s="210">
        <v>61.35</v>
      </c>
      <c r="M367" s="41">
        <f t="shared" si="1"/>
        <v>2399.3985</v>
      </c>
      <c r="N367" s="41" t="s">
        <v>91</v>
      </c>
      <c r="O367" s="211"/>
    </row>
    <row r="368">
      <c r="A368" s="42"/>
      <c r="B368" s="231"/>
      <c r="C368" s="215"/>
      <c r="D368" s="232"/>
      <c r="E368" s="233"/>
      <c r="F368" s="176">
        <v>664.0</v>
      </c>
      <c r="G368" s="178">
        <v>45768.0</v>
      </c>
      <c r="H368" s="63" t="s">
        <v>351</v>
      </c>
      <c r="I368" s="34" t="s">
        <v>294</v>
      </c>
      <c r="J368" s="77">
        <v>50.0</v>
      </c>
      <c r="K368" s="77" t="s">
        <v>654</v>
      </c>
      <c r="L368" s="210">
        <v>72.0</v>
      </c>
      <c r="M368" s="41">
        <f t="shared" si="1"/>
        <v>3600</v>
      </c>
      <c r="N368" s="41" t="s">
        <v>99</v>
      </c>
      <c r="O368" s="211"/>
    </row>
    <row r="369">
      <c r="A369" s="47"/>
      <c r="B369" s="47"/>
      <c r="C369" s="47"/>
      <c r="D369" s="47"/>
      <c r="E369" s="47"/>
      <c r="F369" s="47"/>
      <c r="G369" s="47"/>
      <c r="H369" s="63" t="s">
        <v>350</v>
      </c>
      <c r="I369" s="34" t="s">
        <v>294</v>
      </c>
      <c r="J369" s="77">
        <v>50.0</v>
      </c>
      <c r="K369" s="77" t="s">
        <v>654</v>
      </c>
      <c r="L369" s="210">
        <v>72.0</v>
      </c>
      <c r="M369" s="41">
        <f t="shared" si="1"/>
        <v>3600</v>
      </c>
      <c r="N369" s="41" t="s">
        <v>99</v>
      </c>
      <c r="O369" s="211"/>
    </row>
    <row r="370">
      <c r="A370" s="47"/>
      <c r="B370" s="47"/>
      <c r="C370" s="47"/>
      <c r="D370" s="47"/>
      <c r="E370" s="47"/>
      <c r="F370" s="48"/>
      <c r="G370" s="48"/>
      <c r="H370" s="63" t="s">
        <v>349</v>
      </c>
      <c r="I370" s="34" t="s">
        <v>294</v>
      </c>
      <c r="J370" s="77">
        <v>50.0</v>
      </c>
      <c r="K370" s="77" t="s">
        <v>654</v>
      </c>
      <c r="L370" s="210">
        <v>72.0</v>
      </c>
      <c r="M370" s="41">
        <f t="shared" si="1"/>
        <v>3600</v>
      </c>
      <c r="N370" s="41" t="s">
        <v>99</v>
      </c>
      <c r="O370" s="211"/>
    </row>
    <row r="371" ht="15.0" customHeight="1">
      <c r="A371" s="47"/>
      <c r="B371" s="47"/>
      <c r="C371" s="47"/>
      <c r="D371" s="47"/>
      <c r="E371" s="47"/>
      <c r="F371" s="176">
        <v>666.0</v>
      </c>
      <c r="G371" s="178">
        <v>45768.0</v>
      </c>
      <c r="H371" s="63" t="s">
        <v>446</v>
      </c>
      <c r="I371" s="34" t="s">
        <v>29</v>
      </c>
      <c r="J371" s="77">
        <v>20.0</v>
      </c>
      <c r="K371" s="77" t="s">
        <v>156</v>
      </c>
      <c r="L371" s="210">
        <v>80.0</v>
      </c>
      <c r="M371" s="41">
        <f t="shared" si="1"/>
        <v>1600</v>
      </c>
      <c r="N371" s="41" t="s">
        <v>99</v>
      </c>
      <c r="O371" s="211"/>
    </row>
    <row r="372" ht="15.0" customHeight="1">
      <c r="A372" s="47"/>
      <c r="B372" s="47"/>
      <c r="C372" s="47"/>
      <c r="D372" s="47"/>
      <c r="E372" s="47"/>
      <c r="F372" s="47"/>
      <c r="G372" s="47"/>
      <c r="H372" s="63" t="s">
        <v>478</v>
      </c>
      <c r="I372" s="34" t="s">
        <v>276</v>
      </c>
      <c r="J372" s="77">
        <v>50.0</v>
      </c>
      <c r="K372" s="77" t="s">
        <v>156</v>
      </c>
      <c r="L372" s="210">
        <v>15.0</v>
      </c>
      <c r="M372" s="41">
        <f t="shared" si="1"/>
        <v>750</v>
      </c>
      <c r="N372" s="41" t="s">
        <v>99</v>
      </c>
      <c r="O372" s="211"/>
    </row>
    <row r="373">
      <c r="A373" s="47"/>
      <c r="B373" s="47"/>
      <c r="C373" s="47"/>
      <c r="D373" s="47"/>
      <c r="E373" s="47"/>
      <c r="F373" s="47"/>
      <c r="G373" s="47"/>
      <c r="H373" s="63" t="s">
        <v>892</v>
      </c>
      <c r="I373" s="34" t="s">
        <v>276</v>
      </c>
      <c r="J373" s="77">
        <v>50.0</v>
      </c>
      <c r="K373" s="77" t="s">
        <v>156</v>
      </c>
      <c r="L373" s="210">
        <v>20.0</v>
      </c>
      <c r="M373" s="41">
        <f t="shared" si="1"/>
        <v>1000</v>
      </c>
      <c r="N373" s="41" t="s">
        <v>99</v>
      </c>
      <c r="O373" s="211"/>
    </row>
    <row r="374">
      <c r="A374" s="48"/>
      <c r="B374" s="48"/>
      <c r="C374" s="48"/>
      <c r="D374" s="48"/>
      <c r="E374" s="48"/>
      <c r="F374" s="48"/>
      <c r="G374" s="48"/>
      <c r="H374" s="63" t="s">
        <v>893</v>
      </c>
      <c r="I374" s="34" t="s">
        <v>276</v>
      </c>
      <c r="J374" s="77">
        <v>30.0</v>
      </c>
      <c r="K374" s="77" t="s">
        <v>156</v>
      </c>
      <c r="L374" s="210">
        <v>80.0</v>
      </c>
      <c r="M374" s="41">
        <f t="shared" si="1"/>
        <v>2400</v>
      </c>
      <c r="N374" s="41" t="s">
        <v>99</v>
      </c>
      <c r="O374" s="211"/>
    </row>
    <row r="375">
      <c r="A375" s="31">
        <v>116.0</v>
      </c>
      <c r="B375" s="208">
        <v>124.0</v>
      </c>
      <c r="C375" s="209">
        <v>45768.0</v>
      </c>
      <c r="D375" s="31" t="s">
        <v>855</v>
      </c>
      <c r="E375" s="209" t="s">
        <v>844</v>
      </c>
      <c r="F375" s="31">
        <v>674.0</v>
      </c>
      <c r="G375" s="97">
        <v>45772.0</v>
      </c>
      <c r="H375" s="33" t="s">
        <v>238</v>
      </c>
      <c r="I375" s="34" t="s">
        <v>55</v>
      </c>
      <c r="J375" s="31">
        <v>3.0</v>
      </c>
      <c r="K375" s="31" t="s">
        <v>207</v>
      </c>
      <c r="L375" s="226">
        <v>11890.0</v>
      </c>
      <c r="M375" s="41">
        <f t="shared" si="1"/>
        <v>35670</v>
      </c>
      <c r="N375" s="41" t="s">
        <v>208</v>
      </c>
      <c r="O375" s="211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>
      <c r="A376" s="31">
        <v>117.0</v>
      </c>
      <c r="B376" s="208">
        <v>125.0</v>
      </c>
      <c r="C376" s="209">
        <v>45769.0</v>
      </c>
      <c r="D376" s="31" t="s">
        <v>855</v>
      </c>
      <c r="E376" s="209" t="s">
        <v>844</v>
      </c>
      <c r="F376" s="31">
        <v>674.0</v>
      </c>
      <c r="G376" s="97">
        <v>45772.0</v>
      </c>
      <c r="H376" s="33" t="s">
        <v>238</v>
      </c>
      <c r="I376" s="34" t="s">
        <v>55</v>
      </c>
      <c r="J376" s="31">
        <v>1.0</v>
      </c>
      <c r="K376" s="31" t="s">
        <v>207</v>
      </c>
      <c r="L376" s="226">
        <v>11890.0</v>
      </c>
      <c r="M376" s="41">
        <f t="shared" si="1"/>
        <v>11890</v>
      </c>
      <c r="N376" s="41" t="s">
        <v>208</v>
      </c>
      <c r="O376" s="211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>
      <c r="A377" s="31">
        <v>118.0</v>
      </c>
      <c r="B377" s="224">
        <v>126.0</v>
      </c>
      <c r="C377" s="209">
        <v>45770.0</v>
      </c>
      <c r="D377" s="31" t="s">
        <v>855</v>
      </c>
      <c r="E377" s="209" t="s">
        <v>844</v>
      </c>
      <c r="F377" s="31">
        <v>674.0</v>
      </c>
      <c r="G377" s="97">
        <v>45772.0</v>
      </c>
      <c r="H377" s="33" t="s">
        <v>238</v>
      </c>
      <c r="I377" s="34" t="s">
        <v>55</v>
      </c>
      <c r="J377" s="31">
        <v>2.0</v>
      </c>
      <c r="K377" s="31" t="s">
        <v>207</v>
      </c>
      <c r="L377" s="226">
        <v>11890.0</v>
      </c>
      <c r="M377" s="41">
        <f t="shared" si="1"/>
        <v>23780</v>
      </c>
      <c r="N377" s="41" t="s">
        <v>208</v>
      </c>
      <c r="O377" s="211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>
      <c r="A378" s="31">
        <v>119.0</v>
      </c>
      <c r="B378" s="229" t="s">
        <v>894</v>
      </c>
      <c r="C378" s="228">
        <v>45771.0</v>
      </c>
      <c r="D378" s="79" t="s">
        <v>895</v>
      </c>
      <c r="E378" s="230" t="s">
        <v>183</v>
      </c>
      <c r="F378" s="79" t="s">
        <v>22</v>
      </c>
      <c r="G378" s="158"/>
      <c r="H378" s="63" t="s">
        <v>896</v>
      </c>
      <c r="I378" s="34" t="s">
        <v>273</v>
      </c>
      <c r="J378" s="77">
        <v>1.0</v>
      </c>
      <c r="K378" s="77" t="s">
        <v>838</v>
      </c>
      <c r="L378" s="237">
        <v>89607.0</v>
      </c>
      <c r="M378" s="41">
        <f t="shared" si="1"/>
        <v>89607</v>
      </c>
      <c r="N378" s="41" t="s">
        <v>838</v>
      </c>
      <c r="O378" s="211"/>
    </row>
    <row r="379">
      <c r="A379" s="31">
        <v>120.0</v>
      </c>
      <c r="B379" s="229">
        <v>1298.0</v>
      </c>
      <c r="C379" s="228">
        <v>45771.0</v>
      </c>
      <c r="D379" s="79" t="s">
        <v>592</v>
      </c>
      <c r="E379" s="230" t="s">
        <v>593</v>
      </c>
      <c r="F379" s="79">
        <v>672.0</v>
      </c>
      <c r="G379" s="97">
        <v>45772.0</v>
      </c>
      <c r="H379" s="63" t="s">
        <v>897</v>
      </c>
      <c r="I379" s="34" t="s">
        <v>42</v>
      </c>
      <c r="J379" s="77">
        <v>4.0</v>
      </c>
      <c r="K379" s="77" t="s">
        <v>39</v>
      </c>
      <c r="L379" s="210">
        <v>60.0</v>
      </c>
      <c r="M379" s="41">
        <f t="shared" si="1"/>
        <v>240</v>
      </c>
      <c r="N379" s="41" t="s">
        <v>548</v>
      </c>
      <c r="O379" s="211"/>
    </row>
    <row r="380">
      <c r="A380" s="31">
        <v>121.0</v>
      </c>
      <c r="B380" s="229">
        <v>334.0</v>
      </c>
      <c r="C380" s="228">
        <v>45768.0</v>
      </c>
      <c r="D380" s="79" t="s">
        <v>898</v>
      </c>
      <c r="E380" s="230" t="s">
        <v>183</v>
      </c>
      <c r="F380" s="79">
        <v>664.0</v>
      </c>
      <c r="G380" s="97">
        <v>45768.0</v>
      </c>
      <c r="H380" s="63" t="s">
        <v>899</v>
      </c>
      <c r="I380" s="34" t="s">
        <v>29</v>
      </c>
      <c r="J380" s="77">
        <v>2.0</v>
      </c>
      <c r="K380" s="77" t="s">
        <v>156</v>
      </c>
      <c r="L380" s="210">
        <v>2600.0</v>
      </c>
      <c r="M380" s="41">
        <f t="shared" si="1"/>
        <v>5200</v>
      </c>
      <c r="N380" s="41" t="s">
        <v>269</v>
      </c>
      <c r="O380" s="211"/>
    </row>
    <row r="381">
      <c r="A381" s="31">
        <v>122.0</v>
      </c>
      <c r="B381" s="229">
        <v>434.0</v>
      </c>
      <c r="C381" s="228">
        <v>45769.0</v>
      </c>
      <c r="D381" s="79" t="s">
        <v>868</v>
      </c>
      <c r="E381" s="230" t="s">
        <v>183</v>
      </c>
      <c r="F381" s="79">
        <v>664.0</v>
      </c>
      <c r="G381" s="97">
        <v>45768.0</v>
      </c>
      <c r="H381" s="63" t="s">
        <v>900</v>
      </c>
      <c r="I381" s="34" t="s">
        <v>51</v>
      </c>
      <c r="J381" s="77">
        <v>100.0</v>
      </c>
      <c r="K381" s="77" t="s">
        <v>156</v>
      </c>
      <c r="L381" s="210">
        <v>55.0</v>
      </c>
      <c r="M381" s="41">
        <f t="shared" si="1"/>
        <v>5500</v>
      </c>
      <c r="N381" s="41" t="s">
        <v>560</v>
      </c>
      <c r="O381" s="211"/>
    </row>
    <row r="382">
      <c r="A382" s="31">
        <v>123.0</v>
      </c>
      <c r="B382" s="229">
        <v>486.0</v>
      </c>
      <c r="C382" s="228">
        <v>45771.0</v>
      </c>
      <c r="D382" s="79" t="s">
        <v>901</v>
      </c>
      <c r="E382" s="230" t="s">
        <v>205</v>
      </c>
      <c r="F382" s="79">
        <v>671.0</v>
      </c>
      <c r="G382" s="97">
        <v>45772.0</v>
      </c>
      <c r="H382" s="63" t="s">
        <v>348</v>
      </c>
      <c r="I382" s="34" t="s">
        <v>294</v>
      </c>
      <c r="J382" s="77">
        <v>25.0</v>
      </c>
      <c r="K382" s="77" t="s">
        <v>654</v>
      </c>
      <c r="L382" s="210">
        <v>72.0</v>
      </c>
      <c r="M382" s="41">
        <f t="shared" si="1"/>
        <v>1800</v>
      </c>
      <c r="N382" s="41" t="s">
        <v>99</v>
      </c>
      <c r="O382" s="211"/>
    </row>
    <row r="383">
      <c r="A383" s="31">
        <v>124.0</v>
      </c>
      <c r="B383" s="229">
        <v>1310.0</v>
      </c>
      <c r="C383" s="228">
        <v>45771.0</v>
      </c>
      <c r="D383" s="79" t="s">
        <v>592</v>
      </c>
      <c r="E383" s="230" t="s">
        <v>593</v>
      </c>
      <c r="F383" s="79">
        <v>672.0</v>
      </c>
      <c r="G383" s="97">
        <v>45772.0</v>
      </c>
      <c r="H383" s="63" t="s">
        <v>902</v>
      </c>
      <c r="I383" s="34" t="s">
        <v>547</v>
      </c>
      <c r="J383" s="77">
        <v>4.0</v>
      </c>
      <c r="K383" s="77" t="s">
        <v>156</v>
      </c>
      <c r="L383" s="210">
        <v>198.0</v>
      </c>
      <c r="M383" s="41">
        <f t="shared" si="1"/>
        <v>792</v>
      </c>
      <c r="N383" s="41" t="s">
        <v>548</v>
      </c>
      <c r="O383" s="211"/>
    </row>
    <row r="384">
      <c r="A384" s="42">
        <v>125.0</v>
      </c>
      <c r="B384" s="231">
        <v>465.0</v>
      </c>
      <c r="C384" s="215">
        <v>45774.0</v>
      </c>
      <c r="D384" s="232" t="s">
        <v>868</v>
      </c>
      <c r="E384" s="233" t="s">
        <v>183</v>
      </c>
      <c r="F384" s="232">
        <v>675.0</v>
      </c>
      <c r="G384" s="76">
        <v>45772.0</v>
      </c>
      <c r="H384" s="63" t="s">
        <v>712</v>
      </c>
      <c r="I384" s="34" t="s">
        <v>60</v>
      </c>
      <c r="J384" s="77">
        <v>10.0</v>
      </c>
      <c r="K384" s="77" t="s">
        <v>156</v>
      </c>
      <c r="L384" s="210">
        <v>419.0</v>
      </c>
      <c r="M384" s="41">
        <f t="shared" si="1"/>
        <v>4190</v>
      </c>
      <c r="N384" s="41" t="s">
        <v>560</v>
      </c>
      <c r="O384" s="211"/>
    </row>
    <row r="385">
      <c r="A385" s="47"/>
      <c r="B385" s="47"/>
      <c r="C385" s="47"/>
      <c r="D385" s="47"/>
      <c r="E385" s="47"/>
      <c r="F385" s="47"/>
      <c r="G385" s="47"/>
      <c r="H385" s="63" t="s">
        <v>903</v>
      </c>
      <c r="I385" s="34" t="s">
        <v>60</v>
      </c>
      <c r="J385" s="77">
        <v>50.0</v>
      </c>
      <c r="K385" s="77" t="s">
        <v>156</v>
      </c>
      <c r="L385" s="210">
        <v>20.0</v>
      </c>
      <c r="M385" s="41">
        <f t="shared" si="1"/>
        <v>1000</v>
      </c>
      <c r="N385" s="41" t="s">
        <v>560</v>
      </c>
      <c r="O385" s="211"/>
    </row>
    <row r="386">
      <c r="A386" s="47"/>
      <c r="B386" s="47"/>
      <c r="C386" s="47"/>
      <c r="D386" s="47"/>
      <c r="E386" s="47"/>
      <c r="F386" s="47"/>
      <c r="G386" s="47"/>
      <c r="H386" s="63" t="s">
        <v>904</v>
      </c>
      <c r="I386" s="34" t="s">
        <v>60</v>
      </c>
      <c r="J386" s="77">
        <v>30.0</v>
      </c>
      <c r="K386" s="77" t="s">
        <v>156</v>
      </c>
      <c r="L386" s="210">
        <v>97.0</v>
      </c>
      <c r="M386" s="41">
        <f t="shared" si="1"/>
        <v>2910</v>
      </c>
      <c r="N386" s="41" t="s">
        <v>560</v>
      </c>
      <c r="O386" s="211"/>
    </row>
    <row r="387">
      <c r="A387" s="47"/>
      <c r="B387" s="47"/>
      <c r="C387" s="47"/>
      <c r="D387" s="47"/>
      <c r="E387" s="47"/>
      <c r="F387" s="47"/>
      <c r="G387" s="47"/>
      <c r="H387" s="63" t="s">
        <v>905</v>
      </c>
      <c r="I387" s="34" t="s">
        <v>60</v>
      </c>
      <c r="J387" s="77">
        <v>30.0</v>
      </c>
      <c r="K387" s="77" t="s">
        <v>156</v>
      </c>
      <c r="L387" s="210">
        <v>49.0</v>
      </c>
      <c r="M387" s="41">
        <f t="shared" si="1"/>
        <v>1470</v>
      </c>
      <c r="N387" s="41" t="s">
        <v>560</v>
      </c>
      <c r="O387" s="211"/>
    </row>
    <row r="388">
      <c r="A388" s="47"/>
      <c r="B388" s="47"/>
      <c r="C388" s="47"/>
      <c r="D388" s="47"/>
      <c r="E388" s="47"/>
      <c r="F388" s="47"/>
      <c r="G388" s="48"/>
      <c r="H388" s="63" t="s">
        <v>906</v>
      </c>
      <c r="I388" s="34" t="s">
        <v>60</v>
      </c>
      <c r="J388" s="77">
        <v>50.0</v>
      </c>
      <c r="K388" s="77" t="s">
        <v>156</v>
      </c>
      <c r="L388" s="210">
        <v>173.0</v>
      </c>
      <c r="M388" s="41">
        <f t="shared" si="1"/>
        <v>8650</v>
      </c>
      <c r="N388" s="41" t="s">
        <v>560</v>
      </c>
      <c r="O388" s="211"/>
    </row>
    <row r="389">
      <c r="A389" s="48"/>
      <c r="B389" s="48"/>
      <c r="C389" s="48"/>
      <c r="D389" s="48"/>
      <c r="E389" s="48"/>
      <c r="F389" s="242">
        <v>671.0</v>
      </c>
      <c r="G389" s="240">
        <v>45772.0</v>
      </c>
      <c r="H389" s="63" t="s">
        <v>738</v>
      </c>
      <c r="I389" s="34" t="s">
        <v>60</v>
      </c>
      <c r="J389" s="77">
        <v>60.0</v>
      </c>
      <c r="K389" s="77" t="s">
        <v>156</v>
      </c>
      <c r="L389" s="210">
        <v>30.0</v>
      </c>
      <c r="M389" s="41">
        <f t="shared" si="1"/>
        <v>1800</v>
      </c>
      <c r="N389" s="41" t="s">
        <v>560</v>
      </c>
      <c r="O389" s="211"/>
    </row>
    <row r="390">
      <c r="A390" s="42">
        <v>126.0</v>
      </c>
      <c r="B390" s="231">
        <v>441.0</v>
      </c>
      <c r="C390" s="215">
        <v>45774.0</v>
      </c>
      <c r="D390" s="232" t="s">
        <v>881</v>
      </c>
      <c r="E390" s="233" t="s">
        <v>859</v>
      </c>
      <c r="F390" s="232">
        <v>671.0</v>
      </c>
      <c r="G390" s="76">
        <v>45772.0</v>
      </c>
      <c r="H390" s="63" t="s">
        <v>352</v>
      </c>
      <c r="I390" s="34" t="s">
        <v>294</v>
      </c>
      <c r="J390" s="77">
        <v>25.0</v>
      </c>
      <c r="K390" s="77" t="s">
        <v>654</v>
      </c>
      <c r="L390" s="210">
        <v>74.0</v>
      </c>
      <c r="M390" s="41">
        <f t="shared" si="1"/>
        <v>1850</v>
      </c>
      <c r="N390" s="41" t="s">
        <v>99</v>
      </c>
      <c r="O390" s="211"/>
    </row>
    <row r="391">
      <c r="A391" s="47"/>
      <c r="B391" s="47"/>
      <c r="C391" s="47"/>
      <c r="D391" s="47"/>
      <c r="E391" s="47"/>
      <c r="F391" s="47"/>
      <c r="G391" s="47"/>
      <c r="H391" s="63" t="s">
        <v>350</v>
      </c>
      <c r="I391" s="34" t="s">
        <v>294</v>
      </c>
      <c r="J391" s="77">
        <v>50.0</v>
      </c>
      <c r="K391" s="77" t="s">
        <v>654</v>
      </c>
      <c r="L391" s="210">
        <v>72.0</v>
      </c>
      <c r="M391" s="41">
        <f t="shared" si="1"/>
        <v>3600</v>
      </c>
      <c r="N391" s="41" t="s">
        <v>99</v>
      </c>
      <c r="O391" s="211"/>
    </row>
    <row r="392">
      <c r="A392" s="47"/>
      <c r="B392" s="47"/>
      <c r="C392" s="47"/>
      <c r="D392" s="47"/>
      <c r="E392" s="47"/>
      <c r="F392" s="47"/>
      <c r="G392" s="47"/>
      <c r="H392" s="63" t="s">
        <v>349</v>
      </c>
      <c r="I392" s="34" t="s">
        <v>294</v>
      </c>
      <c r="J392" s="77">
        <v>25.0</v>
      </c>
      <c r="K392" s="77" t="s">
        <v>654</v>
      </c>
      <c r="L392" s="210">
        <v>72.0</v>
      </c>
      <c r="M392" s="41">
        <f t="shared" si="1"/>
        <v>1800</v>
      </c>
      <c r="N392" s="41" t="s">
        <v>99</v>
      </c>
      <c r="O392" s="211"/>
    </row>
    <row r="393">
      <c r="A393" s="47"/>
      <c r="B393" s="47"/>
      <c r="C393" s="47"/>
      <c r="D393" s="47"/>
      <c r="E393" s="47"/>
      <c r="F393" s="47"/>
      <c r="G393" s="47"/>
      <c r="H393" s="63" t="s">
        <v>323</v>
      </c>
      <c r="I393" s="34" t="s">
        <v>29</v>
      </c>
      <c r="J393" s="77">
        <v>6.0</v>
      </c>
      <c r="K393" s="77" t="s">
        <v>156</v>
      </c>
      <c r="L393" s="210">
        <v>385.0</v>
      </c>
      <c r="M393" s="41">
        <f t="shared" si="1"/>
        <v>2310</v>
      </c>
      <c r="N393" s="41" t="s">
        <v>99</v>
      </c>
      <c r="O393" s="211"/>
    </row>
    <row r="394">
      <c r="A394" s="47"/>
      <c r="B394" s="47"/>
      <c r="C394" s="47"/>
      <c r="D394" s="47"/>
      <c r="E394" s="47"/>
      <c r="F394" s="47"/>
      <c r="G394" s="47"/>
      <c r="H394" s="63" t="s">
        <v>871</v>
      </c>
      <c r="I394" s="34" t="s">
        <v>55</v>
      </c>
      <c r="J394" s="77">
        <v>5.0</v>
      </c>
      <c r="K394" s="77" t="s">
        <v>654</v>
      </c>
      <c r="L394" s="210">
        <v>256.0</v>
      </c>
      <c r="M394" s="41">
        <f t="shared" si="1"/>
        <v>1280</v>
      </c>
      <c r="N394" s="41" t="s">
        <v>99</v>
      </c>
      <c r="O394" s="211"/>
    </row>
    <row r="395">
      <c r="A395" s="47"/>
      <c r="B395" s="47"/>
      <c r="C395" s="47"/>
      <c r="D395" s="47"/>
      <c r="E395" s="47"/>
      <c r="F395" s="47"/>
      <c r="G395" s="47"/>
      <c r="H395" s="63" t="s">
        <v>907</v>
      </c>
      <c r="I395" s="34" t="s">
        <v>55</v>
      </c>
      <c r="J395" s="77">
        <v>1.0</v>
      </c>
      <c r="K395" s="77" t="s">
        <v>908</v>
      </c>
      <c r="L395" s="210">
        <v>3300.0</v>
      </c>
      <c r="M395" s="41">
        <f t="shared" si="1"/>
        <v>3300</v>
      </c>
      <c r="N395" s="41" t="s">
        <v>99</v>
      </c>
      <c r="O395" s="211"/>
    </row>
    <row r="396">
      <c r="A396" s="47"/>
      <c r="B396" s="47"/>
      <c r="C396" s="47"/>
      <c r="D396" s="47"/>
      <c r="E396" s="47"/>
      <c r="F396" s="47"/>
      <c r="G396" s="47"/>
      <c r="H396" s="63" t="s">
        <v>909</v>
      </c>
      <c r="I396" s="34" t="s">
        <v>55</v>
      </c>
      <c r="J396" s="77">
        <v>2.0</v>
      </c>
      <c r="K396" s="77" t="s">
        <v>156</v>
      </c>
      <c r="L396" s="210">
        <v>195.0</v>
      </c>
      <c r="M396" s="41">
        <f t="shared" si="1"/>
        <v>390</v>
      </c>
      <c r="N396" s="41" t="s">
        <v>99</v>
      </c>
      <c r="O396" s="211"/>
    </row>
    <row r="397">
      <c r="A397" s="48"/>
      <c r="B397" s="48"/>
      <c r="C397" s="48"/>
      <c r="D397" s="48"/>
      <c r="E397" s="48"/>
      <c r="F397" s="48"/>
      <c r="G397" s="48"/>
      <c r="H397" s="63" t="s">
        <v>910</v>
      </c>
      <c r="I397" s="34" t="s">
        <v>42</v>
      </c>
      <c r="J397" s="77">
        <v>5.0</v>
      </c>
      <c r="K397" s="77" t="s">
        <v>156</v>
      </c>
      <c r="L397" s="210">
        <v>195.0</v>
      </c>
      <c r="M397" s="41">
        <f t="shared" si="1"/>
        <v>975</v>
      </c>
      <c r="N397" s="41" t="s">
        <v>99</v>
      </c>
      <c r="O397" s="211"/>
    </row>
    <row r="398">
      <c r="A398" s="31">
        <v>127.0</v>
      </c>
      <c r="B398" s="229">
        <v>201377.0</v>
      </c>
      <c r="C398" s="228">
        <v>45777.0</v>
      </c>
      <c r="D398" s="79" t="s">
        <v>748</v>
      </c>
      <c r="E398" s="230" t="s">
        <v>749</v>
      </c>
      <c r="F398" s="243"/>
      <c r="G398" s="158"/>
      <c r="H398" s="63" t="s">
        <v>23</v>
      </c>
      <c r="I398" s="34" t="s">
        <v>24</v>
      </c>
      <c r="J398" s="77">
        <v>41.0</v>
      </c>
      <c r="K398" s="77" t="s">
        <v>25</v>
      </c>
      <c r="L398" s="210">
        <v>61.35</v>
      </c>
      <c r="M398" s="41">
        <f t="shared" si="1"/>
        <v>2515.35</v>
      </c>
      <c r="N398" s="41" t="s">
        <v>91</v>
      </c>
      <c r="O398" s="211"/>
    </row>
    <row r="399">
      <c r="A399" s="42">
        <v>128.0</v>
      </c>
      <c r="B399" s="231">
        <v>377.0</v>
      </c>
      <c r="C399" s="215">
        <v>45781.0</v>
      </c>
      <c r="D399" s="232" t="s">
        <v>911</v>
      </c>
      <c r="E399" s="233" t="s">
        <v>912</v>
      </c>
      <c r="F399" s="232">
        <v>671.0</v>
      </c>
      <c r="G399" s="76">
        <v>45772.0</v>
      </c>
      <c r="H399" s="63" t="s">
        <v>913</v>
      </c>
      <c r="I399" s="34" t="s">
        <v>51</v>
      </c>
      <c r="J399" s="77">
        <v>100.0</v>
      </c>
      <c r="K399" s="77" t="s">
        <v>156</v>
      </c>
      <c r="L399" s="210">
        <v>20.0</v>
      </c>
      <c r="M399" s="41">
        <f t="shared" si="1"/>
        <v>2000</v>
      </c>
      <c r="N399" s="41" t="s">
        <v>269</v>
      </c>
      <c r="O399" s="211"/>
    </row>
    <row r="400">
      <c r="A400" s="48"/>
      <c r="B400" s="48"/>
      <c r="C400" s="48"/>
      <c r="D400" s="48"/>
      <c r="E400" s="48"/>
      <c r="F400" s="48"/>
      <c r="G400" s="48"/>
      <c r="H400" s="63" t="s">
        <v>914</v>
      </c>
      <c r="I400" s="34" t="s">
        <v>51</v>
      </c>
      <c r="J400" s="77">
        <v>8.0</v>
      </c>
      <c r="K400" s="77" t="s">
        <v>156</v>
      </c>
      <c r="L400" s="210">
        <v>25.0</v>
      </c>
      <c r="M400" s="41">
        <f t="shared" si="1"/>
        <v>200</v>
      </c>
      <c r="N400" s="41" t="s">
        <v>269</v>
      </c>
      <c r="O400" s="211"/>
    </row>
    <row r="401">
      <c r="A401" s="42">
        <v>129.0</v>
      </c>
      <c r="B401" s="231">
        <v>490.0</v>
      </c>
      <c r="C401" s="215">
        <v>45779.0</v>
      </c>
      <c r="D401" s="232" t="s">
        <v>901</v>
      </c>
      <c r="E401" s="233" t="s">
        <v>205</v>
      </c>
      <c r="F401" s="232">
        <v>677.0</v>
      </c>
      <c r="G401" s="76">
        <v>45776.0</v>
      </c>
      <c r="H401" s="63" t="s">
        <v>915</v>
      </c>
      <c r="I401" s="34" t="s">
        <v>276</v>
      </c>
      <c r="J401" s="77">
        <v>1.0</v>
      </c>
      <c r="K401" s="77" t="s">
        <v>156</v>
      </c>
      <c r="L401" s="210">
        <v>5499.0</v>
      </c>
      <c r="M401" s="41">
        <f t="shared" si="1"/>
        <v>5499</v>
      </c>
      <c r="N401" s="41" t="s">
        <v>99</v>
      </c>
      <c r="O401" s="211"/>
    </row>
    <row r="402">
      <c r="A402" s="48"/>
      <c r="B402" s="48"/>
      <c r="C402" s="48"/>
      <c r="D402" s="48"/>
      <c r="E402" s="48"/>
      <c r="F402" s="48"/>
      <c r="G402" s="48"/>
      <c r="H402" s="63" t="s">
        <v>772</v>
      </c>
      <c r="I402" s="34" t="s">
        <v>276</v>
      </c>
      <c r="J402" s="77">
        <v>1.0</v>
      </c>
      <c r="K402" s="77" t="s">
        <v>156</v>
      </c>
      <c r="L402" s="210">
        <v>6990.0</v>
      </c>
      <c r="M402" s="41">
        <f t="shared" si="1"/>
        <v>6990</v>
      </c>
      <c r="N402" s="41" t="s">
        <v>99</v>
      </c>
      <c r="O402" s="211"/>
    </row>
    <row r="403">
      <c r="A403" s="42">
        <v>130.0</v>
      </c>
      <c r="B403" s="231">
        <v>1437.0</v>
      </c>
      <c r="C403" s="215">
        <v>45782.0</v>
      </c>
      <c r="D403" s="244" t="s">
        <v>916</v>
      </c>
      <c r="E403" s="245">
        <v>45796.0</v>
      </c>
      <c r="F403" s="244">
        <v>680.0</v>
      </c>
      <c r="G403" s="76">
        <v>45782.0</v>
      </c>
      <c r="H403" s="63" t="s">
        <v>917</v>
      </c>
      <c r="I403" s="34" t="s">
        <v>547</v>
      </c>
      <c r="J403" s="77">
        <v>2.0</v>
      </c>
      <c r="K403" s="77" t="s">
        <v>156</v>
      </c>
      <c r="L403" s="210">
        <v>1000.0</v>
      </c>
      <c r="M403" s="41">
        <f t="shared" si="1"/>
        <v>2000</v>
      </c>
      <c r="N403" s="41" t="s">
        <v>918</v>
      </c>
      <c r="O403" s="211"/>
    </row>
    <row r="404">
      <c r="A404" s="47"/>
      <c r="B404" s="47"/>
      <c r="C404" s="47"/>
      <c r="D404" s="47"/>
      <c r="E404" s="47"/>
      <c r="F404" s="47"/>
      <c r="G404" s="47"/>
      <c r="H404" s="63" t="s">
        <v>919</v>
      </c>
      <c r="I404" s="34" t="s">
        <v>547</v>
      </c>
      <c r="J404" s="77">
        <v>3.0</v>
      </c>
      <c r="K404" s="77" t="s">
        <v>156</v>
      </c>
      <c r="L404" s="210">
        <v>600.0</v>
      </c>
      <c r="M404" s="41">
        <f t="shared" si="1"/>
        <v>1800</v>
      </c>
      <c r="N404" s="41" t="s">
        <v>918</v>
      </c>
      <c r="O404" s="211"/>
    </row>
    <row r="405">
      <c r="A405" s="48"/>
      <c r="B405" s="48"/>
      <c r="C405" s="48"/>
      <c r="D405" s="48"/>
      <c r="E405" s="48"/>
      <c r="F405" s="48"/>
      <c r="G405" s="48"/>
      <c r="H405" s="63" t="s">
        <v>920</v>
      </c>
      <c r="I405" s="34" t="s">
        <v>547</v>
      </c>
      <c r="J405" s="77">
        <v>1.0</v>
      </c>
      <c r="K405" s="77" t="s">
        <v>89</v>
      </c>
      <c r="L405" s="210">
        <v>800.0</v>
      </c>
      <c r="M405" s="41">
        <f t="shared" si="1"/>
        <v>800</v>
      </c>
      <c r="N405" s="41" t="s">
        <v>918</v>
      </c>
      <c r="O405" s="211"/>
    </row>
    <row r="406">
      <c r="A406" s="31">
        <v>131.0</v>
      </c>
      <c r="B406" s="229" t="s">
        <v>921</v>
      </c>
      <c r="C406" s="228">
        <v>45783.0</v>
      </c>
      <c r="D406" s="79" t="s">
        <v>922</v>
      </c>
      <c r="E406" s="230" t="s">
        <v>205</v>
      </c>
      <c r="F406" s="79">
        <v>687.0</v>
      </c>
      <c r="G406" s="97">
        <v>45790.0</v>
      </c>
      <c r="H406" s="63" t="s">
        <v>923</v>
      </c>
      <c r="I406" s="34" t="s">
        <v>547</v>
      </c>
      <c r="J406" s="77">
        <v>521.4</v>
      </c>
      <c r="K406" s="77" t="s">
        <v>924</v>
      </c>
      <c r="L406" s="210">
        <v>68.0</v>
      </c>
      <c r="M406" s="41">
        <f t="shared" si="1"/>
        <v>35455.2</v>
      </c>
      <c r="N406" s="41" t="s">
        <v>570</v>
      </c>
      <c r="O406" s="211"/>
    </row>
    <row r="407">
      <c r="A407" s="31">
        <v>132.0</v>
      </c>
      <c r="B407" s="229" t="s">
        <v>925</v>
      </c>
      <c r="C407" s="228">
        <v>45783.0</v>
      </c>
      <c r="D407" s="79" t="s">
        <v>922</v>
      </c>
      <c r="E407" s="230" t="s">
        <v>205</v>
      </c>
      <c r="F407" s="79">
        <v>687.0</v>
      </c>
      <c r="G407" s="97">
        <v>45790.0</v>
      </c>
      <c r="H407" s="63" t="s">
        <v>926</v>
      </c>
      <c r="I407" s="34" t="s">
        <v>547</v>
      </c>
      <c r="J407" s="77">
        <v>1.0</v>
      </c>
      <c r="K407" s="77" t="s">
        <v>156</v>
      </c>
      <c r="L407" s="210">
        <v>16490.0</v>
      </c>
      <c r="M407" s="41">
        <f t="shared" si="1"/>
        <v>16490</v>
      </c>
      <c r="N407" s="41" t="s">
        <v>570</v>
      </c>
      <c r="O407" s="211"/>
    </row>
    <row r="408">
      <c r="A408" s="42">
        <v>133.0</v>
      </c>
      <c r="B408" s="231">
        <v>509.0</v>
      </c>
      <c r="C408" s="215">
        <v>45784.0</v>
      </c>
      <c r="D408" s="232" t="s">
        <v>927</v>
      </c>
      <c r="E408" s="233" t="s">
        <v>912</v>
      </c>
      <c r="F408" s="232">
        <v>684.0</v>
      </c>
      <c r="G408" s="76">
        <v>45790.0</v>
      </c>
      <c r="H408" s="63" t="s">
        <v>438</v>
      </c>
      <c r="I408" s="34" t="s">
        <v>276</v>
      </c>
      <c r="J408" s="77">
        <v>100.0</v>
      </c>
      <c r="K408" s="77" t="s">
        <v>156</v>
      </c>
      <c r="L408" s="210">
        <v>31.0</v>
      </c>
      <c r="M408" s="41">
        <f t="shared" si="1"/>
        <v>3100</v>
      </c>
      <c r="N408" s="41" t="s">
        <v>99</v>
      </c>
      <c r="O408" s="211"/>
    </row>
    <row r="409">
      <c r="A409" s="47"/>
      <c r="B409" s="47"/>
      <c r="C409" s="47"/>
      <c r="D409" s="47"/>
      <c r="E409" s="47"/>
      <c r="F409" s="47"/>
      <c r="G409" s="47"/>
      <c r="H409" s="63" t="s">
        <v>928</v>
      </c>
      <c r="I409" s="34" t="s">
        <v>276</v>
      </c>
      <c r="J409" s="77">
        <v>100.0</v>
      </c>
      <c r="K409" s="77" t="s">
        <v>156</v>
      </c>
      <c r="L409" s="210">
        <v>15.0</v>
      </c>
      <c r="M409" s="41">
        <f t="shared" si="1"/>
        <v>1500</v>
      </c>
      <c r="N409" s="41" t="s">
        <v>99</v>
      </c>
      <c r="O409" s="211"/>
    </row>
    <row r="410">
      <c r="A410" s="47"/>
      <c r="B410" s="47"/>
      <c r="C410" s="47"/>
      <c r="D410" s="47"/>
      <c r="E410" s="47"/>
      <c r="F410" s="47"/>
      <c r="G410" s="47"/>
      <c r="H410" s="63" t="s">
        <v>929</v>
      </c>
      <c r="I410" s="34" t="s">
        <v>276</v>
      </c>
      <c r="J410" s="77">
        <v>100.0</v>
      </c>
      <c r="K410" s="77" t="s">
        <v>156</v>
      </c>
      <c r="L410" s="210">
        <v>80.0</v>
      </c>
      <c r="M410" s="41">
        <f t="shared" si="1"/>
        <v>8000</v>
      </c>
      <c r="N410" s="41" t="s">
        <v>99</v>
      </c>
      <c r="O410" s="211"/>
    </row>
    <row r="411">
      <c r="A411" s="47"/>
      <c r="B411" s="47"/>
      <c r="C411" s="47"/>
      <c r="D411" s="47"/>
      <c r="E411" s="47"/>
      <c r="F411" s="47"/>
      <c r="G411" s="47"/>
      <c r="H411" s="63" t="s">
        <v>930</v>
      </c>
      <c r="I411" s="34" t="s">
        <v>276</v>
      </c>
      <c r="J411" s="77">
        <v>60.0</v>
      </c>
      <c r="K411" s="77" t="s">
        <v>156</v>
      </c>
      <c r="L411" s="210">
        <v>12.0</v>
      </c>
      <c r="M411" s="41">
        <f t="shared" si="1"/>
        <v>720</v>
      </c>
      <c r="N411" s="41" t="s">
        <v>99</v>
      </c>
      <c r="O411" s="211"/>
    </row>
    <row r="412">
      <c r="A412" s="47"/>
      <c r="B412" s="47"/>
      <c r="C412" s="47"/>
      <c r="D412" s="47"/>
      <c r="E412" s="47"/>
      <c r="F412" s="47"/>
      <c r="G412" s="47"/>
      <c r="H412" s="63" t="s">
        <v>931</v>
      </c>
      <c r="I412" s="34" t="s">
        <v>276</v>
      </c>
      <c r="J412" s="77">
        <v>30.0</v>
      </c>
      <c r="K412" s="77" t="s">
        <v>156</v>
      </c>
      <c r="L412" s="210">
        <v>25.0</v>
      </c>
      <c r="M412" s="41">
        <f t="shared" si="1"/>
        <v>750</v>
      </c>
      <c r="N412" s="41" t="s">
        <v>99</v>
      </c>
      <c r="O412" s="211"/>
    </row>
    <row r="413">
      <c r="A413" s="48"/>
      <c r="B413" s="48"/>
      <c r="C413" s="48"/>
      <c r="D413" s="48"/>
      <c r="E413" s="48"/>
      <c r="F413" s="48"/>
      <c r="G413" s="48"/>
      <c r="H413" s="63" t="s">
        <v>932</v>
      </c>
      <c r="I413" s="34" t="s">
        <v>276</v>
      </c>
      <c r="J413" s="77">
        <v>20.0</v>
      </c>
      <c r="K413" s="77" t="s">
        <v>156</v>
      </c>
      <c r="L413" s="210">
        <v>20.0</v>
      </c>
      <c r="M413" s="41">
        <f t="shared" si="1"/>
        <v>400</v>
      </c>
      <c r="N413" s="41" t="s">
        <v>99</v>
      </c>
      <c r="O413" s="211"/>
    </row>
    <row r="414">
      <c r="A414" s="42">
        <v>134.0</v>
      </c>
      <c r="B414" s="231">
        <v>561.0</v>
      </c>
      <c r="C414" s="215">
        <v>45784.0</v>
      </c>
      <c r="D414" s="232" t="s">
        <v>933</v>
      </c>
      <c r="E414" s="233" t="s">
        <v>934</v>
      </c>
      <c r="F414" s="232">
        <v>685.0</v>
      </c>
      <c r="G414" s="76">
        <v>45790.0</v>
      </c>
      <c r="H414" s="63" t="s">
        <v>935</v>
      </c>
      <c r="I414" s="34" t="s">
        <v>60</v>
      </c>
      <c r="J414" s="77">
        <v>100.0</v>
      </c>
      <c r="K414" s="77" t="s">
        <v>156</v>
      </c>
      <c r="L414" s="210">
        <v>35.0</v>
      </c>
      <c r="M414" s="41">
        <f t="shared" si="1"/>
        <v>3500</v>
      </c>
      <c r="N414" s="41" t="s">
        <v>560</v>
      </c>
      <c r="O414" s="211"/>
    </row>
    <row r="415">
      <c r="A415" s="47"/>
      <c r="B415" s="47"/>
      <c r="C415" s="47"/>
      <c r="D415" s="47"/>
      <c r="E415" s="47"/>
      <c r="F415" s="47"/>
      <c r="G415" s="47"/>
      <c r="H415" s="63" t="s">
        <v>936</v>
      </c>
      <c r="I415" s="34" t="s">
        <v>60</v>
      </c>
      <c r="J415" s="77">
        <v>2.0</v>
      </c>
      <c r="K415" s="77" t="s">
        <v>937</v>
      </c>
      <c r="L415" s="210">
        <v>345.0</v>
      </c>
      <c r="M415" s="41">
        <f t="shared" si="1"/>
        <v>690</v>
      </c>
      <c r="N415" s="41" t="s">
        <v>560</v>
      </c>
      <c r="O415" s="211"/>
    </row>
    <row r="416">
      <c r="A416" s="47"/>
      <c r="B416" s="47"/>
      <c r="C416" s="47"/>
      <c r="D416" s="47"/>
      <c r="E416" s="47"/>
      <c r="F416" s="47"/>
      <c r="G416" s="47"/>
      <c r="H416" s="63" t="s">
        <v>938</v>
      </c>
      <c r="I416" s="34" t="s">
        <v>60</v>
      </c>
      <c r="J416" s="77">
        <v>2.0</v>
      </c>
      <c r="K416" s="77" t="s">
        <v>156</v>
      </c>
      <c r="L416" s="210">
        <v>4800.0</v>
      </c>
      <c r="M416" s="41">
        <f t="shared" si="1"/>
        <v>9600</v>
      </c>
      <c r="N416" s="41" t="s">
        <v>560</v>
      </c>
      <c r="O416" s="211"/>
    </row>
    <row r="417">
      <c r="A417" s="47"/>
      <c r="B417" s="47"/>
      <c r="C417" s="47"/>
      <c r="D417" s="47"/>
      <c r="E417" s="47"/>
      <c r="F417" s="47"/>
      <c r="G417" s="47"/>
      <c r="H417" s="63" t="s">
        <v>635</v>
      </c>
      <c r="I417" s="34" t="s">
        <v>51</v>
      </c>
      <c r="J417" s="77">
        <v>2.0</v>
      </c>
      <c r="K417" s="77" t="s">
        <v>156</v>
      </c>
      <c r="L417" s="210">
        <v>3173.0</v>
      </c>
      <c r="M417" s="41">
        <f t="shared" si="1"/>
        <v>6346</v>
      </c>
      <c r="N417" s="41" t="s">
        <v>560</v>
      </c>
      <c r="O417" s="211"/>
    </row>
    <row r="418">
      <c r="A418" s="47"/>
      <c r="B418" s="47"/>
      <c r="C418" s="47"/>
      <c r="D418" s="47"/>
      <c r="E418" s="47"/>
      <c r="F418" s="47"/>
      <c r="G418" s="47"/>
      <c r="H418" s="63" t="s">
        <v>939</v>
      </c>
      <c r="I418" s="34" t="s">
        <v>60</v>
      </c>
      <c r="J418" s="77">
        <v>25.0</v>
      </c>
      <c r="K418" s="77" t="s">
        <v>156</v>
      </c>
      <c r="L418" s="210">
        <v>31.0</v>
      </c>
      <c r="M418" s="41">
        <f t="shared" si="1"/>
        <v>775</v>
      </c>
      <c r="N418" s="41" t="s">
        <v>560</v>
      </c>
      <c r="O418" s="211"/>
    </row>
    <row r="419">
      <c r="A419" s="47"/>
      <c r="B419" s="47"/>
      <c r="C419" s="47"/>
      <c r="D419" s="47"/>
      <c r="E419" s="47"/>
      <c r="F419" s="47"/>
      <c r="G419" s="47"/>
      <c r="H419" s="63" t="s">
        <v>940</v>
      </c>
      <c r="I419" s="34" t="s">
        <v>60</v>
      </c>
      <c r="J419" s="77">
        <v>20.0</v>
      </c>
      <c r="K419" s="77" t="s">
        <v>156</v>
      </c>
      <c r="L419" s="210">
        <v>87.0</v>
      </c>
      <c r="M419" s="41">
        <f t="shared" si="1"/>
        <v>1740</v>
      </c>
      <c r="N419" s="41" t="s">
        <v>560</v>
      </c>
      <c r="O419" s="211"/>
    </row>
    <row r="420">
      <c r="A420" s="47"/>
      <c r="B420" s="47"/>
      <c r="C420" s="47"/>
      <c r="D420" s="47"/>
      <c r="E420" s="47"/>
      <c r="F420" s="47"/>
      <c r="G420" s="47"/>
      <c r="H420" s="63" t="s">
        <v>941</v>
      </c>
      <c r="I420" s="34" t="s">
        <v>60</v>
      </c>
      <c r="J420" s="77">
        <v>20.0</v>
      </c>
      <c r="K420" s="77" t="s">
        <v>156</v>
      </c>
      <c r="L420" s="210">
        <v>420.0</v>
      </c>
      <c r="M420" s="41">
        <f t="shared" si="1"/>
        <v>8400</v>
      </c>
      <c r="N420" s="41" t="s">
        <v>560</v>
      </c>
      <c r="O420" s="211"/>
    </row>
    <row r="421">
      <c r="A421" s="47"/>
      <c r="B421" s="47"/>
      <c r="C421" s="47"/>
      <c r="D421" s="47"/>
      <c r="E421" s="47"/>
      <c r="F421" s="48"/>
      <c r="G421" s="48"/>
      <c r="H421" s="63" t="s">
        <v>942</v>
      </c>
      <c r="I421" s="34" t="s">
        <v>276</v>
      </c>
      <c r="J421" s="77">
        <v>300.0</v>
      </c>
      <c r="K421" s="77" t="s">
        <v>74</v>
      </c>
      <c r="L421" s="210">
        <v>42.0</v>
      </c>
      <c r="M421" s="41">
        <f t="shared" si="1"/>
        <v>12600</v>
      </c>
      <c r="N421" s="41" t="s">
        <v>560</v>
      </c>
      <c r="O421" s="211"/>
    </row>
    <row r="422">
      <c r="A422" s="48"/>
      <c r="B422" s="48"/>
      <c r="C422" s="48"/>
      <c r="D422" s="48"/>
      <c r="E422" s="48"/>
      <c r="F422" s="242">
        <v>699.0</v>
      </c>
      <c r="G422" s="240">
        <v>45799.0</v>
      </c>
      <c r="H422" s="63" t="s">
        <v>943</v>
      </c>
      <c r="I422" s="34" t="s">
        <v>60</v>
      </c>
      <c r="J422" s="77">
        <v>10.0</v>
      </c>
      <c r="K422" s="77" t="s">
        <v>156</v>
      </c>
      <c r="L422" s="210">
        <v>110.0</v>
      </c>
      <c r="M422" s="41">
        <f t="shared" si="1"/>
        <v>1100</v>
      </c>
      <c r="N422" s="41" t="s">
        <v>560</v>
      </c>
      <c r="O422" s="211"/>
    </row>
    <row r="423">
      <c r="A423" s="42">
        <v>135.0</v>
      </c>
      <c r="B423" s="231">
        <v>538.0</v>
      </c>
      <c r="C423" s="215">
        <v>45784.0</v>
      </c>
      <c r="D423" s="232" t="s">
        <v>944</v>
      </c>
      <c r="E423" s="233" t="s">
        <v>912</v>
      </c>
      <c r="F423" s="232">
        <v>700.0</v>
      </c>
      <c r="G423" s="76">
        <v>45804.0</v>
      </c>
      <c r="H423" s="63" t="s">
        <v>945</v>
      </c>
      <c r="I423" s="34" t="s">
        <v>276</v>
      </c>
      <c r="J423" s="77">
        <v>1.0</v>
      </c>
      <c r="K423" s="77" t="s">
        <v>156</v>
      </c>
      <c r="L423" s="210">
        <v>165.0</v>
      </c>
      <c r="M423" s="41">
        <f t="shared" si="1"/>
        <v>165</v>
      </c>
      <c r="N423" s="41" t="s">
        <v>99</v>
      </c>
      <c r="O423" s="211"/>
    </row>
    <row r="424">
      <c r="A424" s="47"/>
      <c r="B424" s="47"/>
      <c r="C424" s="47"/>
      <c r="D424" s="47"/>
      <c r="E424" s="47"/>
      <c r="F424" s="47"/>
      <c r="G424" s="47"/>
      <c r="H424" s="63" t="s">
        <v>281</v>
      </c>
      <c r="I424" s="34" t="s">
        <v>276</v>
      </c>
      <c r="J424" s="77">
        <v>10.0</v>
      </c>
      <c r="K424" s="77" t="s">
        <v>74</v>
      </c>
      <c r="L424" s="210">
        <v>15.5</v>
      </c>
      <c r="M424" s="41">
        <f t="shared" si="1"/>
        <v>155</v>
      </c>
      <c r="N424" s="41" t="s">
        <v>99</v>
      </c>
      <c r="O424" s="211"/>
    </row>
    <row r="425">
      <c r="A425" s="47"/>
      <c r="B425" s="47"/>
      <c r="C425" s="47"/>
      <c r="D425" s="47"/>
      <c r="E425" s="47"/>
      <c r="F425" s="47"/>
      <c r="G425" s="47"/>
      <c r="H425" s="63" t="s">
        <v>946</v>
      </c>
      <c r="I425" s="34" t="s">
        <v>276</v>
      </c>
      <c r="J425" s="77">
        <v>1.0</v>
      </c>
      <c r="K425" s="77" t="s">
        <v>156</v>
      </c>
      <c r="L425" s="210">
        <v>20.0</v>
      </c>
      <c r="M425" s="41">
        <f t="shared" si="1"/>
        <v>20</v>
      </c>
      <c r="N425" s="41" t="s">
        <v>99</v>
      </c>
      <c r="O425" s="211"/>
    </row>
    <row r="426">
      <c r="A426" s="47"/>
      <c r="B426" s="47"/>
      <c r="C426" s="47"/>
      <c r="D426" s="47"/>
      <c r="E426" s="47"/>
      <c r="F426" s="47"/>
      <c r="G426" s="47"/>
      <c r="H426" s="63" t="s">
        <v>478</v>
      </c>
      <c r="I426" s="34" t="s">
        <v>276</v>
      </c>
      <c r="J426" s="77">
        <v>1.0</v>
      </c>
      <c r="K426" s="77" t="s">
        <v>156</v>
      </c>
      <c r="L426" s="210">
        <v>15.0</v>
      </c>
      <c r="M426" s="41">
        <f t="shared" si="1"/>
        <v>15</v>
      </c>
      <c r="N426" s="41" t="s">
        <v>99</v>
      </c>
      <c r="O426" s="211"/>
    </row>
    <row r="427">
      <c r="A427" s="48"/>
      <c r="B427" s="48"/>
      <c r="C427" s="48"/>
      <c r="D427" s="48"/>
      <c r="E427" s="48"/>
      <c r="F427" s="48"/>
      <c r="G427" s="48"/>
      <c r="H427" s="63" t="s">
        <v>947</v>
      </c>
      <c r="I427" s="34" t="s">
        <v>276</v>
      </c>
      <c r="J427" s="77">
        <v>1.0</v>
      </c>
      <c r="K427" s="77" t="s">
        <v>39</v>
      </c>
      <c r="L427" s="210">
        <v>30.0</v>
      </c>
      <c r="M427" s="41">
        <f t="shared" si="1"/>
        <v>30</v>
      </c>
      <c r="N427" s="41" t="s">
        <v>99</v>
      </c>
      <c r="O427" s="211"/>
    </row>
    <row r="428">
      <c r="A428" s="42">
        <v>136.0</v>
      </c>
      <c r="B428" s="231">
        <v>157.0</v>
      </c>
      <c r="C428" s="215">
        <v>45784.0</v>
      </c>
      <c r="D428" s="232" t="s">
        <v>944</v>
      </c>
      <c r="E428" s="233" t="s">
        <v>912</v>
      </c>
      <c r="F428" s="232">
        <v>700.0</v>
      </c>
      <c r="G428" s="76">
        <v>45804.0</v>
      </c>
      <c r="H428" s="63" t="s">
        <v>948</v>
      </c>
      <c r="I428" s="34" t="s">
        <v>325</v>
      </c>
      <c r="J428" s="77">
        <v>5.0</v>
      </c>
      <c r="K428" s="77" t="s">
        <v>25</v>
      </c>
      <c r="L428" s="210">
        <v>206.0</v>
      </c>
      <c r="M428" s="41">
        <f t="shared" si="1"/>
        <v>1030</v>
      </c>
      <c r="N428" s="41" t="s">
        <v>99</v>
      </c>
      <c r="O428" s="211"/>
    </row>
    <row r="429">
      <c r="A429" s="47"/>
      <c r="B429" s="47"/>
      <c r="C429" s="47"/>
      <c r="D429" s="47"/>
      <c r="E429" s="47"/>
      <c r="F429" s="47"/>
      <c r="G429" s="47"/>
      <c r="H429" s="63" t="s">
        <v>949</v>
      </c>
      <c r="I429" s="34" t="s">
        <v>325</v>
      </c>
      <c r="J429" s="77">
        <v>20.0</v>
      </c>
      <c r="K429" s="77" t="s">
        <v>25</v>
      </c>
      <c r="L429" s="210">
        <v>68.0</v>
      </c>
      <c r="M429" s="41">
        <f t="shared" si="1"/>
        <v>1360</v>
      </c>
      <c r="N429" s="41" t="s">
        <v>99</v>
      </c>
      <c r="O429" s="211"/>
    </row>
    <row r="430">
      <c r="A430" s="47"/>
      <c r="B430" s="47"/>
      <c r="C430" s="47"/>
      <c r="D430" s="47"/>
      <c r="E430" s="47"/>
      <c r="F430" s="47"/>
      <c r="G430" s="47"/>
      <c r="H430" s="63" t="s">
        <v>950</v>
      </c>
      <c r="I430" s="34" t="s">
        <v>325</v>
      </c>
      <c r="J430" s="77">
        <v>1.0</v>
      </c>
      <c r="K430" s="77" t="s">
        <v>34</v>
      </c>
      <c r="L430" s="210">
        <v>22.0</v>
      </c>
      <c r="M430" s="41">
        <f t="shared" si="1"/>
        <v>22</v>
      </c>
      <c r="N430" s="41" t="s">
        <v>99</v>
      </c>
      <c r="O430" s="211"/>
    </row>
    <row r="431">
      <c r="A431" s="47"/>
      <c r="B431" s="47"/>
      <c r="C431" s="47"/>
      <c r="D431" s="47"/>
      <c r="E431" s="47"/>
      <c r="F431" s="47"/>
      <c r="G431" s="47"/>
      <c r="H431" s="63" t="s">
        <v>951</v>
      </c>
      <c r="I431" s="34" t="s">
        <v>276</v>
      </c>
      <c r="J431" s="77">
        <v>1.0</v>
      </c>
      <c r="K431" s="77" t="s">
        <v>89</v>
      </c>
      <c r="L431" s="210">
        <v>490.0</v>
      </c>
      <c r="M431" s="41">
        <f t="shared" si="1"/>
        <v>490</v>
      </c>
      <c r="N431" s="41" t="s">
        <v>99</v>
      </c>
      <c r="O431" s="211"/>
    </row>
    <row r="432">
      <c r="A432" s="48"/>
      <c r="B432" s="48"/>
      <c r="C432" s="48"/>
      <c r="D432" s="48"/>
      <c r="E432" s="48"/>
      <c r="F432" s="48"/>
      <c r="G432" s="48"/>
      <c r="H432" s="63" t="s">
        <v>952</v>
      </c>
      <c r="I432" s="34" t="s">
        <v>276</v>
      </c>
      <c r="J432" s="77">
        <v>1.0</v>
      </c>
      <c r="K432" s="77" t="s">
        <v>89</v>
      </c>
      <c r="L432" s="210">
        <v>490.0</v>
      </c>
      <c r="M432" s="41">
        <f t="shared" si="1"/>
        <v>490</v>
      </c>
      <c r="N432" s="41" t="s">
        <v>99</v>
      </c>
      <c r="O432" s="211"/>
    </row>
    <row r="433">
      <c r="A433" s="31">
        <v>137.0</v>
      </c>
      <c r="B433" s="229">
        <v>94.0</v>
      </c>
      <c r="C433" s="228">
        <v>45784.0</v>
      </c>
      <c r="D433" s="79" t="s">
        <v>953</v>
      </c>
      <c r="E433" s="230" t="s">
        <v>954</v>
      </c>
      <c r="F433" s="79">
        <v>685.0</v>
      </c>
      <c r="G433" s="97">
        <v>45790.0</v>
      </c>
      <c r="H433" s="63" t="s">
        <v>955</v>
      </c>
      <c r="I433" s="34" t="s">
        <v>51</v>
      </c>
      <c r="J433" s="77">
        <v>1.0</v>
      </c>
      <c r="K433" s="77" t="s">
        <v>89</v>
      </c>
      <c r="L433" s="210">
        <v>3500.0</v>
      </c>
      <c r="M433" s="41">
        <f t="shared" si="1"/>
        <v>3500</v>
      </c>
      <c r="N433" s="41" t="s">
        <v>417</v>
      </c>
      <c r="O433" s="211"/>
    </row>
    <row r="434">
      <c r="A434" s="31">
        <v>138.0</v>
      </c>
      <c r="B434" s="229">
        <v>93.0</v>
      </c>
      <c r="C434" s="228">
        <v>45784.0</v>
      </c>
      <c r="D434" s="79" t="s">
        <v>953</v>
      </c>
      <c r="E434" s="230" t="s">
        <v>954</v>
      </c>
      <c r="F434" s="79">
        <v>1202.0</v>
      </c>
      <c r="G434" s="97">
        <v>45805.0</v>
      </c>
      <c r="H434" s="63" t="s">
        <v>956</v>
      </c>
      <c r="I434" s="34" t="s">
        <v>51</v>
      </c>
      <c r="J434" s="77">
        <v>20.0</v>
      </c>
      <c r="K434" s="77" t="s">
        <v>89</v>
      </c>
      <c r="L434" s="210">
        <v>1200.0</v>
      </c>
      <c r="M434" s="41">
        <f t="shared" si="1"/>
        <v>24000</v>
      </c>
      <c r="N434" s="41" t="s">
        <v>417</v>
      </c>
      <c r="O434" s="211"/>
    </row>
    <row r="435">
      <c r="A435" s="31">
        <v>139.0</v>
      </c>
      <c r="B435" s="229">
        <v>159.0</v>
      </c>
      <c r="C435" s="228">
        <v>45785.0</v>
      </c>
      <c r="D435" s="79" t="s">
        <v>957</v>
      </c>
      <c r="E435" s="230" t="s">
        <v>912</v>
      </c>
      <c r="F435" s="79">
        <v>687.0</v>
      </c>
      <c r="G435" s="97">
        <v>45790.0</v>
      </c>
      <c r="H435" s="63" t="s">
        <v>958</v>
      </c>
      <c r="I435" s="34" t="s">
        <v>547</v>
      </c>
      <c r="J435" s="77">
        <v>10.0</v>
      </c>
      <c r="K435" s="77" t="s">
        <v>156</v>
      </c>
      <c r="L435" s="210">
        <v>2499.0</v>
      </c>
      <c r="M435" s="41">
        <f t="shared" si="1"/>
        <v>24990</v>
      </c>
      <c r="N435" s="41" t="s">
        <v>959</v>
      </c>
      <c r="O435" s="211"/>
    </row>
    <row r="436">
      <c r="A436" s="31">
        <v>140.0</v>
      </c>
      <c r="B436" s="229">
        <v>570.0</v>
      </c>
      <c r="C436" s="228">
        <v>45786.0</v>
      </c>
      <c r="D436" s="79" t="s">
        <v>592</v>
      </c>
      <c r="E436" s="230" t="s">
        <v>593</v>
      </c>
      <c r="F436" s="79" t="s">
        <v>22</v>
      </c>
      <c r="G436" s="158"/>
      <c r="H436" s="63" t="s">
        <v>960</v>
      </c>
      <c r="I436" s="34" t="s">
        <v>837</v>
      </c>
      <c r="J436" s="77">
        <v>8.0</v>
      </c>
      <c r="K436" s="77" t="s">
        <v>156</v>
      </c>
      <c r="L436" s="210">
        <v>1000.0</v>
      </c>
      <c r="M436" s="41">
        <f t="shared" si="1"/>
        <v>8000</v>
      </c>
      <c r="N436" s="41" t="s">
        <v>839</v>
      </c>
      <c r="O436" s="211"/>
    </row>
    <row r="437">
      <c r="A437" s="31">
        <v>141.0</v>
      </c>
      <c r="B437" s="229">
        <v>3119875.0</v>
      </c>
      <c r="C437" s="228">
        <v>45786.0</v>
      </c>
      <c r="D437" s="79" t="s">
        <v>592</v>
      </c>
      <c r="E437" s="230">
        <v>45792.0</v>
      </c>
      <c r="F437" s="79" t="s">
        <v>92</v>
      </c>
      <c r="G437" s="158"/>
      <c r="H437" s="63" t="s">
        <v>961</v>
      </c>
      <c r="I437" s="34" t="s">
        <v>837</v>
      </c>
      <c r="J437" s="77">
        <v>1.0</v>
      </c>
      <c r="K437" s="77" t="s">
        <v>838</v>
      </c>
      <c r="L437" s="210">
        <v>37506.0</v>
      </c>
      <c r="M437" s="41">
        <f t="shared" si="1"/>
        <v>37506</v>
      </c>
      <c r="N437" s="41" t="s">
        <v>842</v>
      </c>
      <c r="O437" s="211"/>
    </row>
    <row r="438">
      <c r="A438" s="31">
        <v>142.0</v>
      </c>
      <c r="B438" s="229">
        <v>385.0</v>
      </c>
      <c r="C438" s="228">
        <v>45789.0</v>
      </c>
      <c r="D438" s="79" t="s">
        <v>962</v>
      </c>
      <c r="E438" s="230" t="s">
        <v>205</v>
      </c>
      <c r="F438" s="79">
        <v>688.0</v>
      </c>
      <c r="G438" s="246">
        <v>45790.0</v>
      </c>
      <c r="H438" s="63" t="s">
        <v>122</v>
      </c>
      <c r="I438" s="34" t="s">
        <v>122</v>
      </c>
      <c r="J438" s="77">
        <v>360.0</v>
      </c>
      <c r="K438" s="77" t="s">
        <v>391</v>
      </c>
      <c r="L438" s="210">
        <v>445.0</v>
      </c>
      <c r="M438" s="41">
        <f t="shared" si="1"/>
        <v>160200</v>
      </c>
      <c r="N438" s="41" t="s">
        <v>246</v>
      </c>
      <c r="O438" s="211"/>
    </row>
    <row r="439">
      <c r="A439" s="42">
        <v>143.0</v>
      </c>
      <c r="B439" s="231">
        <v>391.0</v>
      </c>
      <c r="C439" s="215">
        <v>45789.0</v>
      </c>
      <c r="D439" s="232" t="s">
        <v>963</v>
      </c>
      <c r="E439" s="233" t="s">
        <v>205</v>
      </c>
      <c r="F439" s="232">
        <v>688.0</v>
      </c>
      <c r="G439" s="247">
        <v>45790.0</v>
      </c>
      <c r="H439" s="248" t="s">
        <v>964</v>
      </c>
      <c r="I439" s="34" t="s">
        <v>76</v>
      </c>
      <c r="J439" s="31">
        <v>1.0</v>
      </c>
      <c r="K439" s="31" t="s">
        <v>586</v>
      </c>
      <c r="L439" s="210">
        <v>19500.0</v>
      </c>
      <c r="M439" s="41">
        <f t="shared" si="1"/>
        <v>19500</v>
      </c>
      <c r="N439" s="41" t="s">
        <v>246</v>
      </c>
      <c r="O439" s="211"/>
    </row>
    <row r="440">
      <c r="A440" s="47"/>
      <c r="B440" s="47"/>
      <c r="C440" s="47"/>
      <c r="D440" s="47"/>
      <c r="E440" s="47"/>
      <c r="F440" s="47"/>
      <c r="G440" s="47"/>
      <c r="H440" s="248" t="s">
        <v>965</v>
      </c>
      <c r="I440" s="34" t="s">
        <v>76</v>
      </c>
      <c r="J440" s="31">
        <v>1.0</v>
      </c>
      <c r="K440" s="31" t="s">
        <v>586</v>
      </c>
      <c r="L440" s="210">
        <v>19500.0</v>
      </c>
      <c r="M440" s="41">
        <f t="shared" si="1"/>
        <v>19500</v>
      </c>
      <c r="N440" s="41" t="s">
        <v>246</v>
      </c>
      <c r="O440" s="211"/>
    </row>
    <row r="441">
      <c r="A441" s="48"/>
      <c r="B441" s="48"/>
      <c r="C441" s="48"/>
      <c r="D441" s="48"/>
      <c r="E441" s="48"/>
      <c r="F441" s="48"/>
      <c r="G441" s="48"/>
      <c r="H441" s="248" t="s">
        <v>966</v>
      </c>
      <c r="I441" s="34" t="s">
        <v>76</v>
      </c>
      <c r="J441" s="31">
        <v>2.0</v>
      </c>
      <c r="K441" s="31" t="s">
        <v>967</v>
      </c>
      <c r="L441" s="210">
        <v>19500.0</v>
      </c>
      <c r="M441" s="41">
        <f t="shared" si="1"/>
        <v>39000</v>
      </c>
      <c r="N441" s="41" t="s">
        <v>246</v>
      </c>
      <c r="O441" s="211"/>
    </row>
    <row r="442">
      <c r="A442" s="42">
        <v>144.0</v>
      </c>
      <c r="B442" s="231">
        <v>392.0</v>
      </c>
      <c r="C442" s="215">
        <v>45789.0</v>
      </c>
      <c r="D442" s="232" t="s">
        <v>963</v>
      </c>
      <c r="E442" s="233" t="s">
        <v>205</v>
      </c>
      <c r="F442" s="232">
        <v>688.0</v>
      </c>
      <c r="G442" s="247">
        <v>45790.0</v>
      </c>
      <c r="H442" s="248" t="s">
        <v>968</v>
      </c>
      <c r="I442" s="34" t="s">
        <v>76</v>
      </c>
      <c r="J442" s="31">
        <v>1.0</v>
      </c>
      <c r="K442" s="31" t="s">
        <v>586</v>
      </c>
      <c r="L442" s="210">
        <v>19500.0</v>
      </c>
      <c r="M442" s="41">
        <f t="shared" si="1"/>
        <v>19500</v>
      </c>
      <c r="N442" s="41" t="s">
        <v>246</v>
      </c>
      <c r="O442" s="211"/>
    </row>
    <row r="443">
      <c r="A443" s="48"/>
      <c r="B443" s="48"/>
      <c r="C443" s="48"/>
      <c r="D443" s="48"/>
      <c r="E443" s="48"/>
      <c r="F443" s="48"/>
      <c r="G443" s="48"/>
      <c r="H443" s="248" t="s">
        <v>969</v>
      </c>
      <c r="I443" s="34" t="s">
        <v>76</v>
      </c>
      <c r="J443" s="31">
        <v>1.0</v>
      </c>
      <c r="K443" s="31" t="s">
        <v>586</v>
      </c>
      <c r="L443" s="210">
        <v>19500.0</v>
      </c>
      <c r="M443" s="41">
        <f t="shared" si="1"/>
        <v>19500</v>
      </c>
      <c r="N443" s="41" t="s">
        <v>246</v>
      </c>
      <c r="O443" s="211"/>
    </row>
    <row r="444">
      <c r="A444" s="42">
        <v>145.0</v>
      </c>
      <c r="B444" s="231" t="s">
        <v>970</v>
      </c>
      <c r="C444" s="215">
        <v>45790.0</v>
      </c>
      <c r="D444" s="232" t="s">
        <v>971</v>
      </c>
      <c r="E444" s="233" t="s">
        <v>972</v>
      </c>
      <c r="F444" s="232">
        <v>682.0</v>
      </c>
      <c r="G444" s="76">
        <v>45786.0</v>
      </c>
      <c r="H444" s="63" t="s">
        <v>973</v>
      </c>
      <c r="I444" s="34" t="s">
        <v>294</v>
      </c>
      <c r="J444" s="77">
        <v>10.0</v>
      </c>
      <c r="K444" s="77" t="s">
        <v>654</v>
      </c>
      <c r="L444" s="210">
        <v>450.0</v>
      </c>
      <c r="M444" s="41">
        <f t="shared" si="1"/>
        <v>4500</v>
      </c>
      <c r="N444" s="41" t="s">
        <v>107</v>
      </c>
      <c r="O444" s="211"/>
    </row>
    <row r="445">
      <c r="A445" s="47"/>
      <c r="B445" s="47"/>
      <c r="C445" s="47"/>
      <c r="D445" s="47"/>
      <c r="E445" s="47"/>
      <c r="F445" s="47"/>
      <c r="G445" s="47"/>
      <c r="H445" s="63" t="s">
        <v>974</v>
      </c>
      <c r="I445" s="34" t="s">
        <v>294</v>
      </c>
      <c r="J445" s="77">
        <v>25.0</v>
      </c>
      <c r="K445" s="77" t="s">
        <v>654</v>
      </c>
      <c r="L445" s="210">
        <v>74.0</v>
      </c>
      <c r="M445" s="41">
        <f t="shared" si="1"/>
        <v>1850</v>
      </c>
      <c r="N445" s="41" t="s">
        <v>107</v>
      </c>
      <c r="O445" s="211"/>
    </row>
    <row r="446">
      <c r="A446" s="47"/>
      <c r="B446" s="47"/>
      <c r="C446" s="47"/>
      <c r="D446" s="47"/>
      <c r="E446" s="47"/>
      <c r="F446" s="47"/>
      <c r="G446" s="47"/>
      <c r="H446" s="63" t="s">
        <v>975</v>
      </c>
      <c r="I446" s="34" t="s">
        <v>294</v>
      </c>
      <c r="J446" s="77">
        <v>25.0</v>
      </c>
      <c r="K446" s="77" t="s">
        <v>654</v>
      </c>
      <c r="L446" s="210">
        <v>74.0</v>
      </c>
      <c r="M446" s="41">
        <f t="shared" si="1"/>
        <v>1850</v>
      </c>
      <c r="N446" s="41" t="s">
        <v>107</v>
      </c>
      <c r="O446" s="211"/>
    </row>
    <row r="447">
      <c r="A447" s="47"/>
      <c r="B447" s="47"/>
      <c r="C447" s="47"/>
      <c r="D447" s="47"/>
      <c r="E447" s="47"/>
      <c r="F447" s="47"/>
      <c r="G447" s="47"/>
      <c r="H447" s="63" t="s">
        <v>976</v>
      </c>
      <c r="I447" s="34" t="s">
        <v>294</v>
      </c>
      <c r="J447" s="77">
        <v>25.0</v>
      </c>
      <c r="K447" s="77" t="s">
        <v>654</v>
      </c>
      <c r="L447" s="210">
        <v>74.0</v>
      </c>
      <c r="M447" s="41">
        <f t="shared" si="1"/>
        <v>1850</v>
      </c>
      <c r="N447" s="41" t="s">
        <v>107</v>
      </c>
      <c r="O447" s="211"/>
    </row>
    <row r="448">
      <c r="A448" s="48"/>
      <c r="B448" s="48"/>
      <c r="C448" s="48"/>
      <c r="D448" s="48"/>
      <c r="E448" s="48"/>
      <c r="F448" s="48"/>
      <c r="G448" s="48"/>
      <c r="H448" s="63" t="s">
        <v>829</v>
      </c>
      <c r="I448" s="34" t="s">
        <v>294</v>
      </c>
      <c r="J448" s="77">
        <v>25.0</v>
      </c>
      <c r="K448" s="77" t="s">
        <v>654</v>
      </c>
      <c r="L448" s="210">
        <v>74.0</v>
      </c>
      <c r="M448" s="41">
        <f t="shared" si="1"/>
        <v>1850</v>
      </c>
      <c r="N448" s="41" t="s">
        <v>107</v>
      </c>
      <c r="O448" s="211"/>
    </row>
    <row r="449">
      <c r="A449" s="42">
        <v>146.0</v>
      </c>
      <c r="B449" s="231" t="s">
        <v>977</v>
      </c>
      <c r="C449" s="215">
        <v>45790.0</v>
      </c>
      <c r="D449" s="232" t="s">
        <v>971</v>
      </c>
      <c r="E449" s="233" t="s">
        <v>972</v>
      </c>
      <c r="F449" s="232">
        <v>684.0</v>
      </c>
      <c r="G449" s="76">
        <v>45790.0</v>
      </c>
      <c r="H449" s="63" t="s">
        <v>978</v>
      </c>
      <c r="I449" s="34" t="s">
        <v>276</v>
      </c>
      <c r="J449" s="77">
        <v>1.0</v>
      </c>
      <c r="K449" s="77" t="s">
        <v>89</v>
      </c>
      <c r="L449" s="210">
        <v>4690.0</v>
      </c>
      <c r="M449" s="41">
        <f t="shared" si="1"/>
        <v>4690</v>
      </c>
      <c r="N449" s="41" t="s">
        <v>107</v>
      </c>
      <c r="O449" s="211"/>
    </row>
    <row r="450">
      <c r="A450" s="47"/>
      <c r="B450" s="47"/>
      <c r="C450" s="47"/>
      <c r="D450" s="47"/>
      <c r="E450" s="47"/>
      <c r="F450" s="47"/>
      <c r="G450" s="47"/>
      <c r="H450" s="63" t="s">
        <v>979</v>
      </c>
      <c r="I450" s="34" t="s">
        <v>276</v>
      </c>
      <c r="J450" s="77">
        <v>1.0</v>
      </c>
      <c r="K450" s="77" t="s">
        <v>89</v>
      </c>
      <c r="L450" s="210">
        <v>3315.0</v>
      </c>
      <c r="M450" s="41">
        <f t="shared" si="1"/>
        <v>3315</v>
      </c>
      <c r="N450" s="41" t="s">
        <v>107</v>
      </c>
      <c r="O450" s="211"/>
    </row>
    <row r="451">
      <c r="A451" s="47"/>
      <c r="B451" s="47"/>
      <c r="C451" s="47"/>
      <c r="D451" s="47"/>
      <c r="E451" s="47"/>
      <c r="F451" s="47"/>
      <c r="G451" s="47"/>
      <c r="H451" s="63" t="s">
        <v>980</v>
      </c>
      <c r="I451" s="34" t="s">
        <v>276</v>
      </c>
      <c r="J451" s="77">
        <v>5.0</v>
      </c>
      <c r="K451" s="77" t="s">
        <v>981</v>
      </c>
      <c r="L451" s="210">
        <v>3400.0</v>
      </c>
      <c r="M451" s="41">
        <f t="shared" si="1"/>
        <v>17000</v>
      </c>
      <c r="N451" s="41" t="s">
        <v>107</v>
      </c>
      <c r="O451" s="211"/>
    </row>
    <row r="452">
      <c r="A452" s="47"/>
      <c r="B452" s="47"/>
      <c r="C452" s="47"/>
      <c r="D452" s="47"/>
      <c r="E452" s="47"/>
      <c r="F452" s="47"/>
      <c r="G452" s="47"/>
      <c r="H452" s="63" t="s">
        <v>849</v>
      </c>
      <c r="I452" s="34" t="s">
        <v>294</v>
      </c>
      <c r="J452" s="77">
        <v>2.0</v>
      </c>
      <c r="K452" s="77" t="s">
        <v>39</v>
      </c>
      <c r="L452" s="210">
        <v>360.0</v>
      </c>
      <c r="M452" s="41">
        <f t="shared" si="1"/>
        <v>720</v>
      </c>
      <c r="N452" s="41" t="s">
        <v>107</v>
      </c>
      <c r="O452" s="211"/>
    </row>
    <row r="453">
      <c r="A453" s="47"/>
      <c r="B453" s="47"/>
      <c r="C453" s="47"/>
      <c r="D453" s="47"/>
      <c r="E453" s="47"/>
      <c r="F453" s="47"/>
      <c r="G453" s="47"/>
      <c r="H453" s="63" t="s">
        <v>982</v>
      </c>
      <c r="I453" s="34" t="s">
        <v>276</v>
      </c>
      <c r="J453" s="77">
        <v>5.0</v>
      </c>
      <c r="K453" s="77" t="s">
        <v>981</v>
      </c>
      <c r="L453" s="210">
        <v>3141.0</v>
      </c>
      <c r="M453" s="41">
        <f t="shared" si="1"/>
        <v>15705</v>
      </c>
      <c r="N453" s="41" t="s">
        <v>107</v>
      </c>
      <c r="O453" s="211"/>
    </row>
    <row r="454">
      <c r="A454" s="48"/>
      <c r="B454" s="48"/>
      <c r="C454" s="48"/>
      <c r="D454" s="48"/>
      <c r="E454" s="48"/>
      <c r="F454" s="48"/>
      <c r="G454" s="48"/>
      <c r="H454" s="63" t="s">
        <v>983</v>
      </c>
      <c r="I454" s="34" t="s">
        <v>276</v>
      </c>
      <c r="J454" s="77">
        <v>1.0</v>
      </c>
      <c r="K454" s="77" t="s">
        <v>981</v>
      </c>
      <c r="L454" s="210">
        <v>11250.0</v>
      </c>
      <c r="M454" s="41">
        <f t="shared" si="1"/>
        <v>11250</v>
      </c>
      <c r="N454" s="41" t="s">
        <v>107</v>
      </c>
      <c r="O454" s="211"/>
    </row>
    <row r="455">
      <c r="A455" s="31">
        <v>147.0</v>
      </c>
      <c r="B455" s="229">
        <v>215126.0</v>
      </c>
      <c r="C455" s="228">
        <v>45794.0</v>
      </c>
      <c r="D455" s="79" t="s">
        <v>984</v>
      </c>
      <c r="E455" s="230" t="s">
        <v>749</v>
      </c>
      <c r="F455" s="79">
        <v>690.0</v>
      </c>
      <c r="G455" s="97">
        <v>45794.0</v>
      </c>
      <c r="H455" s="63" t="s">
        <v>23</v>
      </c>
      <c r="I455" s="34" t="s">
        <v>24</v>
      </c>
      <c r="J455" s="77">
        <v>697.01</v>
      </c>
      <c r="K455" s="77" t="s">
        <v>25</v>
      </c>
      <c r="L455" s="210">
        <v>58.53</v>
      </c>
      <c r="M455" s="41">
        <f t="shared" si="1"/>
        <v>40795.9953</v>
      </c>
      <c r="N455" s="41" t="s">
        <v>91</v>
      </c>
      <c r="O455" s="211"/>
    </row>
    <row r="456">
      <c r="A456" s="31">
        <v>148.0</v>
      </c>
      <c r="B456" s="229">
        <v>1357837.0</v>
      </c>
      <c r="C456" s="228" t="s">
        <v>985</v>
      </c>
      <c r="D456" s="79" t="s">
        <v>984</v>
      </c>
      <c r="E456" s="230" t="s">
        <v>205</v>
      </c>
      <c r="F456" s="79">
        <v>696.0</v>
      </c>
      <c r="G456" s="97">
        <v>45798.0</v>
      </c>
      <c r="H456" s="63" t="s">
        <v>36</v>
      </c>
      <c r="I456" s="34" t="s">
        <v>24</v>
      </c>
      <c r="J456" s="77">
        <v>449.992</v>
      </c>
      <c r="K456" s="77" t="s">
        <v>25</v>
      </c>
      <c r="L456" s="210">
        <v>58.97</v>
      </c>
      <c r="M456" s="41">
        <f t="shared" si="1"/>
        <v>26536.02824</v>
      </c>
      <c r="N456" s="37"/>
      <c r="O456" s="211"/>
    </row>
    <row r="457">
      <c r="A457" s="31">
        <v>149.0</v>
      </c>
      <c r="B457" s="229">
        <v>137764.0</v>
      </c>
      <c r="C457" s="228" t="s">
        <v>986</v>
      </c>
      <c r="D457" s="79" t="s">
        <v>984</v>
      </c>
      <c r="E457" s="230" t="s">
        <v>205</v>
      </c>
      <c r="F457" s="79">
        <v>696.0</v>
      </c>
      <c r="G457" s="97">
        <v>45798.0</v>
      </c>
      <c r="H457" s="63" t="s">
        <v>23</v>
      </c>
      <c r="I457" s="34" t="s">
        <v>24</v>
      </c>
      <c r="J457" s="77">
        <v>1362.0</v>
      </c>
      <c r="K457" s="77" t="s">
        <v>25</v>
      </c>
      <c r="L457" s="210">
        <v>58.53</v>
      </c>
      <c r="M457" s="41">
        <f t="shared" si="1"/>
        <v>79717.86</v>
      </c>
      <c r="N457" s="37"/>
      <c r="O457" s="211"/>
    </row>
    <row r="458">
      <c r="A458" s="31">
        <v>150.0</v>
      </c>
      <c r="B458" s="229" t="s">
        <v>987</v>
      </c>
      <c r="C458" s="228">
        <v>45796.0</v>
      </c>
      <c r="D458" s="79" t="s">
        <v>988</v>
      </c>
      <c r="E458" s="230" t="s">
        <v>912</v>
      </c>
      <c r="F458" s="79">
        <v>690.0</v>
      </c>
      <c r="G458" s="97">
        <v>45794.0</v>
      </c>
      <c r="H458" s="63" t="s">
        <v>989</v>
      </c>
      <c r="I458" s="34" t="s">
        <v>82</v>
      </c>
      <c r="J458" s="77">
        <v>150.0</v>
      </c>
      <c r="K458" s="77" t="s">
        <v>156</v>
      </c>
      <c r="L458" s="210">
        <v>1360.0</v>
      </c>
      <c r="M458" s="41">
        <f t="shared" si="1"/>
        <v>204000</v>
      </c>
      <c r="N458" s="41" t="s">
        <v>107</v>
      </c>
      <c r="O458" s="211"/>
    </row>
    <row r="459">
      <c r="A459" s="42">
        <v>151.0</v>
      </c>
      <c r="B459" s="231" t="s">
        <v>990</v>
      </c>
      <c r="C459" s="215">
        <v>45796.0</v>
      </c>
      <c r="D459" s="232" t="s">
        <v>988</v>
      </c>
      <c r="E459" s="233" t="s">
        <v>912</v>
      </c>
      <c r="F459" s="232">
        <v>691.0</v>
      </c>
      <c r="G459" s="76">
        <v>45798.0</v>
      </c>
      <c r="H459" s="63" t="s">
        <v>991</v>
      </c>
      <c r="I459" s="34" t="s">
        <v>82</v>
      </c>
      <c r="J459" s="77">
        <v>300.0</v>
      </c>
      <c r="K459" s="77" t="s">
        <v>156</v>
      </c>
      <c r="L459" s="210">
        <v>1283.0</v>
      </c>
      <c r="M459" s="41">
        <f t="shared" si="1"/>
        <v>384900</v>
      </c>
      <c r="N459" s="41" t="s">
        <v>107</v>
      </c>
      <c r="O459" s="211"/>
    </row>
    <row r="460">
      <c r="A460" s="48"/>
      <c r="B460" s="48"/>
      <c r="C460" s="48"/>
      <c r="D460" s="48"/>
      <c r="E460" s="48"/>
      <c r="F460" s="48"/>
      <c r="G460" s="48"/>
      <c r="H460" s="63" t="s">
        <v>992</v>
      </c>
      <c r="I460" s="34" t="s">
        <v>276</v>
      </c>
      <c r="J460" s="77">
        <v>5.0</v>
      </c>
      <c r="K460" s="77" t="s">
        <v>156</v>
      </c>
      <c r="L460" s="210">
        <v>1750.0</v>
      </c>
      <c r="M460" s="41">
        <f t="shared" si="1"/>
        <v>8750</v>
      </c>
      <c r="N460" s="41" t="s">
        <v>107</v>
      </c>
      <c r="O460" s="211"/>
    </row>
    <row r="461">
      <c r="A461" s="42">
        <v>152.0</v>
      </c>
      <c r="B461" s="231">
        <v>581.0</v>
      </c>
      <c r="C461" s="215">
        <v>45796.0</v>
      </c>
      <c r="D461" s="232" t="s">
        <v>933</v>
      </c>
      <c r="E461" s="233" t="s">
        <v>934</v>
      </c>
      <c r="F461" s="232">
        <v>692.0</v>
      </c>
      <c r="G461" s="76">
        <v>45798.0</v>
      </c>
      <c r="H461" s="63" t="s">
        <v>993</v>
      </c>
      <c r="I461" s="34" t="s">
        <v>60</v>
      </c>
      <c r="J461" s="77">
        <v>2.0</v>
      </c>
      <c r="K461" s="77" t="s">
        <v>156</v>
      </c>
      <c r="L461" s="210">
        <v>14650.0</v>
      </c>
      <c r="M461" s="41">
        <f t="shared" si="1"/>
        <v>29300</v>
      </c>
      <c r="N461" s="41" t="s">
        <v>560</v>
      </c>
      <c r="O461" s="211"/>
    </row>
    <row r="462">
      <c r="A462" s="47"/>
      <c r="B462" s="47"/>
      <c r="C462" s="47"/>
      <c r="D462" s="47"/>
      <c r="E462" s="47"/>
      <c r="F462" s="47"/>
      <c r="G462" s="47"/>
      <c r="H462" s="63" t="s">
        <v>994</v>
      </c>
      <c r="I462" s="34" t="s">
        <v>60</v>
      </c>
      <c r="J462" s="77">
        <v>2.0</v>
      </c>
      <c r="K462" s="77" t="s">
        <v>156</v>
      </c>
      <c r="L462" s="210">
        <v>3450.0</v>
      </c>
      <c r="M462" s="41">
        <f t="shared" si="1"/>
        <v>6900</v>
      </c>
      <c r="N462" s="41" t="s">
        <v>560</v>
      </c>
      <c r="O462" s="211"/>
    </row>
    <row r="463">
      <c r="A463" s="47"/>
      <c r="B463" s="47"/>
      <c r="C463" s="47"/>
      <c r="D463" s="47"/>
      <c r="E463" s="47"/>
      <c r="F463" s="47"/>
      <c r="G463" s="47"/>
      <c r="H463" s="63" t="s">
        <v>995</v>
      </c>
      <c r="I463" s="34" t="s">
        <v>84</v>
      </c>
      <c r="J463" s="77">
        <v>6.0</v>
      </c>
      <c r="K463" s="77" t="s">
        <v>156</v>
      </c>
      <c r="L463" s="210">
        <v>180.0</v>
      </c>
      <c r="M463" s="41">
        <f t="shared" si="1"/>
        <v>1080</v>
      </c>
      <c r="N463" s="41" t="s">
        <v>560</v>
      </c>
      <c r="O463" s="211"/>
    </row>
    <row r="464">
      <c r="A464" s="47"/>
      <c r="B464" s="47"/>
      <c r="C464" s="47"/>
      <c r="D464" s="47"/>
      <c r="E464" s="47"/>
      <c r="F464" s="47"/>
      <c r="G464" s="47"/>
      <c r="H464" s="63" t="s">
        <v>996</v>
      </c>
      <c r="I464" s="34" t="s">
        <v>84</v>
      </c>
      <c r="J464" s="77">
        <v>4.0</v>
      </c>
      <c r="K464" s="77" t="s">
        <v>25</v>
      </c>
      <c r="L464" s="210">
        <v>145.0</v>
      </c>
      <c r="M464" s="41">
        <f t="shared" si="1"/>
        <v>580</v>
      </c>
      <c r="N464" s="41" t="s">
        <v>560</v>
      </c>
      <c r="O464" s="211"/>
    </row>
    <row r="465">
      <c r="A465" s="47"/>
      <c r="B465" s="47"/>
      <c r="C465" s="47"/>
      <c r="D465" s="47"/>
      <c r="E465" s="47"/>
      <c r="F465" s="47"/>
      <c r="G465" s="47"/>
      <c r="H465" s="63" t="s">
        <v>997</v>
      </c>
      <c r="I465" s="34" t="s">
        <v>84</v>
      </c>
      <c r="J465" s="77">
        <v>4.0</v>
      </c>
      <c r="K465" s="77" t="s">
        <v>25</v>
      </c>
      <c r="L465" s="210">
        <v>85.0</v>
      </c>
      <c r="M465" s="41">
        <f t="shared" si="1"/>
        <v>340</v>
      </c>
      <c r="N465" s="41" t="s">
        <v>560</v>
      </c>
      <c r="O465" s="211"/>
    </row>
    <row r="466">
      <c r="A466" s="47"/>
      <c r="B466" s="47"/>
      <c r="C466" s="47"/>
      <c r="D466" s="47"/>
      <c r="E466" s="47"/>
      <c r="F466" s="47"/>
      <c r="G466" s="47"/>
      <c r="H466" s="63" t="s">
        <v>998</v>
      </c>
      <c r="I466" s="34" t="s">
        <v>55</v>
      </c>
      <c r="J466" s="77">
        <v>200.0</v>
      </c>
      <c r="K466" s="77" t="s">
        <v>924</v>
      </c>
      <c r="L466" s="210">
        <v>95.0</v>
      </c>
      <c r="M466" s="41">
        <f t="shared" si="1"/>
        <v>19000</v>
      </c>
      <c r="N466" s="41" t="s">
        <v>560</v>
      </c>
      <c r="O466" s="211"/>
    </row>
    <row r="467">
      <c r="A467" s="47"/>
      <c r="B467" s="47"/>
      <c r="C467" s="47"/>
      <c r="D467" s="47"/>
      <c r="E467" s="47"/>
      <c r="F467" s="47"/>
      <c r="G467" s="47"/>
      <c r="H467" s="63" t="s">
        <v>869</v>
      </c>
      <c r="I467" s="34" t="s">
        <v>84</v>
      </c>
      <c r="J467" s="77">
        <v>1.0</v>
      </c>
      <c r="K467" s="77" t="s">
        <v>89</v>
      </c>
      <c r="L467" s="210">
        <v>1375.0</v>
      </c>
      <c r="M467" s="41">
        <f t="shared" si="1"/>
        <v>1375</v>
      </c>
      <c r="N467" s="41" t="s">
        <v>560</v>
      </c>
      <c r="O467" s="211"/>
    </row>
    <row r="468">
      <c r="A468" s="47"/>
      <c r="B468" s="47"/>
      <c r="C468" s="47"/>
      <c r="D468" s="47"/>
      <c r="E468" s="47"/>
      <c r="F468" s="47"/>
      <c r="G468" s="47"/>
      <c r="H468" s="63" t="s">
        <v>85</v>
      </c>
      <c r="I468" s="34" t="s">
        <v>84</v>
      </c>
      <c r="J468" s="77">
        <v>1.0</v>
      </c>
      <c r="K468" s="77" t="s">
        <v>89</v>
      </c>
      <c r="L468" s="210">
        <v>950.0</v>
      </c>
      <c r="M468" s="41">
        <f t="shared" si="1"/>
        <v>950</v>
      </c>
      <c r="N468" s="41" t="s">
        <v>560</v>
      </c>
      <c r="O468" s="211"/>
    </row>
    <row r="469">
      <c r="A469" s="47"/>
      <c r="B469" s="47"/>
      <c r="C469" s="47"/>
      <c r="D469" s="47"/>
      <c r="E469" s="47"/>
      <c r="F469" s="47"/>
      <c r="G469" s="47"/>
      <c r="H469" s="63" t="s">
        <v>663</v>
      </c>
      <c r="I469" s="34" t="s">
        <v>84</v>
      </c>
      <c r="J469" s="77">
        <v>1.0</v>
      </c>
      <c r="K469" s="77" t="s">
        <v>89</v>
      </c>
      <c r="L469" s="210">
        <v>480.0</v>
      </c>
      <c r="M469" s="41">
        <f t="shared" si="1"/>
        <v>480</v>
      </c>
      <c r="N469" s="41" t="s">
        <v>560</v>
      </c>
      <c r="O469" s="211"/>
    </row>
    <row r="470">
      <c r="A470" s="47"/>
      <c r="B470" s="47"/>
      <c r="C470" s="47"/>
      <c r="D470" s="47"/>
      <c r="E470" s="47"/>
      <c r="F470" s="47"/>
      <c r="G470" s="47"/>
      <c r="H470" s="63" t="s">
        <v>809</v>
      </c>
      <c r="I470" s="34" t="s">
        <v>84</v>
      </c>
      <c r="J470" s="77">
        <v>5.0</v>
      </c>
      <c r="K470" s="77" t="s">
        <v>156</v>
      </c>
      <c r="L470" s="210">
        <v>449.0</v>
      </c>
      <c r="M470" s="41">
        <f t="shared" si="1"/>
        <v>2245</v>
      </c>
      <c r="N470" s="41" t="s">
        <v>560</v>
      </c>
      <c r="O470" s="211"/>
    </row>
    <row r="471">
      <c r="A471" s="47"/>
      <c r="B471" s="47"/>
      <c r="C471" s="47"/>
      <c r="D471" s="47"/>
      <c r="E471" s="47"/>
      <c r="F471" s="47"/>
      <c r="G471" s="47"/>
      <c r="H471" s="63" t="s">
        <v>653</v>
      </c>
      <c r="I471" s="34" t="s">
        <v>84</v>
      </c>
      <c r="J471" s="77">
        <v>5.0</v>
      </c>
      <c r="K471" s="77" t="s">
        <v>156</v>
      </c>
      <c r="L471" s="210">
        <v>180.0</v>
      </c>
      <c r="M471" s="41">
        <f t="shared" si="1"/>
        <v>900</v>
      </c>
      <c r="N471" s="41" t="s">
        <v>560</v>
      </c>
      <c r="O471" s="211"/>
    </row>
    <row r="472">
      <c r="A472" s="47"/>
      <c r="B472" s="47"/>
      <c r="C472" s="47"/>
      <c r="D472" s="47"/>
      <c r="E472" s="47"/>
      <c r="F472" s="47"/>
      <c r="G472" s="47"/>
      <c r="H472" s="63" t="s">
        <v>999</v>
      </c>
      <c r="I472" s="34" t="s">
        <v>55</v>
      </c>
      <c r="J472" s="77">
        <v>40.0</v>
      </c>
      <c r="K472" s="77" t="s">
        <v>156</v>
      </c>
      <c r="L472" s="210">
        <v>558.0</v>
      </c>
      <c r="M472" s="41">
        <f t="shared" si="1"/>
        <v>22320</v>
      </c>
      <c r="N472" s="41" t="s">
        <v>560</v>
      </c>
      <c r="O472" s="211"/>
    </row>
    <row r="473">
      <c r="A473" s="47"/>
      <c r="B473" s="47"/>
      <c r="C473" s="47"/>
      <c r="D473" s="47"/>
      <c r="E473" s="47"/>
      <c r="F473" s="47"/>
      <c r="G473" s="47"/>
      <c r="H473" s="63" t="s">
        <v>903</v>
      </c>
      <c r="I473" s="34" t="s">
        <v>60</v>
      </c>
      <c r="J473" s="77">
        <v>50.0</v>
      </c>
      <c r="K473" s="77" t="s">
        <v>156</v>
      </c>
      <c r="L473" s="210">
        <v>20.0</v>
      </c>
      <c r="M473" s="41">
        <f t="shared" si="1"/>
        <v>1000</v>
      </c>
      <c r="N473" s="41" t="s">
        <v>560</v>
      </c>
      <c r="O473" s="211"/>
    </row>
    <row r="474">
      <c r="A474" s="47"/>
      <c r="B474" s="47"/>
      <c r="C474" s="47"/>
      <c r="D474" s="47"/>
      <c r="E474" s="47"/>
      <c r="F474" s="47"/>
      <c r="G474" s="47"/>
      <c r="H474" s="63" t="s">
        <v>712</v>
      </c>
      <c r="I474" s="34" t="s">
        <v>60</v>
      </c>
      <c r="J474" s="77">
        <v>5.0</v>
      </c>
      <c r="K474" s="77" t="s">
        <v>89</v>
      </c>
      <c r="L474" s="210">
        <v>270.0</v>
      </c>
      <c r="M474" s="41">
        <f t="shared" si="1"/>
        <v>1350</v>
      </c>
      <c r="N474" s="41" t="s">
        <v>560</v>
      </c>
      <c r="O474" s="211"/>
    </row>
    <row r="475">
      <c r="A475" s="47"/>
      <c r="B475" s="47"/>
      <c r="C475" s="47"/>
      <c r="D475" s="47"/>
      <c r="E475" s="47"/>
      <c r="F475" s="47"/>
      <c r="G475" s="48"/>
      <c r="H475" s="63" t="s">
        <v>1000</v>
      </c>
      <c r="I475" s="34" t="s">
        <v>60</v>
      </c>
      <c r="J475" s="77">
        <v>35.0</v>
      </c>
      <c r="K475" s="77" t="s">
        <v>156</v>
      </c>
      <c r="L475" s="210">
        <v>31.0</v>
      </c>
      <c r="M475" s="41">
        <f t="shared" si="1"/>
        <v>1085</v>
      </c>
      <c r="N475" s="41" t="s">
        <v>560</v>
      </c>
      <c r="O475" s="211"/>
    </row>
    <row r="476">
      <c r="A476" s="47"/>
      <c r="B476" s="47"/>
      <c r="C476" s="47"/>
      <c r="D476" s="47"/>
      <c r="E476" s="47"/>
      <c r="F476" s="232">
        <v>693.0</v>
      </c>
      <c r="G476" s="76">
        <v>45798.0</v>
      </c>
      <c r="H476" s="63" t="s">
        <v>1001</v>
      </c>
      <c r="I476" s="34" t="s">
        <v>60</v>
      </c>
      <c r="J476" s="77">
        <v>2.0</v>
      </c>
      <c r="K476" s="77" t="s">
        <v>156</v>
      </c>
      <c r="L476" s="210">
        <v>4717.0</v>
      </c>
      <c r="M476" s="41">
        <f t="shared" si="1"/>
        <v>9434</v>
      </c>
      <c r="N476" s="41" t="s">
        <v>560</v>
      </c>
      <c r="O476" s="211"/>
    </row>
    <row r="477">
      <c r="A477" s="47"/>
      <c r="B477" s="47"/>
      <c r="C477" s="47"/>
      <c r="D477" s="47"/>
      <c r="E477" s="47"/>
      <c r="F477" s="47"/>
      <c r="G477" s="47"/>
      <c r="H477" s="63" t="s">
        <v>1002</v>
      </c>
      <c r="I477" s="34" t="s">
        <v>60</v>
      </c>
      <c r="J477" s="77">
        <v>3.0</v>
      </c>
      <c r="K477" s="77" t="s">
        <v>156</v>
      </c>
      <c r="L477" s="210">
        <v>3172.0</v>
      </c>
      <c r="M477" s="41">
        <f t="shared" si="1"/>
        <v>9516</v>
      </c>
      <c r="N477" s="41" t="s">
        <v>560</v>
      </c>
      <c r="O477" s="211"/>
    </row>
    <row r="478">
      <c r="A478" s="47"/>
      <c r="B478" s="47"/>
      <c r="C478" s="47"/>
      <c r="D478" s="47"/>
      <c r="E478" s="47"/>
      <c r="F478" s="47"/>
      <c r="G478" s="47"/>
      <c r="H478" s="63" t="s">
        <v>1003</v>
      </c>
      <c r="I478" s="34" t="s">
        <v>60</v>
      </c>
      <c r="J478" s="77">
        <v>2.0</v>
      </c>
      <c r="K478" s="77" t="s">
        <v>1004</v>
      </c>
      <c r="L478" s="210">
        <v>4900.0</v>
      </c>
      <c r="M478" s="41">
        <f t="shared" si="1"/>
        <v>9800</v>
      </c>
      <c r="N478" s="41" t="s">
        <v>560</v>
      </c>
      <c r="O478" s="211"/>
    </row>
    <row r="479">
      <c r="A479" s="47"/>
      <c r="B479" s="47"/>
      <c r="C479" s="47"/>
      <c r="D479" s="47"/>
      <c r="E479" s="47"/>
      <c r="F479" s="47"/>
      <c r="G479" s="47"/>
      <c r="H479" s="63" t="s">
        <v>1005</v>
      </c>
      <c r="I479" s="34" t="s">
        <v>84</v>
      </c>
      <c r="J479" s="77">
        <v>200.0</v>
      </c>
      <c r="K479" s="77" t="s">
        <v>924</v>
      </c>
      <c r="L479" s="210">
        <v>12.0</v>
      </c>
      <c r="M479" s="41">
        <f t="shared" si="1"/>
        <v>2400</v>
      </c>
      <c r="N479" s="41" t="s">
        <v>560</v>
      </c>
      <c r="O479" s="211"/>
    </row>
    <row r="480">
      <c r="A480" s="47"/>
      <c r="B480" s="47"/>
      <c r="C480" s="47"/>
      <c r="D480" s="47"/>
      <c r="E480" s="47"/>
      <c r="F480" s="47"/>
      <c r="G480" s="47"/>
      <c r="H480" s="63" t="s">
        <v>1006</v>
      </c>
      <c r="I480" s="34" t="s">
        <v>60</v>
      </c>
      <c r="J480" s="77">
        <v>8.0</v>
      </c>
      <c r="K480" s="77" t="s">
        <v>156</v>
      </c>
      <c r="L480" s="210">
        <v>350.0</v>
      </c>
      <c r="M480" s="41">
        <f t="shared" si="1"/>
        <v>2800</v>
      </c>
      <c r="N480" s="41" t="s">
        <v>560</v>
      </c>
      <c r="O480" s="211"/>
    </row>
    <row r="481">
      <c r="A481" s="48"/>
      <c r="B481" s="48"/>
      <c r="C481" s="48"/>
      <c r="D481" s="48"/>
      <c r="E481" s="48"/>
      <c r="F481" s="48"/>
      <c r="G481" s="48"/>
      <c r="H481" s="63" t="s">
        <v>1007</v>
      </c>
      <c r="I481" s="34" t="s">
        <v>60</v>
      </c>
      <c r="J481" s="77">
        <v>10.0</v>
      </c>
      <c r="K481" s="77" t="s">
        <v>156</v>
      </c>
      <c r="L481" s="210">
        <v>250.0</v>
      </c>
      <c r="M481" s="41">
        <f t="shared" si="1"/>
        <v>2500</v>
      </c>
      <c r="N481" s="41" t="s">
        <v>560</v>
      </c>
      <c r="O481" s="211"/>
    </row>
    <row r="482">
      <c r="A482" s="42">
        <v>153.0</v>
      </c>
      <c r="B482" s="231">
        <v>591.0</v>
      </c>
      <c r="C482" s="215">
        <v>45796.0</v>
      </c>
      <c r="D482" s="232" t="s">
        <v>1008</v>
      </c>
      <c r="E482" s="233" t="s">
        <v>972</v>
      </c>
      <c r="F482" s="232">
        <v>691.0</v>
      </c>
      <c r="G482" s="76">
        <v>45798.0</v>
      </c>
      <c r="H482" s="63" t="s">
        <v>1009</v>
      </c>
      <c r="I482" s="34" t="s">
        <v>276</v>
      </c>
      <c r="J482" s="77">
        <v>2.0</v>
      </c>
      <c r="K482" s="77" t="s">
        <v>156</v>
      </c>
      <c r="L482" s="210">
        <v>1300.0</v>
      </c>
      <c r="M482" s="41">
        <f t="shared" si="1"/>
        <v>2600</v>
      </c>
      <c r="N482" s="41" t="s">
        <v>99</v>
      </c>
      <c r="O482" s="211"/>
    </row>
    <row r="483">
      <c r="A483" s="47"/>
      <c r="B483" s="47"/>
      <c r="C483" s="47"/>
      <c r="D483" s="47"/>
      <c r="E483" s="47"/>
      <c r="F483" s="47"/>
      <c r="G483" s="47"/>
      <c r="H483" s="63" t="s">
        <v>1010</v>
      </c>
      <c r="I483" s="34" t="s">
        <v>42</v>
      </c>
      <c r="J483" s="77">
        <v>3.0</v>
      </c>
      <c r="K483" s="77" t="s">
        <v>156</v>
      </c>
      <c r="L483" s="210">
        <v>350.0</v>
      </c>
      <c r="M483" s="41">
        <f t="shared" si="1"/>
        <v>1050</v>
      </c>
      <c r="N483" s="41" t="s">
        <v>99</v>
      </c>
      <c r="O483" s="211"/>
    </row>
    <row r="484">
      <c r="A484" s="47"/>
      <c r="B484" s="47"/>
      <c r="C484" s="47"/>
      <c r="D484" s="47"/>
      <c r="E484" s="47"/>
      <c r="F484" s="47"/>
      <c r="G484" s="47"/>
      <c r="H484" s="63" t="s">
        <v>1011</v>
      </c>
      <c r="I484" s="34" t="s">
        <v>325</v>
      </c>
      <c r="J484" s="77">
        <v>10.0</v>
      </c>
      <c r="K484" s="77" t="s">
        <v>25</v>
      </c>
      <c r="L484" s="210">
        <v>206.0</v>
      </c>
      <c r="M484" s="41">
        <f t="shared" si="1"/>
        <v>2060</v>
      </c>
      <c r="N484" s="41" t="s">
        <v>99</v>
      </c>
      <c r="O484" s="211"/>
    </row>
    <row r="485">
      <c r="A485" s="48"/>
      <c r="B485" s="48"/>
      <c r="C485" s="48"/>
      <c r="D485" s="48"/>
      <c r="E485" s="48"/>
      <c r="F485" s="48"/>
      <c r="G485" s="48"/>
      <c r="H485" s="63" t="s">
        <v>1012</v>
      </c>
      <c r="I485" s="34" t="s">
        <v>42</v>
      </c>
      <c r="J485" s="77">
        <v>2.0</v>
      </c>
      <c r="K485" s="77" t="s">
        <v>39</v>
      </c>
      <c r="L485" s="210">
        <v>75.0</v>
      </c>
      <c r="M485" s="41">
        <f t="shared" si="1"/>
        <v>150</v>
      </c>
      <c r="N485" s="41" t="s">
        <v>99</v>
      </c>
      <c r="O485" s="211"/>
    </row>
    <row r="486">
      <c r="A486" s="31">
        <v>154.0</v>
      </c>
      <c r="B486" s="229" t="s">
        <v>1013</v>
      </c>
      <c r="C486" s="228">
        <v>45797.0</v>
      </c>
      <c r="D486" s="79" t="s">
        <v>1014</v>
      </c>
      <c r="E486" s="230" t="s">
        <v>912</v>
      </c>
      <c r="F486" s="79">
        <v>694.0</v>
      </c>
      <c r="G486" s="97">
        <v>45798.0</v>
      </c>
      <c r="H486" s="63" t="s">
        <v>1015</v>
      </c>
      <c r="I486" s="34" t="s">
        <v>429</v>
      </c>
      <c r="J486" s="77">
        <v>1.0</v>
      </c>
      <c r="K486" s="77" t="s">
        <v>156</v>
      </c>
      <c r="L486" s="210">
        <v>17490.0</v>
      </c>
      <c r="M486" s="41">
        <f t="shared" si="1"/>
        <v>17490</v>
      </c>
      <c r="N486" s="41" t="s">
        <v>570</v>
      </c>
      <c r="O486" s="211"/>
    </row>
    <row r="487">
      <c r="A487" s="42">
        <v>155.0</v>
      </c>
      <c r="B487" s="231">
        <v>60.0</v>
      </c>
      <c r="C487" s="215">
        <v>45797.0</v>
      </c>
      <c r="D487" s="232" t="s">
        <v>1016</v>
      </c>
      <c r="E487" s="233" t="s">
        <v>972</v>
      </c>
      <c r="F487" s="232">
        <v>694.0</v>
      </c>
      <c r="G487" s="76">
        <v>45798.0</v>
      </c>
      <c r="H487" s="63" t="s">
        <v>1017</v>
      </c>
      <c r="I487" s="34" t="s">
        <v>42</v>
      </c>
      <c r="J487" s="77">
        <v>8.0</v>
      </c>
      <c r="K487" s="77" t="s">
        <v>156</v>
      </c>
      <c r="L487" s="210">
        <v>492.0</v>
      </c>
      <c r="M487" s="41">
        <f t="shared" si="1"/>
        <v>3936</v>
      </c>
      <c r="N487" s="41" t="s">
        <v>792</v>
      </c>
      <c r="O487" s="211"/>
    </row>
    <row r="488">
      <c r="A488" s="47"/>
      <c r="B488" s="47"/>
      <c r="C488" s="47"/>
      <c r="D488" s="47"/>
      <c r="E488" s="47"/>
      <c r="F488" s="47"/>
      <c r="G488" s="47"/>
      <c r="H488" s="63" t="s">
        <v>1018</v>
      </c>
      <c r="I488" s="34" t="s">
        <v>429</v>
      </c>
      <c r="J488" s="77">
        <v>1.0</v>
      </c>
      <c r="K488" s="77" t="s">
        <v>89</v>
      </c>
      <c r="L488" s="210">
        <v>9950.0</v>
      </c>
      <c r="M488" s="41">
        <f t="shared" si="1"/>
        <v>9950</v>
      </c>
      <c r="N488" s="41" t="s">
        <v>792</v>
      </c>
      <c r="O488" s="211"/>
    </row>
    <row r="489">
      <c r="A489" s="47"/>
      <c r="B489" s="47"/>
      <c r="C489" s="47"/>
      <c r="D489" s="47"/>
      <c r="E489" s="47"/>
      <c r="F489" s="47"/>
      <c r="G489" s="47"/>
      <c r="H489" s="63" t="s">
        <v>1019</v>
      </c>
      <c r="I489" s="34" t="s">
        <v>429</v>
      </c>
      <c r="J489" s="77">
        <v>1.0</v>
      </c>
      <c r="K489" s="77" t="s">
        <v>89</v>
      </c>
      <c r="L489" s="210">
        <v>300.0</v>
      </c>
      <c r="M489" s="41">
        <f t="shared" si="1"/>
        <v>300</v>
      </c>
      <c r="N489" s="41" t="s">
        <v>792</v>
      </c>
      <c r="O489" s="211"/>
    </row>
    <row r="490">
      <c r="A490" s="47"/>
      <c r="B490" s="47"/>
      <c r="C490" s="47"/>
      <c r="D490" s="47"/>
      <c r="E490" s="47"/>
      <c r="F490" s="47"/>
      <c r="G490" s="47"/>
      <c r="H490" s="63" t="s">
        <v>923</v>
      </c>
      <c r="I490" s="34" t="s">
        <v>429</v>
      </c>
      <c r="J490" s="77">
        <v>10.0</v>
      </c>
      <c r="K490" s="77" t="s">
        <v>74</v>
      </c>
      <c r="L490" s="210">
        <v>480.0</v>
      </c>
      <c r="M490" s="41">
        <f t="shared" si="1"/>
        <v>4800</v>
      </c>
      <c r="N490" s="41" t="s">
        <v>792</v>
      </c>
      <c r="O490" s="211"/>
    </row>
    <row r="491">
      <c r="A491" s="47"/>
      <c r="B491" s="47"/>
      <c r="C491" s="47"/>
      <c r="D491" s="47"/>
      <c r="E491" s="47"/>
      <c r="F491" s="47"/>
      <c r="G491" s="47"/>
      <c r="H491" s="63" t="s">
        <v>1020</v>
      </c>
      <c r="I491" s="34" t="s">
        <v>42</v>
      </c>
      <c r="J491" s="77">
        <v>4.0</v>
      </c>
      <c r="K491" s="77" t="s">
        <v>156</v>
      </c>
      <c r="L491" s="210">
        <v>230.0</v>
      </c>
      <c r="M491" s="41">
        <f t="shared" si="1"/>
        <v>920</v>
      </c>
      <c r="N491" s="41" t="s">
        <v>792</v>
      </c>
      <c r="O491" s="211"/>
    </row>
    <row r="492">
      <c r="A492" s="47"/>
      <c r="B492" s="47"/>
      <c r="C492" s="47"/>
      <c r="D492" s="47"/>
      <c r="E492" s="47"/>
      <c r="F492" s="47"/>
      <c r="G492" s="47"/>
      <c r="H492" s="63" t="s">
        <v>1021</v>
      </c>
      <c r="I492" s="34" t="s">
        <v>429</v>
      </c>
      <c r="J492" s="77">
        <v>3.0</v>
      </c>
      <c r="K492" s="77" t="s">
        <v>156</v>
      </c>
      <c r="L492" s="210">
        <v>2900.0</v>
      </c>
      <c r="M492" s="41">
        <f t="shared" si="1"/>
        <v>8700</v>
      </c>
      <c r="N492" s="41" t="s">
        <v>792</v>
      </c>
      <c r="O492" s="211"/>
    </row>
    <row r="493">
      <c r="A493" s="48"/>
      <c r="B493" s="48"/>
      <c r="C493" s="48"/>
      <c r="D493" s="48"/>
      <c r="E493" s="48"/>
      <c r="F493" s="48"/>
      <c r="G493" s="48"/>
      <c r="H493" s="63" t="s">
        <v>1022</v>
      </c>
      <c r="I493" s="34" t="s">
        <v>429</v>
      </c>
      <c r="J493" s="77">
        <v>1.0</v>
      </c>
      <c r="K493" s="77" t="s">
        <v>89</v>
      </c>
      <c r="L493" s="210">
        <v>1890.0</v>
      </c>
      <c r="M493" s="41">
        <f t="shared" si="1"/>
        <v>1890</v>
      </c>
      <c r="N493" s="41" t="s">
        <v>792</v>
      </c>
      <c r="O493" s="211"/>
    </row>
    <row r="494">
      <c r="A494" s="42">
        <v>156.0</v>
      </c>
      <c r="B494" s="231">
        <v>61.0</v>
      </c>
      <c r="C494" s="215">
        <v>45797.0</v>
      </c>
      <c r="D494" s="232" t="s">
        <v>1016</v>
      </c>
      <c r="E494" s="233" t="s">
        <v>972</v>
      </c>
      <c r="F494" s="232">
        <v>695.0</v>
      </c>
      <c r="G494" s="76">
        <v>45798.0</v>
      </c>
      <c r="H494" s="63" t="s">
        <v>1023</v>
      </c>
      <c r="I494" s="34" t="s">
        <v>429</v>
      </c>
      <c r="J494" s="77">
        <v>1.0</v>
      </c>
      <c r="K494" s="77" t="s">
        <v>89</v>
      </c>
      <c r="L494" s="210">
        <v>5800.0</v>
      </c>
      <c r="M494" s="41">
        <f t="shared" si="1"/>
        <v>5800</v>
      </c>
      <c r="N494" s="41" t="s">
        <v>792</v>
      </c>
      <c r="O494" s="211"/>
    </row>
    <row r="495">
      <c r="A495" s="47"/>
      <c r="B495" s="47"/>
      <c r="C495" s="47"/>
      <c r="D495" s="47"/>
      <c r="E495" s="47"/>
      <c r="F495" s="47"/>
      <c r="G495" s="47"/>
      <c r="H495" s="63" t="s">
        <v>1024</v>
      </c>
      <c r="I495" s="34" t="s">
        <v>429</v>
      </c>
      <c r="J495" s="77">
        <v>1.0</v>
      </c>
      <c r="K495" s="77" t="s">
        <v>89</v>
      </c>
      <c r="L495" s="210">
        <v>3900.0</v>
      </c>
      <c r="M495" s="41">
        <f t="shared" si="1"/>
        <v>3900</v>
      </c>
      <c r="N495" s="41" t="s">
        <v>792</v>
      </c>
      <c r="O495" s="211"/>
    </row>
    <row r="496">
      <c r="A496" s="47"/>
      <c r="B496" s="47"/>
      <c r="C496" s="47"/>
      <c r="D496" s="47"/>
      <c r="E496" s="47"/>
      <c r="F496" s="47"/>
      <c r="G496" s="47"/>
      <c r="H496" s="63" t="s">
        <v>1025</v>
      </c>
      <c r="I496" s="34" t="s">
        <v>429</v>
      </c>
      <c r="J496" s="77">
        <v>2.0</v>
      </c>
      <c r="K496" s="77" t="s">
        <v>89</v>
      </c>
      <c r="L496" s="210">
        <v>2300.0</v>
      </c>
      <c r="M496" s="41">
        <f t="shared" si="1"/>
        <v>4600</v>
      </c>
      <c r="N496" s="41" t="s">
        <v>792</v>
      </c>
      <c r="O496" s="211"/>
    </row>
    <row r="497">
      <c r="A497" s="47"/>
      <c r="B497" s="47"/>
      <c r="C497" s="47"/>
      <c r="D497" s="47"/>
      <c r="E497" s="47"/>
      <c r="F497" s="47"/>
      <c r="G497" s="47"/>
      <c r="H497" s="63" t="s">
        <v>1026</v>
      </c>
      <c r="I497" s="34" t="s">
        <v>429</v>
      </c>
      <c r="J497" s="77">
        <v>1.0</v>
      </c>
      <c r="K497" s="77" t="s">
        <v>89</v>
      </c>
      <c r="L497" s="210">
        <v>150.0</v>
      </c>
      <c r="M497" s="41">
        <f t="shared" si="1"/>
        <v>150</v>
      </c>
      <c r="N497" s="41" t="s">
        <v>792</v>
      </c>
      <c r="O497" s="211"/>
    </row>
    <row r="498">
      <c r="A498" s="47"/>
      <c r="B498" s="47"/>
      <c r="C498" s="47"/>
      <c r="D498" s="47"/>
      <c r="E498" s="47"/>
      <c r="F498" s="47"/>
      <c r="G498" s="47"/>
      <c r="H498" s="63" t="s">
        <v>463</v>
      </c>
      <c r="I498" s="34" t="s">
        <v>429</v>
      </c>
      <c r="J498" s="77">
        <v>12.0</v>
      </c>
      <c r="K498" s="77" t="s">
        <v>156</v>
      </c>
      <c r="L498" s="210">
        <v>35.0</v>
      </c>
      <c r="M498" s="41">
        <f t="shared" si="1"/>
        <v>420</v>
      </c>
      <c r="N498" s="41" t="s">
        <v>792</v>
      </c>
      <c r="O498" s="211"/>
    </row>
    <row r="499">
      <c r="A499" s="47"/>
      <c r="B499" s="47"/>
      <c r="C499" s="47"/>
      <c r="D499" s="47"/>
      <c r="E499" s="47"/>
      <c r="F499" s="47"/>
      <c r="G499" s="47"/>
      <c r="H499" s="63" t="s">
        <v>687</v>
      </c>
      <c r="I499" s="34" t="s">
        <v>429</v>
      </c>
      <c r="J499" s="77">
        <v>12.0</v>
      </c>
      <c r="K499" s="77" t="s">
        <v>156</v>
      </c>
      <c r="L499" s="210">
        <v>45.0</v>
      </c>
      <c r="M499" s="41">
        <f t="shared" si="1"/>
        <v>540</v>
      </c>
      <c r="N499" s="41" t="s">
        <v>792</v>
      </c>
      <c r="O499" s="211"/>
    </row>
    <row r="500">
      <c r="A500" s="47"/>
      <c r="B500" s="47"/>
      <c r="C500" s="47"/>
      <c r="D500" s="47"/>
      <c r="E500" s="47"/>
      <c r="F500" s="47"/>
      <c r="G500" s="47"/>
      <c r="H500" s="63" t="s">
        <v>1027</v>
      </c>
      <c r="I500" s="34" t="s">
        <v>429</v>
      </c>
      <c r="J500" s="77">
        <v>3.0</v>
      </c>
      <c r="K500" s="77" t="s">
        <v>156</v>
      </c>
      <c r="L500" s="210">
        <v>2290.0</v>
      </c>
      <c r="M500" s="41">
        <f t="shared" si="1"/>
        <v>6870</v>
      </c>
      <c r="N500" s="41" t="s">
        <v>792</v>
      </c>
      <c r="O500" s="211"/>
    </row>
    <row r="501">
      <c r="A501" s="47"/>
      <c r="B501" s="47"/>
      <c r="C501" s="47"/>
      <c r="D501" s="47"/>
      <c r="E501" s="47"/>
      <c r="F501" s="47"/>
      <c r="G501" s="47"/>
      <c r="H501" s="63" t="s">
        <v>1028</v>
      </c>
      <c r="I501" s="34" t="s">
        <v>429</v>
      </c>
      <c r="J501" s="77">
        <v>1.0</v>
      </c>
      <c r="K501" s="77" t="s">
        <v>89</v>
      </c>
      <c r="L501" s="210">
        <v>3900.0</v>
      </c>
      <c r="M501" s="41">
        <f t="shared" si="1"/>
        <v>3900</v>
      </c>
      <c r="N501" s="41" t="s">
        <v>792</v>
      </c>
      <c r="O501" s="211"/>
    </row>
    <row r="502">
      <c r="A502" s="47"/>
      <c r="B502" s="47"/>
      <c r="C502" s="47"/>
      <c r="D502" s="47"/>
      <c r="E502" s="47"/>
      <c r="F502" s="47"/>
      <c r="G502" s="47"/>
      <c r="H502" s="63" t="s">
        <v>435</v>
      </c>
      <c r="I502" s="34" t="s">
        <v>429</v>
      </c>
      <c r="J502" s="77">
        <v>3.0</v>
      </c>
      <c r="K502" s="77" t="s">
        <v>89</v>
      </c>
      <c r="L502" s="210">
        <v>550.0</v>
      </c>
      <c r="M502" s="41">
        <f t="shared" si="1"/>
        <v>1650</v>
      </c>
      <c r="N502" s="41" t="s">
        <v>792</v>
      </c>
      <c r="O502" s="211"/>
    </row>
    <row r="503">
      <c r="A503" s="47"/>
      <c r="B503" s="47"/>
      <c r="C503" s="47"/>
      <c r="D503" s="47"/>
      <c r="E503" s="47"/>
      <c r="F503" s="47"/>
      <c r="G503" s="47"/>
      <c r="H503" s="63" t="s">
        <v>1029</v>
      </c>
      <c r="I503" s="34" t="s">
        <v>429</v>
      </c>
      <c r="J503" s="77">
        <v>12.0</v>
      </c>
      <c r="K503" s="77" t="s">
        <v>156</v>
      </c>
      <c r="L503" s="210">
        <v>55.0</v>
      </c>
      <c r="M503" s="41">
        <f t="shared" si="1"/>
        <v>660</v>
      </c>
      <c r="N503" s="41" t="s">
        <v>792</v>
      </c>
      <c r="O503" s="211"/>
    </row>
    <row r="504">
      <c r="A504" s="48"/>
      <c r="B504" s="48"/>
      <c r="C504" s="48"/>
      <c r="D504" s="48"/>
      <c r="E504" s="48"/>
      <c r="F504" s="48"/>
      <c r="G504" s="48"/>
      <c r="H504" s="63" t="s">
        <v>686</v>
      </c>
      <c r="I504" s="34" t="s">
        <v>429</v>
      </c>
      <c r="J504" s="77">
        <v>12.0</v>
      </c>
      <c r="K504" s="77" t="s">
        <v>156</v>
      </c>
      <c r="L504" s="210">
        <v>135.0</v>
      </c>
      <c r="M504" s="41">
        <f t="shared" si="1"/>
        <v>1620</v>
      </c>
      <c r="N504" s="41" t="s">
        <v>792</v>
      </c>
      <c r="O504" s="211"/>
    </row>
    <row r="505">
      <c r="A505" s="42">
        <v>157.0</v>
      </c>
      <c r="B505" s="231">
        <v>66.0</v>
      </c>
      <c r="C505" s="215">
        <v>45798.0</v>
      </c>
      <c r="D505" s="232" t="s">
        <v>1030</v>
      </c>
      <c r="E505" s="233" t="s">
        <v>235</v>
      </c>
      <c r="F505" s="232">
        <v>1214.0</v>
      </c>
      <c r="G505" s="76">
        <v>45810.0</v>
      </c>
      <c r="H505" s="63" t="s">
        <v>1031</v>
      </c>
      <c r="I505" s="34" t="s">
        <v>42</v>
      </c>
      <c r="J505" s="77">
        <v>112.0</v>
      </c>
      <c r="K505" s="77" t="s">
        <v>1032</v>
      </c>
      <c r="L505" s="210">
        <v>82.0</v>
      </c>
      <c r="M505" s="41">
        <f t="shared" si="1"/>
        <v>9184</v>
      </c>
      <c r="N505" s="41" t="s">
        <v>792</v>
      </c>
      <c r="O505" s="211"/>
    </row>
    <row r="506">
      <c r="A506" s="48"/>
      <c r="B506" s="48"/>
      <c r="C506" s="48"/>
      <c r="D506" s="48"/>
      <c r="E506" s="48"/>
      <c r="F506" s="48"/>
      <c r="G506" s="48"/>
      <c r="H506" s="63" t="s">
        <v>1033</v>
      </c>
      <c r="I506" s="34" t="s">
        <v>42</v>
      </c>
      <c r="J506" s="77">
        <v>126.0</v>
      </c>
      <c r="K506" s="77" t="s">
        <v>924</v>
      </c>
      <c r="L506" s="210">
        <v>79.0</v>
      </c>
      <c r="M506" s="41">
        <f t="shared" si="1"/>
        <v>9954</v>
      </c>
      <c r="N506" s="41" t="s">
        <v>792</v>
      </c>
      <c r="O506" s="211"/>
    </row>
    <row r="507">
      <c r="A507" s="42">
        <v>158.0</v>
      </c>
      <c r="B507" s="231">
        <v>1.0</v>
      </c>
      <c r="C507" s="215">
        <v>45798.0</v>
      </c>
      <c r="D507" s="232" t="s">
        <v>1034</v>
      </c>
      <c r="E507" s="233" t="s">
        <v>235</v>
      </c>
      <c r="F507" s="232">
        <v>1215.0</v>
      </c>
      <c r="G507" s="76">
        <v>45818.0</v>
      </c>
      <c r="H507" s="63" t="s">
        <v>1035</v>
      </c>
      <c r="I507" s="34" t="s">
        <v>429</v>
      </c>
      <c r="J507" s="77">
        <v>1.0</v>
      </c>
      <c r="K507" s="77" t="s">
        <v>89</v>
      </c>
      <c r="L507" s="210">
        <v>1500.0</v>
      </c>
      <c r="M507" s="41">
        <f t="shared" si="1"/>
        <v>1500</v>
      </c>
      <c r="N507" s="41" t="s">
        <v>792</v>
      </c>
      <c r="O507" s="211"/>
    </row>
    <row r="508">
      <c r="A508" s="47"/>
      <c r="B508" s="47"/>
      <c r="C508" s="47"/>
      <c r="D508" s="47"/>
      <c r="E508" s="47"/>
      <c r="F508" s="47"/>
      <c r="G508" s="47"/>
      <c r="H508" s="63" t="s">
        <v>1036</v>
      </c>
      <c r="I508" s="34" t="s">
        <v>429</v>
      </c>
      <c r="J508" s="77">
        <v>1.0</v>
      </c>
      <c r="K508" s="77" t="s">
        <v>89</v>
      </c>
      <c r="L508" s="210">
        <v>1500.0</v>
      </c>
      <c r="M508" s="41">
        <f t="shared" si="1"/>
        <v>1500</v>
      </c>
      <c r="N508" s="41" t="s">
        <v>792</v>
      </c>
      <c r="O508" s="211"/>
    </row>
    <row r="509">
      <c r="A509" s="47"/>
      <c r="B509" s="47"/>
      <c r="C509" s="47"/>
      <c r="D509" s="47"/>
      <c r="E509" s="47"/>
      <c r="F509" s="47"/>
      <c r="G509" s="47"/>
      <c r="H509" s="63" t="s">
        <v>1037</v>
      </c>
      <c r="I509" s="34" t="s">
        <v>429</v>
      </c>
      <c r="J509" s="77">
        <v>1.0</v>
      </c>
      <c r="K509" s="77" t="s">
        <v>89</v>
      </c>
      <c r="L509" s="210">
        <v>1500.0</v>
      </c>
      <c r="M509" s="41">
        <f t="shared" si="1"/>
        <v>1500</v>
      </c>
      <c r="N509" s="41" t="s">
        <v>792</v>
      </c>
      <c r="O509" s="211"/>
    </row>
    <row r="510">
      <c r="A510" s="48"/>
      <c r="B510" s="48"/>
      <c r="C510" s="48"/>
      <c r="D510" s="48"/>
      <c r="E510" s="48"/>
      <c r="F510" s="48"/>
      <c r="G510" s="48"/>
      <c r="H510" s="63" t="s">
        <v>1038</v>
      </c>
      <c r="I510" s="34" t="s">
        <v>429</v>
      </c>
      <c r="J510" s="77">
        <v>1.0</v>
      </c>
      <c r="K510" s="77" t="s">
        <v>89</v>
      </c>
      <c r="L510" s="210">
        <v>1500.0</v>
      </c>
      <c r="M510" s="41">
        <f t="shared" si="1"/>
        <v>1500</v>
      </c>
      <c r="N510" s="41" t="s">
        <v>792</v>
      </c>
      <c r="O510" s="211"/>
    </row>
    <row r="511">
      <c r="A511" s="249">
        <v>159.0</v>
      </c>
      <c r="B511" s="250" t="s">
        <v>1039</v>
      </c>
      <c r="C511" s="251">
        <v>45799.0</v>
      </c>
      <c r="D511" s="79" t="s">
        <v>1040</v>
      </c>
      <c r="E511" s="252" t="s">
        <v>1041</v>
      </c>
      <c r="F511" s="253" t="s">
        <v>22</v>
      </c>
      <c r="G511" s="254"/>
      <c r="H511" s="155" t="s">
        <v>1042</v>
      </c>
      <c r="I511" s="34" t="s">
        <v>42</v>
      </c>
      <c r="J511" s="168">
        <v>1.0</v>
      </c>
      <c r="K511" s="168" t="s">
        <v>838</v>
      </c>
      <c r="L511" s="255">
        <v>9600.0</v>
      </c>
      <c r="M511" s="41">
        <f t="shared" si="1"/>
        <v>9600</v>
      </c>
      <c r="N511" s="41" t="s">
        <v>1043</v>
      </c>
      <c r="O511" s="211"/>
    </row>
    <row r="512">
      <c r="A512" s="42">
        <v>169.0</v>
      </c>
      <c r="B512" s="231" t="s">
        <v>1044</v>
      </c>
      <c r="C512" s="215">
        <v>45799.0</v>
      </c>
      <c r="D512" s="232" t="s">
        <v>1045</v>
      </c>
      <c r="E512" s="233" t="s">
        <v>972</v>
      </c>
      <c r="F512" s="232">
        <v>694.0</v>
      </c>
      <c r="G512" s="76">
        <v>45798.0</v>
      </c>
      <c r="H512" s="63" t="s">
        <v>1046</v>
      </c>
      <c r="I512" s="34" t="s">
        <v>42</v>
      </c>
      <c r="J512" s="77">
        <v>2.0</v>
      </c>
      <c r="K512" s="77" t="s">
        <v>156</v>
      </c>
      <c r="L512" s="210">
        <v>249.0</v>
      </c>
      <c r="M512" s="41">
        <f t="shared" si="1"/>
        <v>498</v>
      </c>
      <c r="N512" s="41" t="s">
        <v>570</v>
      </c>
      <c r="O512" s="211"/>
    </row>
    <row r="513">
      <c r="A513" s="48"/>
      <c r="B513" s="48"/>
      <c r="C513" s="48"/>
      <c r="D513" s="48"/>
      <c r="E513" s="48"/>
      <c r="F513" s="48"/>
      <c r="G513" s="48"/>
      <c r="H513" s="63" t="s">
        <v>1047</v>
      </c>
      <c r="I513" s="34" t="s">
        <v>42</v>
      </c>
      <c r="J513" s="77">
        <v>2.0</v>
      </c>
      <c r="K513" s="77" t="s">
        <v>156</v>
      </c>
      <c r="L513" s="210">
        <v>64.0</v>
      </c>
      <c r="M513" s="41">
        <f t="shared" si="1"/>
        <v>128</v>
      </c>
      <c r="N513" s="41" t="s">
        <v>570</v>
      </c>
      <c r="O513" s="211"/>
    </row>
    <row r="514">
      <c r="A514" s="31">
        <v>161.0</v>
      </c>
      <c r="B514" s="224" t="s">
        <v>92</v>
      </c>
      <c r="C514" s="228">
        <v>45799.0</v>
      </c>
      <c r="D514" s="79" t="s">
        <v>1040</v>
      </c>
      <c r="E514" s="230" t="s">
        <v>1041</v>
      </c>
      <c r="F514" s="79" t="s">
        <v>22</v>
      </c>
      <c r="G514" s="158"/>
      <c r="H514" s="63" t="s">
        <v>1048</v>
      </c>
      <c r="I514" s="34" t="s">
        <v>42</v>
      </c>
      <c r="J514" s="77">
        <v>1.0</v>
      </c>
      <c r="K514" s="77" t="s">
        <v>838</v>
      </c>
      <c r="L514" s="210">
        <v>14681.0</v>
      </c>
      <c r="M514" s="41">
        <f t="shared" si="1"/>
        <v>14681</v>
      </c>
      <c r="N514" s="41" t="s">
        <v>1043</v>
      </c>
      <c r="O514" s="211"/>
    </row>
    <row r="515">
      <c r="A515" s="31">
        <v>162.0</v>
      </c>
      <c r="B515" s="229">
        <v>565.0</v>
      </c>
      <c r="C515" s="228">
        <v>45798.0</v>
      </c>
      <c r="D515" s="79" t="s">
        <v>984</v>
      </c>
      <c r="E515" s="230" t="s">
        <v>1049</v>
      </c>
      <c r="F515" s="79">
        <v>694.0</v>
      </c>
      <c r="G515" s="97">
        <v>45798.0</v>
      </c>
      <c r="H515" s="63" t="s">
        <v>1050</v>
      </c>
      <c r="I515" s="34" t="s">
        <v>42</v>
      </c>
      <c r="J515" s="77">
        <v>1.0</v>
      </c>
      <c r="K515" s="77" t="s">
        <v>838</v>
      </c>
      <c r="L515" s="210">
        <v>6300.0</v>
      </c>
      <c r="M515" s="41">
        <f t="shared" si="1"/>
        <v>6300</v>
      </c>
      <c r="N515" s="37"/>
      <c r="O515" s="211"/>
    </row>
    <row r="516">
      <c r="A516" s="31">
        <v>163.0</v>
      </c>
      <c r="B516" s="229">
        <v>664.0</v>
      </c>
      <c r="C516" s="228">
        <v>45802.0</v>
      </c>
      <c r="D516" s="79" t="s">
        <v>1051</v>
      </c>
      <c r="E516" s="230" t="s">
        <v>912</v>
      </c>
      <c r="F516" s="79">
        <v>697.0</v>
      </c>
      <c r="G516" s="97">
        <v>45798.0</v>
      </c>
      <c r="H516" s="63" t="s">
        <v>1052</v>
      </c>
      <c r="I516" s="34" t="s">
        <v>42</v>
      </c>
      <c r="J516" s="77">
        <v>1.0</v>
      </c>
      <c r="K516" s="77" t="s">
        <v>838</v>
      </c>
      <c r="L516" s="210">
        <v>5205.0</v>
      </c>
      <c r="M516" s="41">
        <f t="shared" si="1"/>
        <v>5205</v>
      </c>
      <c r="N516" s="41" t="s">
        <v>1053</v>
      </c>
      <c r="O516" s="211"/>
    </row>
    <row r="517">
      <c r="A517" s="31">
        <v>164.0</v>
      </c>
      <c r="B517" s="229">
        <v>451.0</v>
      </c>
      <c r="C517" s="228">
        <v>45803.0</v>
      </c>
      <c r="D517" s="79" t="s">
        <v>1054</v>
      </c>
      <c r="E517" s="230" t="s">
        <v>972</v>
      </c>
      <c r="F517" s="79">
        <v>1202.0</v>
      </c>
      <c r="G517" s="97">
        <v>45805.0</v>
      </c>
      <c r="H517" s="63" t="s">
        <v>1055</v>
      </c>
      <c r="I517" s="34" t="s">
        <v>60</v>
      </c>
      <c r="J517" s="77">
        <v>2.0</v>
      </c>
      <c r="K517" s="77" t="s">
        <v>89</v>
      </c>
      <c r="L517" s="210">
        <v>7000.0</v>
      </c>
      <c r="M517" s="41">
        <f t="shared" si="1"/>
        <v>14000</v>
      </c>
      <c r="N517" s="41" t="s">
        <v>269</v>
      </c>
      <c r="O517" s="211"/>
    </row>
    <row r="518">
      <c r="A518" s="31">
        <v>165.0</v>
      </c>
      <c r="B518" s="229">
        <v>1849.0</v>
      </c>
      <c r="C518" s="228">
        <v>45804.0</v>
      </c>
      <c r="D518" s="79" t="s">
        <v>1056</v>
      </c>
      <c r="E518" s="230">
        <v>45805.0</v>
      </c>
      <c r="F518" s="79" t="s">
        <v>92</v>
      </c>
      <c r="G518" s="158"/>
      <c r="H518" s="63" t="s">
        <v>1057</v>
      </c>
      <c r="I518" s="34" t="s">
        <v>837</v>
      </c>
      <c r="J518" s="77">
        <v>1.0</v>
      </c>
      <c r="K518" s="77" t="s">
        <v>838</v>
      </c>
      <c r="L518" s="210">
        <v>7575.0</v>
      </c>
      <c r="M518" s="41">
        <f t="shared" si="1"/>
        <v>7575</v>
      </c>
      <c r="N518" s="41" t="s">
        <v>839</v>
      </c>
      <c r="O518" s="211"/>
    </row>
    <row r="519">
      <c r="A519" s="42">
        <v>166.0</v>
      </c>
      <c r="B519" s="231">
        <v>635.0</v>
      </c>
      <c r="C519" s="215">
        <v>45810.0</v>
      </c>
      <c r="D519" s="232" t="s">
        <v>1058</v>
      </c>
      <c r="E519" s="233" t="s">
        <v>235</v>
      </c>
      <c r="F519" s="232">
        <v>1214.0</v>
      </c>
      <c r="G519" s="76">
        <v>45810.0</v>
      </c>
      <c r="H519" s="63" t="s">
        <v>658</v>
      </c>
      <c r="I519" s="34" t="s">
        <v>60</v>
      </c>
      <c r="J519" s="77">
        <v>10.0</v>
      </c>
      <c r="K519" s="77" t="s">
        <v>156</v>
      </c>
      <c r="L519" s="210">
        <v>280.0</v>
      </c>
      <c r="M519" s="41">
        <f t="shared" si="1"/>
        <v>2800</v>
      </c>
      <c r="N519" s="41" t="s">
        <v>99</v>
      </c>
      <c r="O519" s="211"/>
    </row>
    <row r="520">
      <c r="A520" s="47"/>
      <c r="B520" s="47"/>
      <c r="C520" s="47"/>
      <c r="D520" s="47"/>
      <c r="E520" s="47"/>
      <c r="F520" s="47"/>
      <c r="G520" s="47"/>
      <c r="H520" s="63" t="s">
        <v>1059</v>
      </c>
      <c r="I520" s="34" t="s">
        <v>29</v>
      </c>
      <c r="J520" s="77">
        <v>1.0</v>
      </c>
      <c r="K520" s="77" t="s">
        <v>89</v>
      </c>
      <c r="L520" s="210">
        <v>500.0</v>
      </c>
      <c r="M520" s="41">
        <f t="shared" si="1"/>
        <v>500</v>
      </c>
      <c r="N520" s="41" t="s">
        <v>99</v>
      </c>
      <c r="O520" s="211"/>
    </row>
    <row r="521">
      <c r="A521" s="47"/>
      <c r="B521" s="47"/>
      <c r="C521" s="47"/>
      <c r="D521" s="47"/>
      <c r="E521" s="47"/>
      <c r="F521" s="47"/>
      <c r="G521" s="47"/>
      <c r="H521" s="63" t="s">
        <v>624</v>
      </c>
      <c r="I521" s="34" t="s">
        <v>29</v>
      </c>
      <c r="J521" s="77">
        <v>40.0</v>
      </c>
      <c r="K521" s="77" t="s">
        <v>156</v>
      </c>
      <c r="L521" s="210">
        <v>17.0</v>
      </c>
      <c r="M521" s="41">
        <f t="shared" si="1"/>
        <v>680</v>
      </c>
      <c r="N521" s="41" t="s">
        <v>99</v>
      </c>
      <c r="O521" s="211"/>
    </row>
    <row r="522">
      <c r="A522" s="47"/>
      <c r="B522" s="47"/>
      <c r="C522" s="47"/>
      <c r="D522" s="47"/>
      <c r="E522" s="47"/>
      <c r="F522" s="47"/>
      <c r="G522" s="47"/>
      <c r="H522" s="63" t="s">
        <v>1060</v>
      </c>
      <c r="I522" s="34" t="s">
        <v>29</v>
      </c>
      <c r="J522" s="77">
        <v>18.0</v>
      </c>
      <c r="K522" s="77" t="s">
        <v>156</v>
      </c>
      <c r="L522" s="210">
        <v>55.0</v>
      </c>
      <c r="M522" s="41">
        <f t="shared" si="1"/>
        <v>990</v>
      </c>
      <c r="N522" s="41" t="s">
        <v>99</v>
      </c>
      <c r="O522" s="211"/>
    </row>
    <row r="523">
      <c r="A523" s="48"/>
      <c r="B523" s="48"/>
      <c r="C523" s="48"/>
      <c r="D523" s="48"/>
      <c r="E523" s="48"/>
      <c r="F523" s="48"/>
      <c r="G523" s="48"/>
      <c r="H523" s="63" t="s">
        <v>1061</v>
      </c>
      <c r="I523" s="34" t="s">
        <v>29</v>
      </c>
      <c r="J523" s="77">
        <v>1.0</v>
      </c>
      <c r="K523" s="77" t="s">
        <v>1062</v>
      </c>
      <c r="L523" s="210">
        <v>450.0</v>
      </c>
      <c r="M523" s="41">
        <f t="shared" si="1"/>
        <v>450</v>
      </c>
      <c r="N523" s="41" t="s">
        <v>99</v>
      </c>
      <c r="O523" s="211"/>
    </row>
    <row r="524">
      <c r="A524" s="42">
        <v>167.0</v>
      </c>
      <c r="B524" s="231">
        <v>432.0</v>
      </c>
      <c r="C524" s="215">
        <v>45810.0</v>
      </c>
      <c r="D524" s="232" t="s">
        <v>1063</v>
      </c>
      <c r="E524" s="233">
        <v>45825.0</v>
      </c>
      <c r="F524" s="232">
        <v>1215.0</v>
      </c>
      <c r="G524" s="76">
        <v>45818.0</v>
      </c>
      <c r="H524" s="63" t="s">
        <v>1064</v>
      </c>
      <c r="I524" s="34" t="s">
        <v>29</v>
      </c>
      <c r="J524" s="77">
        <v>20.0</v>
      </c>
      <c r="K524" s="77" t="s">
        <v>156</v>
      </c>
      <c r="L524" s="210">
        <v>350.0</v>
      </c>
      <c r="M524" s="41">
        <f t="shared" si="1"/>
        <v>7000</v>
      </c>
      <c r="N524" s="41" t="s">
        <v>230</v>
      </c>
      <c r="O524" s="211"/>
    </row>
    <row r="525">
      <c r="A525" s="48"/>
      <c r="B525" s="48"/>
      <c r="C525" s="48"/>
      <c r="D525" s="48"/>
      <c r="E525" s="48"/>
      <c r="F525" s="48"/>
      <c r="G525" s="48"/>
      <c r="H525" s="63" t="s">
        <v>1065</v>
      </c>
      <c r="I525" s="34" t="s">
        <v>29</v>
      </c>
      <c r="J525" s="77">
        <v>10.0</v>
      </c>
      <c r="K525" s="77" t="s">
        <v>156</v>
      </c>
      <c r="L525" s="210">
        <v>25.0</v>
      </c>
      <c r="M525" s="41">
        <f t="shared" si="1"/>
        <v>250</v>
      </c>
      <c r="N525" s="41" t="s">
        <v>230</v>
      </c>
      <c r="O525" s="211"/>
    </row>
    <row r="526">
      <c r="A526" s="31">
        <v>168.0</v>
      </c>
      <c r="B526" s="229">
        <v>2.0</v>
      </c>
      <c r="C526" s="228">
        <v>45810.0</v>
      </c>
      <c r="D526" s="79" t="s">
        <v>1034</v>
      </c>
      <c r="E526" s="230" t="s">
        <v>235</v>
      </c>
      <c r="F526" s="79">
        <v>1214.0</v>
      </c>
      <c r="G526" s="97">
        <v>45810.0</v>
      </c>
      <c r="H526" s="63" t="s">
        <v>1066</v>
      </c>
      <c r="I526" s="34" t="s">
        <v>42</v>
      </c>
      <c r="J526" s="77">
        <v>15.0</v>
      </c>
      <c r="K526" s="77" t="s">
        <v>74</v>
      </c>
      <c r="L526" s="210">
        <v>145.0</v>
      </c>
      <c r="M526" s="41">
        <f t="shared" si="1"/>
        <v>2175</v>
      </c>
      <c r="N526" s="41" t="s">
        <v>676</v>
      </c>
      <c r="O526" s="211"/>
    </row>
    <row r="527">
      <c r="A527" s="42">
        <v>169.0</v>
      </c>
      <c r="B527" s="231" t="s">
        <v>1067</v>
      </c>
      <c r="C527" s="215">
        <v>45811.0</v>
      </c>
      <c r="D527" s="232" t="s">
        <v>1068</v>
      </c>
      <c r="E527" s="233" t="s">
        <v>972</v>
      </c>
      <c r="F527" s="232">
        <v>1208.0</v>
      </c>
      <c r="G527" s="234">
        <v>45811.0</v>
      </c>
      <c r="H527" s="63" t="s">
        <v>1069</v>
      </c>
      <c r="I527" s="34" t="s">
        <v>547</v>
      </c>
      <c r="J527" s="77">
        <v>7.0</v>
      </c>
      <c r="K527" s="77" t="s">
        <v>156</v>
      </c>
      <c r="L527" s="210">
        <v>3238.5</v>
      </c>
      <c r="M527" s="41">
        <f t="shared" si="1"/>
        <v>22669.5</v>
      </c>
      <c r="N527" s="41" t="s">
        <v>1070</v>
      </c>
      <c r="O527" s="211"/>
    </row>
    <row r="528">
      <c r="A528" s="48"/>
      <c r="B528" s="48"/>
      <c r="C528" s="48"/>
      <c r="D528" s="48"/>
      <c r="E528" s="48"/>
      <c r="F528" s="48"/>
      <c r="G528" s="48"/>
      <c r="H528" s="63" t="s">
        <v>1071</v>
      </c>
      <c r="I528" s="34" t="s">
        <v>547</v>
      </c>
      <c r="J528" s="77">
        <v>1.0</v>
      </c>
      <c r="K528" s="77" t="s">
        <v>89</v>
      </c>
      <c r="L528" s="210">
        <v>9520.0</v>
      </c>
      <c r="M528" s="41">
        <f t="shared" si="1"/>
        <v>9520</v>
      </c>
      <c r="N528" s="41" t="s">
        <v>1070</v>
      </c>
      <c r="O528" s="211"/>
    </row>
    <row r="529">
      <c r="A529" s="42">
        <v>170.0</v>
      </c>
      <c r="B529" s="217">
        <v>51.0</v>
      </c>
      <c r="C529" s="215">
        <v>45811.0</v>
      </c>
      <c r="D529" s="232" t="s">
        <v>1072</v>
      </c>
      <c r="E529" s="233" t="s">
        <v>1073</v>
      </c>
      <c r="F529" s="232">
        <v>1216.0</v>
      </c>
      <c r="G529" s="76">
        <v>45818.0</v>
      </c>
      <c r="H529" s="63" t="s">
        <v>311</v>
      </c>
      <c r="I529" s="34" t="s">
        <v>29</v>
      </c>
      <c r="J529" s="77">
        <v>20.0</v>
      </c>
      <c r="K529" s="77" t="s">
        <v>156</v>
      </c>
      <c r="L529" s="210">
        <v>100.0</v>
      </c>
      <c r="M529" s="41">
        <f t="shared" si="1"/>
        <v>2000</v>
      </c>
      <c r="N529" s="41" t="s">
        <v>417</v>
      </c>
      <c r="O529" s="211"/>
    </row>
    <row r="530">
      <c r="A530" s="47"/>
      <c r="B530" s="47"/>
      <c r="C530" s="47"/>
      <c r="D530" s="47"/>
      <c r="E530" s="47"/>
      <c r="F530" s="47"/>
      <c r="G530" s="47"/>
      <c r="H530" s="63" t="s">
        <v>956</v>
      </c>
      <c r="I530" s="34" t="s">
        <v>29</v>
      </c>
      <c r="J530" s="77">
        <v>20.0</v>
      </c>
      <c r="K530" s="77" t="s">
        <v>156</v>
      </c>
      <c r="L530" s="210">
        <v>1200.0</v>
      </c>
      <c r="M530" s="41">
        <f t="shared" si="1"/>
        <v>24000</v>
      </c>
      <c r="N530" s="41" t="s">
        <v>417</v>
      </c>
      <c r="O530" s="211"/>
    </row>
    <row r="531">
      <c r="A531" s="48"/>
      <c r="B531" s="48"/>
      <c r="C531" s="48"/>
      <c r="D531" s="48"/>
      <c r="E531" s="48"/>
      <c r="F531" s="48"/>
      <c r="G531" s="48"/>
      <c r="H531" s="63" t="s">
        <v>1074</v>
      </c>
      <c r="I531" s="34" t="s">
        <v>29</v>
      </c>
      <c r="J531" s="77">
        <v>10.0</v>
      </c>
      <c r="K531" s="77" t="s">
        <v>156</v>
      </c>
      <c r="L531" s="210">
        <v>4500.0</v>
      </c>
      <c r="M531" s="41">
        <f t="shared" si="1"/>
        <v>45000</v>
      </c>
      <c r="N531" s="41" t="s">
        <v>417</v>
      </c>
      <c r="O531" s="211"/>
    </row>
    <row r="532">
      <c r="A532" s="31">
        <v>171.0</v>
      </c>
      <c r="B532" s="224">
        <v>655.0</v>
      </c>
      <c r="C532" s="228">
        <v>45811.0</v>
      </c>
      <c r="D532" s="79" t="s">
        <v>1075</v>
      </c>
      <c r="E532" s="230" t="s">
        <v>912</v>
      </c>
      <c r="F532" s="243"/>
      <c r="G532" s="158"/>
      <c r="H532" s="63" t="s">
        <v>1076</v>
      </c>
      <c r="I532" s="34" t="s">
        <v>837</v>
      </c>
      <c r="J532" s="77">
        <v>1.0</v>
      </c>
      <c r="K532" s="77" t="s">
        <v>838</v>
      </c>
      <c r="L532" s="210">
        <v>8000.0</v>
      </c>
      <c r="M532" s="41">
        <f t="shared" si="1"/>
        <v>8000</v>
      </c>
      <c r="N532" s="37"/>
      <c r="O532" s="211"/>
    </row>
    <row r="533">
      <c r="A533" s="31">
        <v>172.0</v>
      </c>
      <c r="B533" s="208" t="s">
        <v>1077</v>
      </c>
      <c r="C533" s="209">
        <v>45811.0</v>
      </c>
      <c r="D533" s="31" t="s">
        <v>1078</v>
      </c>
      <c r="E533" s="209">
        <v>45835.0</v>
      </c>
      <c r="F533" s="31" t="s">
        <v>92</v>
      </c>
      <c r="G533" s="256"/>
      <c r="H533" s="85" t="s">
        <v>1079</v>
      </c>
      <c r="I533" s="34" t="s">
        <v>837</v>
      </c>
      <c r="J533" s="31">
        <v>1.0</v>
      </c>
      <c r="K533" s="31" t="s">
        <v>838</v>
      </c>
      <c r="L533" s="226">
        <v>8200.0</v>
      </c>
      <c r="M533" s="41">
        <f t="shared" si="1"/>
        <v>8200</v>
      </c>
      <c r="N533" s="41" t="s">
        <v>839</v>
      </c>
      <c r="O533" s="211"/>
    </row>
    <row r="534">
      <c r="A534" s="150"/>
      <c r="B534" s="257">
        <v>20508.0</v>
      </c>
      <c r="C534" s="258">
        <v>45813.0</v>
      </c>
      <c r="D534" s="257" t="s">
        <v>1080</v>
      </c>
      <c r="E534" s="258">
        <v>45874.0</v>
      </c>
      <c r="F534" s="257" t="s">
        <v>92</v>
      </c>
      <c r="G534" s="112"/>
      <c r="H534" s="112" t="s">
        <v>23</v>
      </c>
      <c r="I534" s="112" t="s">
        <v>24</v>
      </c>
      <c r="J534" s="257">
        <v>42.17</v>
      </c>
      <c r="K534" s="257" t="s">
        <v>25</v>
      </c>
      <c r="L534" s="259">
        <v>59.28</v>
      </c>
      <c r="M534" s="41">
        <f t="shared" si="1"/>
        <v>2499.8376</v>
      </c>
      <c r="N534" s="260" t="s">
        <v>1081</v>
      </c>
      <c r="O534" s="111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</row>
    <row r="535">
      <c r="A535" s="31">
        <v>173.0</v>
      </c>
      <c r="B535" s="229">
        <v>191.0</v>
      </c>
      <c r="C535" s="228">
        <v>45814.0</v>
      </c>
      <c r="D535" s="79" t="s">
        <v>1082</v>
      </c>
      <c r="E535" s="230" t="s">
        <v>1083</v>
      </c>
      <c r="F535" s="79">
        <v>1232.0</v>
      </c>
      <c r="G535" s="97">
        <v>45830.0</v>
      </c>
      <c r="H535" s="63" t="s">
        <v>1084</v>
      </c>
      <c r="I535" s="34" t="s">
        <v>82</v>
      </c>
      <c r="J535" s="77">
        <v>1.0</v>
      </c>
      <c r="K535" s="77" t="s">
        <v>207</v>
      </c>
      <c r="L535" s="210">
        <v>24000.0</v>
      </c>
      <c r="M535" s="41">
        <f t="shared" si="1"/>
        <v>24000</v>
      </c>
      <c r="N535" s="41" t="s">
        <v>246</v>
      </c>
      <c r="O535" s="211"/>
    </row>
    <row r="536">
      <c r="A536" s="79">
        <v>174.0</v>
      </c>
      <c r="B536" s="229">
        <v>31.0</v>
      </c>
      <c r="C536" s="230">
        <v>45814.0</v>
      </c>
      <c r="D536" s="79" t="s">
        <v>1085</v>
      </c>
      <c r="E536" s="230" t="s">
        <v>1086</v>
      </c>
      <c r="F536" s="79">
        <v>1219.0</v>
      </c>
      <c r="G536" s="261">
        <v>45821.0</v>
      </c>
      <c r="H536" s="85" t="s">
        <v>1087</v>
      </c>
      <c r="I536" s="34" t="s">
        <v>76</v>
      </c>
      <c r="J536" s="88">
        <v>1.0</v>
      </c>
      <c r="K536" s="88" t="s">
        <v>207</v>
      </c>
      <c r="L536" s="262">
        <v>19500.0</v>
      </c>
      <c r="M536" s="41">
        <f t="shared" si="1"/>
        <v>19500</v>
      </c>
      <c r="N536" s="263" t="s">
        <v>246</v>
      </c>
      <c r="O536" s="211"/>
    </row>
    <row r="537">
      <c r="A537" s="42">
        <v>175.0</v>
      </c>
      <c r="B537" s="231" t="s">
        <v>1088</v>
      </c>
      <c r="C537" s="215">
        <v>45815.0</v>
      </c>
      <c r="D537" s="232" t="s">
        <v>1089</v>
      </c>
      <c r="E537" s="233" t="s">
        <v>225</v>
      </c>
      <c r="F537" s="232">
        <v>1216.0</v>
      </c>
      <c r="G537" s="76">
        <v>45818.0</v>
      </c>
      <c r="H537" s="63" t="s">
        <v>1090</v>
      </c>
      <c r="I537" s="34" t="s">
        <v>147</v>
      </c>
      <c r="J537" s="77">
        <v>4560.0</v>
      </c>
      <c r="K537" s="77" t="s">
        <v>654</v>
      </c>
      <c r="L537" s="210">
        <v>56.17</v>
      </c>
      <c r="M537" s="41">
        <f t="shared" si="1"/>
        <v>256135.2</v>
      </c>
      <c r="N537" s="41" t="s">
        <v>1091</v>
      </c>
      <c r="O537" s="211"/>
    </row>
    <row r="538">
      <c r="A538" s="47"/>
      <c r="B538" s="47"/>
      <c r="C538" s="47"/>
      <c r="D538" s="47"/>
      <c r="E538" s="47"/>
      <c r="F538" s="47"/>
      <c r="G538" s="47"/>
      <c r="H538" s="63" t="s">
        <v>1092</v>
      </c>
      <c r="I538" s="34" t="s">
        <v>147</v>
      </c>
      <c r="J538" s="77">
        <v>3750.0</v>
      </c>
      <c r="K538" s="77" t="s">
        <v>654</v>
      </c>
      <c r="L538" s="210">
        <v>55.17</v>
      </c>
      <c r="M538" s="41">
        <f t="shared" si="1"/>
        <v>206887.5</v>
      </c>
      <c r="N538" s="41" t="s">
        <v>1091</v>
      </c>
      <c r="O538" s="211"/>
    </row>
    <row r="539">
      <c r="A539" s="47"/>
      <c r="B539" s="47"/>
      <c r="C539" s="47"/>
      <c r="D539" s="47"/>
      <c r="E539" s="47"/>
      <c r="F539" s="47"/>
      <c r="G539" s="47"/>
      <c r="H539" s="63" t="s">
        <v>1093</v>
      </c>
      <c r="I539" s="34" t="s">
        <v>147</v>
      </c>
      <c r="J539" s="77">
        <v>3225.0</v>
      </c>
      <c r="K539" s="77" t="s">
        <v>654</v>
      </c>
      <c r="L539" s="210">
        <v>55.17</v>
      </c>
      <c r="M539" s="41">
        <f t="shared" si="1"/>
        <v>177923.25</v>
      </c>
      <c r="N539" s="41" t="s">
        <v>1091</v>
      </c>
      <c r="O539" s="211"/>
    </row>
    <row r="540">
      <c r="A540" s="47"/>
      <c r="B540" s="47"/>
      <c r="C540" s="47"/>
      <c r="D540" s="47"/>
      <c r="E540" s="47"/>
      <c r="F540" s="47"/>
      <c r="G540" s="47"/>
      <c r="H540" s="63" t="s">
        <v>1094</v>
      </c>
      <c r="I540" s="34" t="s">
        <v>147</v>
      </c>
      <c r="J540" s="77">
        <v>4851.0</v>
      </c>
      <c r="K540" s="77" t="s">
        <v>654</v>
      </c>
      <c r="L540" s="210">
        <v>54.67</v>
      </c>
      <c r="M540" s="41">
        <f t="shared" si="1"/>
        <v>265204.17</v>
      </c>
      <c r="N540" s="41" t="s">
        <v>1091</v>
      </c>
      <c r="O540" s="211"/>
    </row>
    <row r="541">
      <c r="A541" s="48"/>
      <c r="B541" s="48"/>
      <c r="C541" s="48"/>
      <c r="D541" s="48"/>
      <c r="E541" s="48"/>
      <c r="F541" s="48"/>
      <c r="G541" s="48"/>
      <c r="H541" s="63" t="s">
        <v>1095</v>
      </c>
      <c r="I541" s="34" t="s">
        <v>147</v>
      </c>
      <c r="J541" s="77">
        <v>960.0</v>
      </c>
      <c r="K541" s="77" t="s">
        <v>654</v>
      </c>
      <c r="L541" s="210">
        <v>54.67</v>
      </c>
      <c r="M541" s="41">
        <f t="shared" si="1"/>
        <v>52483.2</v>
      </c>
      <c r="N541" s="41" t="s">
        <v>1091</v>
      </c>
      <c r="O541" s="211"/>
    </row>
    <row r="542">
      <c r="A542" s="31">
        <v>176.0</v>
      </c>
      <c r="B542" s="229">
        <v>5895.0</v>
      </c>
      <c r="C542" s="228">
        <v>45816.0</v>
      </c>
      <c r="D542" s="79" t="s">
        <v>1096</v>
      </c>
      <c r="E542" s="230" t="s">
        <v>1083</v>
      </c>
      <c r="F542" s="79">
        <v>1233.0</v>
      </c>
      <c r="G542" s="97">
        <v>45830.0</v>
      </c>
      <c r="H542" s="63" t="s">
        <v>1097</v>
      </c>
      <c r="I542" s="34" t="s">
        <v>122</v>
      </c>
      <c r="J542" s="77">
        <v>360.0</v>
      </c>
      <c r="K542" s="77" t="s">
        <v>391</v>
      </c>
      <c r="L542" s="210">
        <v>431.0</v>
      </c>
      <c r="M542" s="41">
        <f t="shared" si="1"/>
        <v>155160</v>
      </c>
      <c r="N542" s="41" t="s">
        <v>1098</v>
      </c>
      <c r="O542" s="211"/>
    </row>
    <row r="543">
      <c r="A543" s="42">
        <v>177.0</v>
      </c>
      <c r="B543" s="231" t="s">
        <v>1099</v>
      </c>
      <c r="C543" s="215">
        <v>45817.0</v>
      </c>
      <c r="D543" s="232" t="s">
        <v>1100</v>
      </c>
      <c r="E543" s="233" t="s">
        <v>235</v>
      </c>
      <c r="F543" s="232">
        <v>1215.0</v>
      </c>
      <c r="G543" s="76">
        <v>45818.0</v>
      </c>
      <c r="H543" s="63" t="s">
        <v>1101</v>
      </c>
      <c r="I543" s="34" t="s">
        <v>60</v>
      </c>
      <c r="J543" s="77">
        <v>5.0</v>
      </c>
      <c r="K543" s="77" t="s">
        <v>156</v>
      </c>
      <c r="L543" s="210">
        <v>3000.0</v>
      </c>
      <c r="M543" s="41">
        <f t="shared" si="1"/>
        <v>15000</v>
      </c>
      <c r="N543" s="41" t="s">
        <v>107</v>
      </c>
      <c r="O543" s="211"/>
    </row>
    <row r="544">
      <c r="A544" s="47"/>
      <c r="B544" s="47"/>
      <c r="C544" s="47"/>
      <c r="D544" s="47"/>
      <c r="E544" s="47"/>
      <c r="F544" s="47"/>
      <c r="G544" s="47"/>
      <c r="H544" s="63" t="s">
        <v>1102</v>
      </c>
      <c r="I544" s="34" t="s">
        <v>60</v>
      </c>
      <c r="J544" s="77">
        <v>10.0</v>
      </c>
      <c r="K544" s="77" t="s">
        <v>156</v>
      </c>
      <c r="L544" s="210">
        <v>300.0</v>
      </c>
      <c r="M544" s="41">
        <f t="shared" si="1"/>
        <v>3000</v>
      </c>
      <c r="N544" s="41" t="s">
        <v>107</v>
      </c>
      <c r="O544" s="211"/>
    </row>
    <row r="545">
      <c r="A545" s="47"/>
      <c r="B545" s="47"/>
      <c r="C545" s="47"/>
      <c r="D545" s="47"/>
      <c r="E545" s="47"/>
      <c r="F545" s="47"/>
      <c r="G545" s="47"/>
      <c r="H545" s="63" t="s">
        <v>1103</v>
      </c>
      <c r="I545" s="34" t="s">
        <v>60</v>
      </c>
      <c r="J545" s="77">
        <v>4.0</v>
      </c>
      <c r="K545" s="77" t="s">
        <v>156</v>
      </c>
      <c r="L545" s="210">
        <v>123.0</v>
      </c>
      <c r="M545" s="41">
        <f t="shared" si="1"/>
        <v>492</v>
      </c>
      <c r="N545" s="41" t="s">
        <v>107</v>
      </c>
      <c r="O545" s="211"/>
    </row>
    <row r="546">
      <c r="A546" s="47"/>
      <c r="B546" s="47"/>
      <c r="C546" s="47"/>
      <c r="D546" s="47"/>
      <c r="E546" s="47"/>
      <c r="F546" s="47"/>
      <c r="G546" s="47"/>
      <c r="H546" s="63" t="s">
        <v>1104</v>
      </c>
      <c r="I546" s="34" t="s">
        <v>60</v>
      </c>
      <c r="J546" s="77">
        <v>50.0</v>
      </c>
      <c r="K546" s="77" t="s">
        <v>156</v>
      </c>
      <c r="L546" s="210">
        <v>12.0</v>
      </c>
      <c r="M546" s="41">
        <f t="shared" si="1"/>
        <v>600</v>
      </c>
      <c r="N546" s="41" t="s">
        <v>107</v>
      </c>
      <c r="O546" s="211"/>
    </row>
    <row r="547">
      <c r="A547" s="48"/>
      <c r="B547" s="48"/>
      <c r="C547" s="48"/>
      <c r="D547" s="48"/>
      <c r="E547" s="48"/>
      <c r="F547" s="48"/>
      <c r="G547" s="48"/>
      <c r="H547" s="63" t="s">
        <v>940</v>
      </c>
      <c r="I547" s="34" t="s">
        <v>60</v>
      </c>
      <c r="J547" s="77">
        <v>20.0</v>
      </c>
      <c r="K547" s="77" t="s">
        <v>156</v>
      </c>
      <c r="L547" s="210">
        <v>87.0</v>
      </c>
      <c r="M547" s="41">
        <f t="shared" si="1"/>
        <v>1740</v>
      </c>
      <c r="N547" s="41" t="s">
        <v>107</v>
      </c>
      <c r="O547" s="211"/>
    </row>
    <row r="548">
      <c r="A548" s="42">
        <v>178.0</v>
      </c>
      <c r="B548" s="231">
        <v>436.0</v>
      </c>
      <c r="C548" s="215">
        <v>45817.0</v>
      </c>
      <c r="D548" s="232" t="s">
        <v>1063</v>
      </c>
      <c r="E548" s="233" t="s">
        <v>235</v>
      </c>
      <c r="F548" s="232">
        <v>1215.0</v>
      </c>
      <c r="G548" s="76">
        <v>45818.0</v>
      </c>
      <c r="H548" s="63" t="s">
        <v>275</v>
      </c>
      <c r="I548" s="34" t="s">
        <v>276</v>
      </c>
      <c r="J548" s="77">
        <v>450.0</v>
      </c>
      <c r="K548" s="77" t="s">
        <v>74</v>
      </c>
      <c r="L548" s="210">
        <v>34.9</v>
      </c>
      <c r="M548" s="41">
        <f t="shared" si="1"/>
        <v>15705</v>
      </c>
      <c r="N548" s="41" t="s">
        <v>230</v>
      </c>
      <c r="O548" s="211"/>
    </row>
    <row r="549">
      <c r="A549" s="47"/>
      <c r="B549" s="47"/>
      <c r="C549" s="47"/>
      <c r="D549" s="47"/>
      <c r="E549" s="47"/>
      <c r="F549" s="47"/>
      <c r="G549" s="47"/>
      <c r="H549" s="63" t="s">
        <v>281</v>
      </c>
      <c r="I549" s="34" t="s">
        <v>276</v>
      </c>
      <c r="J549" s="77">
        <v>450.0</v>
      </c>
      <c r="K549" s="77" t="s">
        <v>74</v>
      </c>
      <c r="L549" s="210">
        <v>15.5</v>
      </c>
      <c r="M549" s="41">
        <f t="shared" si="1"/>
        <v>6975</v>
      </c>
      <c r="N549" s="41" t="s">
        <v>230</v>
      </c>
      <c r="O549" s="211"/>
    </row>
    <row r="550">
      <c r="A550" s="47"/>
      <c r="B550" s="47"/>
      <c r="C550" s="47"/>
      <c r="D550" s="47"/>
      <c r="E550" s="47"/>
      <c r="F550" s="47"/>
      <c r="G550" s="47"/>
      <c r="H550" s="63" t="s">
        <v>512</v>
      </c>
      <c r="I550" s="34" t="s">
        <v>276</v>
      </c>
      <c r="J550" s="77">
        <v>8.0</v>
      </c>
      <c r="K550" s="77" t="s">
        <v>156</v>
      </c>
      <c r="L550" s="210">
        <v>125.0</v>
      </c>
      <c r="M550" s="41">
        <f t="shared" si="1"/>
        <v>1000</v>
      </c>
      <c r="N550" s="41" t="s">
        <v>230</v>
      </c>
      <c r="O550" s="211"/>
    </row>
    <row r="551">
      <c r="A551" s="48"/>
      <c r="B551" s="48"/>
      <c r="C551" s="48"/>
      <c r="D551" s="48"/>
      <c r="E551" s="48"/>
      <c r="F551" s="48"/>
      <c r="G551" s="48"/>
      <c r="H551" s="63" t="s">
        <v>951</v>
      </c>
      <c r="I551" s="34" t="s">
        <v>276</v>
      </c>
      <c r="J551" s="77">
        <v>3.0</v>
      </c>
      <c r="K551" s="77" t="s">
        <v>156</v>
      </c>
      <c r="L551" s="210">
        <v>490.0</v>
      </c>
      <c r="M551" s="41">
        <f t="shared" si="1"/>
        <v>1470</v>
      </c>
      <c r="N551" s="41" t="s">
        <v>230</v>
      </c>
      <c r="O551" s="211"/>
    </row>
    <row r="552">
      <c r="A552" s="42">
        <v>179.0</v>
      </c>
      <c r="B552" s="231">
        <v>759.0</v>
      </c>
      <c r="C552" s="215">
        <v>45817.0</v>
      </c>
      <c r="D552" s="232" t="s">
        <v>1105</v>
      </c>
      <c r="E552" s="233" t="s">
        <v>235</v>
      </c>
      <c r="F552" s="232">
        <v>1216.0</v>
      </c>
      <c r="G552" s="76">
        <v>45818.0</v>
      </c>
      <c r="H552" s="63" t="s">
        <v>1106</v>
      </c>
      <c r="I552" s="34" t="s">
        <v>84</v>
      </c>
      <c r="J552" s="77">
        <v>10.0</v>
      </c>
      <c r="K552" s="77" t="s">
        <v>156</v>
      </c>
      <c r="L552" s="210">
        <v>499.0</v>
      </c>
      <c r="M552" s="41">
        <f t="shared" si="1"/>
        <v>4990</v>
      </c>
      <c r="N552" s="41" t="s">
        <v>560</v>
      </c>
      <c r="O552" s="211"/>
    </row>
    <row r="553">
      <c r="A553" s="47"/>
      <c r="B553" s="47"/>
      <c r="C553" s="47"/>
      <c r="D553" s="47"/>
      <c r="E553" s="47"/>
      <c r="F553" s="47"/>
      <c r="G553" s="47"/>
      <c r="H553" s="63" t="s">
        <v>85</v>
      </c>
      <c r="I553" s="34" t="s">
        <v>84</v>
      </c>
      <c r="J553" s="77">
        <v>10.0</v>
      </c>
      <c r="K553" s="77" t="s">
        <v>156</v>
      </c>
      <c r="L553" s="210">
        <v>950.0</v>
      </c>
      <c r="M553" s="41">
        <f t="shared" si="1"/>
        <v>9500</v>
      </c>
      <c r="N553" s="41" t="s">
        <v>560</v>
      </c>
      <c r="O553" s="211"/>
    </row>
    <row r="554">
      <c r="A554" s="47"/>
      <c r="B554" s="47"/>
      <c r="C554" s="47"/>
      <c r="D554" s="47"/>
      <c r="E554" s="47"/>
      <c r="F554" s="47"/>
      <c r="G554" s="47"/>
      <c r="H554" s="63" t="s">
        <v>1107</v>
      </c>
      <c r="I554" s="34" t="s">
        <v>294</v>
      </c>
      <c r="J554" s="77">
        <v>50.0</v>
      </c>
      <c r="K554" s="77" t="s">
        <v>654</v>
      </c>
      <c r="L554" s="210">
        <v>74.0</v>
      </c>
      <c r="M554" s="41">
        <f t="shared" si="1"/>
        <v>3700</v>
      </c>
      <c r="N554" s="41" t="s">
        <v>560</v>
      </c>
      <c r="O554" s="211"/>
    </row>
    <row r="555">
      <c r="A555" s="47"/>
      <c r="B555" s="47"/>
      <c r="C555" s="47"/>
      <c r="D555" s="47"/>
      <c r="E555" s="47"/>
      <c r="F555" s="47"/>
      <c r="G555" s="47"/>
      <c r="H555" s="63" t="s">
        <v>1108</v>
      </c>
      <c r="I555" s="34" t="s">
        <v>294</v>
      </c>
      <c r="J555" s="77">
        <v>50.0</v>
      </c>
      <c r="K555" s="77" t="s">
        <v>654</v>
      </c>
      <c r="L555" s="210">
        <v>74.0</v>
      </c>
      <c r="M555" s="41">
        <f t="shared" si="1"/>
        <v>3700</v>
      </c>
      <c r="N555" s="41" t="s">
        <v>560</v>
      </c>
      <c r="O555" s="211"/>
    </row>
    <row r="556">
      <c r="A556" s="47"/>
      <c r="B556" s="47"/>
      <c r="C556" s="47"/>
      <c r="D556" s="47"/>
      <c r="E556" s="47"/>
      <c r="F556" s="47"/>
      <c r="G556" s="47"/>
      <c r="H556" s="63" t="s">
        <v>1109</v>
      </c>
      <c r="I556" s="34" t="s">
        <v>294</v>
      </c>
      <c r="J556" s="77">
        <v>50.0</v>
      </c>
      <c r="K556" s="77" t="s">
        <v>654</v>
      </c>
      <c r="L556" s="210">
        <v>72.0</v>
      </c>
      <c r="M556" s="41">
        <f t="shared" si="1"/>
        <v>3600</v>
      </c>
      <c r="N556" s="41" t="s">
        <v>560</v>
      </c>
      <c r="O556" s="211"/>
    </row>
    <row r="557">
      <c r="A557" s="47"/>
      <c r="B557" s="47"/>
      <c r="C557" s="47"/>
      <c r="D557" s="47"/>
      <c r="E557" s="47"/>
      <c r="F557" s="47"/>
      <c r="G557" s="47"/>
      <c r="H557" s="63" t="s">
        <v>1110</v>
      </c>
      <c r="I557" s="34" t="s">
        <v>294</v>
      </c>
      <c r="J557" s="77">
        <v>50.0</v>
      </c>
      <c r="K557" s="77" t="s">
        <v>654</v>
      </c>
      <c r="L557" s="210">
        <v>72.0</v>
      </c>
      <c r="M557" s="41">
        <f t="shared" si="1"/>
        <v>3600</v>
      </c>
      <c r="N557" s="41" t="s">
        <v>560</v>
      </c>
      <c r="O557" s="211"/>
    </row>
    <row r="558">
      <c r="A558" s="47"/>
      <c r="B558" s="47"/>
      <c r="C558" s="47"/>
      <c r="D558" s="47"/>
      <c r="E558" s="47"/>
      <c r="F558" s="47"/>
      <c r="G558" s="47"/>
      <c r="H558" s="63" t="s">
        <v>349</v>
      </c>
      <c r="I558" s="34" t="s">
        <v>294</v>
      </c>
      <c r="J558" s="77">
        <v>50.0</v>
      </c>
      <c r="K558" s="77" t="s">
        <v>654</v>
      </c>
      <c r="L558" s="210">
        <v>72.0</v>
      </c>
      <c r="M558" s="41">
        <f t="shared" si="1"/>
        <v>3600</v>
      </c>
      <c r="N558" s="41" t="s">
        <v>560</v>
      </c>
      <c r="O558" s="211"/>
    </row>
    <row r="559">
      <c r="A559" s="48"/>
      <c r="B559" s="48"/>
      <c r="C559" s="48"/>
      <c r="D559" s="48"/>
      <c r="E559" s="48"/>
      <c r="F559" s="48"/>
      <c r="G559" s="48"/>
      <c r="H559" s="63" t="s">
        <v>1111</v>
      </c>
      <c r="I559" s="34" t="s">
        <v>294</v>
      </c>
      <c r="J559" s="77">
        <v>50.0</v>
      </c>
      <c r="K559" s="77" t="s">
        <v>654</v>
      </c>
      <c r="L559" s="210">
        <v>72.0</v>
      </c>
      <c r="M559" s="41">
        <f t="shared" si="1"/>
        <v>3600</v>
      </c>
      <c r="N559" s="41" t="s">
        <v>560</v>
      </c>
      <c r="O559" s="211"/>
    </row>
    <row r="560">
      <c r="A560" s="31">
        <v>180.0</v>
      </c>
      <c r="B560" s="229">
        <v>5896.0</v>
      </c>
      <c r="C560" s="228">
        <v>45817.0</v>
      </c>
      <c r="D560" s="79" t="s">
        <v>1096</v>
      </c>
      <c r="E560" s="230" t="s">
        <v>1083</v>
      </c>
      <c r="F560" s="79">
        <v>1233.0</v>
      </c>
      <c r="G560" s="97">
        <v>45830.0</v>
      </c>
      <c r="H560" s="63" t="s">
        <v>1097</v>
      </c>
      <c r="I560" s="34" t="s">
        <v>122</v>
      </c>
      <c r="J560" s="77">
        <v>360.0</v>
      </c>
      <c r="K560" s="77" t="s">
        <v>391</v>
      </c>
      <c r="L560" s="210">
        <v>431.0</v>
      </c>
      <c r="M560" s="41">
        <f t="shared" si="1"/>
        <v>155160</v>
      </c>
      <c r="N560" s="41" t="s">
        <v>1098</v>
      </c>
      <c r="O560" s="211"/>
    </row>
    <row r="561">
      <c r="A561" s="31">
        <v>181.0</v>
      </c>
      <c r="B561" s="229">
        <v>5897.0</v>
      </c>
      <c r="C561" s="228">
        <v>45817.0</v>
      </c>
      <c r="D561" s="79" t="s">
        <v>1096</v>
      </c>
      <c r="E561" s="230" t="s">
        <v>1083</v>
      </c>
      <c r="F561" s="79">
        <v>1233.0</v>
      </c>
      <c r="G561" s="97">
        <v>45830.0</v>
      </c>
      <c r="H561" s="63" t="s">
        <v>1097</v>
      </c>
      <c r="I561" s="34" t="s">
        <v>122</v>
      </c>
      <c r="J561" s="77">
        <v>360.0</v>
      </c>
      <c r="K561" s="77" t="s">
        <v>391</v>
      </c>
      <c r="L561" s="210">
        <v>431.0</v>
      </c>
      <c r="M561" s="41">
        <f t="shared" si="1"/>
        <v>155160</v>
      </c>
      <c r="N561" s="41" t="s">
        <v>1098</v>
      </c>
      <c r="O561" s="211"/>
    </row>
    <row r="562">
      <c r="A562" s="31">
        <v>182.0</v>
      </c>
      <c r="B562" s="229">
        <v>1869.0</v>
      </c>
      <c r="C562" s="230">
        <v>45818.0</v>
      </c>
      <c r="D562" s="79" t="s">
        <v>1112</v>
      </c>
      <c r="E562" s="230">
        <v>45818.0</v>
      </c>
      <c r="F562" s="79" t="s">
        <v>92</v>
      </c>
      <c r="G562" s="158"/>
      <c r="H562" s="63" t="s">
        <v>1057</v>
      </c>
      <c r="I562" s="34" t="s">
        <v>837</v>
      </c>
      <c r="J562" s="77">
        <v>1.0</v>
      </c>
      <c r="K562" s="77" t="s">
        <v>838</v>
      </c>
      <c r="L562" s="210">
        <v>12575.0</v>
      </c>
      <c r="M562" s="41">
        <f t="shared" si="1"/>
        <v>12575</v>
      </c>
      <c r="N562" s="41" t="s">
        <v>839</v>
      </c>
      <c r="O562" s="211"/>
    </row>
    <row r="563">
      <c r="A563" s="31">
        <v>183.0</v>
      </c>
      <c r="B563" s="229">
        <v>1432725.0</v>
      </c>
      <c r="C563" s="230">
        <v>45818.0</v>
      </c>
      <c r="D563" s="264" t="s">
        <v>1113</v>
      </c>
      <c r="E563" s="265" t="s">
        <v>235</v>
      </c>
      <c r="F563" s="264">
        <v>1217.0</v>
      </c>
      <c r="G563" s="97">
        <v>45818.0</v>
      </c>
      <c r="H563" s="63" t="s">
        <v>36</v>
      </c>
      <c r="I563" s="34" t="s">
        <v>24</v>
      </c>
      <c r="J563" s="77">
        <v>449.0</v>
      </c>
      <c r="K563" s="77" t="s">
        <v>25</v>
      </c>
      <c r="L563" s="210">
        <v>60.44</v>
      </c>
      <c r="M563" s="41">
        <f t="shared" si="1"/>
        <v>27137.56</v>
      </c>
      <c r="N563" s="41" t="s">
        <v>91</v>
      </c>
      <c r="O563" s="211"/>
    </row>
    <row r="564">
      <c r="A564" s="31">
        <v>184.0</v>
      </c>
      <c r="B564" s="229">
        <v>99387.0</v>
      </c>
      <c r="C564" s="230">
        <v>45818.0</v>
      </c>
      <c r="D564" s="266" t="s">
        <v>1113</v>
      </c>
      <c r="E564" s="267" t="s">
        <v>235</v>
      </c>
      <c r="F564" s="266">
        <v>1217.0</v>
      </c>
      <c r="G564" s="97">
        <v>45818.0</v>
      </c>
      <c r="H564" s="63" t="s">
        <v>38</v>
      </c>
      <c r="I564" s="34" t="s">
        <v>24</v>
      </c>
      <c r="J564" s="77">
        <v>480.0</v>
      </c>
      <c r="K564" s="77" t="s">
        <v>39</v>
      </c>
      <c r="L564" s="210">
        <v>20.0</v>
      </c>
      <c r="M564" s="41">
        <f t="shared" si="1"/>
        <v>9600</v>
      </c>
      <c r="N564" s="41" t="s">
        <v>1114</v>
      </c>
      <c r="O564" s="211"/>
    </row>
    <row r="565">
      <c r="A565" s="31">
        <v>185.0</v>
      </c>
      <c r="B565" s="224" t="s">
        <v>92</v>
      </c>
      <c r="C565" s="230">
        <v>45818.0</v>
      </c>
      <c r="D565" s="266" t="s">
        <v>1113</v>
      </c>
      <c r="E565" s="267" t="s">
        <v>235</v>
      </c>
      <c r="F565" s="266">
        <v>1217.0</v>
      </c>
      <c r="G565" s="97">
        <v>45818.0</v>
      </c>
      <c r="H565" s="63" t="s">
        <v>181</v>
      </c>
      <c r="I565" s="34" t="s">
        <v>24</v>
      </c>
      <c r="J565" s="77">
        <v>410.0</v>
      </c>
      <c r="K565" s="77" t="s">
        <v>25</v>
      </c>
      <c r="L565" s="210">
        <v>46.0</v>
      </c>
      <c r="M565" s="41">
        <f t="shared" si="1"/>
        <v>18860</v>
      </c>
      <c r="N565" s="37"/>
      <c r="O565" s="211"/>
    </row>
    <row r="566">
      <c r="A566" s="31">
        <v>186.0</v>
      </c>
      <c r="B566" s="229">
        <v>3.1469611E7</v>
      </c>
      <c r="C566" s="230">
        <v>45818.0</v>
      </c>
      <c r="D566" s="79" t="s">
        <v>1115</v>
      </c>
      <c r="E566" s="230" t="s">
        <v>225</v>
      </c>
      <c r="F566" s="79" t="s">
        <v>22</v>
      </c>
      <c r="G566" s="158"/>
      <c r="H566" s="63" t="s">
        <v>1116</v>
      </c>
      <c r="I566" s="34" t="s">
        <v>837</v>
      </c>
      <c r="J566" s="77">
        <v>1.0</v>
      </c>
      <c r="K566" s="77" t="s">
        <v>838</v>
      </c>
      <c r="L566" s="210">
        <v>37772.0</v>
      </c>
      <c r="M566" s="41">
        <f t="shared" si="1"/>
        <v>37772</v>
      </c>
      <c r="N566" s="41" t="s">
        <v>842</v>
      </c>
      <c r="O566" s="211"/>
    </row>
    <row r="567">
      <c r="A567" s="31">
        <v>187.0</v>
      </c>
      <c r="B567" s="229">
        <v>5898.0</v>
      </c>
      <c r="C567" s="230">
        <v>45818.0</v>
      </c>
      <c r="D567" s="79" t="s">
        <v>1096</v>
      </c>
      <c r="E567" s="230" t="s">
        <v>1083</v>
      </c>
      <c r="F567" s="79">
        <v>1233.0</v>
      </c>
      <c r="G567" s="97">
        <v>45830.0</v>
      </c>
      <c r="H567" s="63" t="s">
        <v>1097</v>
      </c>
      <c r="I567" s="34" t="s">
        <v>122</v>
      </c>
      <c r="J567" s="77">
        <v>360.0</v>
      </c>
      <c r="K567" s="77" t="s">
        <v>391</v>
      </c>
      <c r="L567" s="210">
        <v>431.0</v>
      </c>
      <c r="M567" s="41">
        <f t="shared" si="1"/>
        <v>155160</v>
      </c>
      <c r="N567" s="41" t="s">
        <v>1098</v>
      </c>
      <c r="O567" s="211"/>
    </row>
    <row r="568">
      <c r="A568" s="31">
        <v>188.0</v>
      </c>
      <c r="B568" s="257">
        <v>28669.0</v>
      </c>
      <c r="C568" s="258">
        <v>45818.0</v>
      </c>
      <c r="D568" s="257" t="s">
        <v>1080</v>
      </c>
      <c r="E568" s="258">
        <v>45874.0</v>
      </c>
      <c r="F568" s="257" t="s">
        <v>92</v>
      </c>
      <c r="G568" s="112"/>
      <c r="H568" s="112" t="s">
        <v>1117</v>
      </c>
      <c r="I568" s="112" t="s">
        <v>24</v>
      </c>
      <c r="J568" s="257">
        <v>25.0</v>
      </c>
      <c r="K568" s="257" t="s">
        <v>25</v>
      </c>
      <c r="L568" s="259">
        <v>59.28</v>
      </c>
      <c r="M568" s="41">
        <f t="shared" si="1"/>
        <v>1482</v>
      </c>
      <c r="N568" s="260" t="s">
        <v>1081</v>
      </c>
      <c r="O568" s="111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</row>
    <row r="569">
      <c r="A569" s="31">
        <v>189.0</v>
      </c>
      <c r="B569" s="229">
        <v>5899.0</v>
      </c>
      <c r="C569" s="230">
        <v>45819.0</v>
      </c>
      <c r="D569" s="79" t="s">
        <v>1096</v>
      </c>
      <c r="E569" s="230" t="s">
        <v>1083</v>
      </c>
      <c r="F569" s="79">
        <v>1233.0</v>
      </c>
      <c r="G569" s="97">
        <v>45830.0</v>
      </c>
      <c r="H569" s="63" t="s">
        <v>1097</v>
      </c>
      <c r="I569" s="34" t="s">
        <v>122</v>
      </c>
      <c r="J569" s="77">
        <v>360.0</v>
      </c>
      <c r="K569" s="77" t="s">
        <v>391</v>
      </c>
      <c r="L569" s="210">
        <v>431.0</v>
      </c>
      <c r="M569" s="41">
        <f t="shared" si="1"/>
        <v>155160</v>
      </c>
      <c r="N569" s="41" t="s">
        <v>1098</v>
      </c>
      <c r="O569" s="211"/>
    </row>
    <row r="570">
      <c r="A570" s="31">
        <v>190.0</v>
      </c>
      <c r="B570" s="229">
        <v>5900.0</v>
      </c>
      <c r="C570" s="230">
        <v>45819.0</v>
      </c>
      <c r="D570" s="79" t="s">
        <v>1096</v>
      </c>
      <c r="E570" s="230" t="s">
        <v>1083</v>
      </c>
      <c r="F570" s="79">
        <v>1233.0</v>
      </c>
      <c r="G570" s="97">
        <v>45830.0</v>
      </c>
      <c r="H570" s="63" t="s">
        <v>1097</v>
      </c>
      <c r="I570" s="34" t="s">
        <v>122</v>
      </c>
      <c r="J570" s="77">
        <v>360.0</v>
      </c>
      <c r="K570" s="77" t="s">
        <v>391</v>
      </c>
      <c r="L570" s="210">
        <v>431.0</v>
      </c>
      <c r="M570" s="41">
        <f t="shared" si="1"/>
        <v>155160</v>
      </c>
      <c r="N570" s="41" t="s">
        <v>1098</v>
      </c>
      <c r="O570" s="211"/>
    </row>
    <row r="571">
      <c r="A571" s="31">
        <v>191.0</v>
      </c>
      <c r="B571" s="229">
        <v>189.0</v>
      </c>
      <c r="C571" s="230">
        <v>45821.0</v>
      </c>
      <c r="D571" s="79" t="s">
        <v>1118</v>
      </c>
      <c r="E571" s="230" t="s">
        <v>1073</v>
      </c>
      <c r="F571" s="79">
        <v>1223.0</v>
      </c>
      <c r="G571" s="97">
        <v>45823.0</v>
      </c>
      <c r="H571" s="63" t="s">
        <v>245</v>
      </c>
      <c r="I571" s="34" t="s">
        <v>55</v>
      </c>
      <c r="J571" s="77">
        <v>6.0</v>
      </c>
      <c r="K571" s="77" t="s">
        <v>207</v>
      </c>
      <c r="L571" s="210">
        <v>23920.0</v>
      </c>
      <c r="M571" s="41">
        <f t="shared" si="1"/>
        <v>143520</v>
      </c>
      <c r="N571" s="41" t="s">
        <v>246</v>
      </c>
      <c r="O571" s="211"/>
    </row>
    <row r="572">
      <c r="A572" s="31">
        <v>192.0</v>
      </c>
      <c r="B572" s="229">
        <v>190.0</v>
      </c>
      <c r="C572" s="230">
        <v>45821.0</v>
      </c>
      <c r="D572" s="79" t="s">
        <v>1118</v>
      </c>
      <c r="E572" s="230" t="s">
        <v>1073</v>
      </c>
      <c r="F572" s="79">
        <v>1223.0</v>
      </c>
      <c r="G572" s="97">
        <v>45823.0</v>
      </c>
      <c r="H572" s="63" t="s">
        <v>238</v>
      </c>
      <c r="I572" s="34" t="s">
        <v>55</v>
      </c>
      <c r="J572" s="77">
        <v>6.0</v>
      </c>
      <c r="K572" s="77" t="s">
        <v>207</v>
      </c>
      <c r="L572" s="210">
        <v>11890.0</v>
      </c>
      <c r="M572" s="41">
        <f t="shared" si="1"/>
        <v>71340</v>
      </c>
      <c r="N572" s="41" t="s">
        <v>246</v>
      </c>
      <c r="O572" s="211"/>
    </row>
    <row r="573">
      <c r="A573" s="31">
        <v>193.0</v>
      </c>
      <c r="B573" s="229">
        <v>196.0</v>
      </c>
      <c r="C573" s="230">
        <v>45822.0</v>
      </c>
      <c r="D573" s="79" t="s">
        <v>1119</v>
      </c>
      <c r="E573" s="230">
        <v>45835.0</v>
      </c>
      <c r="F573" s="79">
        <v>1236.0</v>
      </c>
      <c r="G573" s="97">
        <v>45830.0</v>
      </c>
      <c r="H573" s="63" t="s">
        <v>1120</v>
      </c>
      <c r="I573" s="34" t="s">
        <v>55</v>
      </c>
      <c r="J573" s="77">
        <v>10.0</v>
      </c>
      <c r="K573" s="77" t="s">
        <v>207</v>
      </c>
      <c r="L573" s="210">
        <v>23920.0</v>
      </c>
      <c r="M573" s="41">
        <f t="shared" si="1"/>
        <v>239200</v>
      </c>
      <c r="N573" s="41" t="s">
        <v>246</v>
      </c>
      <c r="O573" s="211"/>
    </row>
    <row r="574">
      <c r="A574" s="31">
        <v>194.0</v>
      </c>
      <c r="B574" s="229">
        <v>197.0</v>
      </c>
      <c r="C574" s="230">
        <v>45823.0</v>
      </c>
      <c r="D574" s="79" t="s">
        <v>1119</v>
      </c>
      <c r="E574" s="230">
        <v>45835.0</v>
      </c>
      <c r="F574" s="79">
        <v>1236.0</v>
      </c>
      <c r="G574" s="97">
        <v>45830.0</v>
      </c>
      <c r="H574" s="63" t="s">
        <v>1120</v>
      </c>
      <c r="I574" s="34" t="s">
        <v>55</v>
      </c>
      <c r="J574" s="77">
        <v>4.0</v>
      </c>
      <c r="K574" s="77" t="s">
        <v>207</v>
      </c>
      <c r="L574" s="210">
        <v>23920.0</v>
      </c>
      <c r="M574" s="41">
        <f t="shared" si="1"/>
        <v>95680</v>
      </c>
      <c r="N574" s="41" t="s">
        <v>246</v>
      </c>
      <c r="O574" s="211"/>
    </row>
    <row r="575">
      <c r="A575" s="42">
        <v>196.0</v>
      </c>
      <c r="B575" s="231">
        <v>711.0</v>
      </c>
      <c r="C575" s="233">
        <v>45823.0</v>
      </c>
      <c r="D575" s="232" t="s">
        <v>1121</v>
      </c>
      <c r="E575" s="233" t="s">
        <v>1073</v>
      </c>
      <c r="F575" s="232">
        <v>1224.0</v>
      </c>
      <c r="G575" s="76">
        <v>45824.0</v>
      </c>
      <c r="H575" s="63" t="s">
        <v>1122</v>
      </c>
      <c r="I575" s="34" t="s">
        <v>51</v>
      </c>
      <c r="J575" s="77">
        <v>4.0</v>
      </c>
      <c r="K575" s="77" t="s">
        <v>156</v>
      </c>
      <c r="L575" s="210">
        <v>250.0</v>
      </c>
      <c r="M575" s="41">
        <f t="shared" si="1"/>
        <v>1000</v>
      </c>
      <c r="N575" s="41" t="s">
        <v>99</v>
      </c>
      <c r="O575" s="211"/>
    </row>
    <row r="576">
      <c r="A576" s="47"/>
      <c r="B576" s="47"/>
      <c r="C576" s="47"/>
      <c r="D576" s="47"/>
      <c r="E576" s="47"/>
      <c r="F576" s="47"/>
      <c r="G576" s="47"/>
      <c r="H576" s="63" t="s">
        <v>1123</v>
      </c>
      <c r="I576" s="34" t="s">
        <v>51</v>
      </c>
      <c r="J576" s="77">
        <v>4.0</v>
      </c>
      <c r="K576" s="77" t="s">
        <v>156</v>
      </c>
      <c r="L576" s="210">
        <v>475.0</v>
      </c>
      <c r="M576" s="41">
        <f t="shared" si="1"/>
        <v>1900</v>
      </c>
      <c r="N576" s="41" t="s">
        <v>99</v>
      </c>
      <c r="O576" s="211"/>
    </row>
    <row r="577">
      <c r="A577" s="47"/>
      <c r="B577" s="47"/>
      <c r="C577" s="47"/>
      <c r="D577" s="47"/>
      <c r="E577" s="47"/>
      <c r="F577" s="47"/>
      <c r="G577" s="47"/>
      <c r="H577" s="63" t="s">
        <v>1124</v>
      </c>
      <c r="I577" s="34" t="s">
        <v>51</v>
      </c>
      <c r="J577" s="77">
        <v>2.0</v>
      </c>
      <c r="K577" s="77" t="s">
        <v>156</v>
      </c>
      <c r="L577" s="210">
        <v>1030.0</v>
      </c>
      <c r="M577" s="41">
        <f t="shared" si="1"/>
        <v>2060</v>
      </c>
      <c r="N577" s="41" t="s">
        <v>99</v>
      </c>
      <c r="O577" s="211"/>
    </row>
    <row r="578">
      <c r="A578" s="48"/>
      <c r="B578" s="48"/>
      <c r="C578" s="48"/>
      <c r="D578" s="48"/>
      <c r="E578" s="48"/>
      <c r="F578" s="48"/>
      <c r="G578" s="48"/>
      <c r="H578" s="63" t="s">
        <v>1125</v>
      </c>
      <c r="I578" s="34" t="s">
        <v>51</v>
      </c>
      <c r="J578" s="77">
        <v>1.0</v>
      </c>
      <c r="K578" s="77" t="s">
        <v>89</v>
      </c>
      <c r="L578" s="210">
        <v>1475.0</v>
      </c>
      <c r="M578" s="41">
        <f t="shared" si="1"/>
        <v>1475</v>
      </c>
      <c r="N578" s="41" t="s">
        <v>99</v>
      </c>
      <c r="O578" s="211"/>
    </row>
    <row r="579">
      <c r="A579" s="42">
        <v>197.0</v>
      </c>
      <c r="B579" s="231" t="s">
        <v>1126</v>
      </c>
      <c r="C579" s="233">
        <v>45824.0</v>
      </c>
      <c r="D579" s="232" t="s">
        <v>1127</v>
      </c>
      <c r="E579" s="233" t="s">
        <v>1086</v>
      </c>
      <c r="F579" s="232">
        <v>1224.0</v>
      </c>
      <c r="G579" s="76">
        <v>45824.0</v>
      </c>
      <c r="H579" s="63" t="s">
        <v>1128</v>
      </c>
      <c r="I579" s="34" t="s">
        <v>51</v>
      </c>
      <c r="J579" s="77">
        <v>1.0</v>
      </c>
      <c r="K579" s="77" t="s">
        <v>89</v>
      </c>
      <c r="L579" s="210">
        <v>11584.0</v>
      </c>
      <c r="M579" s="41">
        <f t="shared" si="1"/>
        <v>11584</v>
      </c>
      <c r="N579" s="41" t="s">
        <v>107</v>
      </c>
      <c r="O579" s="211"/>
    </row>
    <row r="580">
      <c r="A580" s="47"/>
      <c r="B580" s="47"/>
      <c r="C580" s="47"/>
      <c r="D580" s="47"/>
      <c r="E580" s="47"/>
      <c r="F580" s="47"/>
      <c r="G580" s="47"/>
      <c r="H580" s="63" t="s">
        <v>1129</v>
      </c>
      <c r="I580" s="34" t="s">
        <v>29</v>
      </c>
      <c r="J580" s="77">
        <v>10.0</v>
      </c>
      <c r="K580" s="77" t="s">
        <v>89</v>
      </c>
      <c r="L580" s="210">
        <v>170.0</v>
      </c>
      <c r="M580" s="41">
        <f t="shared" si="1"/>
        <v>1700</v>
      </c>
      <c r="N580" s="41" t="s">
        <v>107</v>
      </c>
      <c r="O580" s="211"/>
    </row>
    <row r="581">
      <c r="A581" s="48"/>
      <c r="B581" s="48"/>
      <c r="C581" s="48"/>
      <c r="D581" s="48"/>
      <c r="E581" s="48"/>
      <c r="F581" s="48"/>
      <c r="G581" s="48"/>
      <c r="H581" s="63" t="s">
        <v>1130</v>
      </c>
      <c r="I581" s="34" t="s">
        <v>55</v>
      </c>
      <c r="J581" s="77">
        <v>6.0</v>
      </c>
      <c r="K581" s="77" t="s">
        <v>98</v>
      </c>
      <c r="L581" s="210">
        <v>2115.0</v>
      </c>
      <c r="M581" s="41">
        <f t="shared" si="1"/>
        <v>12690</v>
      </c>
      <c r="N581" s="41" t="s">
        <v>107</v>
      </c>
      <c r="O581" s="211"/>
    </row>
    <row r="582">
      <c r="A582" s="31">
        <v>198.0</v>
      </c>
      <c r="B582" s="229">
        <v>703.0</v>
      </c>
      <c r="C582" s="230">
        <v>45824.0</v>
      </c>
      <c r="D582" s="79" t="s">
        <v>1121</v>
      </c>
      <c r="E582" s="230" t="s">
        <v>1131</v>
      </c>
      <c r="F582" s="79">
        <v>1224.0</v>
      </c>
      <c r="G582" s="97">
        <v>45824.0</v>
      </c>
      <c r="H582" s="63" t="s">
        <v>1132</v>
      </c>
      <c r="I582" s="34" t="s">
        <v>29</v>
      </c>
      <c r="J582" s="77">
        <v>50.0</v>
      </c>
      <c r="K582" s="77" t="s">
        <v>156</v>
      </c>
      <c r="L582" s="210">
        <v>130.0</v>
      </c>
      <c r="M582" s="41">
        <f t="shared" si="1"/>
        <v>6500</v>
      </c>
      <c r="N582" s="41" t="s">
        <v>99</v>
      </c>
      <c r="O582" s="211"/>
    </row>
    <row r="583">
      <c r="A583" s="31">
        <v>199.0</v>
      </c>
      <c r="B583" s="229" t="s">
        <v>1133</v>
      </c>
      <c r="C583" s="230">
        <v>45824.0</v>
      </c>
      <c r="D583" s="79" t="s">
        <v>1134</v>
      </c>
      <c r="E583" s="230" t="s">
        <v>196</v>
      </c>
      <c r="F583" s="79">
        <v>1224.0</v>
      </c>
      <c r="G583" s="97">
        <v>45824.0</v>
      </c>
      <c r="H583" s="63" t="s">
        <v>1135</v>
      </c>
      <c r="I583" s="34" t="s">
        <v>547</v>
      </c>
      <c r="J583" s="77">
        <v>10.0</v>
      </c>
      <c r="K583" s="77" t="s">
        <v>89</v>
      </c>
      <c r="L583" s="210">
        <v>240.0</v>
      </c>
      <c r="M583" s="41">
        <f t="shared" si="1"/>
        <v>2400</v>
      </c>
      <c r="N583" s="41" t="s">
        <v>1136</v>
      </c>
      <c r="O583" s="211"/>
    </row>
    <row r="584">
      <c r="A584" s="31">
        <v>200.0</v>
      </c>
      <c r="B584" s="224">
        <v>192.0</v>
      </c>
      <c r="C584" s="230">
        <v>45824.0</v>
      </c>
      <c r="D584" s="79" t="s">
        <v>1137</v>
      </c>
      <c r="E584" s="230">
        <v>45835.0</v>
      </c>
      <c r="F584" s="79">
        <v>1236.0</v>
      </c>
      <c r="G584" s="97">
        <v>45830.0</v>
      </c>
      <c r="H584" s="63" t="s">
        <v>238</v>
      </c>
      <c r="I584" s="34" t="s">
        <v>55</v>
      </c>
      <c r="J584" s="77">
        <v>6.0</v>
      </c>
      <c r="K584" s="77" t="s">
        <v>207</v>
      </c>
      <c r="L584" s="210">
        <v>11890.0</v>
      </c>
      <c r="M584" s="41">
        <f t="shared" si="1"/>
        <v>71340</v>
      </c>
      <c r="N584" s="41" t="s">
        <v>246</v>
      </c>
      <c r="O584" s="211"/>
    </row>
    <row r="585">
      <c r="A585" s="31">
        <v>201.0</v>
      </c>
      <c r="B585" s="229">
        <v>52.0</v>
      </c>
      <c r="C585" s="230">
        <v>45825.0</v>
      </c>
      <c r="D585" s="79" t="s">
        <v>1138</v>
      </c>
      <c r="E585" s="230" t="s">
        <v>196</v>
      </c>
      <c r="F585" s="79">
        <v>1229.0</v>
      </c>
      <c r="G585" s="97">
        <v>45830.0</v>
      </c>
      <c r="H585" s="63" t="s">
        <v>1139</v>
      </c>
      <c r="I585" s="34" t="s">
        <v>51</v>
      </c>
      <c r="J585" s="77">
        <v>1.0</v>
      </c>
      <c r="K585" s="77" t="s">
        <v>89</v>
      </c>
      <c r="L585" s="210">
        <v>35300.0</v>
      </c>
      <c r="M585" s="41">
        <f t="shared" si="1"/>
        <v>35300</v>
      </c>
      <c r="N585" s="41" t="s">
        <v>417</v>
      </c>
      <c r="O585" s="211"/>
    </row>
    <row r="586">
      <c r="A586" s="31">
        <v>202.0</v>
      </c>
      <c r="B586" s="229">
        <v>193.0</v>
      </c>
      <c r="C586" s="230">
        <v>45825.0</v>
      </c>
      <c r="D586" s="79" t="s">
        <v>1137</v>
      </c>
      <c r="E586" s="230">
        <v>45835.0</v>
      </c>
      <c r="F586" s="79">
        <v>1236.0</v>
      </c>
      <c r="G586" s="97">
        <v>45830.0</v>
      </c>
      <c r="H586" s="63" t="s">
        <v>238</v>
      </c>
      <c r="I586" s="34" t="s">
        <v>55</v>
      </c>
      <c r="J586" s="77">
        <v>7.0</v>
      </c>
      <c r="K586" s="77" t="s">
        <v>207</v>
      </c>
      <c r="L586" s="210">
        <v>11890.0</v>
      </c>
      <c r="M586" s="41">
        <f t="shared" si="1"/>
        <v>83230</v>
      </c>
      <c r="N586" s="41" t="s">
        <v>246</v>
      </c>
      <c r="O586" s="211"/>
    </row>
    <row r="587">
      <c r="A587" s="31">
        <v>203.0</v>
      </c>
      <c r="B587" s="229">
        <v>1221.0</v>
      </c>
      <c r="C587" s="230">
        <v>45825.0</v>
      </c>
      <c r="D587" s="79" t="s">
        <v>1140</v>
      </c>
      <c r="E587" s="230" t="s">
        <v>196</v>
      </c>
      <c r="F587" s="79">
        <v>1227.0</v>
      </c>
      <c r="G587" s="97">
        <v>45827.0</v>
      </c>
      <c r="H587" s="63" t="s">
        <v>1141</v>
      </c>
      <c r="I587" s="34" t="s">
        <v>51</v>
      </c>
      <c r="J587" s="77">
        <v>1.0</v>
      </c>
      <c r="K587" s="77" t="s">
        <v>89</v>
      </c>
      <c r="L587" s="210">
        <v>3250.0</v>
      </c>
      <c r="M587" s="41">
        <f t="shared" si="1"/>
        <v>3250</v>
      </c>
      <c r="N587" s="41" t="s">
        <v>417</v>
      </c>
      <c r="O587" s="211"/>
    </row>
    <row r="588">
      <c r="A588" s="31">
        <v>204.0</v>
      </c>
      <c r="B588" s="229">
        <v>194.0</v>
      </c>
      <c r="C588" s="230">
        <v>45826.0</v>
      </c>
      <c r="D588" s="79" t="s">
        <v>1137</v>
      </c>
      <c r="E588" s="230">
        <v>45835.0</v>
      </c>
      <c r="F588" s="79">
        <v>1236.0</v>
      </c>
      <c r="G588" s="97">
        <v>45830.0</v>
      </c>
      <c r="H588" s="63" t="s">
        <v>238</v>
      </c>
      <c r="I588" s="34" t="s">
        <v>55</v>
      </c>
      <c r="J588" s="77">
        <v>10.0</v>
      </c>
      <c r="K588" s="77" t="s">
        <v>207</v>
      </c>
      <c r="L588" s="210">
        <v>11890.0</v>
      </c>
      <c r="M588" s="41">
        <f t="shared" si="1"/>
        <v>118900</v>
      </c>
      <c r="N588" s="41" t="s">
        <v>246</v>
      </c>
      <c r="O588" s="211"/>
    </row>
    <row r="589">
      <c r="A589" s="31">
        <v>205.0</v>
      </c>
      <c r="B589" s="229">
        <v>726.0</v>
      </c>
      <c r="C589" s="230">
        <v>45826.0</v>
      </c>
      <c r="D589" s="79" t="s">
        <v>1142</v>
      </c>
      <c r="E589" s="230" t="s">
        <v>196</v>
      </c>
      <c r="F589" s="79">
        <v>1231.0</v>
      </c>
      <c r="G589" s="97">
        <v>45830.0</v>
      </c>
      <c r="H589" s="63" t="s">
        <v>1143</v>
      </c>
      <c r="I589" s="34" t="s">
        <v>60</v>
      </c>
      <c r="J589" s="77">
        <v>15.0</v>
      </c>
      <c r="K589" s="77" t="s">
        <v>156</v>
      </c>
      <c r="L589" s="210">
        <v>525.0</v>
      </c>
      <c r="M589" s="41">
        <f t="shared" si="1"/>
        <v>7875</v>
      </c>
      <c r="N589" s="41" t="s">
        <v>99</v>
      </c>
      <c r="O589" s="211"/>
    </row>
    <row r="590">
      <c r="A590" s="31">
        <v>206.0</v>
      </c>
      <c r="B590" s="229" t="s">
        <v>1144</v>
      </c>
      <c r="C590" s="230">
        <v>45826.0</v>
      </c>
      <c r="D590" s="79" t="s">
        <v>1145</v>
      </c>
      <c r="E590" s="230" t="s">
        <v>196</v>
      </c>
      <c r="F590" s="79" t="s">
        <v>1146</v>
      </c>
      <c r="G590" s="97">
        <v>45830.0</v>
      </c>
      <c r="H590" s="63" t="s">
        <v>1147</v>
      </c>
      <c r="I590" s="34" t="s">
        <v>547</v>
      </c>
      <c r="J590" s="77">
        <v>2.0</v>
      </c>
      <c r="K590" s="77" t="s">
        <v>156</v>
      </c>
      <c r="L590" s="210">
        <v>6936.0</v>
      </c>
      <c r="M590" s="41">
        <f t="shared" si="1"/>
        <v>13872</v>
      </c>
      <c r="N590" s="41" t="s">
        <v>570</v>
      </c>
      <c r="O590" s="211"/>
    </row>
    <row r="591">
      <c r="A591" s="31">
        <v>207.0</v>
      </c>
      <c r="B591" s="229">
        <v>4189.0</v>
      </c>
      <c r="C591" s="230">
        <v>45827.0</v>
      </c>
      <c r="D591" s="79" t="s">
        <v>1140</v>
      </c>
      <c r="E591" s="230" t="s">
        <v>196</v>
      </c>
      <c r="F591" s="79">
        <v>1227.0</v>
      </c>
      <c r="G591" s="97">
        <v>45827.0</v>
      </c>
      <c r="H591" s="63" t="s">
        <v>1148</v>
      </c>
      <c r="I591" s="34" t="s">
        <v>429</v>
      </c>
      <c r="J591" s="77">
        <v>1.0</v>
      </c>
      <c r="K591" s="77" t="s">
        <v>89</v>
      </c>
      <c r="L591" s="210">
        <v>3109.0</v>
      </c>
      <c r="M591" s="41">
        <f t="shared" si="1"/>
        <v>3109</v>
      </c>
      <c r="N591" s="41" t="s">
        <v>753</v>
      </c>
      <c r="O591" s="211"/>
    </row>
    <row r="592">
      <c r="A592" s="257">
        <v>208.0</v>
      </c>
      <c r="B592" s="257">
        <v>27.0</v>
      </c>
      <c r="C592" s="258">
        <v>45827.0</v>
      </c>
      <c r="D592" s="257" t="s">
        <v>1149</v>
      </c>
      <c r="E592" s="258">
        <v>45868.0</v>
      </c>
      <c r="F592" s="257">
        <v>810.0</v>
      </c>
      <c r="G592" s="268">
        <v>45860.0</v>
      </c>
      <c r="H592" s="112" t="s">
        <v>1150</v>
      </c>
      <c r="I592" s="112" t="s">
        <v>547</v>
      </c>
      <c r="J592" s="257">
        <v>1.0</v>
      </c>
      <c r="K592" s="257" t="s">
        <v>89</v>
      </c>
      <c r="L592" s="259">
        <v>62700.0</v>
      </c>
      <c r="M592" s="41">
        <f t="shared" si="1"/>
        <v>62700</v>
      </c>
      <c r="N592" s="260" t="s">
        <v>1151</v>
      </c>
      <c r="O592" s="111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</row>
    <row r="593">
      <c r="A593" s="31">
        <v>209.0</v>
      </c>
      <c r="B593" s="229">
        <v>195.0</v>
      </c>
      <c r="C593" s="230">
        <v>45463.0</v>
      </c>
      <c r="D593" s="79" t="s">
        <v>1137</v>
      </c>
      <c r="E593" s="230">
        <v>45835.0</v>
      </c>
      <c r="F593" s="79">
        <v>1236.0</v>
      </c>
      <c r="G593" s="97">
        <v>45830.0</v>
      </c>
      <c r="H593" s="63" t="s">
        <v>238</v>
      </c>
      <c r="I593" s="34" t="s">
        <v>55</v>
      </c>
      <c r="J593" s="77">
        <v>6.0</v>
      </c>
      <c r="K593" s="77" t="s">
        <v>207</v>
      </c>
      <c r="L593" s="210">
        <v>11890.0</v>
      </c>
      <c r="M593" s="41">
        <f t="shared" si="1"/>
        <v>71340</v>
      </c>
      <c r="N593" s="41" t="s">
        <v>246</v>
      </c>
      <c r="O593" s="211"/>
    </row>
    <row r="594">
      <c r="A594" s="31">
        <v>230.0</v>
      </c>
      <c r="B594" s="229">
        <v>662.0</v>
      </c>
      <c r="C594" s="230">
        <v>45828.0</v>
      </c>
      <c r="D594" s="79" t="s">
        <v>1140</v>
      </c>
      <c r="E594" s="230" t="s">
        <v>196</v>
      </c>
      <c r="F594" s="79">
        <v>1235.0</v>
      </c>
      <c r="G594" s="97">
        <v>45830.0</v>
      </c>
      <c r="H594" s="63" t="s">
        <v>1152</v>
      </c>
      <c r="I594" s="34" t="s">
        <v>547</v>
      </c>
      <c r="J594" s="77">
        <v>1.0</v>
      </c>
      <c r="K594" s="77" t="s">
        <v>319</v>
      </c>
      <c r="L594" s="210">
        <v>3395.0</v>
      </c>
      <c r="M594" s="41">
        <f t="shared" si="1"/>
        <v>3395</v>
      </c>
      <c r="N594" s="41" t="s">
        <v>1153</v>
      </c>
      <c r="O594" s="211"/>
    </row>
    <row r="595">
      <c r="A595" s="31">
        <v>231.0</v>
      </c>
      <c r="B595" s="229">
        <v>1472940.0</v>
      </c>
      <c r="C595" s="230">
        <v>45830.0</v>
      </c>
      <c r="D595" s="79" t="s">
        <v>1140</v>
      </c>
      <c r="E595" s="230" t="s">
        <v>196</v>
      </c>
      <c r="F595" s="79">
        <v>1231.0</v>
      </c>
      <c r="G595" s="97">
        <v>45830.0</v>
      </c>
      <c r="H595" s="63" t="s">
        <v>36</v>
      </c>
      <c r="I595" s="34" t="s">
        <v>24</v>
      </c>
      <c r="J595" s="77">
        <v>240.0</v>
      </c>
      <c r="K595" s="77" t="s">
        <v>25</v>
      </c>
      <c r="L595" s="210">
        <v>61.42</v>
      </c>
      <c r="M595" s="41">
        <f t="shared" si="1"/>
        <v>14740.8</v>
      </c>
      <c r="N595" s="41" t="s">
        <v>91</v>
      </c>
      <c r="O595" s="211"/>
    </row>
    <row r="596">
      <c r="A596" s="42">
        <v>233.0</v>
      </c>
      <c r="B596" s="269">
        <v>201744.0</v>
      </c>
      <c r="C596" s="270">
        <v>45834.0</v>
      </c>
      <c r="D596" s="271" t="s">
        <v>1154</v>
      </c>
      <c r="E596" s="270" t="s">
        <v>1083</v>
      </c>
      <c r="F596" s="271">
        <v>1239.0</v>
      </c>
      <c r="G596" s="247">
        <v>45836.0</v>
      </c>
      <c r="H596" s="85" t="s">
        <v>38</v>
      </c>
      <c r="I596" s="34" t="s">
        <v>24</v>
      </c>
      <c r="J596" s="77">
        <v>240.0</v>
      </c>
      <c r="K596" s="77" t="s">
        <v>39</v>
      </c>
      <c r="L596" s="210">
        <v>20.0</v>
      </c>
      <c r="M596" s="41">
        <f t="shared" si="1"/>
        <v>4800</v>
      </c>
      <c r="N596" s="41" t="s">
        <v>1114</v>
      </c>
      <c r="O596" s="211"/>
    </row>
    <row r="597">
      <c r="A597" s="48"/>
      <c r="B597" s="48"/>
      <c r="C597" s="48"/>
      <c r="D597" s="48"/>
      <c r="E597" s="48"/>
      <c r="F597" s="48"/>
      <c r="G597" s="48"/>
      <c r="H597" s="63" t="s">
        <v>1155</v>
      </c>
      <c r="I597" s="34" t="s">
        <v>24</v>
      </c>
      <c r="J597" s="77">
        <v>200.0</v>
      </c>
      <c r="K597" s="77" t="s">
        <v>25</v>
      </c>
      <c r="L597" s="210">
        <v>46.0</v>
      </c>
      <c r="M597" s="41">
        <f t="shared" si="1"/>
        <v>9200</v>
      </c>
      <c r="N597" s="37"/>
      <c r="O597" s="211"/>
    </row>
    <row r="598">
      <c r="A598" s="42">
        <v>236.0</v>
      </c>
      <c r="B598" s="231">
        <v>935.0</v>
      </c>
      <c r="C598" s="233">
        <v>45834.0</v>
      </c>
      <c r="D598" s="232" t="s">
        <v>1154</v>
      </c>
      <c r="E598" s="233" t="s">
        <v>1083</v>
      </c>
      <c r="F598" s="232">
        <v>1239.0</v>
      </c>
      <c r="G598" s="76">
        <v>45836.0</v>
      </c>
      <c r="H598" s="63" t="s">
        <v>1156</v>
      </c>
      <c r="I598" s="34" t="s">
        <v>29</v>
      </c>
      <c r="J598" s="77">
        <v>2.0</v>
      </c>
      <c r="K598" s="77" t="s">
        <v>888</v>
      </c>
      <c r="L598" s="210">
        <v>690.0</v>
      </c>
      <c r="M598" s="41">
        <f t="shared" si="1"/>
        <v>1380</v>
      </c>
      <c r="N598" s="41" t="s">
        <v>219</v>
      </c>
      <c r="O598" s="211"/>
    </row>
    <row r="599">
      <c r="A599" s="47"/>
      <c r="B599" s="47"/>
      <c r="C599" s="47"/>
      <c r="D599" s="47"/>
      <c r="E599" s="47"/>
      <c r="F599" s="47"/>
      <c r="G599" s="47"/>
      <c r="H599" s="63" t="s">
        <v>1157</v>
      </c>
      <c r="I599" s="34" t="s">
        <v>29</v>
      </c>
      <c r="J599" s="77">
        <v>1.0</v>
      </c>
      <c r="K599" s="77" t="s">
        <v>89</v>
      </c>
      <c r="L599" s="210">
        <v>500.0</v>
      </c>
      <c r="M599" s="41">
        <f t="shared" si="1"/>
        <v>500</v>
      </c>
      <c r="N599" s="41" t="s">
        <v>219</v>
      </c>
      <c r="O599" s="211"/>
    </row>
    <row r="600">
      <c r="A600" s="48"/>
      <c r="B600" s="48"/>
      <c r="C600" s="48"/>
      <c r="D600" s="48"/>
      <c r="E600" s="48"/>
      <c r="F600" s="48"/>
      <c r="G600" s="48"/>
      <c r="H600" s="63" t="s">
        <v>1158</v>
      </c>
      <c r="I600" s="34" t="s">
        <v>29</v>
      </c>
      <c r="J600" s="77">
        <v>1.0</v>
      </c>
      <c r="K600" s="77" t="s">
        <v>89</v>
      </c>
      <c r="L600" s="210">
        <v>350.0</v>
      </c>
      <c r="M600" s="41">
        <f t="shared" si="1"/>
        <v>350</v>
      </c>
      <c r="N600" s="41" t="s">
        <v>219</v>
      </c>
      <c r="O600" s="211"/>
    </row>
    <row r="601">
      <c r="A601" s="257">
        <v>237.0</v>
      </c>
      <c r="B601" s="257">
        <v>720.0</v>
      </c>
      <c r="C601" s="258">
        <v>45834.0</v>
      </c>
      <c r="D601" s="257" t="s">
        <v>1159</v>
      </c>
      <c r="E601" s="272">
        <v>45869.0</v>
      </c>
      <c r="F601" s="257">
        <v>1246.0</v>
      </c>
      <c r="G601" s="268">
        <v>45841.0</v>
      </c>
      <c r="H601" s="112" t="s">
        <v>1160</v>
      </c>
      <c r="I601" s="112" t="s">
        <v>42</v>
      </c>
      <c r="J601" s="257">
        <v>4.0</v>
      </c>
      <c r="K601" s="257" t="s">
        <v>89</v>
      </c>
      <c r="L601" s="259">
        <v>750.0</v>
      </c>
      <c r="M601" s="41">
        <f t="shared" si="1"/>
        <v>3000</v>
      </c>
      <c r="N601" s="260" t="s">
        <v>1161</v>
      </c>
      <c r="O601" s="111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</row>
    <row r="602">
      <c r="A602" s="257">
        <v>238.0</v>
      </c>
      <c r="B602" s="257">
        <v>41.0</v>
      </c>
      <c r="C602" s="258">
        <v>45835.0</v>
      </c>
      <c r="D602" s="257" t="s">
        <v>1159</v>
      </c>
      <c r="E602" s="258">
        <v>45869.0</v>
      </c>
      <c r="F602" s="257">
        <v>1244.0</v>
      </c>
      <c r="G602" s="268">
        <v>45841.0</v>
      </c>
      <c r="H602" s="112" t="s">
        <v>1162</v>
      </c>
      <c r="I602" s="112" t="s">
        <v>29</v>
      </c>
      <c r="J602" s="257">
        <v>1.0</v>
      </c>
      <c r="K602" s="257" t="s">
        <v>89</v>
      </c>
      <c r="L602" s="259">
        <v>590.0</v>
      </c>
      <c r="M602" s="41">
        <f t="shared" si="1"/>
        <v>590</v>
      </c>
      <c r="N602" s="260" t="s">
        <v>219</v>
      </c>
      <c r="O602" s="111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</row>
    <row r="603">
      <c r="A603" s="42">
        <v>239.0</v>
      </c>
      <c r="B603" s="231">
        <v>4564.0</v>
      </c>
      <c r="C603" s="233">
        <v>45835.0</v>
      </c>
      <c r="D603" s="232" t="s">
        <v>1154</v>
      </c>
      <c r="E603" s="233" t="s">
        <v>1083</v>
      </c>
      <c r="F603" s="232">
        <v>1239.0</v>
      </c>
      <c r="G603" s="76">
        <v>45836.0</v>
      </c>
      <c r="H603" s="63" t="s">
        <v>1163</v>
      </c>
      <c r="I603" s="34" t="s">
        <v>29</v>
      </c>
      <c r="J603" s="77">
        <v>2.0</v>
      </c>
      <c r="K603" s="77" t="s">
        <v>156</v>
      </c>
      <c r="L603" s="210">
        <v>490.0</v>
      </c>
      <c r="M603" s="41">
        <f t="shared" si="1"/>
        <v>980</v>
      </c>
      <c r="N603" s="41" t="s">
        <v>1164</v>
      </c>
      <c r="O603" s="211"/>
    </row>
    <row r="604">
      <c r="A604" s="48"/>
      <c r="B604" s="48"/>
      <c r="C604" s="48"/>
      <c r="D604" s="48"/>
      <c r="E604" s="48"/>
      <c r="F604" s="48"/>
      <c r="G604" s="48"/>
      <c r="H604" s="63" t="s">
        <v>1165</v>
      </c>
      <c r="I604" s="34" t="s">
        <v>29</v>
      </c>
      <c r="J604" s="77">
        <v>2.0</v>
      </c>
      <c r="K604" s="77" t="s">
        <v>156</v>
      </c>
      <c r="L604" s="210">
        <v>525.0</v>
      </c>
      <c r="M604" s="41">
        <f t="shared" si="1"/>
        <v>1050</v>
      </c>
      <c r="N604" s="41" t="s">
        <v>1164</v>
      </c>
      <c r="O604" s="211"/>
    </row>
    <row r="605">
      <c r="A605" s="257">
        <v>240.0</v>
      </c>
      <c r="B605" s="257">
        <v>1409.0</v>
      </c>
      <c r="C605" s="258">
        <v>45836.0</v>
      </c>
      <c r="D605" s="257" t="s">
        <v>1166</v>
      </c>
      <c r="E605" s="258">
        <v>45869.0</v>
      </c>
      <c r="F605" s="257">
        <v>1240.0</v>
      </c>
      <c r="G605" s="268">
        <v>45837.0</v>
      </c>
      <c r="H605" s="112" t="s">
        <v>1167</v>
      </c>
      <c r="I605" s="112" t="s">
        <v>29</v>
      </c>
      <c r="J605" s="257">
        <v>2.0</v>
      </c>
      <c r="K605" s="257" t="s">
        <v>1168</v>
      </c>
      <c r="L605" s="259">
        <v>350.0</v>
      </c>
      <c r="M605" s="41">
        <f t="shared" si="1"/>
        <v>700</v>
      </c>
      <c r="N605" s="260" t="s">
        <v>1169</v>
      </c>
      <c r="O605" s="111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</row>
    <row r="606">
      <c r="A606" s="257">
        <v>241.0</v>
      </c>
      <c r="B606" s="257">
        <v>1499711.0</v>
      </c>
      <c r="C606" s="258">
        <v>45837.0</v>
      </c>
      <c r="D606" s="257" t="s">
        <v>1166</v>
      </c>
      <c r="E606" s="258">
        <v>45869.0</v>
      </c>
      <c r="F606" s="257">
        <v>1240.0</v>
      </c>
      <c r="G606" s="268">
        <v>45837.0</v>
      </c>
      <c r="H606" s="112" t="s">
        <v>36</v>
      </c>
      <c r="I606" s="112" t="s">
        <v>24</v>
      </c>
      <c r="J606" s="257">
        <v>238.017</v>
      </c>
      <c r="K606" s="257" t="s">
        <v>25</v>
      </c>
      <c r="L606" s="259">
        <v>61.42</v>
      </c>
      <c r="M606" s="41">
        <f t="shared" si="1"/>
        <v>14619.00414</v>
      </c>
      <c r="N606" s="260" t="s">
        <v>91</v>
      </c>
      <c r="O606" s="111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</row>
    <row r="607">
      <c r="A607" s="257">
        <v>242.0</v>
      </c>
      <c r="B607" s="273">
        <v>1898.0</v>
      </c>
      <c r="C607" s="274">
        <v>45837.0</v>
      </c>
      <c r="D607" s="273" t="s">
        <v>1170</v>
      </c>
      <c r="E607" s="274">
        <v>45863.0</v>
      </c>
      <c r="F607" s="273" t="s">
        <v>92</v>
      </c>
      <c r="G607" s="115"/>
      <c r="H607" s="112" t="s">
        <v>1057</v>
      </c>
      <c r="I607" s="112" t="s">
        <v>837</v>
      </c>
      <c r="J607" s="257">
        <v>1.0</v>
      </c>
      <c r="K607" s="257" t="s">
        <v>838</v>
      </c>
      <c r="L607" s="259">
        <v>20075.0</v>
      </c>
      <c r="M607" s="41">
        <f t="shared" si="1"/>
        <v>20075</v>
      </c>
      <c r="N607" s="260" t="s">
        <v>839</v>
      </c>
      <c r="O607" s="202"/>
    </row>
    <row r="608">
      <c r="A608" s="257">
        <v>244.0</v>
      </c>
      <c r="B608" s="257">
        <v>765392.0</v>
      </c>
      <c r="C608" s="258">
        <v>45838.0</v>
      </c>
      <c r="D608" s="257" t="s">
        <v>1080</v>
      </c>
      <c r="E608" s="275">
        <v>45874.0</v>
      </c>
      <c r="F608" s="257" t="s">
        <v>92</v>
      </c>
      <c r="G608" s="112"/>
      <c r="H608" s="112" t="s">
        <v>1117</v>
      </c>
      <c r="I608" s="112" t="s">
        <v>24</v>
      </c>
      <c r="J608" s="257">
        <v>39.78</v>
      </c>
      <c r="K608" s="257" t="s">
        <v>25</v>
      </c>
      <c r="L608" s="259">
        <v>60.33</v>
      </c>
      <c r="M608" s="41">
        <f t="shared" si="1"/>
        <v>2399.9274</v>
      </c>
      <c r="N608" s="260" t="s">
        <v>1081</v>
      </c>
      <c r="O608" s="111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</row>
    <row r="609">
      <c r="A609" s="257">
        <v>245.0</v>
      </c>
      <c r="B609" s="257">
        <v>759.0</v>
      </c>
      <c r="C609" s="258">
        <v>45839.0</v>
      </c>
      <c r="D609" s="257" t="s">
        <v>1171</v>
      </c>
      <c r="E609" s="258">
        <v>45874.0</v>
      </c>
      <c r="F609" s="257">
        <v>1247.0</v>
      </c>
      <c r="G609" s="268">
        <v>45846.0</v>
      </c>
      <c r="H609" s="112" t="s">
        <v>1172</v>
      </c>
      <c r="I609" s="112" t="s">
        <v>55</v>
      </c>
      <c r="J609" s="257">
        <v>21.0</v>
      </c>
      <c r="K609" s="257" t="s">
        <v>654</v>
      </c>
      <c r="L609" s="259">
        <v>190.0</v>
      </c>
      <c r="M609" s="41">
        <f t="shared" si="1"/>
        <v>3990</v>
      </c>
      <c r="N609" s="260" t="s">
        <v>440</v>
      </c>
      <c r="O609" s="111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</row>
    <row r="610">
      <c r="A610" s="257">
        <v>246.0</v>
      </c>
      <c r="B610" s="257">
        <v>233212.0</v>
      </c>
      <c r="C610" s="258">
        <v>45841.0</v>
      </c>
      <c r="D610" s="257" t="s">
        <v>1166</v>
      </c>
      <c r="E610" s="258">
        <v>45869.0</v>
      </c>
      <c r="F610" s="257">
        <v>1245.0</v>
      </c>
      <c r="G610" s="268">
        <v>45841.0</v>
      </c>
      <c r="H610" s="112" t="s">
        <v>23</v>
      </c>
      <c r="I610" s="112" t="s">
        <v>24</v>
      </c>
      <c r="J610" s="257">
        <v>675.955</v>
      </c>
      <c r="K610" s="257" t="s">
        <v>25</v>
      </c>
      <c r="L610" s="259">
        <v>66.77</v>
      </c>
      <c r="M610" s="41">
        <f t="shared" si="1"/>
        <v>45133.51535</v>
      </c>
      <c r="N610" s="260" t="s">
        <v>91</v>
      </c>
      <c r="O610" s="111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</row>
    <row r="611">
      <c r="A611" s="257">
        <v>247.0</v>
      </c>
      <c r="B611" s="257">
        <v>1515002.0</v>
      </c>
      <c r="C611" s="258">
        <v>45841.0</v>
      </c>
      <c r="D611" s="257" t="s">
        <v>1166</v>
      </c>
      <c r="E611" s="258">
        <v>45869.0</v>
      </c>
      <c r="F611" s="257">
        <v>1245.0</v>
      </c>
      <c r="G611" s="268">
        <v>45841.0</v>
      </c>
      <c r="H611" s="112" t="s">
        <v>23</v>
      </c>
      <c r="I611" s="112" t="s">
        <v>24</v>
      </c>
      <c r="J611" s="257">
        <v>1396.045</v>
      </c>
      <c r="K611" s="257" t="s">
        <v>25</v>
      </c>
      <c r="L611" s="259">
        <v>66.77</v>
      </c>
      <c r="M611" s="41">
        <f t="shared" si="1"/>
        <v>93213.92465</v>
      </c>
      <c r="N611" s="260" t="s">
        <v>91</v>
      </c>
      <c r="O611" s="111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</row>
    <row r="612">
      <c r="A612" s="276">
        <v>248.0</v>
      </c>
      <c r="B612" s="276">
        <v>765.0</v>
      </c>
      <c r="C612" s="277">
        <v>45845.0</v>
      </c>
      <c r="D612" s="276" t="s">
        <v>1173</v>
      </c>
      <c r="E612" s="277">
        <v>45874.0</v>
      </c>
      <c r="F612" s="276">
        <v>806.0</v>
      </c>
      <c r="G612" s="278">
        <v>45852.0</v>
      </c>
      <c r="H612" s="112" t="s">
        <v>1174</v>
      </c>
      <c r="I612" s="112" t="s">
        <v>60</v>
      </c>
      <c r="J612" s="257">
        <v>6.0</v>
      </c>
      <c r="K612" s="257" t="s">
        <v>156</v>
      </c>
      <c r="L612" s="259">
        <v>5180.0</v>
      </c>
      <c r="M612" s="41">
        <f t="shared" si="1"/>
        <v>31080</v>
      </c>
      <c r="N612" s="260" t="s">
        <v>440</v>
      </c>
      <c r="O612" s="111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</row>
    <row r="613">
      <c r="A613" s="47"/>
      <c r="B613" s="47"/>
      <c r="C613" s="47"/>
      <c r="D613" s="47"/>
      <c r="E613" s="47"/>
      <c r="F613" s="47"/>
      <c r="G613" s="47"/>
      <c r="H613" s="112" t="s">
        <v>1175</v>
      </c>
      <c r="I613" s="112" t="s">
        <v>60</v>
      </c>
      <c r="J613" s="257">
        <v>6.0</v>
      </c>
      <c r="K613" s="257" t="s">
        <v>156</v>
      </c>
      <c r="L613" s="259">
        <v>3347.0</v>
      </c>
      <c r="M613" s="41">
        <f t="shared" si="1"/>
        <v>20082</v>
      </c>
      <c r="N613" s="260" t="s">
        <v>440</v>
      </c>
      <c r="O613" s="111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  <c r="AC613" s="117"/>
    </row>
    <row r="614">
      <c r="A614" s="47"/>
      <c r="B614" s="47"/>
      <c r="C614" s="47"/>
      <c r="D614" s="47"/>
      <c r="E614" s="47"/>
      <c r="F614" s="47"/>
      <c r="G614" s="47"/>
      <c r="H614" s="112" t="s">
        <v>1176</v>
      </c>
      <c r="I614" s="112" t="s">
        <v>60</v>
      </c>
      <c r="J614" s="257">
        <v>3.0</v>
      </c>
      <c r="K614" s="257" t="s">
        <v>156</v>
      </c>
      <c r="L614" s="259">
        <v>474.0</v>
      </c>
      <c r="M614" s="41">
        <f t="shared" si="1"/>
        <v>1422</v>
      </c>
      <c r="N614" s="260" t="s">
        <v>440</v>
      </c>
      <c r="O614" s="111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  <c r="AC614" s="117"/>
    </row>
    <row r="615">
      <c r="A615" s="48"/>
      <c r="B615" s="48"/>
      <c r="C615" s="48"/>
      <c r="D615" s="48"/>
      <c r="E615" s="48"/>
      <c r="F615" s="48"/>
      <c r="G615" s="48"/>
      <c r="H615" s="112" t="s">
        <v>1177</v>
      </c>
      <c r="I615" s="112" t="s">
        <v>60</v>
      </c>
      <c r="J615" s="257">
        <v>3.0</v>
      </c>
      <c r="K615" s="257" t="s">
        <v>156</v>
      </c>
      <c r="L615" s="259">
        <v>320.0</v>
      </c>
      <c r="M615" s="41">
        <f t="shared" si="1"/>
        <v>960</v>
      </c>
      <c r="N615" s="260" t="s">
        <v>440</v>
      </c>
      <c r="O615" s="111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</row>
    <row r="616">
      <c r="A616" s="257">
        <v>249.0</v>
      </c>
      <c r="B616" s="257">
        <v>235209.0</v>
      </c>
      <c r="C616" s="258">
        <v>45846.0</v>
      </c>
      <c r="D616" s="257" t="s">
        <v>1178</v>
      </c>
      <c r="E616" s="258">
        <v>45869.0</v>
      </c>
      <c r="F616" s="257">
        <v>1247.0</v>
      </c>
      <c r="G616" s="268">
        <v>45846.0</v>
      </c>
      <c r="H616" s="112" t="s">
        <v>36</v>
      </c>
      <c r="I616" s="112" t="s">
        <v>24</v>
      </c>
      <c r="J616" s="257">
        <v>246.006</v>
      </c>
      <c r="K616" s="257" t="s">
        <v>25</v>
      </c>
      <c r="L616" s="259">
        <v>66.73</v>
      </c>
      <c r="M616" s="41">
        <f t="shared" si="1"/>
        <v>16415.98038</v>
      </c>
      <c r="N616" s="260" t="s">
        <v>91</v>
      </c>
      <c r="O616" s="202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  <c r="AA616" s="279"/>
      <c r="AB616" s="279"/>
      <c r="AC616" s="279"/>
    </row>
    <row r="617">
      <c r="A617" s="257">
        <v>250.0</v>
      </c>
      <c r="B617" s="257">
        <v>1534130.0</v>
      </c>
      <c r="C617" s="258">
        <v>45846.0</v>
      </c>
      <c r="D617" s="257" t="s">
        <v>1179</v>
      </c>
      <c r="E617" s="258">
        <v>45869.0</v>
      </c>
      <c r="F617" s="257">
        <v>1247.0</v>
      </c>
      <c r="G617" s="268">
        <v>45846.0</v>
      </c>
      <c r="H617" s="112" t="s">
        <v>23</v>
      </c>
      <c r="I617" s="112" t="s">
        <v>24</v>
      </c>
      <c r="J617" s="257">
        <v>1497.679</v>
      </c>
      <c r="K617" s="257" t="s">
        <v>25</v>
      </c>
      <c r="L617" s="259">
        <v>66.77</v>
      </c>
      <c r="M617" s="41">
        <f t="shared" si="1"/>
        <v>100000.0268</v>
      </c>
      <c r="N617" s="260" t="s">
        <v>91</v>
      </c>
      <c r="O617" s="111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</row>
    <row r="618">
      <c r="A618" s="257">
        <v>251.0</v>
      </c>
      <c r="B618" s="257">
        <v>235205.0</v>
      </c>
      <c r="C618" s="258">
        <v>45846.0</v>
      </c>
      <c r="D618" s="257" t="s">
        <v>1179</v>
      </c>
      <c r="E618" s="258">
        <v>45869.0</v>
      </c>
      <c r="F618" s="257">
        <v>1247.0</v>
      </c>
      <c r="G618" s="268">
        <v>45846.0</v>
      </c>
      <c r="H618" s="112" t="s">
        <v>23</v>
      </c>
      <c r="I618" s="112" t="s">
        <v>24</v>
      </c>
      <c r="J618" s="257">
        <v>339.321</v>
      </c>
      <c r="K618" s="257" t="s">
        <v>25</v>
      </c>
      <c r="L618" s="259">
        <v>66.77</v>
      </c>
      <c r="M618" s="41">
        <f t="shared" si="1"/>
        <v>22656.46317</v>
      </c>
      <c r="N618" s="260" t="s">
        <v>91</v>
      </c>
      <c r="O618" s="111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</row>
    <row r="619">
      <c r="A619" s="257">
        <v>252.0</v>
      </c>
      <c r="B619" s="257">
        <v>760.0</v>
      </c>
      <c r="C619" s="258">
        <v>45847.0</v>
      </c>
      <c r="D619" s="257" t="s">
        <v>1159</v>
      </c>
      <c r="E619" s="258">
        <v>45869.0</v>
      </c>
      <c r="F619" s="257" t="s">
        <v>92</v>
      </c>
      <c r="G619" s="112"/>
      <c r="H619" s="112" t="s">
        <v>1180</v>
      </c>
      <c r="I619" s="112" t="s">
        <v>837</v>
      </c>
      <c r="J619" s="257">
        <v>8.0</v>
      </c>
      <c r="K619" s="257" t="s">
        <v>156</v>
      </c>
      <c r="L619" s="259">
        <v>500.0</v>
      </c>
      <c r="M619" s="41">
        <f t="shared" si="1"/>
        <v>4000</v>
      </c>
      <c r="N619" s="260" t="s">
        <v>839</v>
      </c>
      <c r="O619" s="111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</row>
    <row r="620">
      <c r="A620" s="276">
        <v>253.0</v>
      </c>
      <c r="B620" s="276">
        <v>793.0</v>
      </c>
      <c r="C620" s="277">
        <v>45848.0</v>
      </c>
      <c r="D620" s="276" t="s">
        <v>1173</v>
      </c>
      <c r="E620" s="277">
        <v>45874.0</v>
      </c>
      <c r="F620" s="276">
        <v>806.0</v>
      </c>
      <c r="G620" s="278">
        <v>45852.0</v>
      </c>
      <c r="H620" s="112" t="s">
        <v>952</v>
      </c>
      <c r="I620" s="112" t="s">
        <v>276</v>
      </c>
      <c r="J620" s="257">
        <v>3.0</v>
      </c>
      <c r="K620" s="257" t="s">
        <v>156</v>
      </c>
      <c r="L620" s="259">
        <v>490.0</v>
      </c>
      <c r="M620" s="41">
        <f t="shared" si="1"/>
        <v>1470</v>
      </c>
      <c r="N620" s="260" t="s">
        <v>440</v>
      </c>
      <c r="O620" s="111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  <c r="AC620" s="117"/>
    </row>
    <row r="621">
      <c r="A621" s="48"/>
      <c r="B621" s="48"/>
      <c r="C621" s="48"/>
      <c r="D621" s="48"/>
      <c r="E621" s="48"/>
      <c r="F621" s="48"/>
      <c r="G621" s="48"/>
      <c r="H621" s="112" t="s">
        <v>1181</v>
      </c>
      <c r="I621" s="112" t="s">
        <v>276</v>
      </c>
      <c r="J621" s="257">
        <v>3.0</v>
      </c>
      <c r="K621" s="257" t="s">
        <v>156</v>
      </c>
      <c r="L621" s="259">
        <v>5800.0</v>
      </c>
      <c r="M621" s="41">
        <f t="shared" si="1"/>
        <v>17400</v>
      </c>
      <c r="N621" s="260" t="s">
        <v>440</v>
      </c>
      <c r="O621" s="111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</row>
    <row r="622">
      <c r="A622" s="257">
        <v>254.0</v>
      </c>
      <c r="B622" s="257" t="s">
        <v>1182</v>
      </c>
      <c r="C622" s="258">
        <v>45848.0</v>
      </c>
      <c r="D622" s="257" t="s">
        <v>1183</v>
      </c>
      <c r="E622" s="258">
        <v>45874.0</v>
      </c>
      <c r="F622" s="257">
        <v>801.0</v>
      </c>
      <c r="G622" s="112"/>
      <c r="H622" s="112" t="s">
        <v>1184</v>
      </c>
      <c r="I622" s="112" t="s">
        <v>547</v>
      </c>
      <c r="J622" s="257">
        <v>10.0</v>
      </c>
      <c r="K622" s="257" t="s">
        <v>156</v>
      </c>
      <c r="L622" s="259">
        <v>198.0</v>
      </c>
      <c r="M622" s="41">
        <f t="shared" si="1"/>
        <v>1980</v>
      </c>
      <c r="N622" s="260" t="s">
        <v>1185</v>
      </c>
      <c r="O622" s="111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  <c r="AC622" s="117"/>
    </row>
    <row r="623">
      <c r="A623" s="276">
        <v>255.0</v>
      </c>
      <c r="B623" s="276">
        <v>512.0</v>
      </c>
      <c r="C623" s="277">
        <v>45849.0</v>
      </c>
      <c r="D623" s="276" t="s">
        <v>1186</v>
      </c>
      <c r="E623" s="277">
        <v>45874.0</v>
      </c>
      <c r="F623" s="276">
        <v>801.0</v>
      </c>
      <c r="G623" s="112"/>
      <c r="H623" s="112" t="s">
        <v>1143</v>
      </c>
      <c r="I623" s="112" t="s">
        <v>60</v>
      </c>
      <c r="J623" s="257">
        <v>15.0</v>
      </c>
      <c r="K623" s="257" t="s">
        <v>156</v>
      </c>
      <c r="L623" s="259">
        <v>525.0</v>
      </c>
      <c r="M623" s="41">
        <f t="shared" si="1"/>
        <v>7875</v>
      </c>
      <c r="N623" s="260" t="s">
        <v>1187</v>
      </c>
      <c r="O623" s="111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</row>
    <row r="624">
      <c r="A624" s="47"/>
      <c r="B624" s="47"/>
      <c r="C624" s="47"/>
      <c r="D624" s="47"/>
      <c r="E624" s="47"/>
      <c r="F624" s="47"/>
      <c r="G624" s="112"/>
      <c r="H624" s="112" t="s">
        <v>275</v>
      </c>
      <c r="I624" s="112" t="s">
        <v>276</v>
      </c>
      <c r="J624" s="257">
        <v>180.0</v>
      </c>
      <c r="K624" s="257" t="s">
        <v>74</v>
      </c>
      <c r="L624" s="259">
        <v>34.9</v>
      </c>
      <c r="M624" s="41">
        <f t="shared" si="1"/>
        <v>6282</v>
      </c>
      <c r="N624" s="260" t="s">
        <v>1187</v>
      </c>
      <c r="O624" s="111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</row>
    <row r="625">
      <c r="A625" s="47"/>
      <c r="B625" s="47"/>
      <c r="C625" s="47"/>
      <c r="D625" s="47"/>
      <c r="E625" s="47"/>
      <c r="F625" s="47"/>
      <c r="G625" s="112"/>
      <c r="H625" s="112" t="s">
        <v>281</v>
      </c>
      <c r="I625" s="112" t="s">
        <v>276</v>
      </c>
      <c r="J625" s="257">
        <v>180.0</v>
      </c>
      <c r="K625" s="257" t="s">
        <v>74</v>
      </c>
      <c r="L625" s="259">
        <v>15.5</v>
      </c>
      <c r="M625" s="41">
        <f t="shared" si="1"/>
        <v>2790</v>
      </c>
      <c r="N625" s="260" t="s">
        <v>1187</v>
      </c>
      <c r="O625" s="111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</row>
    <row r="626">
      <c r="A626" s="47"/>
      <c r="B626" s="47"/>
      <c r="C626" s="47"/>
      <c r="D626" s="47"/>
      <c r="E626" s="47"/>
      <c r="F626" s="47"/>
      <c r="G626" s="112"/>
      <c r="H626" s="112" t="s">
        <v>942</v>
      </c>
      <c r="I626" s="112" t="s">
        <v>276</v>
      </c>
      <c r="J626" s="257">
        <v>250.0</v>
      </c>
      <c r="K626" s="257" t="s">
        <v>74</v>
      </c>
      <c r="L626" s="259">
        <v>42.0</v>
      </c>
      <c r="M626" s="41">
        <f t="shared" si="1"/>
        <v>10500</v>
      </c>
      <c r="N626" s="260" t="s">
        <v>1187</v>
      </c>
      <c r="O626" s="111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</row>
    <row r="627">
      <c r="A627" s="47"/>
      <c r="B627" s="47"/>
      <c r="C627" s="47"/>
      <c r="D627" s="47"/>
      <c r="E627" s="47"/>
      <c r="F627" s="47"/>
      <c r="G627" s="112"/>
      <c r="H627" s="112" t="s">
        <v>1188</v>
      </c>
      <c r="I627" s="112" t="s">
        <v>29</v>
      </c>
      <c r="J627" s="257">
        <v>1.0</v>
      </c>
      <c r="K627" s="257" t="s">
        <v>39</v>
      </c>
      <c r="L627" s="259">
        <v>450.0</v>
      </c>
      <c r="M627" s="41">
        <f t="shared" si="1"/>
        <v>450</v>
      </c>
      <c r="N627" s="260" t="s">
        <v>1187</v>
      </c>
      <c r="O627" s="111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</row>
    <row r="628">
      <c r="A628" s="47"/>
      <c r="B628" s="47"/>
      <c r="C628" s="47"/>
      <c r="D628" s="47"/>
      <c r="E628" s="47"/>
      <c r="F628" s="47"/>
      <c r="G628" s="112"/>
      <c r="H628" s="112" t="s">
        <v>1189</v>
      </c>
      <c r="I628" s="112" t="s">
        <v>276</v>
      </c>
      <c r="J628" s="257">
        <v>30.0</v>
      </c>
      <c r="K628" s="257" t="s">
        <v>98</v>
      </c>
      <c r="L628" s="259">
        <v>12.0</v>
      </c>
      <c r="M628" s="41">
        <f t="shared" si="1"/>
        <v>360</v>
      </c>
      <c r="N628" s="260" t="s">
        <v>1187</v>
      </c>
      <c r="O628" s="111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  <c r="AC628" s="117"/>
    </row>
    <row r="629">
      <c r="A629" s="48"/>
      <c r="B629" s="48"/>
      <c r="C629" s="48"/>
      <c r="D629" s="48"/>
      <c r="E629" s="48"/>
      <c r="F629" s="48"/>
      <c r="G629" s="112"/>
      <c r="H629" s="112" t="s">
        <v>1190</v>
      </c>
      <c r="I629" s="112" t="s">
        <v>276</v>
      </c>
      <c r="J629" s="257">
        <v>10.0</v>
      </c>
      <c r="K629" s="257" t="s">
        <v>156</v>
      </c>
      <c r="L629" s="259">
        <v>185.0</v>
      </c>
      <c r="M629" s="41">
        <f t="shared" si="1"/>
        <v>1850</v>
      </c>
      <c r="N629" s="260" t="s">
        <v>1187</v>
      </c>
      <c r="O629" s="111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</row>
    <row r="630">
      <c r="A630" s="257">
        <v>256.0</v>
      </c>
      <c r="B630" s="257">
        <v>110163.0</v>
      </c>
      <c r="C630" s="258">
        <v>45849.0</v>
      </c>
      <c r="D630" s="257" t="s">
        <v>1191</v>
      </c>
      <c r="E630" s="258">
        <v>45869.0</v>
      </c>
      <c r="F630" s="257">
        <v>803.0</v>
      </c>
      <c r="G630" s="268">
        <v>45851.0</v>
      </c>
      <c r="H630" s="112" t="s">
        <v>1192</v>
      </c>
      <c r="I630" s="112" t="s">
        <v>24</v>
      </c>
      <c r="J630" s="257">
        <v>200.0</v>
      </c>
      <c r="K630" s="257" t="s">
        <v>25</v>
      </c>
      <c r="L630" s="259">
        <v>339.0</v>
      </c>
      <c r="M630" s="41">
        <f t="shared" si="1"/>
        <v>67800</v>
      </c>
      <c r="N630" s="260" t="s">
        <v>91</v>
      </c>
      <c r="O630" s="111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</row>
    <row r="631">
      <c r="A631" s="276">
        <v>257.0</v>
      </c>
      <c r="B631" s="276" t="s">
        <v>1193</v>
      </c>
      <c r="C631" s="277">
        <v>45849.0</v>
      </c>
      <c r="D631" s="276" t="s">
        <v>1183</v>
      </c>
      <c r="E631" s="277">
        <v>45874.0</v>
      </c>
      <c r="F631" s="276">
        <v>801.0</v>
      </c>
      <c r="G631" s="278">
        <v>45851.0</v>
      </c>
      <c r="H631" s="112" t="s">
        <v>1194</v>
      </c>
      <c r="I631" s="112" t="s">
        <v>547</v>
      </c>
      <c r="J631" s="257">
        <v>2.0</v>
      </c>
      <c r="K631" s="257" t="s">
        <v>156</v>
      </c>
      <c r="L631" s="259">
        <v>154.0</v>
      </c>
      <c r="M631" s="41">
        <f t="shared" si="1"/>
        <v>308</v>
      </c>
      <c r="N631" s="260" t="s">
        <v>1185</v>
      </c>
      <c r="O631" s="111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</row>
    <row r="632">
      <c r="A632" s="47"/>
      <c r="B632" s="47"/>
      <c r="C632" s="47"/>
      <c r="D632" s="47"/>
      <c r="E632" s="47"/>
      <c r="F632" s="47"/>
      <c r="G632" s="47"/>
      <c r="H632" s="112" t="s">
        <v>1195</v>
      </c>
      <c r="I632" s="112" t="s">
        <v>547</v>
      </c>
      <c r="J632" s="257">
        <v>3.0</v>
      </c>
      <c r="K632" s="257" t="s">
        <v>156</v>
      </c>
      <c r="L632" s="259">
        <v>1200.0</v>
      </c>
      <c r="M632" s="41">
        <f t="shared" si="1"/>
        <v>3600</v>
      </c>
      <c r="N632" s="260" t="s">
        <v>1185</v>
      </c>
      <c r="O632" s="111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</row>
    <row r="633">
      <c r="A633" s="47"/>
      <c r="B633" s="47"/>
      <c r="C633" s="47"/>
      <c r="D633" s="47"/>
      <c r="E633" s="47"/>
      <c r="F633" s="47"/>
      <c r="G633" s="47"/>
      <c r="H633" s="112" t="s">
        <v>1196</v>
      </c>
      <c r="I633" s="112" t="s">
        <v>547</v>
      </c>
      <c r="J633" s="257">
        <v>2.0</v>
      </c>
      <c r="K633" s="257" t="s">
        <v>89</v>
      </c>
      <c r="L633" s="259">
        <v>40.0</v>
      </c>
      <c r="M633" s="41">
        <f t="shared" si="1"/>
        <v>80</v>
      </c>
      <c r="N633" s="260" t="s">
        <v>1185</v>
      </c>
      <c r="O633" s="111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</row>
    <row r="634">
      <c r="A634" s="47"/>
      <c r="B634" s="47"/>
      <c r="C634" s="47"/>
      <c r="D634" s="47"/>
      <c r="E634" s="47"/>
      <c r="F634" s="47"/>
      <c r="G634" s="47"/>
      <c r="H634" s="112" t="s">
        <v>1197</v>
      </c>
      <c r="I634" s="112" t="s">
        <v>547</v>
      </c>
      <c r="J634" s="257">
        <v>1.0</v>
      </c>
      <c r="K634" s="257" t="s">
        <v>89</v>
      </c>
      <c r="L634" s="259">
        <v>27.0</v>
      </c>
      <c r="M634" s="41">
        <f t="shared" si="1"/>
        <v>27</v>
      </c>
      <c r="N634" s="260" t="s">
        <v>1185</v>
      </c>
      <c r="O634" s="111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</row>
    <row r="635">
      <c r="A635" s="47"/>
      <c r="B635" s="47"/>
      <c r="C635" s="47"/>
      <c r="D635" s="47"/>
      <c r="E635" s="47"/>
      <c r="F635" s="48"/>
      <c r="G635" s="48"/>
      <c r="H635" s="112" t="s">
        <v>1198</v>
      </c>
      <c r="I635" s="112" t="s">
        <v>547</v>
      </c>
      <c r="J635" s="257">
        <v>1.0</v>
      </c>
      <c r="K635" s="257" t="s">
        <v>89</v>
      </c>
      <c r="L635" s="259">
        <v>34.0</v>
      </c>
      <c r="M635" s="41">
        <f t="shared" si="1"/>
        <v>34</v>
      </c>
      <c r="N635" s="260" t="s">
        <v>1185</v>
      </c>
      <c r="O635" s="111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  <c r="AC635" s="117"/>
    </row>
    <row r="636">
      <c r="A636" s="47"/>
      <c r="B636" s="47"/>
      <c r="C636" s="47"/>
      <c r="D636" s="47"/>
      <c r="E636" s="47"/>
      <c r="F636" s="276">
        <v>802.0</v>
      </c>
      <c r="G636" s="278">
        <v>45851.0</v>
      </c>
      <c r="H636" s="112" t="s">
        <v>1199</v>
      </c>
      <c r="I636" s="112" t="s">
        <v>547</v>
      </c>
      <c r="J636" s="257">
        <v>6.0</v>
      </c>
      <c r="K636" s="257" t="s">
        <v>156</v>
      </c>
      <c r="L636" s="259">
        <v>79.0</v>
      </c>
      <c r="M636" s="41">
        <f t="shared" si="1"/>
        <v>474</v>
      </c>
      <c r="N636" s="260" t="s">
        <v>1185</v>
      </c>
      <c r="O636" s="111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</row>
    <row r="637">
      <c r="A637" s="48"/>
      <c r="B637" s="48"/>
      <c r="C637" s="48"/>
      <c r="D637" s="48"/>
      <c r="E637" s="48"/>
      <c r="F637" s="48"/>
      <c r="G637" s="48"/>
      <c r="H637" s="112" t="s">
        <v>1200</v>
      </c>
      <c r="I637" s="112" t="s">
        <v>547</v>
      </c>
      <c r="J637" s="257">
        <v>6.0</v>
      </c>
      <c r="K637" s="257" t="s">
        <v>89</v>
      </c>
      <c r="L637" s="259">
        <v>19.0</v>
      </c>
      <c r="M637" s="41">
        <f t="shared" si="1"/>
        <v>114</v>
      </c>
      <c r="N637" s="260" t="s">
        <v>1185</v>
      </c>
      <c r="O637" s="111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  <c r="AC637" s="117"/>
    </row>
    <row r="638">
      <c r="A638" s="257">
        <v>258.0</v>
      </c>
      <c r="B638" s="257">
        <v>237167.0</v>
      </c>
      <c r="C638" s="258">
        <v>45851.0</v>
      </c>
      <c r="D638" s="257" t="s">
        <v>1179</v>
      </c>
      <c r="E638" s="258">
        <v>45869.0</v>
      </c>
      <c r="F638" s="257">
        <v>803.0</v>
      </c>
      <c r="G638" s="268">
        <v>45851.0</v>
      </c>
      <c r="H638" s="112" t="s">
        <v>23</v>
      </c>
      <c r="I638" s="112" t="s">
        <v>24</v>
      </c>
      <c r="J638" s="257">
        <v>1150.0</v>
      </c>
      <c r="K638" s="257" t="s">
        <v>25</v>
      </c>
      <c r="L638" s="259">
        <v>66.77</v>
      </c>
      <c r="M638" s="41">
        <f t="shared" si="1"/>
        <v>76785.5</v>
      </c>
      <c r="N638" s="260" t="s">
        <v>91</v>
      </c>
      <c r="O638" s="111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</row>
    <row r="639">
      <c r="A639" s="257">
        <v>259.0</v>
      </c>
      <c r="B639" s="257" t="s">
        <v>1201</v>
      </c>
      <c r="C639" s="258">
        <v>45853.0</v>
      </c>
      <c r="D639" s="257" t="s">
        <v>1183</v>
      </c>
      <c r="E639" s="258">
        <v>45874.0</v>
      </c>
      <c r="F639" s="257">
        <v>807.0</v>
      </c>
      <c r="G639" s="268">
        <v>45853.0</v>
      </c>
      <c r="H639" s="112" t="s">
        <v>1135</v>
      </c>
      <c r="I639" s="112" t="s">
        <v>547</v>
      </c>
      <c r="J639" s="257">
        <v>2.0</v>
      </c>
      <c r="K639" s="257" t="s">
        <v>156</v>
      </c>
      <c r="L639" s="259">
        <v>398.0</v>
      </c>
      <c r="M639" s="41">
        <f t="shared" si="1"/>
        <v>796</v>
      </c>
      <c r="N639" s="260" t="s">
        <v>1185</v>
      </c>
      <c r="O639" s="111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</row>
    <row r="640">
      <c r="A640" s="257">
        <v>260.0</v>
      </c>
      <c r="B640" s="257">
        <v>110088.0</v>
      </c>
      <c r="C640" s="258">
        <v>45856.0</v>
      </c>
      <c r="D640" s="257" t="s">
        <v>1080</v>
      </c>
      <c r="E640" s="258">
        <v>45874.0</v>
      </c>
      <c r="F640" s="257" t="s">
        <v>92</v>
      </c>
      <c r="G640" s="112"/>
      <c r="H640" s="112" t="s">
        <v>1117</v>
      </c>
      <c r="I640" s="112" t="s">
        <v>24</v>
      </c>
      <c r="J640" s="257">
        <v>46.0</v>
      </c>
      <c r="K640" s="257" t="s">
        <v>25</v>
      </c>
      <c r="L640" s="259">
        <v>65.87</v>
      </c>
      <c r="M640" s="41">
        <f t="shared" si="1"/>
        <v>3030.02</v>
      </c>
      <c r="N640" s="260" t="s">
        <v>1081</v>
      </c>
      <c r="O640" s="111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</row>
    <row r="641">
      <c r="A641" s="276">
        <v>261.0</v>
      </c>
      <c r="B641" s="276">
        <v>345.0</v>
      </c>
      <c r="C641" s="277">
        <v>45858.0</v>
      </c>
      <c r="D641" s="276" t="s">
        <v>1202</v>
      </c>
      <c r="E641" s="277">
        <v>45874.0</v>
      </c>
      <c r="F641" s="276">
        <v>808.0</v>
      </c>
      <c r="G641" s="278">
        <v>45858.0</v>
      </c>
      <c r="H641" s="112" t="s">
        <v>1203</v>
      </c>
      <c r="I641" s="112" t="s">
        <v>1204</v>
      </c>
      <c r="J641" s="257">
        <v>1.0</v>
      </c>
      <c r="K641" s="257" t="s">
        <v>1205</v>
      </c>
      <c r="L641" s="259">
        <v>19300.0</v>
      </c>
      <c r="M641" s="41">
        <f t="shared" si="1"/>
        <v>19300</v>
      </c>
      <c r="N641" s="260" t="s">
        <v>1206</v>
      </c>
      <c r="O641" s="111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</row>
    <row r="642">
      <c r="A642" s="47"/>
      <c r="B642" s="47"/>
      <c r="C642" s="47"/>
      <c r="D642" s="47"/>
      <c r="E642" s="47"/>
      <c r="F642" s="47"/>
      <c r="G642" s="47"/>
      <c r="H642" s="112" t="s">
        <v>1207</v>
      </c>
      <c r="I642" s="112" t="s">
        <v>1204</v>
      </c>
      <c r="J642" s="257">
        <v>1.0</v>
      </c>
      <c r="K642" s="257" t="s">
        <v>89</v>
      </c>
      <c r="L642" s="259">
        <v>9450.0</v>
      </c>
      <c r="M642" s="41">
        <f t="shared" si="1"/>
        <v>9450</v>
      </c>
      <c r="N642" s="260" t="s">
        <v>1206</v>
      </c>
      <c r="O642" s="111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</row>
    <row r="643">
      <c r="A643" s="47"/>
      <c r="B643" s="47"/>
      <c r="C643" s="47"/>
      <c r="D643" s="47"/>
      <c r="E643" s="47"/>
      <c r="F643" s="47"/>
      <c r="G643" s="47"/>
      <c r="H643" s="112" t="s">
        <v>1208</v>
      </c>
      <c r="I643" s="112" t="s">
        <v>1204</v>
      </c>
      <c r="J643" s="257">
        <v>1.0</v>
      </c>
      <c r="K643" s="257" t="s">
        <v>89</v>
      </c>
      <c r="L643" s="259">
        <v>2850.0</v>
      </c>
      <c r="M643" s="41">
        <f t="shared" si="1"/>
        <v>2850</v>
      </c>
      <c r="N643" s="260" t="s">
        <v>1206</v>
      </c>
      <c r="O643" s="111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</row>
    <row r="644">
      <c r="A644" s="47"/>
      <c r="B644" s="47"/>
      <c r="C644" s="47"/>
      <c r="D644" s="47"/>
      <c r="E644" s="47"/>
      <c r="F644" s="47"/>
      <c r="G644" s="47"/>
      <c r="H644" s="112" t="s">
        <v>1209</v>
      </c>
      <c r="I644" s="112" t="s">
        <v>1204</v>
      </c>
      <c r="J644" s="257">
        <v>3.0</v>
      </c>
      <c r="K644" s="257" t="s">
        <v>156</v>
      </c>
      <c r="L644" s="259">
        <v>2100.0</v>
      </c>
      <c r="M644" s="41">
        <f t="shared" si="1"/>
        <v>6300</v>
      </c>
      <c r="N644" s="260" t="s">
        <v>1206</v>
      </c>
      <c r="O644" s="111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</row>
    <row r="645">
      <c r="A645" s="48"/>
      <c r="B645" s="48"/>
      <c r="C645" s="48"/>
      <c r="D645" s="48"/>
      <c r="E645" s="48"/>
      <c r="F645" s="48"/>
      <c r="G645" s="48"/>
      <c r="H645" s="112" t="s">
        <v>1210</v>
      </c>
      <c r="I645" s="112" t="s">
        <v>1204</v>
      </c>
      <c r="J645" s="257">
        <v>1.0</v>
      </c>
      <c r="K645" s="257" t="s">
        <v>89</v>
      </c>
      <c r="L645" s="259">
        <v>1100.0</v>
      </c>
      <c r="M645" s="41">
        <f t="shared" si="1"/>
        <v>1100</v>
      </c>
      <c r="N645" s="260" t="s">
        <v>1206</v>
      </c>
      <c r="O645" s="111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</row>
    <row r="646">
      <c r="A646" s="257">
        <v>262.0</v>
      </c>
      <c r="B646" s="257">
        <v>240195.0</v>
      </c>
      <c r="C646" s="258">
        <v>45859.0</v>
      </c>
      <c r="D646" s="257" t="s">
        <v>1211</v>
      </c>
      <c r="E646" s="275">
        <v>45874.0</v>
      </c>
      <c r="F646" s="257">
        <v>809.0</v>
      </c>
      <c r="G646" s="268">
        <v>45859.0</v>
      </c>
      <c r="H646" s="112" t="s">
        <v>23</v>
      </c>
      <c r="I646" s="112" t="s">
        <v>24</v>
      </c>
      <c r="J646" s="257">
        <v>1380.0</v>
      </c>
      <c r="K646" s="257" t="s">
        <v>25</v>
      </c>
      <c r="L646" s="259">
        <v>65.87</v>
      </c>
      <c r="M646" s="41">
        <f t="shared" si="1"/>
        <v>90900.6</v>
      </c>
      <c r="N646" s="260" t="s">
        <v>91</v>
      </c>
      <c r="O646" s="111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</row>
    <row r="647">
      <c r="A647" s="257">
        <v>263.0</v>
      </c>
      <c r="B647" s="257">
        <v>1596651.0</v>
      </c>
      <c r="C647" s="258">
        <v>45863.0</v>
      </c>
      <c r="D647" s="257" t="s">
        <v>1212</v>
      </c>
      <c r="E647" s="275">
        <v>45874.0</v>
      </c>
      <c r="F647" s="257">
        <v>812.0</v>
      </c>
      <c r="G647" s="268">
        <v>45864.0</v>
      </c>
      <c r="H647" s="112" t="s">
        <v>23</v>
      </c>
      <c r="I647" s="112" t="s">
        <v>24</v>
      </c>
      <c r="J647" s="257">
        <v>1760.0</v>
      </c>
      <c r="K647" s="257" t="s">
        <v>25</v>
      </c>
      <c r="L647" s="259">
        <v>65.87</v>
      </c>
      <c r="M647" s="41">
        <f t="shared" si="1"/>
        <v>115931.2</v>
      </c>
      <c r="N647" s="260" t="s">
        <v>91</v>
      </c>
      <c r="O647" s="111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</row>
    <row r="648">
      <c r="A648" s="257">
        <v>264.0</v>
      </c>
      <c r="B648" s="257">
        <v>242122.0</v>
      </c>
      <c r="C648" s="258">
        <v>45863.0</v>
      </c>
      <c r="D648" s="257" t="s">
        <v>1212</v>
      </c>
      <c r="E648" s="258">
        <v>45874.0</v>
      </c>
      <c r="F648" s="257">
        <v>812.0</v>
      </c>
      <c r="G648" s="268">
        <v>45864.0</v>
      </c>
      <c r="H648" s="112" t="s">
        <v>36</v>
      </c>
      <c r="I648" s="112" t="s">
        <v>24</v>
      </c>
      <c r="J648" s="257">
        <v>220.0</v>
      </c>
      <c r="K648" s="257" t="s">
        <v>25</v>
      </c>
      <c r="L648" s="259">
        <v>63.23</v>
      </c>
      <c r="M648" s="41">
        <f t="shared" si="1"/>
        <v>13910.6</v>
      </c>
      <c r="N648" s="260" t="s">
        <v>91</v>
      </c>
      <c r="O648" s="111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</row>
    <row r="649">
      <c r="A649" s="257">
        <v>265.0</v>
      </c>
      <c r="B649" s="257">
        <v>778035.0</v>
      </c>
      <c r="C649" s="258">
        <v>45864.0</v>
      </c>
      <c r="D649" s="257" t="s">
        <v>1080</v>
      </c>
      <c r="E649" s="258">
        <v>45874.0</v>
      </c>
      <c r="F649" s="257" t="s">
        <v>92</v>
      </c>
      <c r="G649" s="112"/>
      <c r="H649" s="112" t="s">
        <v>1117</v>
      </c>
      <c r="I649" s="112" t="s">
        <v>24</v>
      </c>
      <c r="J649" s="257">
        <v>45.0</v>
      </c>
      <c r="K649" s="257" t="s">
        <v>25</v>
      </c>
      <c r="L649" s="259">
        <v>65.75</v>
      </c>
      <c r="M649" s="41">
        <f t="shared" si="1"/>
        <v>2958.75</v>
      </c>
      <c r="N649" s="260" t="s">
        <v>1081</v>
      </c>
      <c r="O649" s="111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  <c r="AC649" s="117"/>
    </row>
    <row r="650">
      <c r="A650" s="257">
        <v>266.0</v>
      </c>
      <c r="B650" s="257">
        <v>91.0</v>
      </c>
      <c r="C650" s="258">
        <v>45836.0</v>
      </c>
      <c r="D650" s="257" t="s">
        <v>1211</v>
      </c>
      <c r="E650" s="258">
        <v>45874.0</v>
      </c>
      <c r="F650" s="257">
        <v>1240.0</v>
      </c>
      <c r="G650" s="268">
        <v>45837.0</v>
      </c>
      <c r="H650" s="112" t="s">
        <v>1213</v>
      </c>
      <c r="I650" s="112" t="s">
        <v>29</v>
      </c>
      <c r="J650" s="257">
        <v>14.0</v>
      </c>
      <c r="K650" s="257" t="s">
        <v>654</v>
      </c>
      <c r="L650" s="259">
        <v>50.0</v>
      </c>
      <c r="M650" s="41">
        <f t="shared" si="1"/>
        <v>700</v>
      </c>
      <c r="N650" s="260" t="s">
        <v>1214</v>
      </c>
      <c r="O650" s="111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</row>
    <row r="651">
      <c r="A651" s="257">
        <v>267.0</v>
      </c>
      <c r="B651" s="257">
        <v>813.0</v>
      </c>
      <c r="C651" s="258">
        <v>45870.0</v>
      </c>
      <c r="D651" s="257" t="s">
        <v>1215</v>
      </c>
      <c r="E651" s="258">
        <v>45870.0</v>
      </c>
      <c r="F651" s="257" t="s">
        <v>92</v>
      </c>
      <c r="G651" s="112"/>
      <c r="H651" s="112" t="s">
        <v>1216</v>
      </c>
      <c r="I651" s="112" t="s">
        <v>837</v>
      </c>
      <c r="J651" s="257">
        <v>8.0</v>
      </c>
      <c r="K651" s="257" t="s">
        <v>156</v>
      </c>
      <c r="L651" s="259">
        <v>500.0</v>
      </c>
      <c r="M651" s="41">
        <f t="shared" si="1"/>
        <v>4000</v>
      </c>
      <c r="N651" s="260" t="s">
        <v>839</v>
      </c>
      <c r="O651" s="111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</row>
    <row r="652">
      <c r="A652" s="150"/>
      <c r="B652" s="150"/>
      <c r="C652" s="280"/>
      <c r="D652" s="150"/>
      <c r="E652" s="280"/>
      <c r="F652" s="150"/>
      <c r="G652" s="281"/>
      <c r="H652" s="281" t="s">
        <v>259</v>
      </c>
      <c r="I652" s="111"/>
      <c r="J652" s="150"/>
      <c r="K652" s="150"/>
      <c r="L652" s="282"/>
      <c r="M652" s="283">
        <f>SUM(M5:M651)</f>
        <v>14389999.92</v>
      </c>
      <c r="N652" s="284"/>
      <c r="O652" s="111"/>
      <c r="P652" s="125"/>
      <c r="Q652" s="28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</row>
    <row r="653">
      <c r="A653" s="30"/>
      <c r="B653" s="30"/>
      <c r="C653" s="286"/>
      <c r="D653" s="30"/>
      <c r="E653" s="286"/>
      <c r="F653" s="30"/>
      <c r="G653" s="287"/>
      <c r="H653" s="287"/>
      <c r="I653" s="117"/>
      <c r="J653" s="30"/>
      <c r="K653" s="30"/>
      <c r="L653" s="288"/>
      <c r="M653" s="289"/>
      <c r="N653" s="128"/>
      <c r="O653" s="117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</row>
    <row r="654">
      <c r="A654" s="30"/>
      <c r="B654" s="30"/>
      <c r="C654" s="286"/>
      <c r="D654" s="30"/>
      <c r="E654" s="286"/>
      <c r="F654" s="30"/>
      <c r="G654" s="287"/>
      <c r="H654" s="287"/>
      <c r="I654" s="117"/>
      <c r="J654" s="30"/>
      <c r="K654" s="30"/>
      <c r="L654" s="288"/>
      <c r="M654" s="289"/>
      <c r="N654" s="128"/>
      <c r="O654" s="117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</row>
    <row r="655">
      <c r="A655" s="30"/>
      <c r="B655" s="30"/>
      <c r="C655" s="290"/>
      <c r="D655" s="30"/>
      <c r="E655" s="286"/>
      <c r="F655" s="30"/>
      <c r="G655" s="183"/>
      <c r="J655" s="291"/>
      <c r="K655" s="291"/>
      <c r="L655" s="292"/>
      <c r="M655" s="293"/>
      <c r="N655" s="293"/>
    </row>
    <row r="656">
      <c r="A656" s="30"/>
      <c r="B656" s="30"/>
      <c r="C656" s="290"/>
      <c r="D656" s="30"/>
      <c r="E656" s="286"/>
      <c r="F656" s="30"/>
      <c r="G656" s="183"/>
      <c r="J656" s="291"/>
      <c r="K656" s="291"/>
      <c r="L656" s="292"/>
      <c r="M656" s="293"/>
      <c r="N656" s="293"/>
    </row>
    <row r="657">
      <c r="A657" s="30"/>
      <c r="B657" s="30"/>
      <c r="C657" s="290"/>
      <c r="D657" s="30"/>
      <c r="E657" s="286"/>
      <c r="F657" s="30"/>
      <c r="G657" s="183"/>
      <c r="J657" s="291"/>
      <c r="K657" s="291"/>
      <c r="L657" s="292"/>
      <c r="M657" s="293"/>
      <c r="N657" s="293"/>
    </row>
    <row r="658">
      <c r="A658" s="30"/>
      <c r="B658" s="30"/>
      <c r="C658" s="290"/>
      <c r="D658" s="30"/>
      <c r="E658" s="286"/>
      <c r="F658" s="30"/>
      <c r="G658" s="183"/>
      <c r="J658" s="291"/>
      <c r="K658" s="291"/>
      <c r="L658" s="292"/>
      <c r="M658" s="293"/>
      <c r="N658" s="293"/>
    </row>
    <row r="659">
      <c r="A659" s="30"/>
      <c r="B659" s="30"/>
      <c r="C659" s="290"/>
      <c r="D659" s="30"/>
      <c r="E659" s="286"/>
      <c r="F659" s="30"/>
      <c r="G659" s="183"/>
      <c r="J659" s="291"/>
      <c r="K659" s="291"/>
      <c r="L659" s="292"/>
      <c r="M659" s="293"/>
      <c r="N659" s="293"/>
    </row>
    <row r="660">
      <c r="A660" s="30"/>
      <c r="B660" s="30"/>
      <c r="C660" s="290"/>
      <c r="D660" s="30"/>
      <c r="E660" s="286"/>
      <c r="F660" s="30"/>
      <c r="G660" s="117"/>
      <c r="H660" s="117"/>
      <c r="J660" s="291"/>
      <c r="K660" s="291"/>
      <c r="L660" s="292"/>
      <c r="M660" s="293"/>
      <c r="N660" s="293"/>
    </row>
    <row r="661">
      <c r="A661" s="30"/>
      <c r="B661" s="30"/>
      <c r="C661" s="290"/>
      <c r="D661" s="30"/>
      <c r="E661" s="286"/>
      <c r="F661" s="30"/>
      <c r="G661" s="183"/>
      <c r="J661" s="291"/>
      <c r="K661" s="291"/>
      <c r="L661" s="292"/>
      <c r="M661" s="293"/>
      <c r="N661" s="293"/>
    </row>
    <row r="662">
      <c r="A662" s="30"/>
      <c r="B662" s="30"/>
      <c r="C662" s="290"/>
      <c r="D662" s="30"/>
      <c r="E662" s="286"/>
      <c r="F662" s="30"/>
      <c r="G662" s="183"/>
      <c r="J662" s="291"/>
      <c r="K662" s="291"/>
      <c r="L662" s="292"/>
      <c r="M662" s="293"/>
      <c r="N662" s="293"/>
    </row>
    <row r="663">
      <c r="A663" s="30"/>
      <c r="B663" s="30"/>
      <c r="C663" s="290"/>
      <c r="D663" s="30"/>
      <c r="E663" s="286"/>
      <c r="F663" s="30"/>
      <c r="G663" s="183"/>
      <c r="J663" s="291"/>
      <c r="K663" s="291"/>
      <c r="L663" s="292"/>
      <c r="M663" s="293"/>
      <c r="N663" s="293"/>
    </row>
    <row r="664">
      <c r="A664" s="30"/>
      <c r="B664" s="30"/>
      <c r="C664" s="290"/>
      <c r="D664" s="30"/>
      <c r="E664" s="286"/>
      <c r="F664" s="30"/>
      <c r="G664" s="183"/>
      <c r="J664" s="291"/>
      <c r="K664" s="291"/>
      <c r="L664" s="292"/>
      <c r="M664" s="293"/>
      <c r="N664" s="293"/>
    </row>
    <row r="665">
      <c r="A665" s="30"/>
      <c r="B665" s="30"/>
      <c r="C665" s="290"/>
      <c r="D665" s="30"/>
      <c r="E665" s="286"/>
      <c r="F665" s="30"/>
      <c r="G665" s="183"/>
      <c r="J665" s="291"/>
      <c r="K665" s="291"/>
      <c r="L665" s="292"/>
      <c r="M665" s="293"/>
      <c r="N665" s="293"/>
    </row>
    <row r="666">
      <c r="A666" s="30"/>
      <c r="B666" s="30"/>
      <c r="C666" s="290"/>
      <c r="D666" s="30"/>
      <c r="E666" s="286"/>
      <c r="F666" s="30"/>
      <c r="G666" s="183"/>
      <c r="J666" s="291"/>
      <c r="K666" s="291"/>
      <c r="L666" s="292"/>
      <c r="M666" s="293"/>
      <c r="N666" s="293"/>
    </row>
    <row r="667">
      <c r="A667" s="30"/>
      <c r="B667" s="30"/>
      <c r="C667" s="290"/>
      <c r="D667" s="30"/>
      <c r="E667" s="286"/>
      <c r="F667" s="30"/>
      <c r="G667" s="183"/>
      <c r="J667" s="291"/>
      <c r="K667" s="291"/>
      <c r="L667" s="292"/>
      <c r="M667" s="293"/>
      <c r="N667" s="293"/>
    </row>
    <row r="668">
      <c r="A668" s="30"/>
      <c r="B668" s="30"/>
      <c r="C668" s="290"/>
      <c r="D668" s="30"/>
      <c r="E668" s="286"/>
      <c r="F668" s="30"/>
      <c r="G668" s="183"/>
      <c r="J668" s="291"/>
      <c r="K668" s="291"/>
      <c r="L668" s="292"/>
      <c r="M668" s="293"/>
      <c r="N668" s="293"/>
    </row>
    <row r="669">
      <c r="A669" s="30"/>
      <c r="B669" s="30"/>
      <c r="C669" s="290"/>
      <c r="D669" s="30"/>
      <c r="E669" s="286"/>
      <c r="F669" s="30"/>
      <c r="G669" s="183"/>
      <c r="J669" s="291"/>
      <c r="K669" s="291"/>
      <c r="L669" s="292"/>
      <c r="M669" s="293"/>
      <c r="N669" s="293"/>
    </row>
    <row r="670">
      <c r="A670" s="30"/>
      <c r="B670" s="30"/>
      <c r="C670" s="290"/>
      <c r="D670" s="30"/>
      <c r="E670" s="286"/>
      <c r="F670" s="30"/>
      <c r="G670" s="183"/>
      <c r="J670" s="291"/>
      <c r="K670" s="291"/>
      <c r="L670" s="292"/>
      <c r="M670" s="293"/>
      <c r="N670" s="293"/>
    </row>
    <row r="671">
      <c r="A671" s="30"/>
      <c r="B671" s="30"/>
      <c r="C671" s="290"/>
      <c r="D671" s="30"/>
      <c r="E671" s="286"/>
      <c r="F671" s="30"/>
      <c r="G671" s="183"/>
      <c r="J671" s="291"/>
      <c r="K671" s="291"/>
      <c r="L671" s="292"/>
      <c r="M671" s="293"/>
      <c r="N671" s="293"/>
    </row>
    <row r="672">
      <c r="A672" s="30"/>
      <c r="B672" s="30"/>
      <c r="C672" s="290"/>
      <c r="D672" s="30"/>
      <c r="E672" s="286"/>
      <c r="F672" s="30"/>
      <c r="G672" s="183"/>
      <c r="J672" s="291"/>
      <c r="K672" s="291"/>
      <c r="L672" s="292"/>
      <c r="M672" s="293"/>
      <c r="N672" s="293"/>
    </row>
    <row r="673">
      <c r="A673" s="30"/>
      <c r="B673" s="30"/>
      <c r="C673" s="290"/>
      <c r="D673" s="30"/>
      <c r="E673" s="286"/>
      <c r="F673" s="30"/>
      <c r="G673" s="183"/>
      <c r="J673" s="291"/>
      <c r="K673" s="291"/>
      <c r="L673" s="292"/>
      <c r="M673" s="293"/>
      <c r="N673" s="293"/>
    </row>
    <row r="674">
      <c r="A674" s="30"/>
      <c r="B674" s="30"/>
      <c r="C674" s="290"/>
      <c r="D674" s="30"/>
      <c r="E674" s="286"/>
      <c r="F674" s="30"/>
      <c r="G674" s="183"/>
      <c r="J674" s="291"/>
      <c r="K674" s="291"/>
      <c r="L674" s="292"/>
      <c r="M674" s="293"/>
      <c r="N674" s="293"/>
    </row>
    <row r="675">
      <c r="A675" s="30"/>
      <c r="B675" s="30"/>
      <c r="C675" s="290"/>
      <c r="D675" s="30"/>
      <c r="E675" s="286"/>
      <c r="F675" s="30"/>
      <c r="G675" s="183"/>
      <c r="J675" s="291"/>
      <c r="K675" s="291"/>
      <c r="L675" s="292"/>
      <c r="M675" s="293"/>
      <c r="N675" s="293"/>
    </row>
    <row r="676">
      <c r="A676" s="30"/>
      <c r="B676" s="30"/>
      <c r="C676" s="290"/>
      <c r="D676" s="30"/>
      <c r="E676" s="286"/>
      <c r="F676" s="30"/>
      <c r="G676" s="183"/>
      <c r="J676" s="291"/>
      <c r="K676" s="291"/>
      <c r="L676" s="292"/>
      <c r="M676" s="293"/>
      <c r="N676" s="293"/>
    </row>
    <row r="677">
      <c r="A677" s="30"/>
      <c r="B677" s="30"/>
      <c r="C677" s="290"/>
      <c r="D677" s="30"/>
      <c r="E677" s="286"/>
      <c r="F677" s="30"/>
      <c r="G677" s="183"/>
      <c r="J677" s="291"/>
      <c r="K677" s="291"/>
      <c r="L677" s="292"/>
      <c r="M677" s="293"/>
      <c r="N677" s="293"/>
    </row>
    <row r="678">
      <c r="A678" s="30"/>
      <c r="B678" s="30"/>
      <c r="C678" s="290"/>
      <c r="D678" s="30"/>
      <c r="E678" s="286"/>
      <c r="F678" s="30"/>
      <c r="G678" s="183"/>
      <c r="J678" s="291"/>
      <c r="K678" s="291"/>
      <c r="L678" s="292"/>
      <c r="M678" s="293"/>
      <c r="N678" s="293"/>
    </row>
    <row r="679">
      <c r="A679" s="30"/>
      <c r="B679" s="30"/>
      <c r="C679" s="290"/>
      <c r="D679" s="30"/>
      <c r="E679" s="286"/>
      <c r="F679" s="30"/>
      <c r="G679" s="183"/>
      <c r="J679" s="291"/>
      <c r="K679" s="291"/>
      <c r="L679" s="292"/>
      <c r="M679" s="293"/>
      <c r="N679" s="293"/>
    </row>
    <row r="680">
      <c r="A680" s="30"/>
      <c r="B680" s="30"/>
      <c r="C680" s="290"/>
      <c r="D680" s="30"/>
      <c r="E680" s="286"/>
      <c r="F680" s="30"/>
      <c r="G680" s="183"/>
      <c r="J680" s="291"/>
      <c r="K680" s="291"/>
      <c r="L680" s="292"/>
      <c r="M680" s="293"/>
      <c r="N680" s="293"/>
    </row>
    <row r="681">
      <c r="A681" s="30"/>
      <c r="B681" s="30"/>
      <c r="C681" s="290"/>
      <c r="D681" s="30"/>
      <c r="E681" s="286"/>
      <c r="F681" s="30"/>
      <c r="G681" s="183"/>
      <c r="J681" s="291"/>
      <c r="K681" s="291"/>
      <c r="L681" s="292"/>
      <c r="M681" s="293"/>
      <c r="N681" s="293"/>
    </row>
    <row r="682">
      <c r="A682" s="30"/>
      <c r="B682" s="30"/>
      <c r="C682" s="290"/>
      <c r="D682" s="30"/>
      <c r="E682" s="286"/>
      <c r="F682" s="30"/>
      <c r="G682" s="183"/>
      <c r="J682" s="291"/>
      <c r="K682" s="291"/>
      <c r="L682" s="292"/>
      <c r="M682" s="293"/>
      <c r="N682" s="293"/>
    </row>
    <row r="683">
      <c r="A683" s="30"/>
      <c r="B683" s="30"/>
      <c r="C683" s="290"/>
      <c r="D683" s="30"/>
      <c r="E683" s="286"/>
      <c r="F683" s="30"/>
      <c r="G683" s="183"/>
      <c r="J683" s="291"/>
      <c r="K683" s="291"/>
      <c r="L683" s="292"/>
      <c r="M683" s="293"/>
      <c r="N683" s="293"/>
    </row>
    <row r="684">
      <c r="A684" s="30"/>
      <c r="B684" s="30"/>
      <c r="C684" s="290"/>
      <c r="D684" s="30"/>
      <c r="E684" s="286"/>
      <c r="F684" s="30"/>
      <c r="G684" s="183"/>
      <c r="J684" s="291"/>
      <c r="K684" s="291"/>
      <c r="L684" s="292"/>
      <c r="M684" s="293"/>
      <c r="N684" s="293"/>
    </row>
    <row r="685">
      <c r="A685" s="30"/>
      <c r="B685" s="30"/>
      <c r="C685" s="290"/>
      <c r="D685" s="30"/>
      <c r="E685" s="286"/>
      <c r="F685" s="30"/>
      <c r="G685" s="183"/>
      <c r="J685" s="291"/>
      <c r="K685" s="291"/>
      <c r="L685" s="292"/>
      <c r="M685" s="293"/>
      <c r="N685" s="293"/>
    </row>
    <row r="686">
      <c r="A686" s="30"/>
      <c r="B686" s="30"/>
      <c r="C686" s="290"/>
      <c r="D686" s="30"/>
      <c r="E686" s="286"/>
      <c r="F686" s="30"/>
      <c r="G686" s="183"/>
      <c r="J686" s="291"/>
      <c r="K686" s="291"/>
      <c r="L686" s="292"/>
      <c r="M686" s="293"/>
      <c r="N686" s="293"/>
    </row>
    <row r="687">
      <c r="A687" s="30"/>
      <c r="B687" s="30"/>
      <c r="C687" s="290"/>
      <c r="D687" s="30"/>
      <c r="E687" s="286"/>
      <c r="F687" s="30"/>
      <c r="G687" s="183"/>
      <c r="J687" s="291"/>
      <c r="K687" s="291"/>
      <c r="L687" s="292"/>
      <c r="M687" s="293"/>
      <c r="N687" s="293"/>
    </row>
    <row r="688">
      <c r="A688" s="30"/>
      <c r="B688" s="30"/>
      <c r="C688" s="290"/>
      <c r="D688" s="30"/>
      <c r="E688" s="286"/>
      <c r="F688" s="30"/>
      <c r="G688" s="183"/>
      <c r="J688" s="291"/>
      <c r="K688" s="291"/>
      <c r="L688" s="292"/>
      <c r="M688" s="293"/>
      <c r="N688" s="293"/>
    </row>
    <row r="689">
      <c r="A689" s="30"/>
      <c r="B689" s="30"/>
      <c r="C689" s="290"/>
      <c r="D689" s="30"/>
      <c r="E689" s="286"/>
      <c r="F689" s="30"/>
      <c r="G689" s="183"/>
      <c r="J689" s="291"/>
      <c r="K689" s="291"/>
      <c r="L689" s="292"/>
      <c r="M689" s="293"/>
      <c r="N689" s="293"/>
    </row>
    <row r="690">
      <c r="A690" s="30"/>
      <c r="B690" s="30"/>
      <c r="C690" s="290"/>
      <c r="D690" s="30"/>
      <c r="E690" s="286"/>
      <c r="F690" s="30"/>
      <c r="G690" s="183"/>
      <c r="J690" s="291"/>
      <c r="K690" s="291"/>
      <c r="L690" s="292"/>
      <c r="M690" s="293"/>
      <c r="N690" s="293"/>
    </row>
    <row r="691">
      <c r="A691" s="30"/>
      <c r="B691" s="30"/>
      <c r="C691" s="290"/>
      <c r="D691" s="30"/>
      <c r="E691" s="286"/>
      <c r="F691" s="30"/>
      <c r="G691" s="183"/>
      <c r="J691" s="291"/>
      <c r="K691" s="291"/>
      <c r="L691" s="292"/>
      <c r="M691" s="293"/>
      <c r="N691" s="293"/>
    </row>
    <row r="692">
      <c r="A692" s="30"/>
      <c r="B692" s="30"/>
      <c r="C692" s="290"/>
      <c r="D692" s="30"/>
      <c r="E692" s="286"/>
      <c r="F692" s="30"/>
      <c r="G692" s="183"/>
      <c r="J692" s="291"/>
      <c r="K692" s="291"/>
      <c r="L692" s="292"/>
      <c r="M692" s="293"/>
      <c r="N692" s="293"/>
    </row>
    <row r="693">
      <c r="A693" s="30"/>
      <c r="B693" s="30"/>
      <c r="C693" s="290"/>
      <c r="D693" s="30"/>
      <c r="E693" s="286"/>
      <c r="F693" s="30"/>
      <c r="G693" s="183"/>
      <c r="J693" s="291"/>
      <c r="K693" s="291"/>
      <c r="L693" s="292"/>
      <c r="M693" s="293"/>
      <c r="N693" s="293"/>
    </row>
    <row r="694">
      <c r="A694" s="30"/>
      <c r="B694" s="30"/>
      <c r="C694" s="290"/>
      <c r="D694" s="30"/>
      <c r="E694" s="286"/>
      <c r="F694" s="30"/>
      <c r="G694" s="183"/>
      <c r="J694" s="291"/>
      <c r="K694" s="291"/>
      <c r="L694" s="292"/>
      <c r="M694" s="293"/>
      <c r="N694" s="293"/>
    </row>
    <row r="695">
      <c r="A695" s="30"/>
      <c r="B695" s="30"/>
      <c r="C695" s="290"/>
      <c r="D695" s="30"/>
      <c r="E695" s="286"/>
      <c r="F695" s="30"/>
      <c r="G695" s="183"/>
      <c r="J695" s="291"/>
      <c r="K695" s="291"/>
      <c r="L695" s="292"/>
      <c r="M695" s="293"/>
      <c r="N695" s="293"/>
    </row>
    <row r="696">
      <c r="A696" s="30"/>
      <c r="B696" s="30"/>
      <c r="C696" s="290"/>
      <c r="D696" s="30"/>
      <c r="E696" s="286"/>
      <c r="F696" s="30"/>
      <c r="G696" s="183"/>
      <c r="J696" s="291"/>
      <c r="K696" s="291"/>
      <c r="L696" s="292"/>
      <c r="M696" s="293"/>
      <c r="N696" s="293"/>
    </row>
    <row r="697">
      <c r="A697" s="30"/>
      <c r="B697" s="30"/>
      <c r="C697" s="290"/>
      <c r="D697" s="30"/>
      <c r="E697" s="286"/>
      <c r="F697" s="30"/>
      <c r="G697" s="183"/>
      <c r="J697" s="291"/>
      <c r="K697" s="291"/>
      <c r="L697" s="292"/>
      <c r="M697" s="293"/>
      <c r="N697" s="293"/>
    </row>
    <row r="698">
      <c r="A698" s="30"/>
      <c r="B698" s="30"/>
      <c r="C698" s="290"/>
      <c r="D698" s="30"/>
      <c r="E698" s="286"/>
      <c r="F698" s="30"/>
      <c r="G698" s="183"/>
      <c r="J698" s="291"/>
      <c r="K698" s="291"/>
      <c r="L698" s="292"/>
      <c r="M698" s="293"/>
      <c r="N698" s="293"/>
    </row>
    <row r="699">
      <c r="A699" s="30"/>
      <c r="B699" s="30"/>
      <c r="C699" s="290"/>
      <c r="D699" s="30"/>
      <c r="E699" s="286"/>
      <c r="F699" s="30"/>
      <c r="G699" s="183"/>
      <c r="J699" s="291"/>
      <c r="K699" s="291"/>
      <c r="L699" s="292"/>
      <c r="M699" s="293"/>
      <c r="N699" s="293"/>
    </row>
    <row r="700">
      <c r="A700" s="30"/>
      <c r="B700" s="30"/>
      <c r="C700" s="290"/>
      <c r="D700" s="30"/>
      <c r="E700" s="286"/>
      <c r="F700" s="30"/>
      <c r="G700" s="183"/>
      <c r="J700" s="291"/>
      <c r="K700" s="291"/>
      <c r="L700" s="292"/>
      <c r="M700" s="293"/>
      <c r="N700" s="293"/>
    </row>
    <row r="701">
      <c r="A701" s="30"/>
      <c r="B701" s="30"/>
      <c r="C701" s="290"/>
      <c r="D701" s="30"/>
      <c r="E701" s="286"/>
      <c r="F701" s="30"/>
      <c r="G701" s="183"/>
      <c r="J701" s="291"/>
      <c r="K701" s="291"/>
      <c r="L701" s="292"/>
      <c r="M701" s="293"/>
      <c r="N701" s="293"/>
    </row>
    <row r="702">
      <c r="A702" s="30"/>
      <c r="B702" s="30"/>
      <c r="C702" s="290"/>
      <c r="D702" s="30"/>
      <c r="E702" s="286"/>
      <c r="F702" s="30"/>
      <c r="G702" s="183"/>
      <c r="J702" s="291"/>
      <c r="K702" s="291"/>
      <c r="L702" s="292"/>
      <c r="M702" s="293"/>
      <c r="N702" s="293"/>
    </row>
    <row r="703">
      <c r="A703" s="30"/>
      <c r="B703" s="30"/>
      <c r="C703" s="290"/>
      <c r="D703" s="30"/>
      <c r="E703" s="286"/>
      <c r="F703" s="30"/>
      <c r="G703" s="183"/>
      <c r="J703" s="291"/>
      <c r="K703" s="291"/>
      <c r="L703" s="292"/>
      <c r="M703" s="293"/>
      <c r="N703" s="293"/>
    </row>
    <row r="704">
      <c r="A704" s="30"/>
      <c r="B704" s="30"/>
      <c r="C704" s="290"/>
      <c r="D704" s="30"/>
      <c r="E704" s="286"/>
      <c r="F704" s="30"/>
      <c r="G704" s="183"/>
      <c r="J704" s="291"/>
      <c r="K704" s="291"/>
      <c r="L704" s="292"/>
      <c r="M704" s="293"/>
      <c r="N704" s="293"/>
    </row>
    <row r="705">
      <c r="A705" s="30"/>
      <c r="B705" s="30"/>
      <c r="C705" s="290"/>
      <c r="D705" s="30"/>
      <c r="E705" s="286"/>
      <c r="F705" s="30"/>
      <c r="G705" s="183"/>
      <c r="J705" s="291"/>
      <c r="K705" s="291"/>
      <c r="L705" s="292"/>
      <c r="M705" s="293"/>
      <c r="N705" s="293"/>
    </row>
    <row r="706">
      <c r="A706" s="30"/>
      <c r="B706" s="30"/>
      <c r="C706" s="290"/>
      <c r="D706" s="30"/>
      <c r="E706" s="286"/>
      <c r="F706" s="30"/>
      <c r="G706" s="183"/>
      <c r="J706" s="291"/>
      <c r="K706" s="291"/>
      <c r="L706" s="292"/>
      <c r="M706" s="293"/>
      <c r="N706" s="293"/>
    </row>
    <row r="707">
      <c r="A707" s="30"/>
      <c r="B707" s="30"/>
      <c r="C707" s="290"/>
      <c r="D707" s="30"/>
      <c r="E707" s="286"/>
      <c r="F707" s="30"/>
      <c r="G707" s="183"/>
      <c r="J707" s="291"/>
      <c r="K707" s="291"/>
      <c r="L707" s="292"/>
      <c r="M707" s="293"/>
      <c r="N707" s="293"/>
    </row>
    <row r="708">
      <c r="A708" s="30"/>
      <c r="B708" s="30"/>
      <c r="C708" s="290"/>
      <c r="D708" s="30"/>
      <c r="E708" s="286"/>
      <c r="F708" s="30"/>
      <c r="G708" s="183"/>
      <c r="J708" s="291"/>
      <c r="K708" s="291"/>
      <c r="L708" s="292"/>
      <c r="M708" s="293"/>
      <c r="N708" s="293"/>
    </row>
    <row r="709">
      <c r="A709" s="30"/>
      <c r="B709" s="30"/>
      <c r="C709" s="290"/>
      <c r="D709" s="30"/>
      <c r="E709" s="286"/>
      <c r="F709" s="30"/>
      <c r="G709" s="183"/>
      <c r="J709" s="291"/>
      <c r="K709" s="291"/>
      <c r="L709" s="292"/>
      <c r="M709" s="293"/>
      <c r="N709" s="293"/>
    </row>
    <row r="710">
      <c r="A710" s="30"/>
      <c r="B710" s="30"/>
      <c r="C710" s="290"/>
      <c r="D710" s="30"/>
      <c r="E710" s="286"/>
      <c r="F710" s="30"/>
      <c r="G710" s="183"/>
      <c r="J710" s="291"/>
      <c r="K710" s="291"/>
      <c r="L710" s="292"/>
      <c r="M710" s="293"/>
      <c r="N710" s="293"/>
    </row>
    <row r="711">
      <c r="A711" s="30"/>
      <c r="B711" s="30"/>
      <c r="C711" s="290"/>
      <c r="D711" s="30"/>
      <c r="E711" s="286"/>
      <c r="F711" s="30"/>
      <c r="G711" s="183"/>
      <c r="J711" s="291"/>
      <c r="K711" s="291"/>
      <c r="L711" s="292"/>
      <c r="M711" s="293"/>
      <c r="N711" s="293"/>
    </row>
    <row r="712">
      <c r="A712" s="30"/>
      <c r="B712" s="30"/>
      <c r="C712" s="290"/>
      <c r="D712" s="30"/>
      <c r="E712" s="286"/>
      <c r="F712" s="30"/>
      <c r="G712" s="183"/>
      <c r="J712" s="291"/>
      <c r="K712" s="291"/>
      <c r="L712" s="292"/>
      <c r="M712" s="293"/>
      <c r="N712" s="293"/>
    </row>
    <row r="713">
      <c r="A713" s="30"/>
      <c r="B713" s="30"/>
      <c r="C713" s="290"/>
      <c r="D713" s="30"/>
      <c r="E713" s="286"/>
      <c r="F713" s="30"/>
      <c r="G713" s="183"/>
      <c r="J713" s="291"/>
      <c r="K713" s="291"/>
      <c r="L713" s="292"/>
      <c r="M713" s="293"/>
      <c r="N713" s="293"/>
    </row>
    <row r="714">
      <c r="A714" s="30"/>
      <c r="B714" s="30"/>
      <c r="C714" s="290"/>
      <c r="D714" s="30"/>
      <c r="E714" s="286"/>
      <c r="F714" s="30"/>
      <c r="G714" s="183"/>
      <c r="J714" s="291"/>
      <c r="K714" s="291"/>
      <c r="L714" s="292"/>
      <c r="M714" s="293"/>
      <c r="N714" s="293"/>
    </row>
    <row r="715">
      <c r="A715" s="30"/>
      <c r="B715" s="30"/>
      <c r="C715" s="290"/>
      <c r="D715" s="30"/>
      <c r="E715" s="286"/>
      <c r="F715" s="30"/>
      <c r="G715" s="183"/>
      <c r="J715" s="291"/>
      <c r="K715" s="291"/>
      <c r="L715" s="292"/>
      <c r="M715" s="293"/>
      <c r="N715" s="293"/>
    </row>
    <row r="716">
      <c r="A716" s="30"/>
      <c r="B716" s="30"/>
      <c r="C716" s="290"/>
      <c r="D716" s="30"/>
      <c r="E716" s="286"/>
      <c r="F716" s="30"/>
      <c r="G716" s="183"/>
      <c r="J716" s="291"/>
      <c r="K716" s="291"/>
      <c r="L716" s="292"/>
      <c r="M716" s="293"/>
      <c r="N716" s="293"/>
    </row>
    <row r="717">
      <c r="A717" s="30"/>
      <c r="B717" s="30"/>
      <c r="C717" s="290"/>
      <c r="D717" s="30"/>
      <c r="E717" s="286"/>
      <c r="F717" s="30"/>
      <c r="G717" s="183"/>
      <c r="J717" s="291"/>
      <c r="K717" s="291"/>
      <c r="L717" s="292"/>
      <c r="M717" s="293"/>
      <c r="N717" s="293"/>
    </row>
    <row r="718">
      <c r="A718" s="30"/>
      <c r="B718" s="30"/>
      <c r="C718" s="290"/>
      <c r="D718" s="30"/>
      <c r="E718" s="286"/>
      <c r="F718" s="30"/>
      <c r="G718" s="183"/>
      <c r="J718" s="291"/>
      <c r="K718" s="291"/>
      <c r="L718" s="292"/>
      <c r="M718" s="293"/>
      <c r="N718" s="293"/>
    </row>
    <row r="719">
      <c r="A719" s="30"/>
      <c r="B719" s="30"/>
      <c r="C719" s="290"/>
      <c r="D719" s="30"/>
      <c r="E719" s="286"/>
      <c r="F719" s="30"/>
      <c r="G719" s="183"/>
      <c r="J719" s="291"/>
      <c r="K719" s="291"/>
      <c r="L719" s="292"/>
      <c r="M719" s="293"/>
      <c r="N719" s="293"/>
    </row>
    <row r="720">
      <c r="A720" s="30"/>
      <c r="B720" s="30"/>
      <c r="C720" s="290"/>
      <c r="D720" s="30"/>
      <c r="E720" s="286"/>
      <c r="F720" s="30"/>
      <c r="G720" s="183"/>
      <c r="J720" s="291"/>
      <c r="K720" s="291"/>
      <c r="L720" s="292"/>
      <c r="M720" s="293"/>
      <c r="N720" s="293"/>
    </row>
    <row r="721">
      <c r="A721" s="30"/>
      <c r="B721" s="30"/>
      <c r="C721" s="290"/>
      <c r="D721" s="30"/>
      <c r="E721" s="286"/>
      <c r="F721" s="30"/>
      <c r="G721" s="183"/>
      <c r="J721" s="291"/>
      <c r="K721" s="291"/>
      <c r="L721" s="292"/>
      <c r="M721" s="293"/>
      <c r="N721" s="293"/>
    </row>
    <row r="722">
      <c r="A722" s="30"/>
      <c r="B722" s="30"/>
      <c r="C722" s="290"/>
      <c r="D722" s="30"/>
      <c r="E722" s="286"/>
      <c r="F722" s="30"/>
      <c r="G722" s="183"/>
      <c r="J722" s="291"/>
      <c r="K722" s="291"/>
      <c r="L722" s="292"/>
      <c r="M722" s="293"/>
      <c r="N722" s="293"/>
    </row>
    <row r="723">
      <c r="A723" s="30"/>
      <c r="B723" s="30"/>
      <c r="C723" s="290"/>
      <c r="D723" s="30"/>
      <c r="E723" s="286"/>
      <c r="F723" s="30"/>
      <c r="G723" s="183"/>
      <c r="J723" s="291"/>
      <c r="K723" s="291"/>
      <c r="L723" s="292"/>
      <c r="M723" s="293"/>
      <c r="N723" s="293"/>
    </row>
    <row r="724">
      <c r="A724" s="30"/>
      <c r="B724" s="30"/>
      <c r="C724" s="290"/>
      <c r="D724" s="30"/>
      <c r="E724" s="286"/>
      <c r="F724" s="30"/>
      <c r="G724" s="183"/>
      <c r="J724" s="291"/>
      <c r="K724" s="291"/>
      <c r="L724" s="292"/>
      <c r="M724" s="293"/>
      <c r="N724" s="293"/>
    </row>
    <row r="725">
      <c r="A725" s="30"/>
      <c r="B725" s="30"/>
      <c r="C725" s="290"/>
      <c r="D725" s="30"/>
      <c r="E725" s="286"/>
      <c r="F725" s="30"/>
      <c r="G725" s="183"/>
      <c r="J725" s="291"/>
      <c r="K725" s="291"/>
      <c r="L725" s="292"/>
      <c r="M725" s="293"/>
      <c r="N725" s="293"/>
    </row>
    <row r="726">
      <c r="A726" s="30"/>
      <c r="B726" s="30"/>
      <c r="C726" s="290"/>
      <c r="D726" s="30"/>
      <c r="E726" s="286"/>
      <c r="F726" s="30"/>
      <c r="G726" s="183"/>
      <c r="J726" s="291"/>
      <c r="K726" s="291"/>
      <c r="L726" s="292"/>
      <c r="M726" s="293"/>
      <c r="N726" s="293"/>
    </row>
    <row r="727">
      <c r="A727" s="30"/>
      <c r="B727" s="30"/>
      <c r="C727" s="290"/>
      <c r="D727" s="30"/>
      <c r="E727" s="286"/>
      <c r="F727" s="30"/>
      <c r="G727" s="183"/>
      <c r="J727" s="291"/>
      <c r="K727" s="291"/>
      <c r="L727" s="292"/>
      <c r="M727" s="293"/>
      <c r="N727" s="293"/>
    </row>
    <row r="728">
      <c r="A728" s="30"/>
      <c r="B728" s="30"/>
      <c r="C728" s="290"/>
      <c r="D728" s="30"/>
      <c r="E728" s="286"/>
      <c r="F728" s="30"/>
      <c r="G728" s="183"/>
      <c r="J728" s="291"/>
      <c r="K728" s="291"/>
      <c r="L728" s="292"/>
      <c r="M728" s="293"/>
      <c r="N728" s="293"/>
    </row>
    <row r="729">
      <c r="A729" s="30"/>
      <c r="B729" s="30"/>
      <c r="C729" s="290"/>
      <c r="D729" s="30"/>
      <c r="E729" s="286"/>
      <c r="F729" s="30"/>
      <c r="G729" s="183"/>
      <c r="J729" s="291"/>
      <c r="K729" s="291"/>
      <c r="L729" s="292"/>
      <c r="M729" s="293"/>
      <c r="N729" s="293"/>
    </row>
    <row r="730">
      <c r="A730" s="30"/>
      <c r="B730" s="30"/>
      <c r="C730" s="290"/>
      <c r="D730" s="30"/>
      <c r="E730" s="286"/>
      <c r="F730" s="30"/>
      <c r="G730" s="183"/>
      <c r="J730" s="291"/>
      <c r="K730" s="291"/>
      <c r="L730" s="292"/>
      <c r="M730" s="293"/>
      <c r="N730" s="293"/>
    </row>
    <row r="731">
      <c r="A731" s="30"/>
      <c r="B731" s="30"/>
      <c r="C731" s="290"/>
      <c r="D731" s="30"/>
      <c r="E731" s="286"/>
      <c r="F731" s="30"/>
      <c r="G731" s="183"/>
      <c r="J731" s="291"/>
      <c r="K731" s="291"/>
      <c r="L731" s="292"/>
      <c r="M731" s="293"/>
      <c r="N731" s="293"/>
    </row>
    <row r="732">
      <c r="A732" s="30"/>
      <c r="B732" s="30"/>
      <c r="C732" s="290"/>
      <c r="D732" s="30"/>
      <c r="E732" s="286"/>
      <c r="F732" s="30"/>
      <c r="G732" s="183"/>
      <c r="J732" s="291"/>
      <c r="K732" s="291"/>
      <c r="L732" s="292"/>
      <c r="M732" s="293"/>
      <c r="N732" s="293"/>
    </row>
    <row r="733">
      <c r="A733" s="30"/>
      <c r="B733" s="30"/>
      <c r="C733" s="290"/>
      <c r="D733" s="30"/>
      <c r="E733" s="286"/>
      <c r="F733" s="30"/>
      <c r="G733" s="183"/>
      <c r="J733" s="291"/>
      <c r="K733" s="291"/>
      <c r="L733" s="292"/>
      <c r="M733" s="293"/>
      <c r="N733" s="293"/>
    </row>
    <row r="734">
      <c r="A734" s="30"/>
      <c r="B734" s="30"/>
      <c r="C734" s="290"/>
      <c r="D734" s="30"/>
      <c r="E734" s="286"/>
      <c r="F734" s="30"/>
      <c r="G734" s="183"/>
      <c r="J734" s="291"/>
      <c r="K734" s="291"/>
      <c r="L734" s="292"/>
      <c r="M734" s="293"/>
      <c r="N734" s="293"/>
    </row>
    <row r="735">
      <c r="A735" s="30"/>
      <c r="B735" s="30"/>
      <c r="C735" s="290"/>
      <c r="D735" s="30"/>
      <c r="E735" s="286"/>
      <c r="F735" s="30"/>
      <c r="G735" s="183"/>
      <c r="J735" s="291"/>
      <c r="K735" s="291"/>
      <c r="L735" s="292"/>
      <c r="M735" s="293"/>
      <c r="N735" s="293"/>
    </row>
    <row r="736">
      <c r="A736" s="30"/>
      <c r="B736" s="30"/>
      <c r="C736" s="290"/>
      <c r="D736" s="30"/>
      <c r="E736" s="286"/>
      <c r="F736" s="30"/>
      <c r="G736" s="183"/>
      <c r="J736" s="291"/>
      <c r="K736" s="291"/>
      <c r="L736" s="292"/>
      <c r="M736" s="293"/>
      <c r="N736" s="293"/>
    </row>
    <row r="737">
      <c r="A737" s="30"/>
      <c r="B737" s="30"/>
      <c r="C737" s="290"/>
      <c r="D737" s="30"/>
      <c r="E737" s="286"/>
      <c r="F737" s="30"/>
      <c r="G737" s="183"/>
      <c r="J737" s="291"/>
      <c r="K737" s="291"/>
      <c r="L737" s="292"/>
      <c r="M737" s="293"/>
      <c r="N737" s="293"/>
    </row>
    <row r="738">
      <c r="A738" s="30"/>
      <c r="B738" s="30"/>
      <c r="C738" s="290"/>
      <c r="D738" s="30"/>
      <c r="E738" s="286"/>
      <c r="F738" s="30"/>
      <c r="G738" s="183"/>
      <c r="J738" s="291"/>
      <c r="K738" s="291"/>
      <c r="L738" s="292"/>
      <c r="M738" s="293"/>
      <c r="N738" s="293"/>
    </row>
    <row r="739">
      <c r="A739" s="30"/>
      <c r="B739" s="30"/>
      <c r="C739" s="290"/>
      <c r="D739" s="30"/>
      <c r="E739" s="286"/>
      <c r="F739" s="30"/>
      <c r="G739" s="183"/>
      <c r="J739" s="291"/>
      <c r="K739" s="291"/>
      <c r="L739" s="292"/>
      <c r="M739" s="293"/>
      <c r="N739" s="293"/>
    </row>
    <row r="740">
      <c r="A740" s="30"/>
      <c r="B740" s="30"/>
      <c r="C740" s="290"/>
      <c r="D740" s="30"/>
      <c r="E740" s="286"/>
      <c r="F740" s="30"/>
      <c r="G740" s="183"/>
      <c r="J740" s="291"/>
      <c r="K740" s="291"/>
      <c r="L740" s="292"/>
      <c r="M740" s="293"/>
      <c r="N740" s="293"/>
    </row>
    <row r="741">
      <c r="A741" s="30"/>
      <c r="B741" s="30"/>
      <c r="C741" s="290"/>
      <c r="D741" s="30"/>
      <c r="E741" s="286"/>
      <c r="F741" s="30"/>
      <c r="G741" s="183"/>
      <c r="J741" s="291"/>
      <c r="K741" s="291"/>
      <c r="L741" s="292"/>
      <c r="M741" s="293"/>
      <c r="N741" s="293"/>
    </row>
    <row r="742">
      <c r="A742" s="30"/>
      <c r="B742" s="30"/>
      <c r="C742" s="290"/>
      <c r="D742" s="30"/>
      <c r="E742" s="286"/>
      <c r="F742" s="30"/>
      <c r="G742" s="183"/>
      <c r="J742" s="291"/>
      <c r="K742" s="291"/>
      <c r="L742" s="292"/>
      <c r="M742" s="293"/>
      <c r="N742" s="293"/>
    </row>
    <row r="743">
      <c r="A743" s="30"/>
      <c r="B743" s="30"/>
      <c r="C743" s="290"/>
      <c r="D743" s="30"/>
      <c r="E743" s="286"/>
      <c r="F743" s="30"/>
      <c r="G743" s="183"/>
      <c r="J743" s="291"/>
      <c r="K743" s="291"/>
      <c r="L743" s="292"/>
      <c r="M743" s="293"/>
      <c r="N743" s="293"/>
    </row>
    <row r="744">
      <c r="A744" s="30"/>
      <c r="B744" s="30"/>
      <c r="C744" s="290"/>
      <c r="D744" s="30"/>
      <c r="E744" s="286"/>
      <c r="F744" s="30"/>
      <c r="G744" s="183"/>
      <c r="J744" s="291"/>
      <c r="K744" s="291"/>
      <c r="L744" s="292"/>
      <c r="M744" s="293"/>
      <c r="N744" s="293"/>
    </row>
    <row r="745">
      <c r="A745" s="30"/>
      <c r="B745" s="30"/>
      <c r="C745" s="290"/>
      <c r="D745" s="30"/>
      <c r="E745" s="286"/>
      <c r="F745" s="30"/>
      <c r="G745" s="183"/>
      <c r="J745" s="291"/>
      <c r="K745" s="291"/>
      <c r="L745" s="292"/>
      <c r="M745" s="293"/>
      <c r="N745" s="293"/>
    </row>
    <row r="746">
      <c r="A746" s="30"/>
      <c r="B746" s="30"/>
      <c r="C746" s="290"/>
      <c r="D746" s="30"/>
      <c r="E746" s="286"/>
      <c r="F746" s="30"/>
      <c r="G746" s="183"/>
      <c r="J746" s="291"/>
      <c r="K746" s="291"/>
      <c r="L746" s="292"/>
      <c r="M746" s="293"/>
      <c r="N746" s="293"/>
    </row>
    <row r="747">
      <c r="A747" s="30"/>
      <c r="B747" s="30"/>
      <c r="C747" s="290"/>
      <c r="D747" s="30"/>
      <c r="E747" s="286"/>
      <c r="F747" s="30"/>
      <c r="G747" s="183"/>
      <c r="J747" s="291"/>
      <c r="K747" s="291"/>
      <c r="L747" s="292"/>
      <c r="M747" s="293"/>
      <c r="N747" s="293"/>
    </row>
    <row r="748">
      <c r="A748" s="30"/>
      <c r="B748" s="30"/>
      <c r="C748" s="290"/>
      <c r="D748" s="30"/>
      <c r="E748" s="286"/>
      <c r="F748" s="30"/>
      <c r="G748" s="183"/>
      <c r="J748" s="291"/>
      <c r="K748" s="291"/>
      <c r="L748" s="292"/>
      <c r="M748" s="293"/>
      <c r="N748" s="293"/>
    </row>
    <row r="749">
      <c r="A749" s="30"/>
      <c r="B749" s="30"/>
      <c r="C749" s="290"/>
      <c r="D749" s="30"/>
      <c r="E749" s="286"/>
      <c r="F749" s="30"/>
      <c r="G749" s="183"/>
      <c r="J749" s="291"/>
      <c r="K749" s="291"/>
      <c r="L749" s="292"/>
      <c r="M749" s="293"/>
      <c r="N749" s="293"/>
    </row>
    <row r="750">
      <c r="A750" s="30"/>
      <c r="B750" s="30"/>
      <c r="C750" s="290"/>
      <c r="D750" s="30"/>
      <c r="E750" s="286"/>
      <c r="F750" s="30"/>
      <c r="G750" s="183"/>
      <c r="J750" s="291"/>
      <c r="K750" s="291"/>
      <c r="L750" s="292"/>
      <c r="M750" s="293"/>
      <c r="N750" s="293"/>
    </row>
    <row r="751">
      <c r="A751" s="30"/>
      <c r="B751" s="30"/>
      <c r="C751" s="290"/>
      <c r="D751" s="30"/>
      <c r="E751" s="286"/>
      <c r="F751" s="30"/>
      <c r="G751" s="183"/>
      <c r="J751" s="291"/>
      <c r="K751" s="291"/>
      <c r="L751" s="292"/>
      <c r="M751" s="293"/>
      <c r="N751" s="293"/>
    </row>
    <row r="752">
      <c r="A752" s="30"/>
      <c r="B752" s="30"/>
      <c r="C752" s="290"/>
      <c r="D752" s="30"/>
      <c r="E752" s="286"/>
      <c r="F752" s="30"/>
      <c r="G752" s="183"/>
      <c r="J752" s="291"/>
      <c r="K752" s="291"/>
      <c r="L752" s="292"/>
      <c r="M752" s="293"/>
      <c r="N752" s="293"/>
    </row>
    <row r="753">
      <c r="A753" s="30"/>
      <c r="B753" s="30"/>
      <c r="C753" s="290"/>
      <c r="D753" s="30"/>
      <c r="E753" s="286"/>
      <c r="F753" s="30"/>
      <c r="G753" s="183"/>
      <c r="J753" s="291"/>
      <c r="K753" s="291"/>
      <c r="L753" s="292"/>
      <c r="M753" s="293"/>
      <c r="N753" s="293"/>
    </row>
    <row r="754">
      <c r="A754" s="30"/>
      <c r="B754" s="30"/>
      <c r="C754" s="290"/>
      <c r="D754" s="30"/>
      <c r="E754" s="286"/>
      <c r="F754" s="30"/>
      <c r="G754" s="183"/>
      <c r="J754" s="291"/>
      <c r="K754" s="291"/>
      <c r="L754" s="292"/>
      <c r="M754" s="293"/>
      <c r="N754" s="293"/>
    </row>
    <row r="755">
      <c r="A755" s="30"/>
      <c r="B755" s="30"/>
      <c r="C755" s="290"/>
      <c r="D755" s="30"/>
      <c r="E755" s="286"/>
      <c r="F755" s="30"/>
      <c r="G755" s="183"/>
      <c r="J755" s="291"/>
      <c r="K755" s="291"/>
      <c r="L755" s="292"/>
      <c r="M755" s="293"/>
      <c r="N755" s="293"/>
    </row>
    <row r="756">
      <c r="A756" s="30"/>
      <c r="B756" s="30"/>
      <c r="C756" s="290"/>
      <c r="D756" s="30"/>
      <c r="E756" s="286"/>
      <c r="F756" s="30"/>
      <c r="G756" s="183"/>
      <c r="J756" s="291"/>
      <c r="K756" s="291"/>
      <c r="L756" s="292"/>
      <c r="M756" s="293"/>
      <c r="N756" s="293"/>
    </row>
    <row r="757">
      <c r="A757" s="30"/>
      <c r="B757" s="30"/>
      <c r="C757" s="290"/>
      <c r="D757" s="30"/>
      <c r="E757" s="286"/>
      <c r="F757" s="30"/>
      <c r="G757" s="183"/>
      <c r="J757" s="291"/>
      <c r="K757" s="291"/>
      <c r="L757" s="292"/>
      <c r="M757" s="293"/>
      <c r="N757" s="293"/>
    </row>
    <row r="758">
      <c r="A758" s="30"/>
      <c r="B758" s="30"/>
      <c r="C758" s="290"/>
      <c r="D758" s="30"/>
      <c r="E758" s="286"/>
      <c r="F758" s="30"/>
      <c r="G758" s="183"/>
      <c r="J758" s="291"/>
      <c r="K758" s="291"/>
      <c r="L758" s="292"/>
      <c r="M758" s="293"/>
      <c r="N758" s="293"/>
    </row>
    <row r="759">
      <c r="A759" s="30"/>
      <c r="B759" s="30"/>
      <c r="C759" s="290"/>
      <c r="D759" s="30"/>
      <c r="E759" s="286"/>
      <c r="F759" s="30"/>
      <c r="G759" s="183"/>
      <c r="J759" s="291"/>
      <c r="K759" s="291"/>
      <c r="L759" s="292"/>
      <c r="M759" s="293"/>
      <c r="N759" s="293"/>
    </row>
    <row r="760">
      <c r="A760" s="30"/>
      <c r="B760" s="30"/>
      <c r="C760" s="290"/>
      <c r="D760" s="30"/>
      <c r="E760" s="286"/>
      <c r="F760" s="30"/>
      <c r="G760" s="183"/>
      <c r="J760" s="291"/>
      <c r="K760" s="291"/>
      <c r="L760" s="292"/>
      <c r="M760" s="293"/>
      <c r="N760" s="293"/>
    </row>
    <row r="761">
      <c r="A761" s="30"/>
      <c r="B761" s="30"/>
      <c r="C761" s="290"/>
      <c r="D761" s="30"/>
      <c r="E761" s="286"/>
      <c r="F761" s="30"/>
      <c r="G761" s="183"/>
      <c r="J761" s="291"/>
      <c r="K761" s="291"/>
      <c r="L761" s="292"/>
      <c r="M761" s="293"/>
      <c r="N761" s="293"/>
    </row>
    <row r="762">
      <c r="A762" s="30"/>
      <c r="B762" s="30"/>
      <c r="C762" s="290"/>
      <c r="D762" s="30"/>
      <c r="E762" s="286"/>
      <c r="F762" s="30"/>
      <c r="G762" s="183"/>
      <c r="J762" s="291"/>
      <c r="K762" s="291"/>
      <c r="L762" s="292"/>
      <c r="M762" s="293"/>
      <c r="N762" s="293"/>
    </row>
    <row r="763">
      <c r="A763" s="30"/>
      <c r="B763" s="30"/>
      <c r="C763" s="290"/>
      <c r="D763" s="30"/>
      <c r="E763" s="286"/>
      <c r="F763" s="30"/>
      <c r="G763" s="183"/>
      <c r="J763" s="291"/>
      <c r="K763" s="291"/>
      <c r="L763" s="292"/>
      <c r="M763" s="293"/>
      <c r="N763" s="293"/>
    </row>
    <row r="764">
      <c r="A764" s="30"/>
      <c r="B764" s="30"/>
      <c r="C764" s="290"/>
      <c r="D764" s="30"/>
      <c r="E764" s="286"/>
      <c r="F764" s="30"/>
      <c r="G764" s="183"/>
      <c r="J764" s="291"/>
      <c r="K764" s="291"/>
      <c r="L764" s="292"/>
      <c r="M764" s="293"/>
      <c r="N764" s="293"/>
    </row>
    <row r="765">
      <c r="A765" s="30"/>
      <c r="B765" s="30"/>
      <c r="C765" s="290"/>
      <c r="D765" s="30"/>
      <c r="E765" s="286"/>
      <c r="F765" s="30"/>
      <c r="G765" s="183"/>
      <c r="J765" s="291"/>
      <c r="K765" s="291"/>
      <c r="L765" s="292"/>
      <c r="M765" s="293"/>
      <c r="N765" s="293"/>
    </row>
    <row r="766">
      <c r="A766" s="30"/>
      <c r="B766" s="30"/>
      <c r="C766" s="290"/>
      <c r="D766" s="30"/>
      <c r="E766" s="286"/>
      <c r="F766" s="30"/>
      <c r="G766" s="183"/>
      <c r="J766" s="291"/>
      <c r="K766" s="291"/>
      <c r="L766" s="292"/>
      <c r="M766" s="293"/>
      <c r="N766" s="293"/>
    </row>
    <row r="767">
      <c r="A767" s="30"/>
      <c r="B767" s="30"/>
      <c r="C767" s="290"/>
      <c r="D767" s="30"/>
      <c r="E767" s="286"/>
      <c r="F767" s="30"/>
      <c r="G767" s="183"/>
      <c r="J767" s="291"/>
      <c r="K767" s="291"/>
      <c r="L767" s="292"/>
      <c r="M767" s="293"/>
      <c r="N767" s="293"/>
    </row>
    <row r="768">
      <c r="A768" s="30"/>
      <c r="B768" s="30"/>
      <c r="C768" s="290"/>
      <c r="D768" s="30"/>
      <c r="E768" s="286"/>
      <c r="F768" s="30"/>
      <c r="G768" s="183"/>
      <c r="J768" s="291"/>
      <c r="K768" s="291"/>
      <c r="L768" s="292"/>
      <c r="M768" s="293"/>
      <c r="N768" s="293"/>
    </row>
    <row r="769">
      <c r="A769" s="30"/>
      <c r="B769" s="30"/>
      <c r="C769" s="290"/>
      <c r="D769" s="30"/>
      <c r="E769" s="286"/>
      <c r="F769" s="30"/>
      <c r="G769" s="183"/>
      <c r="J769" s="291"/>
      <c r="K769" s="291"/>
      <c r="L769" s="292"/>
      <c r="M769" s="293"/>
      <c r="N769" s="293"/>
    </row>
    <row r="770">
      <c r="A770" s="30"/>
      <c r="B770" s="30"/>
      <c r="C770" s="290"/>
      <c r="D770" s="30"/>
      <c r="E770" s="286"/>
      <c r="F770" s="30"/>
      <c r="G770" s="183"/>
      <c r="J770" s="291"/>
      <c r="K770" s="291"/>
      <c r="L770" s="292"/>
      <c r="M770" s="293"/>
      <c r="N770" s="293"/>
    </row>
    <row r="771">
      <c r="A771" s="30"/>
      <c r="B771" s="30"/>
      <c r="C771" s="290"/>
      <c r="D771" s="30"/>
      <c r="E771" s="286"/>
      <c r="F771" s="30"/>
      <c r="G771" s="183"/>
      <c r="J771" s="291"/>
      <c r="K771" s="291"/>
      <c r="L771" s="292"/>
      <c r="M771" s="293"/>
      <c r="N771" s="293"/>
    </row>
    <row r="772">
      <c r="A772" s="30"/>
      <c r="B772" s="30"/>
      <c r="C772" s="290"/>
      <c r="D772" s="30"/>
      <c r="E772" s="286"/>
      <c r="F772" s="30"/>
      <c r="G772" s="183"/>
      <c r="J772" s="291"/>
      <c r="K772" s="291"/>
      <c r="L772" s="292"/>
      <c r="M772" s="293"/>
      <c r="N772" s="293"/>
    </row>
    <row r="773">
      <c r="A773" s="30"/>
      <c r="B773" s="30"/>
      <c r="C773" s="290"/>
      <c r="D773" s="30"/>
      <c r="E773" s="286"/>
      <c r="F773" s="30"/>
      <c r="G773" s="183"/>
      <c r="J773" s="291"/>
      <c r="K773" s="291"/>
      <c r="L773" s="292"/>
      <c r="M773" s="293"/>
      <c r="N773" s="293"/>
    </row>
    <row r="774">
      <c r="A774" s="30"/>
      <c r="B774" s="30"/>
      <c r="C774" s="290"/>
      <c r="D774" s="30"/>
      <c r="E774" s="286"/>
      <c r="F774" s="30"/>
      <c r="G774" s="183"/>
      <c r="J774" s="291"/>
      <c r="K774" s="291"/>
      <c r="L774" s="292"/>
      <c r="M774" s="293"/>
      <c r="N774" s="293"/>
    </row>
    <row r="775">
      <c r="A775" s="30"/>
      <c r="B775" s="30"/>
      <c r="C775" s="290"/>
      <c r="D775" s="30"/>
      <c r="E775" s="286"/>
      <c r="F775" s="30"/>
      <c r="G775" s="183"/>
      <c r="J775" s="291"/>
      <c r="K775" s="291"/>
      <c r="L775" s="292"/>
      <c r="M775" s="293"/>
      <c r="N775" s="293"/>
    </row>
    <row r="776">
      <c r="A776" s="30"/>
      <c r="B776" s="30"/>
      <c r="C776" s="290"/>
      <c r="D776" s="30"/>
      <c r="E776" s="286"/>
      <c r="F776" s="30"/>
      <c r="G776" s="183"/>
      <c r="J776" s="291"/>
      <c r="K776" s="291"/>
      <c r="L776" s="292"/>
      <c r="M776" s="293"/>
      <c r="N776" s="293"/>
    </row>
    <row r="777">
      <c r="A777" s="30"/>
      <c r="B777" s="30"/>
      <c r="C777" s="290"/>
      <c r="D777" s="30"/>
      <c r="E777" s="286"/>
      <c r="F777" s="30"/>
      <c r="G777" s="183"/>
      <c r="J777" s="291"/>
      <c r="K777" s="291"/>
      <c r="L777" s="292"/>
      <c r="M777" s="293"/>
      <c r="N777" s="293"/>
    </row>
    <row r="778">
      <c r="A778" s="30"/>
      <c r="B778" s="30"/>
      <c r="C778" s="290"/>
      <c r="D778" s="30"/>
      <c r="E778" s="286"/>
      <c r="F778" s="30"/>
      <c r="G778" s="183"/>
      <c r="J778" s="291"/>
      <c r="K778" s="291"/>
      <c r="L778" s="292"/>
      <c r="M778" s="293"/>
      <c r="N778" s="293"/>
    </row>
    <row r="779">
      <c r="A779" s="30"/>
      <c r="B779" s="30"/>
      <c r="C779" s="290"/>
      <c r="D779" s="30"/>
      <c r="E779" s="286"/>
      <c r="F779" s="30"/>
      <c r="G779" s="183"/>
      <c r="J779" s="291"/>
      <c r="K779" s="291"/>
      <c r="L779" s="292"/>
      <c r="M779" s="293"/>
      <c r="N779" s="293"/>
    </row>
    <row r="780">
      <c r="A780" s="30"/>
      <c r="B780" s="30"/>
      <c r="C780" s="290"/>
      <c r="D780" s="30"/>
      <c r="E780" s="286"/>
      <c r="F780" s="30"/>
      <c r="G780" s="183"/>
      <c r="J780" s="291"/>
      <c r="K780" s="291"/>
      <c r="L780" s="292"/>
      <c r="M780" s="293"/>
      <c r="N780" s="293"/>
    </row>
    <row r="781">
      <c r="A781" s="30"/>
      <c r="B781" s="30"/>
      <c r="C781" s="290"/>
      <c r="D781" s="30"/>
      <c r="E781" s="286"/>
      <c r="F781" s="30"/>
      <c r="G781" s="183"/>
      <c r="J781" s="291"/>
      <c r="K781" s="291"/>
      <c r="L781" s="292"/>
      <c r="M781" s="293"/>
      <c r="N781" s="293"/>
    </row>
    <row r="782">
      <c r="A782" s="30"/>
      <c r="B782" s="30"/>
      <c r="C782" s="290"/>
      <c r="D782" s="30"/>
      <c r="E782" s="286"/>
      <c r="F782" s="30"/>
      <c r="G782" s="183"/>
      <c r="J782" s="291"/>
      <c r="K782" s="291"/>
      <c r="L782" s="292"/>
      <c r="M782" s="293"/>
      <c r="N782" s="293"/>
    </row>
    <row r="783">
      <c r="A783" s="30"/>
      <c r="B783" s="30"/>
      <c r="C783" s="290"/>
      <c r="D783" s="30"/>
      <c r="E783" s="286"/>
      <c r="F783" s="30"/>
      <c r="G783" s="183"/>
      <c r="J783" s="291"/>
      <c r="K783" s="291"/>
      <c r="L783" s="292"/>
      <c r="M783" s="293"/>
      <c r="N783" s="293"/>
    </row>
    <row r="784">
      <c r="A784" s="30"/>
      <c r="B784" s="30"/>
      <c r="C784" s="290"/>
      <c r="D784" s="30"/>
      <c r="E784" s="286"/>
      <c r="F784" s="30"/>
      <c r="G784" s="183"/>
      <c r="J784" s="291"/>
      <c r="K784" s="291"/>
      <c r="L784" s="292"/>
      <c r="M784" s="293"/>
      <c r="N784" s="293"/>
    </row>
    <row r="785">
      <c r="A785" s="30"/>
      <c r="B785" s="30"/>
      <c r="C785" s="290"/>
      <c r="D785" s="30"/>
      <c r="E785" s="286"/>
      <c r="F785" s="30"/>
      <c r="G785" s="183"/>
      <c r="J785" s="291"/>
      <c r="K785" s="291"/>
      <c r="L785" s="292"/>
      <c r="M785" s="293"/>
      <c r="N785" s="293"/>
    </row>
    <row r="786">
      <c r="A786" s="30"/>
      <c r="B786" s="30"/>
      <c r="C786" s="290"/>
      <c r="D786" s="30"/>
      <c r="E786" s="286"/>
      <c r="F786" s="30"/>
      <c r="G786" s="183"/>
      <c r="J786" s="291"/>
      <c r="K786" s="291"/>
      <c r="L786" s="292"/>
      <c r="M786" s="293"/>
      <c r="N786" s="293"/>
    </row>
    <row r="787">
      <c r="A787" s="30"/>
      <c r="B787" s="30"/>
      <c r="C787" s="290"/>
      <c r="D787" s="30"/>
      <c r="E787" s="286"/>
      <c r="F787" s="30"/>
      <c r="G787" s="183"/>
      <c r="J787" s="291"/>
      <c r="K787" s="291"/>
      <c r="L787" s="292"/>
      <c r="M787" s="293"/>
      <c r="N787" s="293"/>
    </row>
    <row r="788">
      <c r="A788" s="30"/>
      <c r="B788" s="30"/>
      <c r="C788" s="290"/>
      <c r="D788" s="30"/>
      <c r="E788" s="286"/>
      <c r="F788" s="30"/>
      <c r="G788" s="183"/>
      <c r="J788" s="291"/>
      <c r="K788" s="291"/>
      <c r="L788" s="292"/>
      <c r="M788" s="293"/>
      <c r="N788" s="293"/>
    </row>
    <row r="789">
      <c r="A789" s="30"/>
      <c r="B789" s="30"/>
      <c r="C789" s="290"/>
      <c r="D789" s="30"/>
      <c r="E789" s="286"/>
      <c r="F789" s="30"/>
      <c r="G789" s="183"/>
      <c r="J789" s="291"/>
      <c r="K789" s="291"/>
      <c r="L789" s="292"/>
      <c r="M789" s="293"/>
      <c r="N789" s="293"/>
    </row>
    <row r="790">
      <c r="A790" s="30"/>
      <c r="B790" s="30"/>
      <c r="C790" s="290"/>
      <c r="D790" s="30"/>
      <c r="E790" s="286"/>
      <c r="F790" s="30"/>
      <c r="G790" s="183"/>
      <c r="J790" s="291"/>
      <c r="K790" s="291"/>
      <c r="L790" s="292"/>
      <c r="M790" s="293"/>
      <c r="N790" s="293"/>
    </row>
    <row r="791">
      <c r="A791" s="30"/>
      <c r="B791" s="30"/>
      <c r="C791" s="290"/>
      <c r="D791" s="30"/>
      <c r="E791" s="286"/>
      <c r="F791" s="30"/>
      <c r="G791" s="183"/>
      <c r="J791" s="291"/>
      <c r="K791" s="291"/>
      <c r="L791" s="292"/>
      <c r="M791" s="293"/>
      <c r="N791" s="293"/>
    </row>
    <row r="792">
      <c r="A792" s="30"/>
      <c r="B792" s="30"/>
      <c r="C792" s="290"/>
      <c r="D792" s="30"/>
      <c r="E792" s="286"/>
      <c r="F792" s="30"/>
      <c r="G792" s="183"/>
      <c r="J792" s="291"/>
      <c r="K792" s="291"/>
      <c r="L792" s="292"/>
      <c r="M792" s="293"/>
      <c r="N792" s="293"/>
    </row>
    <row r="793">
      <c r="A793" s="30"/>
      <c r="B793" s="30"/>
      <c r="C793" s="290"/>
      <c r="D793" s="30"/>
      <c r="E793" s="286"/>
      <c r="F793" s="30"/>
      <c r="G793" s="183"/>
      <c r="J793" s="291"/>
      <c r="K793" s="291"/>
      <c r="L793" s="292"/>
      <c r="M793" s="293"/>
      <c r="N793" s="293"/>
    </row>
    <row r="794">
      <c r="A794" s="30"/>
      <c r="B794" s="30"/>
      <c r="C794" s="290"/>
      <c r="D794" s="30"/>
      <c r="E794" s="286"/>
      <c r="F794" s="30"/>
      <c r="G794" s="183"/>
      <c r="J794" s="291"/>
      <c r="K794" s="291"/>
      <c r="L794" s="292"/>
      <c r="M794" s="293"/>
      <c r="N794" s="293"/>
    </row>
    <row r="795">
      <c r="A795" s="30"/>
      <c r="B795" s="30"/>
      <c r="C795" s="290"/>
      <c r="D795" s="30"/>
      <c r="E795" s="286"/>
      <c r="F795" s="30"/>
      <c r="G795" s="183"/>
      <c r="J795" s="291"/>
      <c r="K795" s="291"/>
      <c r="L795" s="292"/>
      <c r="M795" s="293"/>
      <c r="N795" s="293"/>
    </row>
    <row r="796">
      <c r="A796" s="30"/>
      <c r="B796" s="30"/>
      <c r="C796" s="290"/>
      <c r="D796" s="30"/>
      <c r="E796" s="286"/>
      <c r="F796" s="30"/>
      <c r="G796" s="183"/>
      <c r="J796" s="291"/>
      <c r="K796" s="291"/>
      <c r="L796" s="292"/>
      <c r="M796" s="293"/>
      <c r="N796" s="293"/>
    </row>
    <row r="797">
      <c r="A797" s="30"/>
      <c r="B797" s="30"/>
      <c r="C797" s="290"/>
      <c r="D797" s="30"/>
      <c r="E797" s="286"/>
      <c r="F797" s="30"/>
      <c r="G797" s="183"/>
      <c r="J797" s="291"/>
      <c r="K797" s="291"/>
      <c r="L797" s="292"/>
      <c r="M797" s="293"/>
      <c r="N797" s="293"/>
    </row>
    <row r="798">
      <c r="A798" s="30"/>
      <c r="B798" s="30"/>
      <c r="C798" s="290"/>
      <c r="D798" s="30"/>
      <c r="E798" s="286"/>
      <c r="F798" s="30"/>
      <c r="G798" s="183"/>
      <c r="J798" s="291"/>
      <c r="K798" s="291"/>
      <c r="L798" s="292"/>
      <c r="M798" s="293"/>
      <c r="N798" s="293"/>
    </row>
    <row r="799">
      <c r="A799" s="30"/>
      <c r="B799" s="30"/>
      <c r="C799" s="290"/>
      <c r="D799" s="30"/>
      <c r="E799" s="286"/>
      <c r="F799" s="30"/>
      <c r="G799" s="183"/>
      <c r="J799" s="291"/>
      <c r="K799" s="291"/>
      <c r="L799" s="292"/>
      <c r="M799" s="293"/>
      <c r="N799" s="293"/>
    </row>
    <row r="800">
      <c r="A800" s="30"/>
      <c r="B800" s="30"/>
      <c r="C800" s="290"/>
      <c r="D800" s="30"/>
      <c r="E800" s="286"/>
      <c r="F800" s="30"/>
      <c r="G800" s="183"/>
      <c r="J800" s="291"/>
      <c r="K800" s="291"/>
      <c r="L800" s="292"/>
      <c r="M800" s="293"/>
      <c r="N800" s="293"/>
    </row>
    <row r="801">
      <c r="A801" s="30"/>
      <c r="B801" s="30"/>
      <c r="C801" s="290"/>
      <c r="D801" s="30"/>
      <c r="E801" s="286"/>
      <c r="F801" s="30"/>
      <c r="G801" s="183"/>
      <c r="J801" s="291"/>
      <c r="K801" s="291"/>
      <c r="L801" s="292"/>
      <c r="M801" s="293"/>
      <c r="N801" s="293"/>
    </row>
    <row r="802">
      <c r="A802" s="30"/>
      <c r="B802" s="30"/>
      <c r="C802" s="290"/>
      <c r="D802" s="30"/>
      <c r="E802" s="286"/>
      <c r="F802" s="30"/>
      <c r="G802" s="183"/>
      <c r="J802" s="291"/>
      <c r="K802" s="291"/>
      <c r="L802" s="292"/>
      <c r="M802" s="293"/>
      <c r="N802" s="293"/>
    </row>
    <row r="803">
      <c r="A803" s="30"/>
      <c r="B803" s="30"/>
      <c r="C803" s="290"/>
      <c r="D803" s="30"/>
      <c r="E803" s="286"/>
      <c r="F803" s="30"/>
      <c r="G803" s="183"/>
      <c r="J803" s="291"/>
      <c r="K803" s="291"/>
      <c r="L803" s="292"/>
      <c r="M803" s="293"/>
      <c r="N803" s="293"/>
    </row>
    <row r="804">
      <c r="A804" s="30"/>
      <c r="B804" s="30"/>
      <c r="C804" s="290"/>
      <c r="D804" s="30"/>
      <c r="E804" s="286"/>
      <c r="F804" s="30"/>
      <c r="G804" s="183"/>
      <c r="J804" s="291"/>
      <c r="K804" s="291"/>
      <c r="L804" s="292"/>
      <c r="M804" s="293"/>
      <c r="N804" s="293"/>
    </row>
    <row r="805">
      <c r="A805" s="30"/>
      <c r="B805" s="30"/>
      <c r="C805" s="290"/>
      <c r="D805" s="30"/>
      <c r="E805" s="286"/>
      <c r="F805" s="30"/>
      <c r="G805" s="183"/>
      <c r="J805" s="291"/>
      <c r="K805" s="291"/>
      <c r="L805" s="292"/>
      <c r="M805" s="293"/>
      <c r="N805" s="293"/>
    </row>
    <row r="806">
      <c r="A806" s="30"/>
      <c r="B806" s="30"/>
      <c r="C806" s="290"/>
      <c r="D806" s="30"/>
      <c r="E806" s="286"/>
      <c r="F806" s="30"/>
      <c r="G806" s="183"/>
      <c r="J806" s="291"/>
      <c r="K806" s="291"/>
      <c r="L806" s="292"/>
      <c r="M806" s="293"/>
      <c r="N806" s="293"/>
    </row>
    <row r="807">
      <c r="A807" s="30"/>
      <c r="B807" s="30"/>
      <c r="C807" s="290"/>
      <c r="D807" s="30"/>
      <c r="E807" s="286"/>
      <c r="F807" s="30"/>
      <c r="G807" s="183"/>
      <c r="J807" s="291"/>
      <c r="K807" s="291"/>
      <c r="L807" s="292"/>
      <c r="M807" s="293"/>
      <c r="N807" s="293"/>
    </row>
    <row r="808">
      <c r="A808" s="30"/>
      <c r="B808" s="30"/>
      <c r="C808" s="290"/>
      <c r="D808" s="30"/>
      <c r="E808" s="286"/>
      <c r="F808" s="30"/>
      <c r="G808" s="183"/>
      <c r="J808" s="291"/>
      <c r="K808" s="291"/>
      <c r="L808" s="292"/>
      <c r="M808" s="293"/>
      <c r="N808" s="293"/>
    </row>
    <row r="809">
      <c r="A809" s="30"/>
      <c r="B809" s="30"/>
      <c r="C809" s="290"/>
      <c r="D809" s="30"/>
      <c r="E809" s="286"/>
      <c r="F809" s="30"/>
      <c r="G809" s="183"/>
      <c r="J809" s="291"/>
      <c r="K809" s="291"/>
      <c r="L809" s="292"/>
      <c r="M809" s="293"/>
      <c r="N809" s="293"/>
    </row>
    <row r="810">
      <c r="A810" s="30"/>
      <c r="B810" s="30"/>
      <c r="C810" s="290"/>
      <c r="D810" s="30"/>
      <c r="E810" s="286"/>
      <c r="F810" s="30"/>
      <c r="G810" s="183"/>
      <c r="J810" s="291"/>
      <c r="K810" s="291"/>
      <c r="L810" s="292"/>
      <c r="M810" s="293"/>
      <c r="N810" s="293"/>
    </row>
    <row r="811">
      <c r="A811" s="30"/>
      <c r="B811" s="30"/>
      <c r="C811" s="290"/>
      <c r="D811" s="30"/>
      <c r="E811" s="286"/>
      <c r="F811" s="30"/>
      <c r="G811" s="183"/>
      <c r="J811" s="291"/>
      <c r="K811" s="291"/>
      <c r="L811" s="292"/>
      <c r="M811" s="293"/>
      <c r="N811" s="293"/>
    </row>
    <row r="812">
      <c r="A812" s="30"/>
      <c r="B812" s="30"/>
      <c r="C812" s="290"/>
      <c r="D812" s="30"/>
      <c r="E812" s="286"/>
      <c r="F812" s="30"/>
      <c r="G812" s="183"/>
      <c r="J812" s="291"/>
      <c r="K812" s="291"/>
      <c r="L812" s="292"/>
      <c r="M812" s="293"/>
      <c r="N812" s="293"/>
    </row>
    <row r="813">
      <c r="A813" s="30"/>
      <c r="B813" s="30"/>
      <c r="C813" s="290"/>
      <c r="D813" s="30"/>
      <c r="E813" s="286"/>
      <c r="F813" s="30"/>
      <c r="G813" s="183"/>
      <c r="J813" s="291"/>
      <c r="K813" s="291"/>
      <c r="L813" s="292"/>
      <c r="M813" s="293"/>
      <c r="N813" s="293"/>
    </row>
    <row r="814">
      <c r="A814" s="30"/>
      <c r="B814" s="30"/>
      <c r="C814" s="290"/>
      <c r="D814" s="30"/>
      <c r="E814" s="286"/>
      <c r="F814" s="30"/>
      <c r="G814" s="183"/>
      <c r="J814" s="291"/>
      <c r="K814" s="291"/>
      <c r="L814" s="292"/>
      <c r="M814" s="293"/>
      <c r="N814" s="293"/>
    </row>
    <row r="815">
      <c r="A815" s="30"/>
      <c r="B815" s="30"/>
      <c r="C815" s="290"/>
      <c r="D815" s="30"/>
      <c r="E815" s="286"/>
      <c r="F815" s="30"/>
      <c r="G815" s="183"/>
      <c r="J815" s="291"/>
      <c r="K815" s="291"/>
      <c r="L815" s="292"/>
      <c r="M815" s="293"/>
      <c r="N815" s="293"/>
    </row>
    <row r="816">
      <c r="A816" s="30"/>
      <c r="B816" s="30"/>
      <c r="C816" s="290"/>
      <c r="D816" s="30"/>
      <c r="E816" s="286"/>
      <c r="F816" s="30"/>
      <c r="G816" s="183"/>
      <c r="J816" s="291"/>
      <c r="K816" s="291"/>
      <c r="L816" s="292"/>
      <c r="M816" s="293"/>
      <c r="N816" s="293"/>
    </row>
    <row r="817">
      <c r="A817" s="30"/>
      <c r="B817" s="30"/>
      <c r="C817" s="290"/>
      <c r="D817" s="30"/>
      <c r="E817" s="286"/>
      <c r="F817" s="30"/>
      <c r="G817" s="183"/>
      <c r="J817" s="291"/>
      <c r="K817" s="291"/>
      <c r="L817" s="292"/>
      <c r="M817" s="293"/>
      <c r="N817" s="293"/>
    </row>
    <row r="818">
      <c r="A818" s="30"/>
      <c r="B818" s="30"/>
      <c r="C818" s="290"/>
      <c r="D818" s="30"/>
      <c r="E818" s="286"/>
      <c r="F818" s="30"/>
      <c r="G818" s="183"/>
      <c r="J818" s="291"/>
      <c r="K818" s="291"/>
      <c r="L818" s="292"/>
      <c r="M818" s="293"/>
      <c r="N818" s="293"/>
    </row>
    <row r="819">
      <c r="A819" s="30"/>
      <c r="B819" s="30"/>
      <c r="C819" s="290"/>
      <c r="D819" s="30"/>
      <c r="E819" s="286"/>
      <c r="F819" s="30"/>
      <c r="G819" s="183"/>
      <c r="J819" s="291"/>
      <c r="K819" s="291"/>
      <c r="L819" s="292"/>
      <c r="M819" s="293"/>
      <c r="N819" s="293"/>
    </row>
    <row r="820">
      <c r="A820" s="30"/>
      <c r="B820" s="30"/>
      <c r="C820" s="290"/>
      <c r="D820" s="30"/>
      <c r="E820" s="286"/>
      <c r="F820" s="30"/>
      <c r="G820" s="183"/>
      <c r="J820" s="291"/>
      <c r="K820" s="291"/>
      <c r="L820" s="292"/>
      <c r="M820" s="293"/>
      <c r="N820" s="293"/>
    </row>
    <row r="821">
      <c r="A821" s="30"/>
      <c r="B821" s="30"/>
      <c r="C821" s="290"/>
      <c r="D821" s="30"/>
      <c r="E821" s="286"/>
      <c r="F821" s="30"/>
      <c r="G821" s="183"/>
      <c r="J821" s="291"/>
      <c r="K821" s="291"/>
      <c r="L821" s="292"/>
      <c r="M821" s="293"/>
      <c r="N821" s="293"/>
    </row>
    <row r="822">
      <c r="A822" s="30"/>
      <c r="B822" s="30"/>
      <c r="C822" s="290"/>
      <c r="D822" s="30"/>
      <c r="E822" s="286"/>
      <c r="F822" s="30"/>
      <c r="G822" s="183"/>
      <c r="J822" s="291"/>
      <c r="K822" s="291"/>
      <c r="L822" s="292"/>
      <c r="M822" s="293"/>
      <c r="N822" s="293"/>
    </row>
    <row r="823">
      <c r="A823" s="30"/>
      <c r="B823" s="30"/>
      <c r="C823" s="290"/>
      <c r="D823" s="30"/>
      <c r="E823" s="286"/>
      <c r="F823" s="30"/>
      <c r="G823" s="183"/>
      <c r="J823" s="291"/>
      <c r="K823" s="291"/>
      <c r="L823" s="292"/>
      <c r="M823" s="293"/>
      <c r="N823" s="293"/>
    </row>
    <row r="824">
      <c r="A824" s="30"/>
      <c r="B824" s="30"/>
      <c r="C824" s="290"/>
      <c r="D824" s="30"/>
      <c r="E824" s="286"/>
      <c r="F824" s="30"/>
      <c r="G824" s="183"/>
      <c r="J824" s="291"/>
      <c r="K824" s="291"/>
      <c r="L824" s="292"/>
      <c r="M824" s="293"/>
      <c r="N824" s="293"/>
    </row>
    <row r="825">
      <c r="A825" s="30"/>
      <c r="B825" s="30"/>
      <c r="C825" s="290"/>
      <c r="D825" s="30"/>
      <c r="E825" s="286"/>
      <c r="F825" s="30"/>
      <c r="G825" s="183"/>
      <c r="J825" s="291"/>
      <c r="K825" s="291"/>
      <c r="L825" s="292"/>
      <c r="M825" s="293"/>
      <c r="N825" s="293"/>
    </row>
    <row r="826">
      <c r="A826" s="30"/>
      <c r="B826" s="30"/>
      <c r="C826" s="290"/>
      <c r="D826" s="30"/>
      <c r="E826" s="286"/>
      <c r="F826" s="30"/>
      <c r="G826" s="183"/>
      <c r="J826" s="291"/>
      <c r="K826" s="291"/>
      <c r="L826" s="292"/>
      <c r="M826" s="293"/>
      <c r="N826" s="293"/>
    </row>
    <row r="827">
      <c r="A827" s="30"/>
      <c r="B827" s="30"/>
      <c r="C827" s="290"/>
      <c r="D827" s="30"/>
      <c r="E827" s="286"/>
      <c r="F827" s="30"/>
      <c r="G827" s="183"/>
      <c r="J827" s="291"/>
      <c r="K827" s="291"/>
      <c r="L827" s="292"/>
      <c r="M827" s="293"/>
      <c r="N827" s="293"/>
    </row>
    <row r="828">
      <c r="A828" s="30"/>
      <c r="B828" s="30"/>
      <c r="C828" s="290"/>
      <c r="D828" s="30"/>
      <c r="E828" s="286"/>
      <c r="F828" s="30"/>
      <c r="G828" s="183"/>
      <c r="J828" s="291"/>
      <c r="K828" s="291"/>
      <c r="L828" s="292"/>
      <c r="M828" s="293"/>
      <c r="N828" s="293"/>
    </row>
    <row r="829">
      <c r="A829" s="30"/>
      <c r="B829" s="30"/>
      <c r="C829" s="290"/>
      <c r="D829" s="30"/>
      <c r="E829" s="286"/>
      <c r="F829" s="30"/>
      <c r="G829" s="183"/>
      <c r="J829" s="291"/>
      <c r="K829" s="291"/>
      <c r="L829" s="292"/>
      <c r="M829" s="293"/>
      <c r="N829" s="293"/>
    </row>
    <row r="830">
      <c r="A830" s="30"/>
      <c r="B830" s="30"/>
      <c r="C830" s="290"/>
      <c r="D830" s="30"/>
      <c r="E830" s="286"/>
      <c r="F830" s="30"/>
      <c r="G830" s="183"/>
      <c r="J830" s="291"/>
      <c r="K830" s="291"/>
      <c r="L830" s="292"/>
      <c r="M830" s="293"/>
      <c r="N830" s="293"/>
    </row>
    <row r="831">
      <c r="A831" s="30"/>
      <c r="B831" s="30"/>
      <c r="C831" s="290"/>
      <c r="D831" s="30"/>
      <c r="E831" s="286"/>
      <c r="F831" s="30"/>
      <c r="G831" s="183"/>
      <c r="J831" s="291"/>
      <c r="K831" s="291"/>
      <c r="L831" s="292"/>
      <c r="M831" s="293"/>
      <c r="N831" s="293"/>
    </row>
    <row r="832">
      <c r="A832" s="30"/>
      <c r="B832" s="30"/>
      <c r="C832" s="290"/>
      <c r="D832" s="30"/>
      <c r="E832" s="286"/>
      <c r="F832" s="30"/>
      <c r="G832" s="183"/>
      <c r="J832" s="291"/>
      <c r="K832" s="291"/>
      <c r="L832" s="292"/>
      <c r="M832" s="293"/>
      <c r="N832" s="293"/>
    </row>
    <row r="833">
      <c r="A833" s="30"/>
      <c r="B833" s="30"/>
      <c r="C833" s="290"/>
      <c r="D833" s="30"/>
      <c r="E833" s="286"/>
      <c r="F833" s="30"/>
      <c r="G833" s="183"/>
      <c r="J833" s="291"/>
      <c r="K833" s="291"/>
      <c r="L833" s="292"/>
      <c r="M833" s="293"/>
      <c r="N833" s="293"/>
    </row>
    <row r="834">
      <c r="A834" s="30"/>
      <c r="B834" s="30"/>
      <c r="C834" s="290"/>
      <c r="D834" s="30"/>
      <c r="E834" s="286"/>
      <c r="F834" s="30"/>
      <c r="G834" s="183"/>
      <c r="J834" s="291"/>
      <c r="K834" s="291"/>
      <c r="L834" s="292"/>
      <c r="M834" s="293"/>
      <c r="N834" s="293"/>
    </row>
    <row r="835">
      <c r="A835" s="30"/>
      <c r="B835" s="30"/>
      <c r="C835" s="290"/>
      <c r="D835" s="30"/>
      <c r="E835" s="286"/>
      <c r="F835" s="30"/>
      <c r="G835" s="183"/>
      <c r="J835" s="291"/>
      <c r="K835" s="291"/>
      <c r="L835" s="292"/>
      <c r="M835" s="293"/>
      <c r="N835" s="293"/>
    </row>
    <row r="836">
      <c r="A836" s="30"/>
      <c r="B836" s="30"/>
      <c r="C836" s="290"/>
      <c r="D836" s="30"/>
      <c r="E836" s="286"/>
      <c r="F836" s="30"/>
      <c r="G836" s="183"/>
      <c r="J836" s="291"/>
      <c r="K836" s="291"/>
      <c r="L836" s="292"/>
      <c r="M836" s="293"/>
      <c r="N836" s="293"/>
    </row>
    <row r="837">
      <c r="A837" s="30"/>
      <c r="B837" s="30"/>
      <c r="C837" s="290"/>
      <c r="D837" s="30"/>
      <c r="E837" s="286"/>
      <c r="F837" s="30"/>
      <c r="G837" s="183"/>
      <c r="J837" s="291"/>
      <c r="K837" s="291"/>
      <c r="L837" s="292"/>
      <c r="M837" s="293"/>
      <c r="N837" s="293"/>
    </row>
    <row r="838">
      <c r="A838" s="30"/>
      <c r="B838" s="30"/>
      <c r="C838" s="290"/>
      <c r="D838" s="30"/>
      <c r="E838" s="286"/>
      <c r="F838" s="30"/>
      <c r="G838" s="183"/>
      <c r="J838" s="291"/>
      <c r="K838" s="291"/>
      <c r="L838" s="292"/>
      <c r="M838" s="293"/>
      <c r="N838" s="293"/>
    </row>
    <row r="839">
      <c r="A839" s="30"/>
      <c r="B839" s="30"/>
      <c r="C839" s="290"/>
      <c r="D839" s="30"/>
      <c r="E839" s="286"/>
      <c r="F839" s="30"/>
      <c r="G839" s="183"/>
      <c r="J839" s="291"/>
      <c r="K839" s="291"/>
      <c r="L839" s="292"/>
      <c r="M839" s="293"/>
      <c r="N839" s="293"/>
    </row>
    <row r="840">
      <c r="A840" s="30"/>
      <c r="B840" s="30"/>
      <c r="C840" s="290"/>
      <c r="D840" s="30"/>
      <c r="E840" s="286"/>
      <c r="F840" s="30"/>
      <c r="G840" s="183"/>
      <c r="J840" s="291"/>
      <c r="K840" s="291"/>
      <c r="L840" s="292"/>
      <c r="M840" s="293"/>
      <c r="N840" s="293"/>
    </row>
    <row r="841">
      <c r="A841" s="30"/>
      <c r="B841" s="30"/>
      <c r="C841" s="290"/>
      <c r="D841" s="30"/>
      <c r="E841" s="286"/>
      <c r="F841" s="30"/>
      <c r="G841" s="183"/>
      <c r="J841" s="291"/>
      <c r="K841" s="291"/>
      <c r="L841" s="292"/>
      <c r="M841" s="293"/>
      <c r="N841" s="293"/>
    </row>
    <row r="842">
      <c r="A842" s="30"/>
      <c r="B842" s="30"/>
      <c r="C842" s="290"/>
      <c r="D842" s="30"/>
      <c r="E842" s="286"/>
      <c r="F842" s="30"/>
      <c r="G842" s="183"/>
      <c r="J842" s="291"/>
      <c r="K842" s="291"/>
      <c r="L842" s="292"/>
      <c r="M842" s="293"/>
      <c r="N842" s="293"/>
    </row>
    <row r="843">
      <c r="A843" s="30"/>
      <c r="B843" s="30"/>
      <c r="C843" s="290"/>
      <c r="D843" s="30"/>
      <c r="E843" s="286"/>
      <c r="F843" s="30"/>
      <c r="G843" s="183"/>
      <c r="J843" s="291"/>
      <c r="K843" s="291"/>
      <c r="L843" s="292"/>
      <c r="M843" s="293"/>
      <c r="N843" s="293"/>
    </row>
    <row r="844">
      <c r="A844" s="30"/>
      <c r="B844" s="30"/>
      <c r="C844" s="290"/>
      <c r="D844" s="30"/>
      <c r="E844" s="286"/>
      <c r="F844" s="30"/>
      <c r="G844" s="183"/>
      <c r="J844" s="291"/>
      <c r="K844" s="291"/>
      <c r="L844" s="292"/>
      <c r="M844" s="293"/>
      <c r="N844" s="293"/>
    </row>
    <row r="845">
      <c r="A845" s="30"/>
      <c r="B845" s="30"/>
      <c r="C845" s="290"/>
      <c r="D845" s="30"/>
      <c r="E845" s="286"/>
      <c r="F845" s="30"/>
      <c r="G845" s="183"/>
      <c r="J845" s="291"/>
      <c r="K845" s="291"/>
      <c r="L845" s="292"/>
      <c r="M845" s="293"/>
      <c r="N845" s="293"/>
    </row>
    <row r="846">
      <c r="A846" s="30"/>
      <c r="B846" s="30"/>
      <c r="C846" s="290"/>
      <c r="D846" s="30"/>
      <c r="E846" s="286"/>
      <c r="F846" s="30"/>
      <c r="G846" s="183"/>
      <c r="J846" s="291"/>
      <c r="K846" s="291"/>
      <c r="L846" s="292"/>
      <c r="M846" s="293"/>
      <c r="N846" s="293"/>
    </row>
    <row r="847">
      <c r="A847" s="30"/>
      <c r="B847" s="30"/>
      <c r="C847" s="290"/>
      <c r="D847" s="30"/>
      <c r="E847" s="286"/>
      <c r="F847" s="30"/>
      <c r="G847" s="183"/>
      <c r="J847" s="291"/>
      <c r="K847" s="291"/>
      <c r="L847" s="292"/>
      <c r="M847" s="293"/>
      <c r="N847" s="293"/>
    </row>
    <row r="848">
      <c r="A848" s="30"/>
      <c r="B848" s="30"/>
      <c r="C848" s="290"/>
      <c r="D848" s="30"/>
      <c r="E848" s="286"/>
      <c r="F848" s="30"/>
      <c r="G848" s="183"/>
      <c r="J848" s="291"/>
      <c r="K848" s="291"/>
      <c r="L848" s="292"/>
      <c r="M848" s="293"/>
      <c r="N848" s="293"/>
    </row>
    <row r="849">
      <c r="A849" s="30"/>
      <c r="B849" s="30"/>
      <c r="C849" s="290"/>
      <c r="D849" s="30"/>
      <c r="E849" s="286"/>
      <c r="F849" s="30"/>
      <c r="G849" s="183"/>
      <c r="J849" s="291"/>
      <c r="K849" s="291"/>
      <c r="L849" s="292"/>
      <c r="M849" s="293"/>
      <c r="N849" s="293"/>
    </row>
    <row r="850">
      <c r="A850" s="30"/>
      <c r="B850" s="30"/>
      <c r="C850" s="290"/>
      <c r="D850" s="30"/>
      <c r="E850" s="286"/>
      <c r="F850" s="30"/>
      <c r="G850" s="183"/>
      <c r="J850" s="291"/>
      <c r="K850" s="291"/>
      <c r="L850" s="292"/>
      <c r="M850" s="293"/>
      <c r="N850" s="293"/>
    </row>
    <row r="851">
      <c r="A851" s="30"/>
      <c r="B851" s="30"/>
      <c r="C851" s="290"/>
      <c r="D851" s="30"/>
      <c r="E851" s="286"/>
      <c r="F851" s="30"/>
      <c r="G851" s="183"/>
      <c r="J851" s="291"/>
      <c r="K851" s="291"/>
      <c r="L851" s="292"/>
      <c r="M851" s="293"/>
      <c r="N851" s="293"/>
    </row>
    <row r="852">
      <c r="A852" s="30"/>
      <c r="B852" s="30"/>
      <c r="C852" s="290"/>
      <c r="D852" s="30"/>
      <c r="E852" s="286"/>
      <c r="F852" s="30"/>
      <c r="G852" s="183"/>
      <c r="J852" s="291"/>
      <c r="K852" s="291"/>
      <c r="L852" s="292"/>
      <c r="M852" s="293"/>
      <c r="N852" s="293"/>
    </row>
    <row r="853">
      <c r="A853" s="30"/>
      <c r="B853" s="30"/>
      <c r="C853" s="290"/>
      <c r="D853" s="30"/>
      <c r="E853" s="286"/>
      <c r="F853" s="30"/>
      <c r="G853" s="183"/>
      <c r="J853" s="291"/>
      <c r="K853" s="291"/>
      <c r="L853" s="292"/>
      <c r="M853" s="293"/>
      <c r="N853" s="293"/>
    </row>
    <row r="854">
      <c r="A854" s="30"/>
      <c r="B854" s="30"/>
      <c r="C854" s="290"/>
      <c r="D854" s="30"/>
      <c r="E854" s="286"/>
      <c r="F854" s="30"/>
      <c r="G854" s="183"/>
      <c r="J854" s="291"/>
      <c r="K854" s="291"/>
      <c r="L854" s="292"/>
      <c r="M854" s="293"/>
      <c r="N854" s="293"/>
    </row>
    <row r="855">
      <c r="A855" s="30"/>
      <c r="B855" s="30"/>
      <c r="C855" s="290"/>
      <c r="D855" s="30"/>
      <c r="E855" s="286"/>
      <c r="F855" s="30"/>
      <c r="G855" s="183"/>
      <c r="J855" s="291"/>
      <c r="K855" s="291"/>
      <c r="L855" s="292"/>
      <c r="M855" s="293"/>
      <c r="N855" s="293"/>
    </row>
    <row r="856">
      <c r="A856" s="30"/>
      <c r="B856" s="30"/>
      <c r="C856" s="290"/>
      <c r="D856" s="30"/>
      <c r="E856" s="286"/>
      <c r="F856" s="30"/>
      <c r="G856" s="183"/>
      <c r="J856" s="291"/>
      <c r="K856" s="291"/>
      <c r="L856" s="292"/>
      <c r="M856" s="293"/>
      <c r="N856" s="293"/>
    </row>
    <row r="857">
      <c r="A857" s="30"/>
      <c r="B857" s="30"/>
      <c r="C857" s="290"/>
      <c r="D857" s="30"/>
      <c r="E857" s="286"/>
      <c r="F857" s="30"/>
      <c r="G857" s="183"/>
      <c r="J857" s="291"/>
      <c r="K857" s="291"/>
      <c r="L857" s="292"/>
      <c r="M857" s="293"/>
      <c r="N857" s="293"/>
    </row>
    <row r="858">
      <c r="A858" s="30"/>
      <c r="B858" s="30"/>
      <c r="C858" s="290"/>
      <c r="D858" s="30"/>
      <c r="E858" s="286"/>
      <c r="F858" s="30"/>
      <c r="G858" s="183"/>
      <c r="J858" s="291"/>
      <c r="K858" s="291"/>
      <c r="L858" s="292"/>
      <c r="M858" s="293"/>
      <c r="N858" s="293"/>
    </row>
    <row r="859">
      <c r="A859" s="30"/>
      <c r="B859" s="30"/>
      <c r="C859" s="290"/>
      <c r="D859" s="30"/>
      <c r="E859" s="286"/>
      <c r="F859" s="30"/>
      <c r="G859" s="183"/>
      <c r="J859" s="291"/>
      <c r="K859" s="291"/>
      <c r="L859" s="292"/>
      <c r="M859" s="293"/>
      <c r="N859" s="293"/>
    </row>
    <row r="860">
      <c r="A860" s="30"/>
      <c r="B860" s="30"/>
      <c r="C860" s="290"/>
      <c r="D860" s="30"/>
      <c r="E860" s="286"/>
      <c r="F860" s="30"/>
      <c r="G860" s="183"/>
      <c r="J860" s="291"/>
      <c r="K860" s="291"/>
      <c r="L860" s="292"/>
      <c r="M860" s="293"/>
      <c r="N860" s="293"/>
    </row>
    <row r="861">
      <c r="A861" s="30"/>
      <c r="B861" s="30"/>
      <c r="C861" s="290"/>
      <c r="D861" s="30"/>
      <c r="E861" s="286"/>
      <c r="F861" s="30"/>
      <c r="G861" s="183"/>
      <c r="J861" s="291"/>
      <c r="K861" s="291"/>
      <c r="L861" s="292"/>
      <c r="M861" s="293"/>
      <c r="N861" s="293"/>
    </row>
    <row r="862">
      <c r="A862" s="30"/>
      <c r="B862" s="30"/>
      <c r="C862" s="290"/>
      <c r="D862" s="30"/>
      <c r="E862" s="286"/>
      <c r="F862" s="30"/>
      <c r="G862" s="183"/>
      <c r="J862" s="291"/>
      <c r="K862" s="291"/>
      <c r="L862" s="292"/>
      <c r="M862" s="293"/>
      <c r="N862" s="293"/>
    </row>
    <row r="863">
      <c r="A863" s="30"/>
      <c r="B863" s="30"/>
      <c r="C863" s="290"/>
      <c r="D863" s="30"/>
      <c r="E863" s="286"/>
      <c r="F863" s="30"/>
      <c r="G863" s="183"/>
      <c r="J863" s="291"/>
      <c r="K863" s="291"/>
      <c r="L863" s="292"/>
      <c r="M863" s="293"/>
      <c r="N863" s="293"/>
    </row>
    <row r="864">
      <c r="A864" s="30"/>
      <c r="B864" s="30"/>
      <c r="C864" s="290"/>
      <c r="D864" s="30"/>
      <c r="E864" s="286"/>
      <c r="F864" s="30"/>
      <c r="G864" s="183"/>
      <c r="J864" s="291"/>
      <c r="K864" s="291"/>
      <c r="L864" s="292"/>
      <c r="M864" s="293"/>
      <c r="N864" s="293"/>
    </row>
    <row r="865">
      <c r="A865" s="30"/>
      <c r="B865" s="30"/>
      <c r="C865" s="290"/>
      <c r="D865" s="30"/>
      <c r="E865" s="286"/>
      <c r="F865" s="30"/>
      <c r="G865" s="183"/>
      <c r="J865" s="291"/>
      <c r="K865" s="291"/>
      <c r="L865" s="292"/>
      <c r="M865" s="293"/>
      <c r="N865" s="293"/>
    </row>
    <row r="866">
      <c r="A866" s="30"/>
      <c r="B866" s="30"/>
      <c r="C866" s="290"/>
      <c r="D866" s="30"/>
      <c r="E866" s="286"/>
      <c r="F866" s="30"/>
      <c r="G866" s="183"/>
      <c r="J866" s="291"/>
      <c r="K866" s="291"/>
      <c r="L866" s="292"/>
      <c r="M866" s="293"/>
      <c r="N866" s="293"/>
    </row>
    <row r="867">
      <c r="A867" s="30"/>
      <c r="B867" s="30"/>
      <c r="C867" s="290"/>
      <c r="D867" s="30"/>
      <c r="E867" s="286"/>
      <c r="F867" s="30"/>
      <c r="G867" s="183"/>
      <c r="J867" s="291"/>
      <c r="K867" s="291"/>
      <c r="L867" s="292"/>
      <c r="M867" s="293"/>
      <c r="N867" s="293"/>
    </row>
    <row r="868">
      <c r="A868" s="30"/>
      <c r="B868" s="30"/>
      <c r="C868" s="290"/>
      <c r="D868" s="30"/>
      <c r="E868" s="286"/>
      <c r="F868" s="30"/>
      <c r="G868" s="183"/>
      <c r="J868" s="291"/>
      <c r="K868" s="291"/>
      <c r="L868" s="292"/>
      <c r="M868" s="293"/>
      <c r="N868" s="293"/>
    </row>
    <row r="869">
      <c r="A869" s="30"/>
      <c r="B869" s="30"/>
      <c r="C869" s="290"/>
      <c r="D869" s="30"/>
      <c r="E869" s="286"/>
      <c r="F869" s="30"/>
      <c r="G869" s="183"/>
      <c r="J869" s="291"/>
      <c r="K869" s="291"/>
      <c r="L869" s="292"/>
      <c r="M869" s="293"/>
      <c r="N869" s="293"/>
    </row>
    <row r="870">
      <c r="A870" s="30"/>
      <c r="B870" s="30"/>
      <c r="C870" s="290"/>
      <c r="D870" s="30"/>
      <c r="E870" s="286"/>
      <c r="F870" s="30"/>
      <c r="G870" s="183"/>
      <c r="J870" s="291"/>
      <c r="K870" s="291"/>
      <c r="L870" s="292"/>
      <c r="M870" s="293"/>
      <c r="N870" s="293"/>
    </row>
    <row r="871">
      <c r="A871" s="30"/>
      <c r="B871" s="30"/>
      <c r="C871" s="290"/>
      <c r="D871" s="30"/>
      <c r="E871" s="286"/>
      <c r="F871" s="30"/>
      <c r="G871" s="183"/>
      <c r="J871" s="291"/>
      <c r="K871" s="291"/>
      <c r="L871" s="292"/>
      <c r="M871" s="293"/>
      <c r="N871" s="293"/>
    </row>
    <row r="872">
      <c r="A872" s="30"/>
      <c r="B872" s="30"/>
      <c r="C872" s="290"/>
      <c r="D872" s="30"/>
      <c r="E872" s="286"/>
      <c r="F872" s="30"/>
      <c r="G872" s="183"/>
      <c r="J872" s="291"/>
      <c r="K872" s="291"/>
      <c r="L872" s="292"/>
      <c r="M872" s="293"/>
      <c r="N872" s="293"/>
    </row>
    <row r="873">
      <c r="A873" s="30"/>
      <c r="B873" s="30"/>
      <c r="C873" s="290"/>
      <c r="D873" s="30"/>
      <c r="E873" s="286"/>
      <c r="F873" s="30"/>
      <c r="G873" s="183"/>
      <c r="J873" s="291"/>
      <c r="K873" s="291"/>
      <c r="L873" s="292"/>
      <c r="M873" s="293"/>
      <c r="N873" s="293"/>
    </row>
    <row r="874">
      <c r="A874" s="30"/>
      <c r="B874" s="30"/>
      <c r="C874" s="290"/>
      <c r="D874" s="30"/>
      <c r="E874" s="286"/>
      <c r="F874" s="30"/>
      <c r="G874" s="183"/>
      <c r="J874" s="291"/>
      <c r="K874" s="291"/>
      <c r="L874" s="292"/>
      <c r="M874" s="293"/>
      <c r="N874" s="293"/>
    </row>
    <row r="875">
      <c r="A875" s="30"/>
      <c r="B875" s="30"/>
      <c r="C875" s="290"/>
      <c r="D875" s="30"/>
      <c r="E875" s="286"/>
      <c r="F875" s="30"/>
      <c r="G875" s="183"/>
      <c r="J875" s="291"/>
      <c r="K875" s="291"/>
      <c r="L875" s="292"/>
      <c r="M875" s="293"/>
      <c r="N875" s="293"/>
    </row>
    <row r="876">
      <c r="A876" s="30"/>
      <c r="B876" s="30"/>
      <c r="C876" s="290"/>
      <c r="D876" s="30"/>
      <c r="E876" s="286"/>
      <c r="F876" s="30"/>
      <c r="G876" s="183"/>
      <c r="J876" s="291"/>
      <c r="K876" s="291"/>
      <c r="L876" s="292"/>
      <c r="M876" s="293"/>
      <c r="N876" s="293"/>
    </row>
    <row r="877">
      <c r="A877" s="30"/>
      <c r="B877" s="30"/>
      <c r="C877" s="290"/>
      <c r="D877" s="30"/>
      <c r="E877" s="286"/>
      <c r="F877" s="30"/>
      <c r="G877" s="183"/>
      <c r="J877" s="291"/>
      <c r="K877" s="291"/>
      <c r="L877" s="292"/>
      <c r="M877" s="293"/>
      <c r="N877" s="293"/>
    </row>
    <row r="878">
      <c r="A878" s="30"/>
      <c r="B878" s="30"/>
      <c r="C878" s="290"/>
      <c r="D878" s="30"/>
      <c r="E878" s="286"/>
      <c r="F878" s="30"/>
      <c r="G878" s="183"/>
      <c r="J878" s="291"/>
      <c r="K878" s="291"/>
      <c r="L878" s="292"/>
      <c r="M878" s="293"/>
      <c r="N878" s="293"/>
    </row>
    <row r="879">
      <c r="A879" s="30"/>
      <c r="B879" s="30"/>
      <c r="C879" s="290"/>
      <c r="D879" s="30"/>
      <c r="E879" s="286"/>
      <c r="F879" s="30"/>
      <c r="G879" s="183"/>
      <c r="J879" s="291"/>
      <c r="K879" s="291"/>
      <c r="L879" s="292"/>
      <c r="M879" s="293"/>
      <c r="N879" s="293"/>
    </row>
    <row r="880">
      <c r="A880" s="30"/>
      <c r="B880" s="30"/>
      <c r="C880" s="290"/>
      <c r="D880" s="30"/>
      <c r="E880" s="286"/>
      <c r="F880" s="30"/>
      <c r="G880" s="183"/>
      <c r="J880" s="291"/>
      <c r="K880" s="291"/>
      <c r="L880" s="292"/>
      <c r="M880" s="293"/>
      <c r="N880" s="293"/>
    </row>
    <row r="881">
      <c r="A881" s="30"/>
      <c r="B881" s="30"/>
      <c r="C881" s="290"/>
      <c r="D881" s="30"/>
      <c r="E881" s="286"/>
      <c r="F881" s="30"/>
      <c r="G881" s="183"/>
      <c r="J881" s="291"/>
      <c r="K881" s="291"/>
      <c r="L881" s="292"/>
      <c r="M881" s="293"/>
      <c r="N881" s="293"/>
    </row>
    <row r="882">
      <c r="A882" s="30"/>
      <c r="B882" s="30"/>
      <c r="C882" s="290"/>
      <c r="D882" s="30"/>
      <c r="E882" s="286"/>
      <c r="F882" s="30"/>
      <c r="G882" s="183"/>
      <c r="J882" s="291"/>
      <c r="K882" s="291"/>
      <c r="L882" s="292"/>
      <c r="M882" s="293"/>
      <c r="N882" s="293"/>
    </row>
    <row r="883">
      <c r="A883" s="30"/>
      <c r="B883" s="30"/>
      <c r="C883" s="290"/>
      <c r="D883" s="30"/>
      <c r="E883" s="286"/>
      <c r="F883" s="30"/>
      <c r="G883" s="183"/>
      <c r="J883" s="291"/>
      <c r="K883" s="291"/>
      <c r="L883" s="292"/>
      <c r="M883" s="293"/>
      <c r="N883" s="293"/>
    </row>
    <row r="884">
      <c r="A884" s="30"/>
      <c r="B884" s="30"/>
      <c r="C884" s="290"/>
      <c r="D884" s="30"/>
      <c r="E884" s="286"/>
      <c r="F884" s="30"/>
      <c r="G884" s="183"/>
      <c r="J884" s="291"/>
      <c r="K884" s="291"/>
      <c r="L884" s="292"/>
      <c r="M884" s="293"/>
      <c r="N884" s="293"/>
    </row>
    <row r="885">
      <c r="A885" s="30"/>
      <c r="B885" s="30"/>
      <c r="C885" s="290"/>
      <c r="D885" s="30"/>
      <c r="E885" s="286"/>
      <c r="F885" s="30"/>
      <c r="G885" s="183"/>
      <c r="J885" s="291"/>
      <c r="K885" s="291"/>
      <c r="L885" s="292"/>
      <c r="M885" s="293"/>
      <c r="N885" s="293"/>
    </row>
    <row r="886">
      <c r="A886" s="30"/>
      <c r="B886" s="30"/>
      <c r="C886" s="290"/>
      <c r="D886" s="30"/>
      <c r="E886" s="286"/>
      <c r="F886" s="30"/>
      <c r="G886" s="183"/>
      <c r="J886" s="291"/>
      <c r="K886" s="291"/>
      <c r="L886" s="292"/>
      <c r="M886" s="293"/>
      <c r="N886" s="293"/>
    </row>
    <row r="887">
      <c r="A887" s="30"/>
      <c r="B887" s="30"/>
      <c r="C887" s="290"/>
      <c r="D887" s="30"/>
      <c r="E887" s="286"/>
      <c r="F887" s="30"/>
      <c r="G887" s="183"/>
      <c r="J887" s="291"/>
      <c r="K887" s="291"/>
      <c r="L887" s="292"/>
      <c r="M887" s="293"/>
      <c r="N887" s="293"/>
    </row>
    <row r="888">
      <c r="A888" s="30"/>
      <c r="B888" s="30"/>
      <c r="C888" s="290"/>
      <c r="D888" s="30"/>
      <c r="E888" s="286"/>
      <c r="F888" s="30"/>
      <c r="G888" s="183"/>
      <c r="J888" s="291"/>
      <c r="K888" s="291"/>
      <c r="L888" s="292"/>
      <c r="M888" s="293"/>
      <c r="N888" s="293"/>
    </row>
    <row r="889">
      <c r="A889" s="30"/>
      <c r="B889" s="30"/>
      <c r="C889" s="290"/>
      <c r="D889" s="30"/>
      <c r="E889" s="286"/>
      <c r="F889" s="30"/>
      <c r="G889" s="183"/>
      <c r="J889" s="291"/>
      <c r="K889" s="291"/>
      <c r="L889" s="292"/>
      <c r="M889" s="293"/>
      <c r="N889" s="293"/>
    </row>
    <row r="890">
      <c r="A890" s="30"/>
      <c r="B890" s="30"/>
      <c r="C890" s="290"/>
      <c r="D890" s="30"/>
      <c r="E890" s="286"/>
      <c r="F890" s="30"/>
      <c r="G890" s="183"/>
      <c r="J890" s="291"/>
      <c r="K890" s="291"/>
      <c r="L890" s="292"/>
      <c r="M890" s="293"/>
      <c r="N890" s="293"/>
    </row>
    <row r="891">
      <c r="A891" s="30"/>
      <c r="B891" s="30"/>
      <c r="C891" s="290"/>
      <c r="D891" s="30"/>
      <c r="E891" s="286"/>
      <c r="F891" s="30"/>
      <c r="G891" s="183"/>
      <c r="J891" s="291"/>
      <c r="K891" s="291"/>
      <c r="L891" s="292"/>
      <c r="M891" s="293"/>
      <c r="N891" s="293"/>
    </row>
    <row r="892">
      <c r="A892" s="30"/>
      <c r="B892" s="30"/>
      <c r="C892" s="290"/>
      <c r="D892" s="30"/>
      <c r="E892" s="286"/>
      <c r="F892" s="30"/>
      <c r="G892" s="183"/>
      <c r="J892" s="291"/>
      <c r="K892" s="291"/>
      <c r="L892" s="292"/>
      <c r="M892" s="293"/>
      <c r="N892" s="293"/>
    </row>
    <row r="893">
      <c r="A893" s="30"/>
      <c r="B893" s="30"/>
      <c r="C893" s="290"/>
      <c r="D893" s="30"/>
      <c r="E893" s="286"/>
      <c r="F893" s="30"/>
      <c r="G893" s="183"/>
      <c r="J893" s="291"/>
      <c r="K893" s="291"/>
      <c r="L893" s="292"/>
      <c r="M893" s="293"/>
      <c r="N893" s="293"/>
    </row>
    <row r="894">
      <c r="A894" s="30"/>
      <c r="B894" s="30"/>
      <c r="C894" s="290"/>
      <c r="D894" s="30"/>
      <c r="E894" s="286"/>
      <c r="F894" s="30"/>
      <c r="G894" s="183"/>
      <c r="J894" s="291"/>
      <c r="K894" s="291"/>
      <c r="L894" s="292"/>
      <c r="M894" s="293"/>
      <c r="N894" s="293"/>
    </row>
    <row r="895">
      <c r="A895" s="30"/>
      <c r="B895" s="30"/>
      <c r="C895" s="290"/>
      <c r="D895" s="30"/>
      <c r="E895" s="286"/>
      <c r="F895" s="30"/>
      <c r="G895" s="183"/>
      <c r="J895" s="291"/>
      <c r="K895" s="291"/>
      <c r="L895" s="292"/>
      <c r="M895" s="293"/>
      <c r="N895" s="293"/>
    </row>
    <row r="896">
      <c r="A896" s="30"/>
      <c r="B896" s="30"/>
      <c r="C896" s="290"/>
      <c r="D896" s="30"/>
      <c r="E896" s="286"/>
      <c r="F896" s="30"/>
      <c r="G896" s="183"/>
      <c r="J896" s="291"/>
      <c r="K896" s="291"/>
      <c r="L896" s="292"/>
      <c r="M896" s="293"/>
      <c r="N896" s="293"/>
    </row>
    <row r="897">
      <c r="A897" s="30"/>
      <c r="B897" s="30"/>
      <c r="C897" s="290"/>
      <c r="D897" s="30"/>
      <c r="E897" s="286"/>
      <c r="F897" s="30"/>
      <c r="G897" s="183"/>
      <c r="J897" s="291"/>
      <c r="K897" s="291"/>
      <c r="L897" s="292"/>
      <c r="M897" s="293"/>
      <c r="N897" s="293"/>
    </row>
    <row r="898">
      <c r="A898" s="30"/>
      <c r="B898" s="30"/>
      <c r="C898" s="290"/>
      <c r="D898" s="30"/>
      <c r="E898" s="286"/>
      <c r="F898" s="30"/>
      <c r="G898" s="183"/>
      <c r="J898" s="291"/>
      <c r="K898" s="291"/>
      <c r="L898" s="292"/>
      <c r="M898" s="293"/>
      <c r="N898" s="293"/>
    </row>
    <row r="899">
      <c r="A899" s="30"/>
      <c r="B899" s="30"/>
      <c r="C899" s="290"/>
      <c r="D899" s="30"/>
      <c r="E899" s="286"/>
      <c r="F899" s="30"/>
      <c r="G899" s="183"/>
      <c r="J899" s="291"/>
      <c r="K899" s="291"/>
      <c r="L899" s="292"/>
      <c r="M899" s="293"/>
      <c r="N899" s="293"/>
    </row>
    <row r="900">
      <c r="A900" s="30"/>
      <c r="B900" s="30"/>
      <c r="C900" s="290"/>
      <c r="D900" s="30"/>
      <c r="E900" s="286"/>
      <c r="F900" s="30"/>
      <c r="G900" s="183"/>
      <c r="J900" s="291"/>
      <c r="K900" s="291"/>
      <c r="L900" s="292"/>
      <c r="M900" s="293"/>
      <c r="N900" s="293"/>
    </row>
    <row r="901">
      <c r="A901" s="30"/>
      <c r="B901" s="30"/>
      <c r="C901" s="290"/>
      <c r="D901" s="30"/>
      <c r="E901" s="286"/>
      <c r="F901" s="30"/>
      <c r="G901" s="183"/>
      <c r="J901" s="291"/>
      <c r="K901" s="291"/>
      <c r="L901" s="292"/>
      <c r="M901" s="293"/>
      <c r="N901" s="293"/>
    </row>
    <row r="902">
      <c r="A902" s="30"/>
      <c r="B902" s="30"/>
      <c r="C902" s="290"/>
      <c r="D902" s="30"/>
      <c r="E902" s="286"/>
      <c r="F902" s="30"/>
      <c r="G902" s="183"/>
      <c r="J902" s="291"/>
      <c r="K902" s="291"/>
      <c r="L902" s="292"/>
      <c r="M902" s="293"/>
      <c r="N902" s="293"/>
    </row>
    <row r="903">
      <c r="A903" s="30"/>
      <c r="B903" s="30"/>
      <c r="C903" s="290"/>
      <c r="D903" s="30"/>
      <c r="E903" s="286"/>
      <c r="F903" s="30"/>
      <c r="G903" s="183"/>
      <c r="J903" s="291"/>
      <c r="K903" s="291"/>
      <c r="L903" s="292"/>
      <c r="M903" s="293"/>
      <c r="N903" s="293"/>
    </row>
    <row r="904">
      <c r="A904" s="30"/>
      <c r="B904" s="30"/>
      <c r="C904" s="290"/>
      <c r="D904" s="30"/>
      <c r="E904" s="286"/>
      <c r="F904" s="30"/>
      <c r="G904" s="183"/>
      <c r="J904" s="291"/>
      <c r="K904" s="291"/>
      <c r="L904" s="292"/>
      <c r="M904" s="293"/>
      <c r="N904" s="293"/>
    </row>
    <row r="905">
      <c r="A905" s="30"/>
      <c r="B905" s="30"/>
      <c r="C905" s="290"/>
      <c r="D905" s="30"/>
      <c r="E905" s="286"/>
      <c r="F905" s="30"/>
      <c r="G905" s="183"/>
      <c r="J905" s="291"/>
      <c r="K905" s="291"/>
      <c r="L905" s="292"/>
      <c r="M905" s="293"/>
      <c r="N905" s="293"/>
    </row>
    <row r="906">
      <c r="A906" s="30"/>
      <c r="B906" s="30"/>
      <c r="C906" s="290"/>
      <c r="D906" s="30"/>
      <c r="E906" s="286"/>
      <c r="F906" s="30"/>
      <c r="G906" s="183"/>
      <c r="J906" s="291"/>
      <c r="K906" s="291"/>
      <c r="L906" s="292"/>
      <c r="M906" s="293"/>
      <c r="N906" s="293"/>
    </row>
    <row r="907">
      <c r="A907" s="30"/>
      <c r="B907" s="30"/>
      <c r="C907" s="290"/>
      <c r="D907" s="30"/>
      <c r="E907" s="286"/>
      <c r="F907" s="30"/>
      <c r="G907" s="183"/>
      <c r="J907" s="291"/>
      <c r="K907" s="291"/>
      <c r="L907" s="292"/>
      <c r="M907" s="293"/>
      <c r="N907" s="293"/>
    </row>
    <row r="908">
      <c r="A908" s="30"/>
      <c r="B908" s="30"/>
      <c r="C908" s="290"/>
      <c r="D908" s="30"/>
      <c r="E908" s="286"/>
      <c r="F908" s="30"/>
      <c r="G908" s="183"/>
      <c r="J908" s="291"/>
      <c r="K908" s="291"/>
      <c r="L908" s="292"/>
      <c r="M908" s="293"/>
      <c r="N908" s="293"/>
    </row>
    <row r="909">
      <c r="A909" s="30"/>
      <c r="B909" s="30"/>
      <c r="C909" s="290"/>
      <c r="D909" s="30"/>
      <c r="E909" s="286"/>
      <c r="F909" s="30"/>
      <c r="G909" s="183"/>
      <c r="J909" s="291"/>
      <c r="K909" s="291"/>
      <c r="L909" s="292"/>
      <c r="M909" s="293"/>
      <c r="N909" s="293"/>
    </row>
    <row r="910">
      <c r="A910" s="30"/>
      <c r="B910" s="30"/>
      <c r="C910" s="290"/>
      <c r="D910" s="30"/>
      <c r="E910" s="286"/>
      <c r="F910" s="30"/>
      <c r="G910" s="183"/>
      <c r="J910" s="291"/>
      <c r="K910" s="291"/>
      <c r="L910" s="292"/>
      <c r="M910" s="293"/>
      <c r="N910" s="293"/>
    </row>
    <row r="911">
      <c r="A911" s="30"/>
      <c r="B911" s="30"/>
      <c r="C911" s="290"/>
      <c r="D911" s="30"/>
      <c r="E911" s="286"/>
      <c r="F911" s="30"/>
      <c r="G911" s="183"/>
      <c r="J911" s="291"/>
      <c r="K911" s="291"/>
      <c r="L911" s="292"/>
      <c r="M911" s="293"/>
      <c r="N911" s="293"/>
    </row>
    <row r="912">
      <c r="A912" s="30"/>
      <c r="B912" s="30"/>
      <c r="C912" s="290"/>
      <c r="D912" s="30"/>
      <c r="E912" s="286"/>
      <c r="F912" s="30"/>
      <c r="G912" s="183"/>
      <c r="J912" s="291"/>
      <c r="K912" s="291"/>
      <c r="L912" s="292"/>
      <c r="M912" s="293"/>
      <c r="N912" s="293"/>
    </row>
    <row r="913">
      <c r="A913" s="30"/>
      <c r="B913" s="30"/>
      <c r="C913" s="290"/>
      <c r="D913" s="30"/>
      <c r="E913" s="286"/>
      <c r="F913" s="30"/>
      <c r="G913" s="183"/>
      <c r="J913" s="291"/>
      <c r="K913" s="291"/>
      <c r="L913" s="292"/>
      <c r="M913" s="293"/>
      <c r="N913" s="293"/>
    </row>
    <row r="914">
      <c r="A914" s="30"/>
      <c r="B914" s="30"/>
      <c r="C914" s="290"/>
      <c r="D914" s="30"/>
      <c r="E914" s="286"/>
      <c r="F914" s="30"/>
      <c r="G914" s="183"/>
      <c r="J914" s="291"/>
      <c r="K914" s="291"/>
      <c r="L914" s="292"/>
      <c r="M914" s="293"/>
      <c r="N914" s="293"/>
    </row>
    <row r="915">
      <c r="A915" s="30"/>
      <c r="B915" s="30"/>
      <c r="C915" s="290"/>
      <c r="D915" s="30"/>
      <c r="E915" s="286"/>
      <c r="F915" s="30"/>
      <c r="G915" s="183"/>
      <c r="J915" s="291"/>
      <c r="K915" s="291"/>
      <c r="L915" s="292"/>
      <c r="M915" s="293"/>
      <c r="N915" s="293"/>
    </row>
    <row r="916">
      <c r="A916" s="30"/>
      <c r="B916" s="30"/>
      <c r="C916" s="290"/>
      <c r="D916" s="30"/>
      <c r="E916" s="286"/>
      <c r="F916" s="30"/>
      <c r="G916" s="183"/>
      <c r="J916" s="291"/>
      <c r="K916" s="291"/>
      <c r="L916" s="292"/>
      <c r="M916" s="293"/>
      <c r="N916" s="293"/>
    </row>
    <row r="917">
      <c r="A917" s="30"/>
      <c r="B917" s="30"/>
      <c r="C917" s="290"/>
      <c r="D917" s="30"/>
      <c r="E917" s="286"/>
      <c r="F917" s="30"/>
      <c r="G917" s="183"/>
      <c r="J917" s="291"/>
      <c r="K917" s="291"/>
      <c r="L917" s="292"/>
      <c r="M917" s="293"/>
      <c r="N917" s="293"/>
    </row>
    <row r="918">
      <c r="A918" s="30"/>
      <c r="B918" s="30"/>
      <c r="C918" s="290"/>
      <c r="D918" s="30"/>
      <c r="E918" s="286"/>
      <c r="F918" s="30"/>
      <c r="G918" s="183"/>
      <c r="J918" s="291"/>
      <c r="K918" s="291"/>
      <c r="L918" s="292"/>
      <c r="M918" s="293"/>
      <c r="N918" s="293"/>
    </row>
    <row r="919">
      <c r="A919" s="30"/>
      <c r="B919" s="30"/>
      <c r="C919" s="290"/>
      <c r="D919" s="30"/>
      <c r="E919" s="286"/>
      <c r="F919" s="30"/>
      <c r="G919" s="183"/>
      <c r="J919" s="291"/>
      <c r="K919" s="291"/>
      <c r="L919" s="292"/>
      <c r="M919" s="293"/>
      <c r="N919" s="293"/>
    </row>
    <row r="920">
      <c r="A920" s="30"/>
      <c r="B920" s="30"/>
      <c r="C920" s="290"/>
      <c r="D920" s="30"/>
      <c r="E920" s="286"/>
      <c r="F920" s="30"/>
      <c r="G920" s="183"/>
      <c r="J920" s="291"/>
      <c r="K920" s="291"/>
      <c r="L920" s="292"/>
      <c r="M920" s="293"/>
      <c r="N920" s="293"/>
    </row>
    <row r="921">
      <c r="A921" s="30"/>
      <c r="B921" s="30"/>
      <c r="C921" s="290"/>
      <c r="D921" s="30"/>
      <c r="E921" s="286"/>
      <c r="F921" s="30"/>
      <c r="G921" s="183"/>
      <c r="J921" s="291"/>
      <c r="K921" s="291"/>
      <c r="L921" s="292"/>
      <c r="M921" s="293"/>
      <c r="N921" s="293"/>
    </row>
    <row r="922">
      <c r="A922" s="30"/>
      <c r="B922" s="30"/>
      <c r="C922" s="290"/>
      <c r="D922" s="30"/>
      <c r="E922" s="286"/>
      <c r="F922" s="30"/>
      <c r="G922" s="183"/>
      <c r="J922" s="291"/>
      <c r="K922" s="291"/>
      <c r="L922" s="292"/>
      <c r="M922" s="293"/>
      <c r="N922" s="293"/>
    </row>
    <row r="923">
      <c r="A923" s="30"/>
      <c r="B923" s="30"/>
      <c r="C923" s="290"/>
      <c r="D923" s="30"/>
      <c r="E923" s="286"/>
      <c r="F923" s="30"/>
      <c r="G923" s="183"/>
      <c r="J923" s="291"/>
      <c r="K923" s="291"/>
      <c r="L923" s="292"/>
      <c r="M923" s="293"/>
      <c r="N923" s="293"/>
    </row>
    <row r="924">
      <c r="A924" s="30"/>
      <c r="B924" s="30"/>
      <c r="C924" s="290"/>
      <c r="D924" s="30"/>
      <c r="E924" s="286"/>
      <c r="F924" s="30"/>
      <c r="G924" s="183"/>
      <c r="J924" s="291"/>
      <c r="K924" s="291"/>
      <c r="L924" s="292"/>
      <c r="M924" s="293"/>
      <c r="N924" s="293"/>
    </row>
    <row r="925">
      <c r="A925" s="30"/>
      <c r="B925" s="30"/>
      <c r="C925" s="290"/>
      <c r="D925" s="30"/>
      <c r="E925" s="286"/>
      <c r="F925" s="30"/>
      <c r="G925" s="183"/>
      <c r="J925" s="291"/>
      <c r="K925" s="291"/>
      <c r="L925" s="292"/>
      <c r="M925" s="293"/>
      <c r="N925" s="293"/>
    </row>
    <row r="926">
      <c r="A926" s="30"/>
      <c r="B926" s="30"/>
      <c r="C926" s="290"/>
      <c r="D926" s="30"/>
      <c r="E926" s="286"/>
      <c r="F926" s="30"/>
      <c r="G926" s="183"/>
      <c r="J926" s="291"/>
      <c r="K926" s="291"/>
      <c r="L926" s="292"/>
      <c r="M926" s="293"/>
      <c r="N926" s="293"/>
    </row>
    <row r="927">
      <c r="A927" s="30"/>
      <c r="B927" s="30"/>
      <c r="C927" s="290"/>
      <c r="D927" s="30"/>
      <c r="E927" s="286"/>
      <c r="F927" s="30"/>
      <c r="G927" s="183"/>
      <c r="J927" s="291"/>
      <c r="K927" s="291"/>
      <c r="L927" s="292"/>
      <c r="M927" s="293"/>
      <c r="N927" s="293"/>
    </row>
    <row r="928">
      <c r="A928" s="30"/>
      <c r="B928" s="30"/>
      <c r="C928" s="290"/>
      <c r="D928" s="30"/>
      <c r="E928" s="286"/>
      <c r="F928" s="30"/>
      <c r="G928" s="183"/>
      <c r="J928" s="291"/>
      <c r="K928" s="291"/>
      <c r="L928" s="292"/>
      <c r="M928" s="293"/>
      <c r="N928" s="293"/>
    </row>
    <row r="929">
      <c r="A929" s="30"/>
      <c r="B929" s="30"/>
      <c r="C929" s="290"/>
      <c r="D929" s="30"/>
      <c r="E929" s="286"/>
      <c r="F929" s="30"/>
      <c r="G929" s="183"/>
      <c r="J929" s="291"/>
      <c r="K929" s="291"/>
      <c r="L929" s="292"/>
      <c r="M929" s="293"/>
      <c r="N929" s="293"/>
    </row>
    <row r="930">
      <c r="A930" s="30"/>
      <c r="B930" s="30"/>
      <c r="C930" s="290"/>
      <c r="D930" s="30"/>
      <c r="E930" s="286"/>
      <c r="F930" s="30"/>
      <c r="G930" s="183"/>
      <c r="J930" s="291"/>
      <c r="K930" s="291"/>
      <c r="L930" s="292"/>
      <c r="M930" s="293"/>
      <c r="N930" s="293"/>
    </row>
    <row r="931">
      <c r="A931" s="30"/>
      <c r="B931" s="30"/>
      <c r="C931" s="290"/>
      <c r="D931" s="30"/>
      <c r="E931" s="286"/>
      <c r="F931" s="30"/>
      <c r="G931" s="183"/>
      <c r="J931" s="291"/>
      <c r="K931" s="291"/>
      <c r="L931" s="292"/>
      <c r="M931" s="293"/>
      <c r="N931" s="293"/>
    </row>
    <row r="932">
      <c r="A932" s="30"/>
      <c r="B932" s="30"/>
      <c r="C932" s="290"/>
      <c r="D932" s="30"/>
      <c r="E932" s="286"/>
      <c r="F932" s="30"/>
      <c r="G932" s="183"/>
      <c r="J932" s="291"/>
      <c r="K932" s="291"/>
      <c r="L932" s="292"/>
      <c r="M932" s="293"/>
      <c r="N932" s="293"/>
    </row>
    <row r="933">
      <c r="A933" s="30"/>
      <c r="B933" s="30"/>
      <c r="C933" s="290"/>
      <c r="D933" s="30"/>
      <c r="E933" s="286"/>
      <c r="F933" s="30"/>
      <c r="G933" s="183"/>
      <c r="J933" s="291"/>
      <c r="K933" s="291"/>
      <c r="L933" s="292"/>
      <c r="M933" s="293"/>
      <c r="N933" s="293"/>
    </row>
    <row r="934">
      <c r="A934" s="30"/>
      <c r="B934" s="30"/>
      <c r="C934" s="290"/>
      <c r="D934" s="30"/>
      <c r="E934" s="286"/>
      <c r="F934" s="30"/>
      <c r="G934" s="183"/>
      <c r="J934" s="291"/>
      <c r="K934" s="291"/>
      <c r="L934" s="292"/>
      <c r="M934" s="293"/>
      <c r="N934" s="293"/>
    </row>
    <row r="935">
      <c r="A935" s="30"/>
      <c r="B935" s="30"/>
      <c r="C935" s="290"/>
      <c r="D935" s="30"/>
      <c r="E935" s="286"/>
      <c r="F935" s="30"/>
      <c r="G935" s="183"/>
      <c r="J935" s="291"/>
      <c r="K935" s="291"/>
      <c r="L935" s="292"/>
      <c r="M935" s="293"/>
      <c r="N935" s="293"/>
    </row>
    <row r="936">
      <c r="A936" s="30"/>
      <c r="B936" s="30"/>
      <c r="C936" s="290"/>
      <c r="D936" s="30"/>
      <c r="E936" s="286"/>
      <c r="F936" s="30"/>
      <c r="G936" s="183"/>
      <c r="J936" s="291"/>
      <c r="K936" s="291"/>
      <c r="L936" s="292"/>
      <c r="M936" s="293"/>
      <c r="N936" s="293"/>
    </row>
    <row r="937">
      <c r="A937" s="30"/>
      <c r="B937" s="30"/>
      <c r="C937" s="290"/>
      <c r="D937" s="30"/>
      <c r="E937" s="286"/>
      <c r="F937" s="30"/>
      <c r="G937" s="183"/>
      <c r="J937" s="291"/>
      <c r="K937" s="291"/>
      <c r="L937" s="292"/>
      <c r="M937" s="293"/>
      <c r="N937" s="293"/>
    </row>
    <row r="938">
      <c r="A938" s="30"/>
      <c r="B938" s="30"/>
      <c r="C938" s="290"/>
      <c r="D938" s="30"/>
      <c r="E938" s="286"/>
      <c r="F938" s="30"/>
      <c r="G938" s="183"/>
      <c r="J938" s="291"/>
      <c r="K938" s="291"/>
      <c r="L938" s="292"/>
      <c r="M938" s="293"/>
      <c r="N938" s="293"/>
    </row>
    <row r="939">
      <c r="A939" s="30"/>
      <c r="B939" s="30"/>
      <c r="C939" s="290"/>
      <c r="D939" s="30"/>
      <c r="E939" s="286"/>
      <c r="F939" s="30"/>
      <c r="G939" s="183"/>
      <c r="J939" s="291"/>
      <c r="K939" s="291"/>
      <c r="L939" s="292"/>
      <c r="M939" s="293"/>
      <c r="N939" s="293"/>
    </row>
    <row r="940">
      <c r="A940" s="30"/>
      <c r="B940" s="30"/>
      <c r="C940" s="290"/>
      <c r="D940" s="30"/>
      <c r="E940" s="286"/>
      <c r="F940" s="30"/>
      <c r="G940" s="183"/>
      <c r="J940" s="291"/>
      <c r="K940" s="291"/>
      <c r="L940" s="292"/>
      <c r="M940" s="293"/>
      <c r="N940" s="293"/>
    </row>
    <row r="941">
      <c r="A941" s="30"/>
      <c r="B941" s="30"/>
      <c r="C941" s="290"/>
      <c r="D941" s="30"/>
      <c r="E941" s="286"/>
      <c r="F941" s="30"/>
      <c r="G941" s="183"/>
      <c r="J941" s="291"/>
      <c r="K941" s="291"/>
      <c r="L941" s="292"/>
      <c r="M941" s="293"/>
      <c r="N941" s="293"/>
    </row>
    <row r="942">
      <c r="A942" s="30"/>
      <c r="B942" s="30"/>
      <c r="C942" s="290"/>
      <c r="D942" s="30"/>
      <c r="E942" s="286"/>
      <c r="F942" s="30"/>
      <c r="G942" s="183"/>
      <c r="J942" s="291"/>
      <c r="K942" s="291"/>
      <c r="L942" s="292"/>
      <c r="M942" s="293"/>
      <c r="N942" s="293"/>
    </row>
    <row r="943">
      <c r="A943" s="30"/>
      <c r="B943" s="30"/>
      <c r="C943" s="290"/>
      <c r="D943" s="30"/>
      <c r="E943" s="286"/>
      <c r="F943" s="30"/>
      <c r="G943" s="183"/>
      <c r="J943" s="291"/>
      <c r="K943" s="291"/>
      <c r="L943" s="292"/>
      <c r="M943" s="293"/>
      <c r="N943" s="293"/>
    </row>
    <row r="944">
      <c r="A944" s="30"/>
      <c r="B944" s="30"/>
      <c r="C944" s="290"/>
      <c r="D944" s="30"/>
      <c r="E944" s="286"/>
      <c r="F944" s="30"/>
      <c r="G944" s="183"/>
      <c r="J944" s="291"/>
      <c r="K944" s="291"/>
      <c r="L944" s="292"/>
      <c r="M944" s="293"/>
      <c r="N944" s="293"/>
    </row>
    <row r="945">
      <c r="A945" s="30"/>
      <c r="B945" s="30"/>
      <c r="C945" s="290"/>
      <c r="D945" s="30"/>
      <c r="E945" s="286"/>
      <c r="F945" s="30"/>
      <c r="G945" s="183"/>
      <c r="J945" s="291"/>
      <c r="K945" s="291"/>
      <c r="L945" s="292"/>
      <c r="M945" s="293"/>
      <c r="N945" s="293"/>
    </row>
    <row r="946">
      <c r="A946" s="30"/>
      <c r="B946" s="30"/>
      <c r="C946" s="290"/>
      <c r="D946" s="30"/>
      <c r="E946" s="286"/>
      <c r="F946" s="30"/>
      <c r="G946" s="183"/>
      <c r="J946" s="291"/>
      <c r="K946" s="291"/>
      <c r="L946" s="292"/>
      <c r="M946" s="293"/>
      <c r="N946" s="293"/>
    </row>
    <row r="947">
      <c r="A947" s="30"/>
      <c r="B947" s="30"/>
      <c r="C947" s="290"/>
      <c r="D947" s="30"/>
      <c r="E947" s="286"/>
      <c r="F947" s="30"/>
      <c r="G947" s="183"/>
      <c r="J947" s="291"/>
      <c r="K947" s="291"/>
      <c r="L947" s="292"/>
      <c r="M947" s="293"/>
      <c r="N947" s="293"/>
    </row>
    <row r="948">
      <c r="A948" s="30"/>
      <c r="B948" s="30"/>
      <c r="C948" s="290"/>
      <c r="D948" s="30"/>
      <c r="E948" s="286"/>
      <c r="F948" s="30"/>
      <c r="G948" s="183"/>
      <c r="J948" s="291"/>
      <c r="K948" s="291"/>
      <c r="L948" s="292"/>
      <c r="M948" s="293"/>
      <c r="N948" s="293"/>
    </row>
    <row r="949">
      <c r="A949" s="30"/>
      <c r="B949" s="30"/>
      <c r="C949" s="290"/>
      <c r="D949" s="30"/>
      <c r="E949" s="286"/>
      <c r="F949" s="30"/>
      <c r="G949" s="183"/>
      <c r="J949" s="291"/>
      <c r="K949" s="291"/>
      <c r="L949" s="292"/>
      <c r="M949" s="293"/>
      <c r="N949" s="293"/>
    </row>
    <row r="950">
      <c r="A950" s="30"/>
      <c r="B950" s="30"/>
      <c r="C950" s="290"/>
      <c r="D950" s="30"/>
      <c r="E950" s="286"/>
      <c r="F950" s="30"/>
      <c r="G950" s="183"/>
      <c r="J950" s="291"/>
      <c r="K950" s="291"/>
      <c r="L950" s="292"/>
      <c r="M950" s="293"/>
      <c r="N950" s="293"/>
    </row>
    <row r="951">
      <c r="A951" s="30"/>
      <c r="B951" s="30"/>
      <c r="C951" s="290"/>
      <c r="D951" s="30"/>
      <c r="E951" s="286"/>
      <c r="F951" s="30"/>
      <c r="G951" s="183"/>
      <c r="J951" s="291"/>
      <c r="K951" s="291"/>
      <c r="L951" s="292"/>
      <c r="M951" s="293"/>
      <c r="N951" s="293"/>
    </row>
    <row r="952">
      <c r="A952" s="30"/>
      <c r="B952" s="30"/>
      <c r="C952" s="290"/>
      <c r="D952" s="30"/>
      <c r="E952" s="286"/>
      <c r="F952" s="30"/>
      <c r="G952" s="183"/>
      <c r="J952" s="291"/>
      <c r="K952" s="291"/>
      <c r="L952" s="292"/>
      <c r="M952" s="293"/>
      <c r="N952" s="293"/>
    </row>
    <row r="953">
      <c r="A953" s="30"/>
      <c r="B953" s="30"/>
      <c r="C953" s="290"/>
      <c r="D953" s="30"/>
      <c r="E953" s="286"/>
      <c r="F953" s="30"/>
      <c r="G953" s="183"/>
      <c r="J953" s="291"/>
      <c r="K953" s="291"/>
      <c r="L953" s="292"/>
      <c r="M953" s="293"/>
      <c r="N953" s="293"/>
    </row>
    <row r="954">
      <c r="A954" s="30"/>
      <c r="B954" s="30"/>
      <c r="C954" s="290"/>
      <c r="D954" s="30"/>
      <c r="E954" s="286"/>
      <c r="F954" s="30"/>
      <c r="G954" s="183"/>
      <c r="J954" s="291"/>
      <c r="K954" s="291"/>
      <c r="L954" s="292"/>
      <c r="M954" s="293"/>
      <c r="N954" s="293"/>
    </row>
    <row r="955">
      <c r="A955" s="30"/>
      <c r="B955" s="30"/>
      <c r="C955" s="290"/>
      <c r="D955" s="30"/>
      <c r="E955" s="286"/>
      <c r="F955" s="30"/>
      <c r="G955" s="183"/>
      <c r="J955" s="291"/>
      <c r="K955" s="291"/>
      <c r="L955" s="292"/>
      <c r="M955" s="293"/>
      <c r="N955" s="293"/>
    </row>
    <row r="956">
      <c r="A956" s="30"/>
      <c r="B956" s="30"/>
      <c r="C956" s="290"/>
      <c r="D956" s="30"/>
      <c r="E956" s="286"/>
      <c r="F956" s="30"/>
      <c r="G956" s="183"/>
      <c r="J956" s="291"/>
      <c r="K956" s="291"/>
      <c r="L956" s="292"/>
      <c r="M956" s="293"/>
      <c r="N956" s="293"/>
    </row>
    <row r="957">
      <c r="A957" s="30"/>
      <c r="B957" s="30"/>
      <c r="C957" s="290"/>
      <c r="D957" s="30"/>
      <c r="E957" s="286"/>
      <c r="F957" s="30"/>
      <c r="G957" s="183"/>
      <c r="J957" s="291"/>
      <c r="K957" s="291"/>
      <c r="L957" s="292"/>
      <c r="M957" s="293"/>
      <c r="N957" s="293"/>
    </row>
    <row r="958">
      <c r="A958" s="30"/>
      <c r="B958" s="30"/>
      <c r="C958" s="290"/>
      <c r="D958" s="30"/>
      <c r="E958" s="286"/>
      <c r="F958" s="30"/>
      <c r="G958" s="183"/>
      <c r="J958" s="291"/>
      <c r="K958" s="291"/>
      <c r="L958" s="292"/>
      <c r="M958" s="293"/>
      <c r="N958" s="293"/>
    </row>
    <row r="959">
      <c r="A959" s="30"/>
      <c r="B959" s="30"/>
      <c r="C959" s="290"/>
      <c r="D959" s="30"/>
      <c r="E959" s="286"/>
      <c r="F959" s="30"/>
      <c r="G959" s="183"/>
      <c r="J959" s="291"/>
      <c r="K959" s="291"/>
      <c r="L959" s="292"/>
      <c r="M959" s="293"/>
      <c r="N959" s="293"/>
    </row>
    <row r="960">
      <c r="A960" s="30"/>
      <c r="B960" s="30"/>
      <c r="C960" s="290"/>
      <c r="D960" s="30"/>
      <c r="E960" s="286"/>
      <c r="F960" s="30"/>
      <c r="G960" s="183"/>
      <c r="J960" s="291"/>
      <c r="K960" s="291"/>
      <c r="L960" s="292"/>
      <c r="M960" s="293"/>
      <c r="N960" s="293"/>
    </row>
    <row r="961">
      <c r="A961" s="30"/>
      <c r="B961" s="30"/>
      <c r="C961" s="290"/>
      <c r="D961" s="30"/>
      <c r="E961" s="286"/>
      <c r="F961" s="30"/>
      <c r="G961" s="183"/>
      <c r="J961" s="291"/>
      <c r="K961" s="291"/>
      <c r="L961" s="292"/>
      <c r="M961" s="293"/>
      <c r="N961" s="293"/>
    </row>
    <row r="962">
      <c r="A962" s="30"/>
      <c r="B962" s="30"/>
      <c r="C962" s="290"/>
      <c r="D962" s="30"/>
      <c r="E962" s="286"/>
      <c r="F962" s="30"/>
      <c r="G962" s="183"/>
      <c r="J962" s="291"/>
      <c r="K962" s="291"/>
      <c r="L962" s="292"/>
      <c r="M962" s="293"/>
      <c r="N962" s="293"/>
    </row>
    <row r="963">
      <c r="A963" s="30"/>
      <c r="B963" s="30"/>
      <c r="C963" s="290"/>
      <c r="D963" s="30"/>
      <c r="E963" s="286"/>
      <c r="F963" s="30"/>
      <c r="G963" s="183"/>
      <c r="J963" s="291"/>
      <c r="K963" s="291"/>
      <c r="L963" s="292"/>
      <c r="M963" s="293"/>
      <c r="N963" s="293"/>
    </row>
    <row r="964">
      <c r="A964" s="30"/>
      <c r="B964" s="30"/>
      <c r="C964" s="290"/>
      <c r="D964" s="30"/>
      <c r="E964" s="286"/>
      <c r="F964" s="30"/>
      <c r="G964" s="183"/>
      <c r="J964" s="291"/>
      <c r="K964" s="291"/>
      <c r="L964" s="292"/>
      <c r="M964" s="293"/>
      <c r="N964" s="293"/>
    </row>
    <row r="965">
      <c r="A965" s="30"/>
      <c r="B965" s="30"/>
      <c r="C965" s="290"/>
      <c r="D965" s="30"/>
      <c r="E965" s="286"/>
      <c r="F965" s="30"/>
      <c r="G965" s="183"/>
      <c r="J965" s="291"/>
      <c r="K965" s="291"/>
      <c r="L965" s="292"/>
      <c r="M965" s="293"/>
      <c r="N965" s="293"/>
    </row>
    <row r="966">
      <c r="A966" s="30"/>
      <c r="B966" s="30"/>
      <c r="C966" s="290"/>
      <c r="D966" s="30"/>
      <c r="E966" s="286"/>
      <c r="F966" s="30"/>
      <c r="G966" s="183"/>
      <c r="J966" s="291"/>
      <c r="K966" s="291"/>
      <c r="L966" s="292"/>
      <c r="M966" s="293"/>
      <c r="N966" s="293"/>
    </row>
    <row r="967">
      <c r="A967" s="30"/>
      <c r="B967" s="30"/>
      <c r="C967" s="290"/>
      <c r="D967" s="30"/>
      <c r="E967" s="286"/>
      <c r="F967" s="30"/>
      <c r="G967" s="183"/>
      <c r="J967" s="291"/>
      <c r="K967" s="291"/>
      <c r="L967" s="292"/>
      <c r="M967" s="293"/>
      <c r="N967" s="293"/>
    </row>
    <row r="968">
      <c r="A968" s="30"/>
      <c r="B968" s="30"/>
      <c r="C968" s="290"/>
      <c r="D968" s="30"/>
      <c r="E968" s="286"/>
      <c r="F968" s="30"/>
      <c r="G968" s="183"/>
      <c r="J968" s="291"/>
      <c r="K968" s="291"/>
      <c r="L968" s="292"/>
      <c r="M968" s="293"/>
      <c r="N968" s="293"/>
    </row>
    <row r="969">
      <c r="A969" s="30"/>
      <c r="B969" s="30"/>
      <c r="C969" s="290"/>
      <c r="D969" s="30"/>
      <c r="E969" s="286"/>
      <c r="F969" s="30"/>
      <c r="G969" s="183"/>
      <c r="J969" s="291"/>
      <c r="K969" s="291"/>
      <c r="L969" s="292"/>
      <c r="M969" s="293"/>
      <c r="N969" s="293"/>
    </row>
    <row r="970">
      <c r="A970" s="30"/>
      <c r="B970" s="30"/>
      <c r="C970" s="290"/>
      <c r="D970" s="30"/>
      <c r="E970" s="286"/>
      <c r="F970" s="30"/>
      <c r="G970" s="183"/>
      <c r="J970" s="291"/>
      <c r="K970" s="291"/>
      <c r="L970" s="292"/>
      <c r="M970" s="293"/>
      <c r="N970" s="293"/>
    </row>
    <row r="971">
      <c r="A971" s="30"/>
      <c r="B971" s="30"/>
      <c r="C971" s="290"/>
      <c r="D971" s="30"/>
      <c r="E971" s="286"/>
      <c r="F971" s="30"/>
      <c r="G971" s="183"/>
      <c r="J971" s="291"/>
      <c r="K971" s="291"/>
      <c r="L971" s="292"/>
      <c r="M971" s="293"/>
      <c r="N971" s="293"/>
    </row>
    <row r="972">
      <c r="A972" s="30"/>
      <c r="B972" s="30"/>
      <c r="C972" s="290"/>
      <c r="D972" s="30"/>
      <c r="E972" s="286"/>
      <c r="F972" s="30"/>
      <c r="G972" s="183"/>
      <c r="J972" s="291"/>
      <c r="K972" s="291"/>
      <c r="L972" s="292"/>
      <c r="M972" s="293"/>
      <c r="N972" s="293"/>
    </row>
    <row r="973">
      <c r="A973" s="30"/>
      <c r="B973" s="30"/>
      <c r="C973" s="290"/>
      <c r="D973" s="30"/>
      <c r="E973" s="286"/>
      <c r="F973" s="30"/>
      <c r="G973" s="183"/>
      <c r="J973" s="291"/>
      <c r="K973" s="291"/>
      <c r="L973" s="292"/>
      <c r="M973" s="293"/>
      <c r="N973" s="293"/>
    </row>
    <row r="974">
      <c r="A974" s="30"/>
      <c r="B974" s="30"/>
      <c r="C974" s="290"/>
      <c r="D974" s="30"/>
      <c r="E974" s="286"/>
      <c r="F974" s="30"/>
      <c r="G974" s="183"/>
      <c r="J974" s="291"/>
      <c r="K974" s="291"/>
      <c r="L974" s="292"/>
      <c r="M974" s="293"/>
      <c r="N974" s="293"/>
    </row>
    <row r="975">
      <c r="A975" s="30"/>
      <c r="B975" s="30"/>
      <c r="C975" s="290"/>
      <c r="D975" s="30"/>
      <c r="E975" s="286"/>
      <c r="F975" s="30"/>
      <c r="G975" s="183"/>
      <c r="J975" s="291"/>
      <c r="K975" s="291"/>
      <c r="L975" s="292"/>
      <c r="M975" s="293"/>
      <c r="N975" s="293"/>
    </row>
    <row r="976">
      <c r="A976" s="30"/>
      <c r="B976" s="30"/>
      <c r="C976" s="290"/>
      <c r="D976" s="30"/>
      <c r="E976" s="286"/>
      <c r="F976" s="30"/>
      <c r="G976" s="183"/>
      <c r="J976" s="291"/>
      <c r="K976" s="291"/>
      <c r="L976" s="292"/>
      <c r="M976" s="293"/>
      <c r="N976" s="293"/>
    </row>
    <row r="977">
      <c r="A977" s="30"/>
      <c r="B977" s="30"/>
      <c r="C977" s="290"/>
      <c r="D977" s="30"/>
      <c r="E977" s="286"/>
      <c r="F977" s="30"/>
      <c r="G977" s="183"/>
      <c r="J977" s="291"/>
      <c r="K977" s="291"/>
      <c r="L977" s="292"/>
      <c r="M977" s="293"/>
      <c r="N977" s="293"/>
    </row>
    <row r="978">
      <c r="A978" s="30"/>
      <c r="B978" s="30"/>
      <c r="C978" s="290"/>
      <c r="D978" s="30"/>
      <c r="E978" s="286"/>
      <c r="F978" s="30"/>
      <c r="G978" s="183"/>
      <c r="J978" s="291"/>
      <c r="K978" s="291"/>
      <c r="L978" s="292"/>
      <c r="M978" s="293"/>
      <c r="N978" s="293"/>
    </row>
    <row r="979">
      <c r="A979" s="30"/>
      <c r="B979" s="30"/>
      <c r="C979" s="290"/>
      <c r="D979" s="30"/>
      <c r="E979" s="286"/>
      <c r="F979" s="30"/>
      <c r="G979" s="183"/>
      <c r="J979" s="291"/>
      <c r="K979" s="291"/>
      <c r="L979" s="292"/>
      <c r="M979" s="293"/>
      <c r="N979" s="293"/>
    </row>
    <row r="980">
      <c r="A980" s="30"/>
      <c r="B980" s="30"/>
      <c r="C980" s="290"/>
      <c r="D980" s="30"/>
      <c r="E980" s="286"/>
      <c r="F980" s="30"/>
      <c r="G980" s="183"/>
      <c r="J980" s="291"/>
      <c r="K980" s="291"/>
      <c r="L980" s="292"/>
      <c r="M980" s="293"/>
      <c r="N980" s="293"/>
    </row>
    <row r="981">
      <c r="A981" s="30"/>
      <c r="B981" s="30"/>
      <c r="C981" s="290"/>
      <c r="D981" s="30"/>
      <c r="E981" s="286"/>
      <c r="F981" s="30"/>
      <c r="G981" s="183"/>
      <c r="J981" s="291"/>
      <c r="K981" s="291"/>
      <c r="L981" s="292"/>
      <c r="M981" s="293"/>
      <c r="N981" s="293"/>
    </row>
    <row r="982">
      <c r="A982" s="30"/>
      <c r="B982" s="30"/>
      <c r="C982" s="290"/>
      <c r="D982" s="30"/>
      <c r="E982" s="286"/>
      <c r="F982" s="30"/>
      <c r="G982" s="183"/>
      <c r="J982" s="291"/>
      <c r="K982" s="291"/>
      <c r="L982" s="292"/>
      <c r="M982" s="293"/>
      <c r="N982" s="293"/>
    </row>
    <row r="983">
      <c r="A983" s="30"/>
      <c r="B983" s="30"/>
      <c r="C983" s="290"/>
      <c r="D983" s="30"/>
      <c r="E983" s="286"/>
      <c r="F983" s="30"/>
      <c r="G983" s="183"/>
      <c r="J983" s="291"/>
      <c r="K983" s="291"/>
      <c r="L983" s="292"/>
      <c r="M983" s="293"/>
      <c r="N983" s="293"/>
    </row>
    <row r="984">
      <c r="A984" s="30"/>
      <c r="B984" s="30"/>
      <c r="C984" s="290"/>
      <c r="D984" s="30"/>
      <c r="E984" s="286"/>
      <c r="F984" s="30"/>
      <c r="G984" s="183"/>
      <c r="J984" s="291"/>
      <c r="K984" s="291"/>
      <c r="L984" s="292"/>
      <c r="M984" s="293"/>
      <c r="N984" s="293"/>
    </row>
    <row r="985">
      <c r="A985" s="30"/>
      <c r="B985" s="30"/>
      <c r="C985" s="290"/>
      <c r="D985" s="30"/>
      <c r="E985" s="286"/>
      <c r="F985" s="30"/>
      <c r="G985" s="183"/>
      <c r="J985" s="291"/>
      <c r="K985" s="291"/>
      <c r="L985" s="292"/>
      <c r="M985" s="293"/>
      <c r="N985" s="293"/>
    </row>
    <row r="986">
      <c r="A986" s="30"/>
      <c r="B986" s="30"/>
      <c r="C986" s="290"/>
      <c r="D986" s="30"/>
      <c r="E986" s="286"/>
      <c r="F986" s="30"/>
      <c r="G986" s="183"/>
      <c r="J986" s="291"/>
      <c r="K986" s="291"/>
      <c r="L986" s="292"/>
      <c r="M986" s="293"/>
      <c r="N986" s="293"/>
    </row>
    <row r="987">
      <c r="A987" s="30"/>
      <c r="B987" s="30"/>
      <c r="C987" s="290"/>
      <c r="D987" s="30"/>
      <c r="E987" s="286"/>
      <c r="F987" s="30"/>
      <c r="G987" s="183"/>
      <c r="J987" s="291"/>
      <c r="K987" s="291"/>
      <c r="L987" s="292"/>
      <c r="M987" s="293"/>
      <c r="N987" s="293"/>
    </row>
    <row r="988">
      <c r="A988" s="30"/>
      <c r="B988" s="30"/>
      <c r="C988" s="290"/>
      <c r="D988" s="30"/>
      <c r="E988" s="286"/>
      <c r="F988" s="30"/>
      <c r="G988" s="183"/>
      <c r="J988" s="291"/>
      <c r="K988" s="291"/>
      <c r="L988" s="292"/>
      <c r="M988" s="293"/>
      <c r="N988" s="293"/>
    </row>
    <row r="989">
      <c r="A989" s="30"/>
      <c r="B989" s="30"/>
      <c r="C989" s="290"/>
      <c r="D989" s="30"/>
      <c r="E989" s="286"/>
      <c r="F989" s="30"/>
      <c r="G989" s="183"/>
      <c r="J989" s="291"/>
      <c r="K989" s="291"/>
      <c r="L989" s="292"/>
      <c r="M989" s="293"/>
      <c r="N989" s="293"/>
    </row>
    <row r="990">
      <c r="A990" s="30"/>
      <c r="B990" s="30"/>
      <c r="C990" s="290"/>
      <c r="D990" s="30"/>
      <c r="E990" s="286"/>
      <c r="F990" s="30"/>
      <c r="G990" s="183"/>
      <c r="J990" s="291"/>
      <c r="K990" s="291"/>
      <c r="L990" s="292"/>
      <c r="M990" s="293"/>
      <c r="N990" s="293"/>
    </row>
    <row r="991">
      <c r="A991" s="30"/>
      <c r="B991" s="30"/>
      <c r="C991" s="290"/>
      <c r="D991" s="30"/>
      <c r="E991" s="286"/>
      <c r="F991" s="30"/>
      <c r="G991" s="183"/>
      <c r="J991" s="291"/>
      <c r="K991" s="291"/>
      <c r="L991" s="292"/>
      <c r="M991" s="293"/>
      <c r="N991" s="293"/>
    </row>
    <row r="992">
      <c r="A992" s="30"/>
      <c r="B992" s="30"/>
      <c r="C992" s="290"/>
      <c r="D992" s="30"/>
      <c r="E992" s="286"/>
      <c r="F992" s="30"/>
      <c r="G992" s="183"/>
      <c r="J992" s="291"/>
      <c r="K992" s="291"/>
      <c r="L992" s="292"/>
      <c r="M992" s="293"/>
      <c r="N992" s="293"/>
    </row>
    <row r="993">
      <c r="A993" s="30"/>
      <c r="B993" s="30"/>
      <c r="C993" s="290"/>
      <c r="D993" s="30"/>
      <c r="E993" s="286"/>
      <c r="F993" s="30"/>
      <c r="G993" s="183"/>
      <c r="J993" s="291"/>
      <c r="K993" s="291"/>
      <c r="L993" s="292"/>
      <c r="M993" s="293"/>
      <c r="N993" s="293"/>
    </row>
    <row r="994">
      <c r="A994" s="30"/>
      <c r="B994" s="30"/>
      <c r="C994" s="290"/>
      <c r="D994" s="30"/>
      <c r="E994" s="286"/>
      <c r="F994" s="30"/>
      <c r="G994" s="183"/>
      <c r="J994" s="291"/>
      <c r="K994" s="291"/>
      <c r="L994" s="292"/>
      <c r="M994" s="293"/>
      <c r="N994" s="293"/>
    </row>
    <row r="995">
      <c r="A995" s="30"/>
      <c r="B995" s="30"/>
      <c r="C995" s="290"/>
      <c r="D995" s="30"/>
      <c r="E995" s="286"/>
      <c r="F995" s="30"/>
      <c r="G995" s="183"/>
      <c r="J995" s="291"/>
      <c r="K995" s="291"/>
      <c r="L995" s="292"/>
      <c r="M995" s="293"/>
      <c r="N995" s="293"/>
    </row>
    <row r="996">
      <c r="A996" s="30"/>
      <c r="B996" s="30"/>
      <c r="C996" s="290"/>
      <c r="D996" s="30"/>
      <c r="E996" s="286"/>
      <c r="F996" s="30"/>
      <c r="G996" s="183"/>
      <c r="J996" s="291"/>
      <c r="K996" s="291"/>
      <c r="L996" s="292"/>
      <c r="M996" s="293"/>
      <c r="N996" s="293"/>
    </row>
    <row r="997">
      <c r="A997" s="30"/>
      <c r="B997" s="30"/>
      <c r="C997" s="290"/>
      <c r="D997" s="30"/>
      <c r="E997" s="286"/>
      <c r="F997" s="30"/>
      <c r="G997" s="183"/>
      <c r="J997" s="291"/>
      <c r="K997" s="291"/>
      <c r="L997" s="292"/>
      <c r="M997" s="293"/>
      <c r="N997" s="293"/>
    </row>
    <row r="998">
      <c r="A998" s="30"/>
      <c r="B998" s="30"/>
      <c r="C998" s="290"/>
      <c r="D998" s="30"/>
      <c r="E998" s="286"/>
      <c r="F998" s="30"/>
      <c r="G998" s="183"/>
      <c r="J998" s="291"/>
      <c r="K998" s="291"/>
      <c r="L998" s="292"/>
      <c r="M998" s="293"/>
      <c r="N998" s="293"/>
    </row>
    <row r="999">
      <c r="A999" s="30"/>
      <c r="B999" s="30"/>
      <c r="C999" s="290"/>
      <c r="D999" s="30"/>
      <c r="E999" s="286"/>
      <c r="F999" s="30"/>
      <c r="G999" s="183"/>
      <c r="J999" s="291"/>
      <c r="K999" s="291"/>
      <c r="L999" s="292"/>
      <c r="M999" s="293"/>
      <c r="N999" s="293"/>
    </row>
    <row r="1000">
      <c r="A1000" s="30"/>
      <c r="B1000" s="30"/>
      <c r="C1000" s="290"/>
      <c r="D1000" s="30"/>
      <c r="E1000" s="286"/>
      <c r="F1000" s="30"/>
      <c r="G1000" s="183"/>
      <c r="J1000" s="291"/>
      <c r="K1000" s="291"/>
      <c r="L1000" s="292"/>
      <c r="M1000" s="293"/>
      <c r="N1000" s="293"/>
    </row>
    <row r="1001">
      <c r="A1001" s="30"/>
      <c r="B1001" s="30"/>
      <c r="C1001" s="290"/>
      <c r="D1001" s="30"/>
      <c r="E1001" s="286"/>
      <c r="F1001" s="30"/>
      <c r="G1001" s="183"/>
      <c r="J1001" s="291"/>
      <c r="K1001" s="291"/>
      <c r="L1001" s="292"/>
      <c r="M1001" s="293"/>
      <c r="N1001" s="293"/>
    </row>
    <row r="1002">
      <c r="A1002" s="30"/>
      <c r="B1002" s="30"/>
      <c r="C1002" s="290"/>
      <c r="D1002" s="30"/>
      <c r="E1002" s="286"/>
      <c r="F1002" s="30"/>
      <c r="G1002" s="183"/>
      <c r="J1002" s="291"/>
      <c r="K1002" s="291"/>
      <c r="L1002" s="292"/>
      <c r="M1002" s="293"/>
      <c r="N1002" s="293"/>
    </row>
    <row r="1003">
      <c r="A1003" s="30"/>
      <c r="B1003" s="30"/>
      <c r="C1003" s="290"/>
      <c r="D1003" s="30"/>
      <c r="E1003" s="286"/>
      <c r="F1003" s="30"/>
      <c r="G1003" s="183"/>
      <c r="J1003" s="291"/>
      <c r="K1003" s="291"/>
      <c r="L1003" s="292"/>
      <c r="M1003" s="293"/>
      <c r="N1003" s="293"/>
    </row>
    <row r="1004">
      <c r="A1004" s="30"/>
      <c r="B1004" s="30"/>
      <c r="C1004" s="290"/>
      <c r="D1004" s="30"/>
      <c r="E1004" s="286"/>
      <c r="F1004" s="30"/>
      <c r="G1004" s="183"/>
      <c r="J1004" s="291"/>
      <c r="K1004" s="291"/>
      <c r="L1004" s="292"/>
      <c r="M1004" s="293"/>
      <c r="N1004" s="293"/>
    </row>
    <row r="1005">
      <c r="A1005" s="30"/>
      <c r="B1005" s="30"/>
      <c r="C1005" s="290"/>
      <c r="D1005" s="30"/>
      <c r="E1005" s="286"/>
      <c r="F1005" s="30"/>
      <c r="G1005" s="183"/>
      <c r="J1005" s="291"/>
      <c r="K1005" s="291"/>
      <c r="L1005" s="292"/>
      <c r="M1005" s="293"/>
      <c r="N1005" s="293"/>
    </row>
    <row r="1006">
      <c r="A1006" s="30"/>
      <c r="B1006" s="30"/>
      <c r="C1006" s="290"/>
      <c r="D1006" s="30"/>
      <c r="E1006" s="286"/>
      <c r="F1006" s="30"/>
      <c r="G1006" s="183"/>
      <c r="J1006" s="291"/>
      <c r="K1006" s="291"/>
      <c r="L1006" s="292"/>
      <c r="M1006" s="293"/>
      <c r="N1006" s="293"/>
    </row>
    <row r="1007">
      <c r="A1007" s="30"/>
      <c r="B1007" s="30"/>
      <c r="C1007" s="290"/>
      <c r="D1007" s="30"/>
      <c r="E1007" s="286"/>
      <c r="F1007" s="30"/>
      <c r="G1007" s="183"/>
      <c r="J1007" s="291"/>
      <c r="K1007" s="291"/>
      <c r="L1007" s="292"/>
      <c r="M1007" s="293"/>
      <c r="N1007" s="293"/>
    </row>
    <row r="1008">
      <c r="A1008" s="30"/>
      <c r="B1008" s="30"/>
      <c r="C1008" s="290"/>
      <c r="D1008" s="30"/>
      <c r="E1008" s="286"/>
      <c r="F1008" s="30"/>
      <c r="G1008" s="183"/>
      <c r="J1008" s="291"/>
      <c r="K1008" s="291"/>
      <c r="L1008" s="292"/>
      <c r="M1008" s="293"/>
      <c r="N1008" s="293"/>
    </row>
    <row r="1009">
      <c r="A1009" s="30"/>
      <c r="B1009" s="30"/>
      <c r="C1009" s="290"/>
      <c r="D1009" s="30"/>
      <c r="E1009" s="286"/>
      <c r="F1009" s="30"/>
      <c r="G1009" s="183"/>
      <c r="J1009" s="291"/>
      <c r="K1009" s="291"/>
      <c r="L1009" s="292"/>
      <c r="M1009" s="293"/>
      <c r="N1009" s="293"/>
    </row>
    <row r="1010">
      <c r="A1010" s="30"/>
      <c r="B1010" s="30"/>
      <c r="C1010" s="290"/>
      <c r="D1010" s="30"/>
      <c r="E1010" s="286"/>
      <c r="F1010" s="30"/>
      <c r="G1010" s="183"/>
      <c r="J1010" s="291"/>
      <c r="K1010" s="291"/>
      <c r="L1010" s="292"/>
      <c r="M1010" s="293"/>
      <c r="N1010" s="293"/>
    </row>
    <row r="1011">
      <c r="A1011" s="30"/>
      <c r="B1011" s="30"/>
      <c r="C1011" s="290"/>
      <c r="D1011" s="30"/>
      <c r="E1011" s="286"/>
      <c r="F1011" s="30"/>
      <c r="G1011" s="183"/>
      <c r="J1011" s="291"/>
      <c r="K1011" s="291"/>
      <c r="L1011" s="292"/>
      <c r="M1011" s="293"/>
      <c r="N1011" s="293"/>
    </row>
    <row r="1012">
      <c r="A1012" s="30"/>
      <c r="B1012" s="30"/>
      <c r="C1012" s="290"/>
      <c r="D1012" s="30"/>
      <c r="E1012" s="286"/>
      <c r="F1012" s="30"/>
      <c r="G1012" s="183"/>
      <c r="J1012" s="291"/>
      <c r="K1012" s="291"/>
      <c r="L1012" s="292"/>
      <c r="M1012" s="293"/>
      <c r="N1012" s="293"/>
    </row>
    <row r="1013">
      <c r="A1013" s="30"/>
      <c r="B1013" s="30"/>
      <c r="C1013" s="290"/>
      <c r="D1013" s="30"/>
      <c r="E1013" s="286"/>
      <c r="F1013" s="30"/>
      <c r="G1013" s="183"/>
      <c r="J1013" s="291"/>
      <c r="K1013" s="291"/>
      <c r="L1013" s="292"/>
      <c r="M1013" s="293"/>
      <c r="N1013" s="293"/>
    </row>
    <row r="1014">
      <c r="A1014" s="30"/>
      <c r="B1014" s="30"/>
      <c r="C1014" s="290"/>
      <c r="D1014" s="30"/>
      <c r="E1014" s="286"/>
      <c r="F1014" s="30"/>
      <c r="G1014" s="183"/>
      <c r="J1014" s="291"/>
      <c r="K1014" s="291"/>
      <c r="L1014" s="292"/>
      <c r="M1014" s="293"/>
      <c r="N1014" s="293"/>
    </row>
    <row r="1015">
      <c r="A1015" s="30"/>
      <c r="B1015" s="30"/>
      <c r="C1015" s="290"/>
      <c r="D1015" s="30"/>
      <c r="E1015" s="286"/>
      <c r="F1015" s="30"/>
      <c r="G1015" s="183"/>
      <c r="J1015" s="291"/>
      <c r="K1015" s="291"/>
      <c r="L1015" s="292"/>
      <c r="M1015" s="293"/>
      <c r="N1015" s="293"/>
    </row>
    <row r="1016">
      <c r="A1016" s="30"/>
      <c r="B1016" s="30"/>
      <c r="C1016" s="290"/>
      <c r="D1016" s="30"/>
      <c r="E1016" s="286"/>
      <c r="F1016" s="30"/>
      <c r="G1016" s="183"/>
      <c r="J1016" s="291"/>
      <c r="K1016" s="291"/>
      <c r="L1016" s="292"/>
      <c r="M1016" s="293"/>
      <c r="N1016" s="293"/>
    </row>
    <row r="1017">
      <c r="A1017" s="30"/>
      <c r="B1017" s="30"/>
      <c r="C1017" s="290"/>
      <c r="D1017" s="30"/>
      <c r="E1017" s="286"/>
      <c r="F1017" s="30"/>
      <c r="G1017" s="183"/>
      <c r="J1017" s="291"/>
      <c r="K1017" s="291"/>
      <c r="L1017" s="292"/>
      <c r="M1017" s="293"/>
      <c r="N1017" s="293"/>
    </row>
    <row r="1018">
      <c r="A1018" s="30"/>
      <c r="B1018" s="30"/>
      <c r="C1018" s="290"/>
      <c r="D1018" s="30"/>
      <c r="E1018" s="286"/>
      <c r="F1018" s="30"/>
      <c r="G1018" s="183"/>
      <c r="J1018" s="291"/>
      <c r="K1018" s="291"/>
      <c r="L1018" s="292"/>
      <c r="M1018" s="293"/>
      <c r="N1018" s="293"/>
    </row>
    <row r="1019">
      <c r="A1019" s="30"/>
      <c r="B1019" s="30"/>
      <c r="C1019" s="290"/>
      <c r="D1019" s="30"/>
      <c r="E1019" s="286"/>
      <c r="F1019" s="30"/>
      <c r="G1019" s="183"/>
      <c r="J1019" s="291"/>
      <c r="K1019" s="291"/>
      <c r="L1019" s="292"/>
      <c r="M1019" s="293"/>
      <c r="N1019" s="293"/>
    </row>
    <row r="1020">
      <c r="A1020" s="30"/>
      <c r="B1020" s="30"/>
      <c r="C1020" s="290"/>
      <c r="D1020" s="30"/>
      <c r="E1020" s="286"/>
      <c r="F1020" s="30"/>
      <c r="G1020" s="183"/>
      <c r="J1020" s="291"/>
      <c r="K1020" s="291"/>
      <c r="L1020" s="292"/>
      <c r="M1020" s="293"/>
      <c r="N1020" s="293"/>
    </row>
    <row r="1021">
      <c r="A1021" s="30"/>
      <c r="B1021" s="30"/>
      <c r="C1021" s="290"/>
      <c r="D1021" s="30"/>
      <c r="E1021" s="286"/>
      <c r="F1021" s="30"/>
      <c r="G1021" s="183"/>
      <c r="J1021" s="291"/>
      <c r="K1021" s="291"/>
      <c r="L1021" s="292"/>
      <c r="M1021" s="293"/>
      <c r="N1021" s="293"/>
    </row>
    <row r="1022">
      <c r="A1022" s="30"/>
      <c r="B1022" s="30"/>
      <c r="C1022" s="290"/>
      <c r="D1022" s="30"/>
      <c r="E1022" s="286"/>
      <c r="F1022" s="30"/>
      <c r="G1022" s="183"/>
      <c r="J1022" s="291"/>
      <c r="K1022" s="291"/>
      <c r="L1022" s="292"/>
      <c r="M1022" s="293"/>
      <c r="N1022" s="293"/>
    </row>
    <row r="1023">
      <c r="A1023" s="30"/>
      <c r="B1023" s="30"/>
      <c r="C1023" s="290"/>
      <c r="D1023" s="30"/>
      <c r="E1023" s="286"/>
      <c r="F1023" s="30"/>
      <c r="G1023" s="183"/>
      <c r="J1023" s="291"/>
      <c r="K1023" s="291"/>
      <c r="L1023" s="292"/>
      <c r="M1023" s="293"/>
      <c r="N1023" s="293"/>
    </row>
    <row r="1024">
      <c r="A1024" s="30"/>
      <c r="B1024" s="30"/>
      <c r="C1024" s="290"/>
      <c r="D1024" s="30"/>
      <c r="E1024" s="286"/>
      <c r="F1024" s="30"/>
      <c r="G1024" s="183"/>
      <c r="J1024" s="291"/>
      <c r="K1024" s="291"/>
      <c r="L1024" s="292"/>
      <c r="M1024" s="293"/>
      <c r="N1024" s="293"/>
    </row>
    <row r="1025">
      <c r="A1025" s="30"/>
      <c r="B1025" s="30"/>
      <c r="C1025" s="290"/>
      <c r="D1025" s="30"/>
      <c r="E1025" s="286"/>
      <c r="F1025" s="30"/>
      <c r="G1025" s="183"/>
      <c r="J1025" s="291"/>
      <c r="K1025" s="291"/>
      <c r="L1025" s="292"/>
      <c r="M1025" s="293"/>
      <c r="N1025" s="293"/>
    </row>
    <row r="1026">
      <c r="A1026" s="30"/>
      <c r="B1026" s="30"/>
      <c r="C1026" s="290"/>
      <c r="D1026" s="30"/>
      <c r="E1026" s="286"/>
      <c r="F1026" s="30"/>
      <c r="G1026" s="183"/>
      <c r="J1026" s="291"/>
      <c r="K1026" s="291"/>
      <c r="L1026" s="292"/>
      <c r="M1026" s="293"/>
      <c r="N1026" s="293"/>
    </row>
    <row r="1027">
      <c r="A1027" s="30"/>
      <c r="B1027" s="30"/>
      <c r="C1027" s="290"/>
      <c r="D1027" s="30"/>
      <c r="E1027" s="286"/>
      <c r="F1027" s="30"/>
      <c r="G1027" s="183"/>
      <c r="J1027" s="291"/>
      <c r="K1027" s="291"/>
      <c r="L1027" s="292"/>
      <c r="M1027" s="293"/>
      <c r="N1027" s="293"/>
    </row>
    <row r="1028">
      <c r="A1028" s="30"/>
      <c r="B1028" s="30"/>
      <c r="C1028" s="290"/>
      <c r="D1028" s="30"/>
      <c r="E1028" s="286"/>
      <c r="F1028" s="30"/>
      <c r="G1028" s="183"/>
      <c r="J1028" s="291"/>
      <c r="K1028" s="291"/>
      <c r="L1028" s="292"/>
      <c r="M1028" s="293"/>
      <c r="N1028" s="293"/>
    </row>
    <row r="1029">
      <c r="A1029" s="30"/>
      <c r="B1029" s="30"/>
      <c r="C1029" s="290"/>
      <c r="D1029" s="30"/>
      <c r="E1029" s="286"/>
      <c r="F1029" s="30"/>
      <c r="G1029" s="183"/>
      <c r="J1029" s="291"/>
      <c r="K1029" s="291"/>
      <c r="L1029" s="292"/>
      <c r="M1029" s="293"/>
      <c r="N1029" s="293"/>
    </row>
    <row r="1030">
      <c r="A1030" s="30"/>
      <c r="B1030" s="30"/>
      <c r="C1030" s="290"/>
      <c r="D1030" s="30"/>
      <c r="E1030" s="286"/>
      <c r="F1030" s="30"/>
      <c r="G1030" s="183"/>
      <c r="J1030" s="291"/>
      <c r="K1030" s="291"/>
      <c r="L1030" s="292"/>
      <c r="M1030" s="293"/>
      <c r="N1030" s="293"/>
    </row>
    <row r="1031">
      <c r="A1031" s="30"/>
      <c r="B1031" s="30"/>
      <c r="C1031" s="290"/>
      <c r="D1031" s="30"/>
      <c r="E1031" s="286"/>
      <c r="F1031" s="30"/>
      <c r="G1031" s="183"/>
      <c r="J1031" s="291"/>
      <c r="K1031" s="291"/>
      <c r="L1031" s="292"/>
      <c r="M1031" s="293"/>
      <c r="N1031" s="293"/>
    </row>
    <row r="1032">
      <c r="A1032" s="30"/>
      <c r="B1032" s="30"/>
      <c r="C1032" s="290"/>
      <c r="D1032" s="30"/>
      <c r="E1032" s="286"/>
      <c r="F1032" s="30"/>
      <c r="G1032" s="183"/>
      <c r="J1032" s="291"/>
      <c r="K1032" s="291"/>
      <c r="L1032" s="292"/>
      <c r="M1032" s="293"/>
      <c r="N1032" s="293"/>
    </row>
    <row r="1033">
      <c r="A1033" s="30"/>
      <c r="B1033" s="30"/>
      <c r="C1033" s="290"/>
      <c r="D1033" s="30"/>
      <c r="E1033" s="286"/>
      <c r="F1033" s="30"/>
      <c r="G1033" s="183"/>
      <c r="J1033" s="291"/>
      <c r="K1033" s="291"/>
      <c r="L1033" s="292"/>
      <c r="M1033" s="293"/>
      <c r="N1033" s="293"/>
    </row>
    <row r="1034">
      <c r="A1034" s="30"/>
      <c r="B1034" s="30"/>
      <c r="C1034" s="290"/>
      <c r="D1034" s="30"/>
      <c r="E1034" s="286"/>
      <c r="F1034" s="30"/>
      <c r="G1034" s="183"/>
      <c r="J1034" s="291"/>
      <c r="K1034" s="291"/>
      <c r="L1034" s="292"/>
      <c r="M1034" s="293"/>
      <c r="N1034" s="293"/>
    </row>
    <row r="1035">
      <c r="A1035" s="30"/>
      <c r="B1035" s="30"/>
      <c r="C1035" s="290"/>
      <c r="D1035" s="30"/>
      <c r="E1035" s="286"/>
      <c r="F1035" s="30"/>
      <c r="G1035" s="183"/>
      <c r="J1035" s="291"/>
      <c r="K1035" s="291"/>
      <c r="L1035" s="292"/>
      <c r="M1035" s="293"/>
      <c r="N1035" s="293"/>
    </row>
    <row r="1036">
      <c r="A1036" s="30"/>
      <c r="B1036" s="30"/>
      <c r="C1036" s="290"/>
      <c r="D1036" s="30"/>
      <c r="E1036" s="286"/>
      <c r="F1036" s="30"/>
      <c r="G1036" s="183"/>
      <c r="J1036" s="291"/>
      <c r="K1036" s="291"/>
      <c r="L1036" s="292"/>
      <c r="M1036" s="293"/>
      <c r="N1036" s="293"/>
    </row>
    <row r="1037">
      <c r="A1037" s="30"/>
      <c r="B1037" s="30"/>
      <c r="C1037" s="290"/>
      <c r="D1037" s="30"/>
      <c r="E1037" s="286"/>
      <c r="F1037" s="30"/>
      <c r="G1037" s="183"/>
      <c r="J1037" s="291"/>
      <c r="K1037" s="291"/>
      <c r="L1037" s="292"/>
      <c r="M1037" s="293"/>
      <c r="N1037" s="293"/>
    </row>
    <row r="1038">
      <c r="A1038" s="30"/>
      <c r="B1038" s="30"/>
      <c r="C1038" s="290"/>
      <c r="D1038" s="30"/>
      <c r="E1038" s="286"/>
      <c r="F1038" s="30"/>
      <c r="G1038" s="183"/>
      <c r="J1038" s="291"/>
      <c r="K1038" s="291"/>
      <c r="L1038" s="292"/>
      <c r="M1038" s="293"/>
      <c r="N1038" s="293"/>
    </row>
    <row r="1039">
      <c r="A1039" s="30"/>
      <c r="B1039" s="30"/>
      <c r="C1039" s="290"/>
      <c r="D1039" s="30"/>
      <c r="E1039" s="286"/>
      <c r="F1039" s="30"/>
      <c r="G1039" s="183"/>
      <c r="J1039" s="291"/>
      <c r="K1039" s="291"/>
      <c r="L1039" s="292"/>
      <c r="M1039" s="293"/>
      <c r="N1039" s="293"/>
    </row>
    <row r="1040">
      <c r="A1040" s="30"/>
      <c r="B1040" s="30"/>
      <c r="C1040" s="290"/>
      <c r="D1040" s="30"/>
      <c r="E1040" s="286"/>
      <c r="F1040" s="30"/>
      <c r="G1040" s="183"/>
      <c r="J1040" s="291"/>
      <c r="K1040" s="291"/>
      <c r="L1040" s="292"/>
      <c r="M1040" s="293"/>
      <c r="N1040" s="293"/>
    </row>
    <row r="1041">
      <c r="A1041" s="30"/>
      <c r="B1041" s="30"/>
      <c r="C1041" s="290"/>
      <c r="D1041" s="30"/>
      <c r="E1041" s="286"/>
      <c r="F1041" s="30"/>
      <c r="G1041" s="183"/>
      <c r="J1041" s="291"/>
      <c r="K1041" s="291"/>
      <c r="L1041" s="292"/>
      <c r="M1041" s="293"/>
      <c r="N1041" s="293"/>
    </row>
    <row r="1042">
      <c r="A1042" s="30"/>
      <c r="B1042" s="30"/>
      <c r="C1042" s="290"/>
      <c r="D1042" s="30"/>
      <c r="E1042" s="286"/>
      <c r="F1042" s="30"/>
      <c r="G1042" s="183"/>
      <c r="J1042" s="291"/>
      <c r="K1042" s="291"/>
      <c r="L1042" s="292"/>
      <c r="M1042" s="293"/>
      <c r="N1042" s="293"/>
    </row>
    <row r="1043">
      <c r="A1043" s="30"/>
      <c r="B1043" s="30"/>
      <c r="C1043" s="290"/>
      <c r="D1043" s="30"/>
      <c r="E1043" s="286"/>
      <c r="F1043" s="30"/>
      <c r="G1043" s="183"/>
      <c r="J1043" s="291"/>
      <c r="K1043" s="291"/>
      <c r="L1043" s="292"/>
      <c r="M1043" s="293"/>
      <c r="N1043" s="293"/>
    </row>
    <row r="1044">
      <c r="A1044" s="30"/>
      <c r="B1044" s="30"/>
      <c r="C1044" s="290"/>
      <c r="D1044" s="30"/>
      <c r="E1044" s="286"/>
      <c r="F1044" s="30"/>
      <c r="G1044" s="183"/>
      <c r="J1044" s="291"/>
      <c r="K1044" s="291"/>
      <c r="L1044" s="292"/>
      <c r="M1044" s="293"/>
      <c r="N1044" s="293"/>
    </row>
    <row r="1045">
      <c r="A1045" s="30"/>
      <c r="B1045" s="30"/>
      <c r="C1045" s="290"/>
      <c r="D1045" s="30"/>
      <c r="E1045" s="286"/>
      <c r="F1045" s="30"/>
      <c r="G1045" s="183"/>
      <c r="J1045" s="291"/>
      <c r="K1045" s="291"/>
      <c r="L1045" s="292"/>
      <c r="M1045" s="293"/>
      <c r="N1045" s="293"/>
    </row>
    <row r="1046">
      <c r="A1046" s="30"/>
      <c r="B1046" s="30"/>
      <c r="C1046" s="290"/>
      <c r="D1046" s="30"/>
      <c r="E1046" s="286"/>
      <c r="F1046" s="30"/>
      <c r="G1046" s="183"/>
      <c r="J1046" s="291"/>
      <c r="K1046" s="291"/>
      <c r="L1046" s="292"/>
      <c r="M1046" s="293"/>
      <c r="N1046" s="293"/>
    </row>
    <row r="1047">
      <c r="A1047" s="30"/>
      <c r="B1047" s="30"/>
      <c r="C1047" s="290"/>
      <c r="D1047" s="30"/>
      <c r="E1047" s="286"/>
      <c r="F1047" s="30"/>
      <c r="G1047" s="183"/>
      <c r="J1047" s="291"/>
      <c r="K1047" s="291"/>
      <c r="L1047" s="292"/>
      <c r="M1047" s="293"/>
      <c r="N1047" s="293"/>
    </row>
    <row r="1048">
      <c r="A1048" s="30"/>
      <c r="B1048" s="30"/>
      <c r="C1048" s="290"/>
      <c r="D1048" s="30"/>
      <c r="E1048" s="286"/>
      <c r="F1048" s="30"/>
      <c r="G1048" s="183"/>
      <c r="J1048" s="291"/>
      <c r="K1048" s="291"/>
      <c r="L1048" s="292"/>
      <c r="M1048" s="293"/>
      <c r="N1048" s="293"/>
    </row>
    <row r="1049">
      <c r="A1049" s="30"/>
      <c r="B1049" s="30"/>
      <c r="C1049" s="290"/>
      <c r="D1049" s="30"/>
      <c r="E1049" s="286"/>
      <c r="F1049" s="30"/>
      <c r="G1049" s="183"/>
      <c r="J1049" s="291"/>
      <c r="K1049" s="291"/>
      <c r="L1049" s="292"/>
      <c r="M1049" s="293"/>
      <c r="N1049" s="293"/>
    </row>
    <row r="1050">
      <c r="A1050" s="30"/>
      <c r="B1050" s="30"/>
      <c r="C1050" s="290"/>
      <c r="D1050" s="30"/>
      <c r="E1050" s="286"/>
      <c r="F1050" s="30"/>
      <c r="G1050" s="183"/>
      <c r="J1050" s="291"/>
      <c r="K1050" s="291"/>
      <c r="L1050" s="292"/>
      <c r="M1050" s="293"/>
      <c r="N1050" s="293"/>
    </row>
    <row r="1051">
      <c r="A1051" s="30"/>
      <c r="B1051" s="30"/>
      <c r="C1051" s="290"/>
      <c r="D1051" s="30"/>
      <c r="E1051" s="286"/>
      <c r="F1051" s="30"/>
      <c r="G1051" s="183"/>
      <c r="J1051" s="291"/>
      <c r="K1051" s="291"/>
      <c r="L1051" s="292"/>
      <c r="M1051" s="293"/>
      <c r="N1051" s="293"/>
    </row>
    <row r="1052">
      <c r="A1052" s="30"/>
      <c r="B1052" s="30"/>
      <c r="C1052" s="290"/>
      <c r="D1052" s="30"/>
      <c r="E1052" s="286"/>
      <c r="F1052" s="30"/>
      <c r="G1052" s="183"/>
      <c r="J1052" s="291"/>
      <c r="K1052" s="291"/>
      <c r="L1052" s="292"/>
      <c r="M1052" s="293"/>
      <c r="N1052" s="293"/>
    </row>
    <row r="1053">
      <c r="A1053" s="30"/>
      <c r="B1053" s="30"/>
      <c r="C1053" s="290"/>
      <c r="D1053" s="30"/>
      <c r="E1053" s="286"/>
      <c r="F1053" s="30"/>
      <c r="G1053" s="183"/>
      <c r="J1053" s="291"/>
      <c r="K1053" s="291"/>
      <c r="L1053" s="292"/>
      <c r="M1053" s="293"/>
      <c r="N1053" s="293"/>
    </row>
    <row r="1054">
      <c r="A1054" s="30"/>
      <c r="B1054" s="30"/>
      <c r="C1054" s="290"/>
      <c r="D1054" s="30"/>
      <c r="E1054" s="286"/>
      <c r="F1054" s="30"/>
      <c r="G1054" s="183"/>
      <c r="J1054" s="291"/>
      <c r="K1054" s="291"/>
      <c r="L1054" s="292"/>
      <c r="M1054" s="293"/>
      <c r="N1054" s="293"/>
    </row>
    <row r="1055">
      <c r="A1055" s="30"/>
      <c r="B1055" s="30"/>
      <c r="C1055" s="290"/>
      <c r="D1055" s="30"/>
      <c r="E1055" s="286"/>
      <c r="F1055" s="30"/>
      <c r="G1055" s="183"/>
      <c r="J1055" s="291"/>
      <c r="K1055" s="291"/>
      <c r="L1055" s="292"/>
      <c r="M1055" s="293"/>
      <c r="N1055" s="293"/>
    </row>
    <row r="1056">
      <c r="A1056" s="30"/>
      <c r="B1056" s="30"/>
      <c r="C1056" s="290"/>
      <c r="D1056" s="30"/>
      <c r="E1056" s="286"/>
      <c r="F1056" s="30"/>
      <c r="G1056" s="183"/>
      <c r="J1056" s="291"/>
      <c r="K1056" s="291"/>
      <c r="L1056" s="292"/>
      <c r="M1056" s="293"/>
      <c r="N1056" s="293"/>
    </row>
    <row r="1057">
      <c r="A1057" s="30"/>
      <c r="B1057" s="30"/>
      <c r="C1057" s="290"/>
      <c r="D1057" s="30"/>
      <c r="E1057" s="286"/>
      <c r="F1057" s="30"/>
      <c r="G1057" s="183"/>
      <c r="J1057" s="291"/>
      <c r="K1057" s="291"/>
      <c r="L1057" s="292"/>
      <c r="M1057" s="293"/>
      <c r="N1057" s="293"/>
    </row>
    <row r="1058">
      <c r="A1058" s="30"/>
      <c r="B1058" s="30"/>
      <c r="C1058" s="290"/>
      <c r="D1058" s="30"/>
      <c r="E1058" s="286"/>
      <c r="F1058" s="30"/>
      <c r="G1058" s="183"/>
      <c r="J1058" s="291"/>
      <c r="K1058" s="291"/>
      <c r="L1058" s="292"/>
      <c r="M1058" s="293"/>
      <c r="N1058" s="293"/>
    </row>
    <row r="1059">
      <c r="A1059" s="30"/>
      <c r="B1059" s="30"/>
      <c r="C1059" s="290"/>
      <c r="D1059" s="30"/>
      <c r="E1059" s="286"/>
      <c r="F1059" s="30"/>
      <c r="G1059" s="183"/>
      <c r="J1059" s="291"/>
      <c r="K1059" s="291"/>
      <c r="L1059" s="292"/>
      <c r="M1059" s="293"/>
      <c r="N1059" s="293"/>
    </row>
    <row r="1060">
      <c r="A1060" s="30"/>
      <c r="B1060" s="30"/>
      <c r="C1060" s="290"/>
      <c r="D1060" s="30"/>
      <c r="E1060" s="286"/>
      <c r="F1060" s="30"/>
      <c r="G1060" s="183"/>
      <c r="J1060" s="291"/>
      <c r="K1060" s="291"/>
      <c r="L1060" s="292"/>
      <c r="M1060" s="293"/>
      <c r="N1060" s="293"/>
    </row>
    <row r="1061">
      <c r="A1061" s="30"/>
      <c r="B1061" s="30"/>
      <c r="C1061" s="290"/>
      <c r="D1061" s="30"/>
      <c r="E1061" s="286"/>
      <c r="F1061" s="30"/>
      <c r="G1061" s="183"/>
      <c r="J1061" s="291"/>
      <c r="K1061" s="291"/>
      <c r="L1061" s="292"/>
      <c r="M1061" s="293"/>
      <c r="N1061" s="293"/>
    </row>
    <row r="1062">
      <c r="A1062" s="30"/>
      <c r="B1062" s="30"/>
      <c r="C1062" s="290"/>
      <c r="D1062" s="30"/>
      <c r="E1062" s="286"/>
      <c r="F1062" s="30"/>
      <c r="G1062" s="183"/>
      <c r="J1062" s="291"/>
      <c r="K1062" s="291"/>
      <c r="L1062" s="292"/>
      <c r="M1062" s="293"/>
      <c r="N1062" s="293"/>
    </row>
    <row r="1063">
      <c r="A1063" s="30"/>
      <c r="B1063" s="30"/>
      <c r="C1063" s="290"/>
      <c r="D1063" s="30"/>
      <c r="E1063" s="286"/>
      <c r="F1063" s="30"/>
      <c r="G1063" s="183"/>
      <c r="J1063" s="291"/>
      <c r="K1063" s="291"/>
      <c r="L1063" s="292"/>
      <c r="M1063" s="293"/>
      <c r="N1063" s="293"/>
    </row>
    <row r="1064">
      <c r="A1064" s="30"/>
      <c r="B1064" s="30"/>
      <c r="C1064" s="290"/>
      <c r="D1064" s="30"/>
      <c r="E1064" s="286"/>
      <c r="F1064" s="30"/>
      <c r="G1064" s="183"/>
      <c r="J1064" s="291"/>
      <c r="K1064" s="291"/>
      <c r="L1064" s="292"/>
      <c r="M1064" s="293"/>
      <c r="N1064" s="293"/>
    </row>
    <row r="1065">
      <c r="A1065" s="30"/>
      <c r="B1065" s="30"/>
      <c r="C1065" s="290"/>
      <c r="D1065" s="30"/>
      <c r="E1065" s="286"/>
      <c r="F1065" s="30"/>
      <c r="G1065" s="183"/>
      <c r="J1065" s="291"/>
      <c r="K1065" s="291"/>
      <c r="L1065" s="292"/>
      <c r="M1065" s="293"/>
      <c r="N1065" s="293"/>
    </row>
    <row r="1066">
      <c r="A1066" s="30"/>
      <c r="B1066" s="30"/>
      <c r="C1066" s="290"/>
      <c r="D1066" s="30"/>
      <c r="E1066" s="286"/>
      <c r="F1066" s="30"/>
      <c r="G1066" s="183"/>
      <c r="J1066" s="291"/>
      <c r="K1066" s="291"/>
      <c r="L1066" s="292"/>
      <c r="M1066" s="293"/>
      <c r="N1066" s="293"/>
    </row>
    <row r="1067">
      <c r="A1067" s="30"/>
      <c r="B1067" s="30"/>
      <c r="C1067" s="290"/>
      <c r="D1067" s="30"/>
      <c r="E1067" s="286"/>
      <c r="F1067" s="30"/>
      <c r="G1067" s="183"/>
      <c r="J1067" s="291"/>
      <c r="K1067" s="291"/>
      <c r="L1067" s="292"/>
      <c r="M1067" s="293"/>
      <c r="N1067" s="293"/>
    </row>
    <row r="1068">
      <c r="A1068" s="30"/>
      <c r="B1068" s="30"/>
      <c r="C1068" s="290"/>
      <c r="D1068" s="30"/>
      <c r="E1068" s="286"/>
      <c r="F1068" s="30"/>
      <c r="G1068" s="183"/>
      <c r="J1068" s="291"/>
      <c r="K1068" s="291"/>
      <c r="L1068" s="292"/>
      <c r="M1068" s="293"/>
      <c r="N1068" s="293"/>
    </row>
    <row r="1069">
      <c r="A1069" s="30"/>
      <c r="B1069" s="30"/>
      <c r="C1069" s="290"/>
      <c r="D1069" s="30"/>
      <c r="E1069" s="286"/>
      <c r="F1069" s="30"/>
      <c r="G1069" s="183"/>
      <c r="J1069" s="291"/>
      <c r="K1069" s="291"/>
      <c r="L1069" s="292"/>
      <c r="M1069" s="293"/>
      <c r="N1069" s="293"/>
    </row>
    <row r="1070">
      <c r="A1070" s="30"/>
      <c r="B1070" s="30"/>
      <c r="C1070" s="290"/>
      <c r="D1070" s="30"/>
      <c r="E1070" s="286"/>
      <c r="F1070" s="30"/>
      <c r="G1070" s="183"/>
      <c r="J1070" s="291"/>
      <c r="K1070" s="291"/>
      <c r="L1070" s="292"/>
      <c r="M1070" s="293"/>
      <c r="N1070" s="293"/>
    </row>
    <row r="1071">
      <c r="A1071" s="30"/>
      <c r="B1071" s="30"/>
      <c r="C1071" s="290"/>
      <c r="D1071" s="30"/>
      <c r="E1071" s="286"/>
      <c r="F1071" s="30"/>
      <c r="G1071" s="183"/>
      <c r="J1071" s="291"/>
      <c r="K1071" s="291"/>
      <c r="L1071" s="292"/>
      <c r="M1071" s="293"/>
      <c r="N1071" s="293"/>
    </row>
    <row r="1072">
      <c r="A1072" s="30"/>
      <c r="B1072" s="30"/>
      <c r="C1072" s="290"/>
      <c r="D1072" s="30"/>
      <c r="E1072" s="286"/>
      <c r="F1072" s="30"/>
      <c r="G1072" s="183"/>
      <c r="J1072" s="291"/>
      <c r="K1072" s="291"/>
      <c r="L1072" s="292"/>
      <c r="M1072" s="293"/>
      <c r="N1072" s="293"/>
    </row>
    <row r="1073">
      <c r="A1073" s="30"/>
      <c r="B1073" s="30"/>
      <c r="C1073" s="290"/>
      <c r="D1073" s="30"/>
      <c r="E1073" s="286"/>
      <c r="F1073" s="30"/>
      <c r="G1073" s="183"/>
      <c r="J1073" s="291"/>
      <c r="K1073" s="291"/>
      <c r="L1073" s="292"/>
      <c r="M1073" s="293"/>
      <c r="N1073" s="293"/>
    </row>
    <row r="1074">
      <c r="A1074" s="30"/>
      <c r="B1074" s="30"/>
      <c r="C1074" s="290"/>
      <c r="D1074" s="30"/>
      <c r="E1074" s="286"/>
      <c r="F1074" s="30"/>
      <c r="G1074" s="183"/>
      <c r="J1074" s="291"/>
      <c r="K1074" s="291"/>
      <c r="L1074" s="292"/>
      <c r="M1074" s="293"/>
      <c r="N1074" s="293"/>
    </row>
    <row r="1075">
      <c r="A1075" s="30"/>
      <c r="B1075" s="30"/>
      <c r="C1075" s="290"/>
      <c r="D1075" s="30"/>
      <c r="E1075" s="286"/>
      <c r="F1075" s="30"/>
      <c r="G1075" s="183"/>
      <c r="J1075" s="291"/>
      <c r="K1075" s="291"/>
      <c r="L1075" s="292"/>
      <c r="M1075" s="293"/>
      <c r="N1075" s="293"/>
    </row>
    <row r="1076">
      <c r="A1076" s="30"/>
      <c r="B1076" s="30"/>
      <c r="C1076" s="290"/>
      <c r="D1076" s="30"/>
      <c r="E1076" s="286"/>
      <c r="F1076" s="30"/>
      <c r="G1076" s="183"/>
      <c r="J1076" s="291"/>
      <c r="K1076" s="291"/>
      <c r="L1076" s="292"/>
      <c r="M1076" s="293"/>
      <c r="N1076" s="293"/>
    </row>
    <row r="1077">
      <c r="A1077" s="30"/>
      <c r="B1077" s="30"/>
      <c r="C1077" s="290"/>
      <c r="D1077" s="30"/>
      <c r="E1077" s="286"/>
      <c r="F1077" s="30"/>
      <c r="G1077" s="183"/>
      <c r="J1077" s="291"/>
      <c r="K1077" s="291"/>
      <c r="L1077" s="292"/>
      <c r="M1077" s="293"/>
      <c r="N1077" s="293"/>
    </row>
    <row r="1078">
      <c r="A1078" s="30"/>
      <c r="B1078" s="30"/>
      <c r="C1078" s="290"/>
      <c r="D1078" s="30"/>
      <c r="E1078" s="286"/>
      <c r="F1078" s="30"/>
      <c r="G1078" s="183"/>
      <c r="J1078" s="291"/>
      <c r="K1078" s="291"/>
      <c r="L1078" s="292"/>
      <c r="M1078" s="293"/>
      <c r="N1078" s="293"/>
    </row>
    <row r="1079">
      <c r="A1079" s="30"/>
      <c r="B1079" s="30"/>
      <c r="C1079" s="290"/>
      <c r="D1079" s="30"/>
      <c r="E1079" s="286"/>
      <c r="F1079" s="30"/>
      <c r="G1079" s="183"/>
      <c r="J1079" s="291"/>
      <c r="K1079" s="291"/>
      <c r="L1079" s="292"/>
      <c r="M1079" s="293"/>
      <c r="N1079" s="293"/>
    </row>
    <row r="1080">
      <c r="A1080" s="30"/>
      <c r="B1080" s="30"/>
      <c r="C1080" s="290"/>
      <c r="D1080" s="30"/>
      <c r="E1080" s="286"/>
      <c r="F1080" s="30"/>
      <c r="G1080" s="183"/>
      <c r="J1080" s="291"/>
      <c r="K1080" s="291"/>
      <c r="L1080" s="292"/>
      <c r="M1080" s="293"/>
      <c r="N1080" s="293"/>
    </row>
    <row r="1081">
      <c r="A1081" s="30"/>
      <c r="B1081" s="30"/>
      <c r="C1081" s="290"/>
      <c r="D1081" s="30"/>
      <c r="E1081" s="286"/>
      <c r="F1081" s="30"/>
      <c r="G1081" s="183"/>
      <c r="J1081" s="291"/>
      <c r="K1081" s="291"/>
      <c r="L1081" s="292"/>
      <c r="M1081" s="293"/>
      <c r="N1081" s="293"/>
    </row>
    <row r="1082">
      <c r="A1082" s="30"/>
      <c r="B1082" s="30"/>
      <c r="C1082" s="290"/>
      <c r="D1082" s="30"/>
      <c r="E1082" s="286"/>
      <c r="F1082" s="30"/>
      <c r="G1082" s="183"/>
      <c r="J1082" s="291"/>
      <c r="K1082" s="291"/>
      <c r="L1082" s="292"/>
      <c r="M1082" s="293"/>
      <c r="N1082" s="293"/>
    </row>
    <row r="1083">
      <c r="A1083" s="30"/>
      <c r="B1083" s="30"/>
      <c r="C1083" s="290"/>
      <c r="D1083" s="30"/>
      <c r="E1083" s="286"/>
      <c r="F1083" s="30"/>
      <c r="G1083" s="183"/>
      <c r="J1083" s="291"/>
      <c r="K1083" s="291"/>
      <c r="L1083" s="292"/>
      <c r="M1083" s="293"/>
      <c r="N1083" s="293"/>
    </row>
    <row r="1084">
      <c r="A1084" s="30"/>
      <c r="B1084" s="30"/>
      <c r="C1084" s="290"/>
      <c r="D1084" s="30"/>
      <c r="E1084" s="286"/>
      <c r="F1084" s="30"/>
      <c r="G1084" s="183"/>
      <c r="J1084" s="291"/>
      <c r="K1084" s="291"/>
      <c r="L1084" s="292"/>
      <c r="M1084" s="293"/>
      <c r="N1084" s="293"/>
    </row>
    <row r="1085">
      <c r="A1085" s="30"/>
      <c r="B1085" s="30"/>
      <c r="C1085" s="290"/>
      <c r="D1085" s="30"/>
      <c r="E1085" s="286"/>
      <c r="F1085" s="30"/>
      <c r="G1085" s="183"/>
      <c r="J1085" s="291"/>
      <c r="K1085" s="291"/>
      <c r="L1085" s="292"/>
      <c r="M1085" s="293"/>
      <c r="N1085" s="293"/>
    </row>
    <row r="1086">
      <c r="A1086" s="30"/>
      <c r="B1086" s="30"/>
      <c r="C1086" s="290"/>
      <c r="D1086" s="30"/>
      <c r="E1086" s="286"/>
      <c r="F1086" s="30"/>
      <c r="G1086" s="183"/>
      <c r="J1086" s="291"/>
      <c r="K1086" s="291"/>
      <c r="L1086" s="292"/>
      <c r="M1086" s="293"/>
      <c r="N1086" s="293"/>
    </row>
    <row r="1087">
      <c r="A1087" s="30"/>
      <c r="B1087" s="30"/>
      <c r="C1087" s="290"/>
      <c r="D1087" s="30"/>
      <c r="E1087" s="286"/>
      <c r="F1087" s="30"/>
      <c r="G1087" s="183"/>
      <c r="J1087" s="291"/>
      <c r="K1087" s="291"/>
      <c r="L1087" s="292"/>
      <c r="M1087" s="293"/>
      <c r="N1087" s="293"/>
    </row>
    <row r="1088">
      <c r="A1088" s="30"/>
      <c r="B1088" s="30"/>
      <c r="C1088" s="290"/>
      <c r="D1088" s="30"/>
      <c r="E1088" s="286"/>
      <c r="F1088" s="30"/>
      <c r="G1088" s="183"/>
      <c r="J1088" s="291"/>
      <c r="K1088" s="291"/>
      <c r="L1088" s="292"/>
      <c r="M1088" s="293"/>
      <c r="N1088" s="293"/>
    </row>
    <row r="1089">
      <c r="A1089" s="30"/>
      <c r="B1089" s="30"/>
      <c r="C1089" s="290"/>
      <c r="D1089" s="30"/>
      <c r="E1089" s="286"/>
      <c r="F1089" s="30"/>
      <c r="G1089" s="183"/>
      <c r="J1089" s="291"/>
      <c r="K1089" s="291"/>
      <c r="L1089" s="292"/>
      <c r="M1089" s="293"/>
      <c r="N1089" s="293"/>
    </row>
    <row r="1090">
      <c r="A1090" s="30"/>
      <c r="B1090" s="30"/>
      <c r="C1090" s="290"/>
      <c r="D1090" s="30"/>
      <c r="E1090" s="286"/>
      <c r="F1090" s="30"/>
      <c r="G1090" s="183"/>
      <c r="J1090" s="291"/>
      <c r="K1090" s="291"/>
      <c r="L1090" s="292"/>
      <c r="M1090" s="293"/>
      <c r="N1090" s="293"/>
    </row>
    <row r="1091">
      <c r="A1091" s="30"/>
      <c r="B1091" s="30"/>
      <c r="C1091" s="290"/>
      <c r="D1091" s="30"/>
      <c r="E1091" s="286"/>
      <c r="F1091" s="30"/>
      <c r="G1091" s="183"/>
      <c r="J1091" s="291"/>
      <c r="K1091" s="291"/>
      <c r="L1091" s="292"/>
      <c r="M1091" s="293"/>
      <c r="N1091" s="293"/>
    </row>
    <row r="1092">
      <c r="A1092" s="30"/>
      <c r="B1092" s="30"/>
      <c r="C1092" s="290"/>
      <c r="D1092" s="30"/>
      <c r="E1092" s="286"/>
      <c r="F1092" s="30"/>
      <c r="G1092" s="183"/>
      <c r="J1092" s="291"/>
      <c r="K1092" s="291"/>
      <c r="L1092" s="292"/>
      <c r="M1092" s="293"/>
      <c r="N1092" s="293"/>
    </row>
    <row r="1093">
      <c r="A1093" s="30"/>
      <c r="B1093" s="30"/>
      <c r="C1093" s="290"/>
      <c r="D1093" s="30"/>
      <c r="E1093" s="286"/>
      <c r="F1093" s="30"/>
      <c r="G1093" s="183"/>
      <c r="J1093" s="291"/>
      <c r="K1093" s="291"/>
      <c r="L1093" s="292"/>
      <c r="M1093" s="293"/>
      <c r="N1093" s="293"/>
    </row>
    <row r="1094">
      <c r="A1094" s="30"/>
      <c r="B1094" s="30"/>
      <c r="C1094" s="290"/>
      <c r="D1094" s="30"/>
      <c r="E1094" s="286"/>
      <c r="F1094" s="30"/>
      <c r="G1094" s="183"/>
      <c r="J1094" s="291"/>
      <c r="K1094" s="291"/>
      <c r="L1094" s="292"/>
      <c r="M1094" s="293"/>
      <c r="N1094" s="293"/>
    </row>
    <row r="1095">
      <c r="A1095" s="30"/>
      <c r="B1095" s="30"/>
      <c r="C1095" s="290"/>
      <c r="D1095" s="30"/>
      <c r="E1095" s="286"/>
      <c r="F1095" s="30"/>
      <c r="G1095" s="183"/>
      <c r="J1095" s="291"/>
      <c r="K1095" s="291"/>
      <c r="L1095" s="292"/>
      <c r="M1095" s="293"/>
      <c r="N1095" s="293"/>
    </row>
    <row r="1096">
      <c r="A1096" s="30"/>
      <c r="B1096" s="30"/>
      <c r="C1096" s="290"/>
      <c r="D1096" s="30"/>
      <c r="E1096" s="286"/>
      <c r="F1096" s="30"/>
      <c r="G1096" s="183"/>
      <c r="J1096" s="291"/>
      <c r="K1096" s="291"/>
      <c r="L1096" s="292"/>
      <c r="M1096" s="293"/>
      <c r="N1096" s="293"/>
    </row>
    <row r="1097">
      <c r="A1097" s="30"/>
      <c r="B1097" s="30"/>
      <c r="C1097" s="290"/>
      <c r="D1097" s="30"/>
      <c r="E1097" s="286"/>
      <c r="F1097" s="30"/>
      <c r="G1097" s="183"/>
      <c r="J1097" s="291"/>
      <c r="K1097" s="291"/>
      <c r="L1097" s="292"/>
      <c r="M1097" s="293"/>
      <c r="N1097" s="293"/>
    </row>
    <row r="1098">
      <c r="A1098" s="30"/>
      <c r="B1098" s="30"/>
      <c r="C1098" s="290"/>
      <c r="D1098" s="30"/>
      <c r="E1098" s="286"/>
      <c r="F1098" s="30"/>
      <c r="G1098" s="183"/>
      <c r="J1098" s="291"/>
      <c r="K1098" s="291"/>
      <c r="L1098" s="292"/>
      <c r="M1098" s="293"/>
      <c r="N1098" s="293"/>
    </row>
    <row r="1099">
      <c r="A1099" s="30"/>
      <c r="B1099" s="30"/>
      <c r="C1099" s="290"/>
      <c r="D1099" s="30"/>
      <c r="E1099" s="286"/>
      <c r="F1099" s="30"/>
      <c r="G1099" s="183"/>
      <c r="J1099" s="291"/>
      <c r="K1099" s="291"/>
      <c r="L1099" s="292"/>
      <c r="M1099" s="293"/>
      <c r="N1099" s="293"/>
    </row>
    <row r="1100">
      <c r="A1100" s="30"/>
      <c r="B1100" s="30"/>
      <c r="C1100" s="290"/>
      <c r="D1100" s="30"/>
      <c r="E1100" s="286"/>
      <c r="F1100" s="30"/>
      <c r="G1100" s="183"/>
      <c r="J1100" s="291"/>
      <c r="K1100" s="291"/>
      <c r="L1100" s="292"/>
      <c r="M1100" s="293"/>
      <c r="N1100" s="293"/>
    </row>
    <row r="1101">
      <c r="A1101" s="30"/>
      <c r="B1101" s="30"/>
      <c r="C1101" s="290"/>
      <c r="D1101" s="30"/>
      <c r="E1101" s="286"/>
      <c r="F1101" s="30"/>
      <c r="G1101" s="183"/>
      <c r="J1101" s="291"/>
      <c r="K1101" s="291"/>
      <c r="L1101" s="292"/>
      <c r="M1101" s="293"/>
      <c r="N1101" s="293"/>
    </row>
    <row r="1102">
      <c r="A1102" s="30"/>
      <c r="B1102" s="30"/>
      <c r="C1102" s="290"/>
      <c r="D1102" s="30"/>
      <c r="E1102" s="286"/>
      <c r="F1102" s="30"/>
      <c r="G1102" s="183"/>
      <c r="J1102" s="291"/>
      <c r="K1102" s="291"/>
      <c r="L1102" s="292"/>
      <c r="M1102" s="293"/>
      <c r="N1102" s="293"/>
    </row>
    <row r="1103">
      <c r="A1103" s="30"/>
      <c r="B1103" s="30"/>
      <c r="C1103" s="290"/>
      <c r="D1103" s="30"/>
      <c r="E1103" s="286"/>
      <c r="F1103" s="30"/>
      <c r="G1103" s="183"/>
      <c r="J1103" s="291"/>
      <c r="K1103" s="291"/>
      <c r="L1103" s="292"/>
      <c r="M1103" s="293"/>
      <c r="N1103" s="293"/>
    </row>
    <row r="1104">
      <c r="A1104" s="30"/>
      <c r="B1104" s="30"/>
      <c r="C1104" s="290"/>
      <c r="D1104" s="30"/>
      <c r="E1104" s="286"/>
      <c r="F1104" s="30"/>
      <c r="G1104" s="183"/>
      <c r="J1104" s="291"/>
      <c r="K1104" s="291"/>
      <c r="L1104" s="292"/>
      <c r="M1104" s="293"/>
      <c r="N1104" s="293"/>
    </row>
    <row r="1105">
      <c r="A1105" s="30"/>
      <c r="B1105" s="30"/>
      <c r="C1105" s="290"/>
      <c r="D1105" s="30"/>
      <c r="E1105" s="286"/>
      <c r="F1105" s="30"/>
      <c r="G1105" s="183"/>
      <c r="J1105" s="291"/>
      <c r="K1105" s="291"/>
      <c r="L1105" s="292"/>
      <c r="M1105" s="293"/>
      <c r="N1105" s="293"/>
    </row>
    <row r="1106">
      <c r="A1106" s="30"/>
      <c r="B1106" s="30"/>
      <c r="C1106" s="290"/>
      <c r="D1106" s="30"/>
      <c r="E1106" s="286"/>
      <c r="F1106" s="30"/>
      <c r="G1106" s="183"/>
      <c r="J1106" s="291"/>
      <c r="K1106" s="291"/>
      <c r="L1106" s="292"/>
      <c r="M1106" s="293"/>
      <c r="N1106" s="293"/>
    </row>
    <row r="1107">
      <c r="A1107" s="30"/>
      <c r="B1107" s="30"/>
      <c r="C1107" s="290"/>
      <c r="D1107" s="30"/>
      <c r="E1107" s="286"/>
      <c r="F1107" s="30"/>
      <c r="G1107" s="183"/>
      <c r="J1107" s="291"/>
      <c r="K1107" s="291"/>
      <c r="L1107" s="292"/>
      <c r="M1107" s="293"/>
      <c r="N1107" s="293"/>
    </row>
    <row r="1108">
      <c r="A1108" s="30"/>
      <c r="B1108" s="30"/>
      <c r="C1108" s="290"/>
      <c r="D1108" s="30"/>
      <c r="E1108" s="286"/>
      <c r="F1108" s="30"/>
      <c r="G1108" s="183"/>
      <c r="J1108" s="291"/>
      <c r="K1108" s="291"/>
      <c r="L1108" s="292"/>
      <c r="M1108" s="293"/>
      <c r="N1108" s="293"/>
    </row>
    <row r="1109">
      <c r="A1109" s="30"/>
      <c r="B1109" s="30"/>
      <c r="C1109" s="290"/>
      <c r="D1109" s="30"/>
      <c r="E1109" s="286"/>
      <c r="F1109" s="30"/>
      <c r="G1109" s="183"/>
      <c r="J1109" s="291"/>
      <c r="K1109" s="291"/>
      <c r="L1109" s="292"/>
      <c r="M1109" s="293"/>
      <c r="N1109" s="293"/>
    </row>
    <row r="1110">
      <c r="A1110" s="30"/>
      <c r="B1110" s="30"/>
      <c r="C1110" s="290"/>
      <c r="D1110" s="30"/>
      <c r="E1110" s="286"/>
      <c r="F1110" s="30"/>
      <c r="G1110" s="183"/>
      <c r="J1110" s="291"/>
      <c r="K1110" s="291"/>
      <c r="L1110" s="292"/>
      <c r="M1110" s="293"/>
      <c r="N1110" s="293"/>
    </row>
    <row r="1111">
      <c r="A1111" s="30"/>
      <c r="B1111" s="30"/>
      <c r="C1111" s="290"/>
      <c r="D1111" s="30"/>
      <c r="E1111" s="286"/>
      <c r="F1111" s="30"/>
      <c r="G1111" s="183"/>
      <c r="J1111" s="291"/>
      <c r="K1111" s="291"/>
      <c r="L1111" s="292"/>
      <c r="M1111" s="293"/>
      <c r="N1111" s="293"/>
    </row>
    <row r="1112">
      <c r="A1112" s="30"/>
      <c r="B1112" s="30"/>
      <c r="C1112" s="290"/>
      <c r="D1112" s="30"/>
      <c r="E1112" s="286"/>
      <c r="F1112" s="30"/>
      <c r="G1112" s="183"/>
      <c r="J1112" s="291"/>
      <c r="K1112" s="291"/>
      <c r="L1112" s="292"/>
      <c r="M1112" s="293"/>
      <c r="N1112" s="293"/>
    </row>
    <row r="1113">
      <c r="A1113" s="30"/>
      <c r="B1113" s="30"/>
      <c r="C1113" s="290"/>
      <c r="D1113" s="30"/>
      <c r="E1113" s="286"/>
      <c r="F1113" s="30"/>
      <c r="G1113" s="183"/>
      <c r="J1113" s="291"/>
      <c r="K1113" s="291"/>
      <c r="L1113" s="292"/>
      <c r="M1113" s="293"/>
      <c r="N1113" s="293"/>
    </row>
    <row r="1114">
      <c r="A1114" s="30"/>
      <c r="B1114" s="30"/>
      <c r="C1114" s="290"/>
      <c r="D1114" s="30"/>
      <c r="E1114" s="286"/>
      <c r="F1114" s="30"/>
      <c r="G1114" s="183"/>
      <c r="J1114" s="291"/>
      <c r="K1114" s="291"/>
      <c r="L1114" s="292"/>
      <c r="M1114" s="293"/>
      <c r="N1114" s="293"/>
    </row>
    <row r="1115">
      <c r="A1115" s="30"/>
      <c r="B1115" s="30"/>
      <c r="C1115" s="290"/>
      <c r="D1115" s="30"/>
      <c r="E1115" s="286"/>
      <c r="F1115" s="30"/>
      <c r="G1115" s="183"/>
      <c r="J1115" s="291"/>
      <c r="K1115" s="291"/>
      <c r="L1115" s="292"/>
      <c r="M1115" s="293"/>
      <c r="N1115" s="293"/>
    </row>
    <row r="1116">
      <c r="A1116" s="30"/>
      <c r="B1116" s="30"/>
      <c r="C1116" s="290"/>
      <c r="D1116" s="30"/>
      <c r="E1116" s="286"/>
      <c r="F1116" s="30"/>
      <c r="G1116" s="183"/>
      <c r="J1116" s="291"/>
      <c r="K1116" s="291"/>
      <c r="L1116" s="292"/>
      <c r="M1116" s="293"/>
      <c r="N1116" s="293"/>
    </row>
    <row r="1117">
      <c r="A1117" s="30"/>
      <c r="B1117" s="30"/>
      <c r="C1117" s="290"/>
      <c r="D1117" s="30"/>
      <c r="E1117" s="286"/>
      <c r="F1117" s="30"/>
      <c r="G1117" s="183"/>
      <c r="J1117" s="291"/>
      <c r="K1117" s="291"/>
      <c r="L1117" s="292"/>
      <c r="M1117" s="293"/>
      <c r="N1117" s="293"/>
    </row>
    <row r="1118">
      <c r="A1118" s="30"/>
      <c r="B1118" s="30"/>
      <c r="C1118" s="290"/>
      <c r="D1118" s="30"/>
      <c r="E1118" s="286"/>
      <c r="F1118" s="30"/>
      <c r="G1118" s="183"/>
      <c r="J1118" s="291"/>
      <c r="K1118" s="291"/>
      <c r="L1118" s="292"/>
      <c r="M1118" s="293"/>
      <c r="N1118" s="293"/>
    </row>
    <row r="1119">
      <c r="A1119" s="30"/>
      <c r="B1119" s="30"/>
      <c r="C1119" s="290"/>
      <c r="D1119" s="30"/>
      <c r="E1119" s="286"/>
      <c r="F1119" s="30"/>
      <c r="G1119" s="183"/>
      <c r="J1119" s="291"/>
      <c r="K1119" s="291"/>
      <c r="L1119" s="292"/>
      <c r="M1119" s="293"/>
      <c r="N1119" s="293"/>
    </row>
    <row r="1120">
      <c r="A1120" s="30"/>
      <c r="B1120" s="30"/>
      <c r="C1120" s="290"/>
      <c r="D1120" s="30"/>
      <c r="E1120" s="286"/>
      <c r="F1120" s="30"/>
      <c r="G1120" s="183"/>
      <c r="J1120" s="291"/>
      <c r="K1120" s="291"/>
      <c r="L1120" s="292"/>
      <c r="M1120" s="293"/>
      <c r="N1120" s="293"/>
    </row>
    <row r="1121">
      <c r="A1121" s="30"/>
      <c r="B1121" s="30"/>
      <c r="C1121" s="290"/>
      <c r="D1121" s="30"/>
      <c r="E1121" s="286"/>
      <c r="F1121" s="30"/>
      <c r="G1121" s="183"/>
      <c r="J1121" s="291"/>
      <c r="K1121" s="291"/>
      <c r="L1121" s="292"/>
      <c r="M1121" s="293"/>
      <c r="N1121" s="293"/>
    </row>
    <row r="1122">
      <c r="A1122" s="30"/>
      <c r="B1122" s="30"/>
      <c r="C1122" s="290"/>
      <c r="D1122" s="30"/>
      <c r="E1122" s="286"/>
      <c r="F1122" s="30"/>
      <c r="G1122" s="183"/>
      <c r="J1122" s="291"/>
      <c r="K1122" s="291"/>
      <c r="L1122" s="292"/>
      <c r="M1122" s="293"/>
      <c r="N1122" s="293"/>
    </row>
    <row r="1123">
      <c r="A1123" s="30"/>
      <c r="B1123" s="30"/>
      <c r="C1123" s="290"/>
      <c r="D1123" s="30"/>
      <c r="E1123" s="286"/>
      <c r="F1123" s="30"/>
      <c r="G1123" s="183"/>
      <c r="J1123" s="291"/>
      <c r="K1123" s="291"/>
      <c r="L1123" s="292"/>
      <c r="M1123" s="293"/>
      <c r="N1123" s="293"/>
    </row>
    <row r="1124">
      <c r="A1124" s="30"/>
      <c r="B1124" s="30"/>
      <c r="C1124" s="290"/>
      <c r="D1124" s="30"/>
      <c r="E1124" s="286"/>
      <c r="F1124" s="30"/>
      <c r="G1124" s="183"/>
      <c r="J1124" s="291"/>
      <c r="K1124" s="291"/>
      <c r="L1124" s="292"/>
      <c r="M1124" s="293"/>
      <c r="N1124" s="293"/>
    </row>
    <row r="1125">
      <c r="A1125" s="30"/>
      <c r="B1125" s="30"/>
      <c r="C1125" s="290"/>
      <c r="D1125" s="30"/>
      <c r="E1125" s="286"/>
      <c r="F1125" s="30"/>
      <c r="G1125" s="183"/>
      <c r="J1125" s="291"/>
      <c r="K1125" s="291"/>
      <c r="L1125" s="292"/>
      <c r="M1125" s="293"/>
      <c r="N1125" s="293"/>
    </row>
    <row r="1126">
      <c r="A1126" s="30"/>
      <c r="B1126" s="30"/>
      <c r="C1126" s="290"/>
      <c r="D1126" s="30"/>
      <c r="E1126" s="286"/>
      <c r="F1126" s="30"/>
      <c r="G1126" s="183"/>
      <c r="J1126" s="291"/>
      <c r="K1126" s="291"/>
      <c r="L1126" s="292"/>
      <c r="M1126" s="293"/>
      <c r="N1126" s="293"/>
    </row>
    <row r="1127">
      <c r="A1127" s="30"/>
      <c r="B1127" s="30"/>
      <c r="C1127" s="290"/>
      <c r="D1127" s="30"/>
      <c r="E1127" s="286"/>
      <c r="F1127" s="30"/>
      <c r="G1127" s="183"/>
      <c r="J1127" s="291"/>
      <c r="K1127" s="291"/>
      <c r="L1127" s="292"/>
      <c r="M1127" s="293"/>
      <c r="N1127" s="293"/>
    </row>
    <row r="1128">
      <c r="A1128" s="30"/>
      <c r="B1128" s="30"/>
      <c r="C1128" s="290"/>
      <c r="D1128" s="30"/>
      <c r="E1128" s="286"/>
      <c r="F1128" s="30"/>
      <c r="G1128" s="183"/>
      <c r="J1128" s="291"/>
      <c r="K1128" s="291"/>
      <c r="L1128" s="292"/>
      <c r="M1128" s="293"/>
      <c r="N1128" s="293"/>
    </row>
    <row r="1129">
      <c r="A1129" s="30"/>
      <c r="B1129" s="30"/>
      <c r="C1129" s="290"/>
      <c r="D1129" s="30"/>
      <c r="E1129" s="286"/>
      <c r="F1129" s="30"/>
      <c r="G1129" s="183"/>
      <c r="J1129" s="291"/>
      <c r="K1129" s="291"/>
      <c r="L1129" s="292"/>
      <c r="M1129" s="293"/>
      <c r="N1129" s="293"/>
    </row>
    <row r="1130">
      <c r="A1130" s="30"/>
      <c r="B1130" s="30"/>
      <c r="C1130" s="290"/>
      <c r="D1130" s="30"/>
      <c r="E1130" s="286"/>
      <c r="F1130" s="30"/>
      <c r="G1130" s="183"/>
      <c r="J1130" s="291"/>
      <c r="K1130" s="291"/>
      <c r="L1130" s="292"/>
      <c r="M1130" s="293"/>
      <c r="N1130" s="293"/>
    </row>
    <row r="1131">
      <c r="A1131" s="30"/>
      <c r="B1131" s="30"/>
      <c r="C1131" s="290"/>
      <c r="D1131" s="30"/>
      <c r="E1131" s="286"/>
      <c r="F1131" s="30"/>
      <c r="G1131" s="183"/>
      <c r="J1131" s="291"/>
      <c r="K1131" s="291"/>
      <c r="L1131" s="292"/>
      <c r="M1131" s="293"/>
      <c r="N1131" s="293"/>
    </row>
    <row r="1132">
      <c r="A1132" s="30"/>
      <c r="B1132" s="30"/>
      <c r="C1132" s="290"/>
      <c r="D1132" s="30"/>
      <c r="E1132" s="286"/>
      <c r="F1132" s="30"/>
      <c r="G1132" s="183"/>
      <c r="J1132" s="291"/>
      <c r="K1132" s="291"/>
      <c r="L1132" s="292"/>
      <c r="M1132" s="293"/>
      <c r="N1132" s="293"/>
    </row>
    <row r="1133">
      <c r="A1133" s="30"/>
      <c r="B1133" s="30"/>
      <c r="C1133" s="290"/>
      <c r="D1133" s="30"/>
      <c r="E1133" s="286"/>
      <c r="F1133" s="30"/>
      <c r="G1133" s="183"/>
      <c r="J1133" s="291"/>
      <c r="K1133" s="291"/>
      <c r="L1133" s="292"/>
      <c r="M1133" s="293"/>
      <c r="N1133" s="293"/>
    </row>
    <row r="1134">
      <c r="A1134" s="30"/>
      <c r="B1134" s="30"/>
      <c r="C1134" s="290"/>
      <c r="D1134" s="30"/>
      <c r="E1134" s="286"/>
      <c r="F1134" s="30"/>
      <c r="G1134" s="183"/>
      <c r="J1134" s="291"/>
      <c r="K1134" s="291"/>
      <c r="L1134" s="292"/>
      <c r="M1134" s="293"/>
      <c r="N1134" s="293"/>
    </row>
    <row r="1135">
      <c r="A1135" s="30"/>
      <c r="B1135" s="30"/>
      <c r="C1135" s="290"/>
      <c r="D1135" s="30"/>
      <c r="E1135" s="286"/>
      <c r="F1135" s="30"/>
      <c r="G1135" s="183"/>
      <c r="J1135" s="291"/>
      <c r="K1135" s="291"/>
      <c r="L1135" s="292"/>
      <c r="M1135" s="293"/>
      <c r="N1135" s="293"/>
    </row>
    <row r="1136">
      <c r="A1136" s="30"/>
      <c r="B1136" s="30"/>
      <c r="C1136" s="290"/>
      <c r="D1136" s="30"/>
      <c r="E1136" s="286"/>
      <c r="F1136" s="30"/>
      <c r="G1136" s="183"/>
      <c r="J1136" s="291"/>
      <c r="K1136" s="291"/>
      <c r="L1136" s="292"/>
      <c r="M1136" s="293"/>
      <c r="N1136" s="293"/>
    </row>
    <row r="1137">
      <c r="A1137" s="30"/>
      <c r="B1137" s="30"/>
      <c r="C1137" s="290"/>
      <c r="D1137" s="30"/>
      <c r="E1137" s="286"/>
      <c r="F1137" s="30"/>
      <c r="G1137" s="183"/>
      <c r="J1137" s="291"/>
      <c r="K1137" s="291"/>
      <c r="L1137" s="292"/>
      <c r="M1137" s="293"/>
      <c r="N1137" s="293"/>
    </row>
    <row r="1138">
      <c r="A1138" s="30"/>
      <c r="B1138" s="30"/>
      <c r="C1138" s="290"/>
      <c r="D1138" s="30"/>
      <c r="E1138" s="286"/>
      <c r="F1138" s="30"/>
      <c r="G1138" s="183"/>
      <c r="J1138" s="291"/>
      <c r="K1138" s="291"/>
      <c r="L1138" s="292"/>
      <c r="M1138" s="293"/>
      <c r="N1138" s="293"/>
    </row>
    <row r="1139">
      <c r="A1139" s="30"/>
      <c r="B1139" s="30"/>
      <c r="C1139" s="290"/>
      <c r="D1139" s="30"/>
      <c r="E1139" s="286"/>
      <c r="F1139" s="30"/>
      <c r="G1139" s="183"/>
      <c r="J1139" s="291"/>
      <c r="K1139" s="291"/>
      <c r="L1139" s="292"/>
      <c r="M1139" s="293"/>
      <c r="N1139" s="293"/>
    </row>
    <row r="1140">
      <c r="A1140" s="30"/>
      <c r="B1140" s="30"/>
      <c r="C1140" s="290"/>
      <c r="D1140" s="30"/>
      <c r="E1140" s="286"/>
      <c r="F1140" s="30"/>
      <c r="G1140" s="183"/>
      <c r="J1140" s="291"/>
      <c r="K1140" s="291"/>
      <c r="L1140" s="292"/>
      <c r="M1140" s="293"/>
      <c r="N1140" s="293"/>
    </row>
    <row r="1141">
      <c r="A1141" s="30"/>
      <c r="B1141" s="30"/>
      <c r="C1141" s="290"/>
      <c r="D1141" s="30"/>
      <c r="E1141" s="286"/>
      <c r="F1141" s="30"/>
      <c r="G1141" s="183"/>
      <c r="J1141" s="291"/>
      <c r="K1141" s="291"/>
      <c r="L1141" s="292"/>
      <c r="M1141" s="293"/>
      <c r="N1141" s="293"/>
    </row>
    <row r="1142">
      <c r="A1142" s="30"/>
      <c r="B1142" s="30"/>
      <c r="C1142" s="290"/>
      <c r="D1142" s="30"/>
      <c r="E1142" s="286"/>
      <c r="F1142" s="30"/>
      <c r="G1142" s="183"/>
      <c r="J1142" s="291"/>
      <c r="K1142" s="291"/>
      <c r="L1142" s="292"/>
      <c r="M1142" s="293"/>
      <c r="N1142" s="293"/>
    </row>
    <row r="1143">
      <c r="A1143" s="30"/>
      <c r="B1143" s="30"/>
      <c r="C1143" s="290"/>
      <c r="D1143" s="30"/>
      <c r="E1143" s="286"/>
      <c r="F1143" s="30"/>
      <c r="G1143" s="183"/>
      <c r="J1143" s="291"/>
      <c r="K1143" s="291"/>
      <c r="L1143" s="292"/>
      <c r="M1143" s="293"/>
      <c r="N1143" s="293"/>
    </row>
    <row r="1144">
      <c r="A1144" s="30"/>
      <c r="B1144" s="30"/>
      <c r="C1144" s="290"/>
      <c r="D1144" s="30"/>
      <c r="E1144" s="286"/>
      <c r="F1144" s="30"/>
      <c r="G1144" s="183"/>
      <c r="J1144" s="291"/>
      <c r="K1144" s="291"/>
      <c r="L1144" s="292"/>
      <c r="M1144" s="293"/>
      <c r="N1144" s="293"/>
    </row>
    <row r="1145">
      <c r="A1145" s="30"/>
      <c r="B1145" s="30"/>
      <c r="C1145" s="290"/>
      <c r="D1145" s="30"/>
      <c r="E1145" s="286"/>
      <c r="F1145" s="30"/>
      <c r="G1145" s="183"/>
      <c r="J1145" s="291"/>
      <c r="K1145" s="291"/>
      <c r="L1145" s="292"/>
      <c r="M1145" s="293"/>
      <c r="N1145" s="293"/>
    </row>
    <row r="1146">
      <c r="A1146" s="30"/>
      <c r="B1146" s="30"/>
      <c r="C1146" s="290"/>
      <c r="D1146" s="30"/>
      <c r="E1146" s="286"/>
      <c r="F1146" s="30"/>
      <c r="G1146" s="183"/>
      <c r="J1146" s="291"/>
      <c r="K1146" s="291"/>
      <c r="L1146" s="292"/>
      <c r="M1146" s="293"/>
      <c r="N1146" s="293"/>
    </row>
    <row r="1147">
      <c r="A1147" s="30"/>
      <c r="B1147" s="30"/>
      <c r="C1147" s="290"/>
      <c r="D1147" s="30"/>
      <c r="E1147" s="286"/>
      <c r="F1147" s="30"/>
      <c r="G1147" s="183"/>
      <c r="J1147" s="291"/>
      <c r="K1147" s="291"/>
      <c r="L1147" s="292"/>
      <c r="M1147" s="293"/>
      <c r="N1147" s="293"/>
    </row>
    <row r="1148">
      <c r="A1148" s="30"/>
      <c r="B1148" s="30"/>
      <c r="C1148" s="290"/>
      <c r="D1148" s="30"/>
      <c r="E1148" s="286"/>
      <c r="F1148" s="30"/>
      <c r="G1148" s="183"/>
      <c r="J1148" s="291"/>
      <c r="K1148" s="291"/>
      <c r="L1148" s="292"/>
      <c r="M1148" s="293"/>
      <c r="N1148" s="293"/>
    </row>
    <row r="1149">
      <c r="A1149" s="30"/>
      <c r="B1149" s="30"/>
      <c r="C1149" s="290"/>
      <c r="D1149" s="30"/>
      <c r="E1149" s="286"/>
      <c r="F1149" s="30"/>
      <c r="G1149" s="183"/>
      <c r="J1149" s="291"/>
      <c r="K1149" s="291"/>
      <c r="L1149" s="292"/>
      <c r="M1149" s="293"/>
      <c r="N1149" s="293"/>
    </row>
    <row r="1150">
      <c r="A1150" s="30"/>
      <c r="B1150" s="30"/>
      <c r="C1150" s="290"/>
      <c r="D1150" s="30"/>
      <c r="E1150" s="286"/>
      <c r="F1150" s="30"/>
      <c r="G1150" s="183"/>
      <c r="J1150" s="291"/>
      <c r="K1150" s="291"/>
      <c r="L1150" s="292"/>
      <c r="M1150" s="293"/>
      <c r="N1150" s="293"/>
    </row>
    <row r="1151">
      <c r="A1151" s="30"/>
      <c r="B1151" s="30"/>
      <c r="C1151" s="290"/>
      <c r="D1151" s="30"/>
      <c r="E1151" s="286"/>
      <c r="F1151" s="30"/>
      <c r="G1151" s="183"/>
      <c r="J1151" s="291"/>
      <c r="K1151" s="291"/>
      <c r="L1151" s="292"/>
      <c r="M1151" s="293"/>
      <c r="N1151" s="293"/>
    </row>
    <row r="1152">
      <c r="A1152" s="30"/>
      <c r="B1152" s="30"/>
      <c r="C1152" s="290"/>
      <c r="D1152" s="30"/>
      <c r="E1152" s="286"/>
      <c r="F1152" s="30"/>
      <c r="G1152" s="183"/>
      <c r="J1152" s="291"/>
      <c r="K1152" s="291"/>
      <c r="L1152" s="292"/>
      <c r="M1152" s="293"/>
      <c r="N1152" s="293"/>
    </row>
    <row r="1153">
      <c r="A1153" s="30"/>
      <c r="B1153" s="30"/>
      <c r="C1153" s="290"/>
      <c r="D1153" s="30"/>
      <c r="E1153" s="286"/>
      <c r="F1153" s="30"/>
      <c r="G1153" s="183"/>
      <c r="J1153" s="291"/>
      <c r="K1153" s="291"/>
      <c r="L1153" s="292"/>
      <c r="M1153" s="293"/>
      <c r="N1153" s="293"/>
    </row>
    <row r="1154">
      <c r="A1154" s="30"/>
      <c r="B1154" s="30"/>
      <c r="C1154" s="290"/>
      <c r="D1154" s="30"/>
      <c r="E1154" s="286"/>
      <c r="F1154" s="30"/>
      <c r="G1154" s="183"/>
      <c r="J1154" s="291"/>
      <c r="K1154" s="291"/>
      <c r="L1154" s="292"/>
      <c r="M1154" s="293"/>
      <c r="N1154" s="293"/>
    </row>
    <row r="1155">
      <c r="A1155" s="30"/>
      <c r="B1155" s="30"/>
      <c r="C1155" s="290"/>
      <c r="D1155" s="30"/>
      <c r="E1155" s="286"/>
      <c r="F1155" s="30"/>
      <c r="G1155" s="183"/>
      <c r="J1155" s="291"/>
      <c r="K1155" s="291"/>
      <c r="L1155" s="292"/>
      <c r="M1155" s="293"/>
      <c r="N1155" s="293"/>
    </row>
    <row r="1156">
      <c r="A1156" s="30"/>
      <c r="B1156" s="30"/>
      <c r="C1156" s="290"/>
      <c r="D1156" s="30"/>
      <c r="E1156" s="286"/>
      <c r="F1156" s="30"/>
      <c r="G1156" s="183"/>
      <c r="J1156" s="291"/>
      <c r="K1156" s="291"/>
      <c r="L1156" s="292"/>
      <c r="M1156" s="293"/>
      <c r="N1156" s="293"/>
    </row>
    <row r="1157">
      <c r="A1157" s="30"/>
      <c r="B1157" s="30"/>
      <c r="C1157" s="290"/>
      <c r="D1157" s="30"/>
      <c r="E1157" s="286"/>
      <c r="F1157" s="30"/>
      <c r="G1157" s="183"/>
      <c r="J1157" s="291"/>
      <c r="K1157" s="291"/>
      <c r="L1157" s="292"/>
      <c r="M1157" s="293"/>
      <c r="N1157" s="293"/>
    </row>
    <row r="1158">
      <c r="A1158" s="30"/>
      <c r="B1158" s="30"/>
      <c r="C1158" s="290"/>
      <c r="D1158" s="30"/>
      <c r="E1158" s="286"/>
      <c r="F1158" s="30"/>
      <c r="G1158" s="183"/>
      <c r="J1158" s="291"/>
      <c r="K1158" s="291"/>
      <c r="L1158" s="292"/>
      <c r="M1158" s="293"/>
      <c r="N1158" s="293"/>
    </row>
    <row r="1159">
      <c r="A1159" s="30"/>
      <c r="B1159" s="30"/>
      <c r="C1159" s="290"/>
      <c r="D1159" s="30"/>
      <c r="E1159" s="286"/>
      <c r="F1159" s="30"/>
      <c r="G1159" s="183"/>
      <c r="J1159" s="291"/>
      <c r="K1159" s="291"/>
      <c r="L1159" s="292"/>
      <c r="M1159" s="293"/>
      <c r="N1159" s="293"/>
    </row>
    <row r="1160">
      <c r="A1160" s="30"/>
      <c r="B1160" s="30"/>
      <c r="C1160" s="290"/>
      <c r="D1160" s="30"/>
      <c r="E1160" s="286"/>
      <c r="F1160" s="30"/>
      <c r="G1160" s="183"/>
      <c r="J1160" s="291"/>
      <c r="K1160" s="291"/>
      <c r="L1160" s="292"/>
      <c r="M1160" s="293"/>
      <c r="N1160" s="293"/>
    </row>
    <row r="1161">
      <c r="A1161" s="30"/>
      <c r="B1161" s="30"/>
      <c r="C1161" s="290"/>
      <c r="D1161" s="30"/>
      <c r="E1161" s="286"/>
      <c r="F1161" s="30"/>
      <c r="G1161" s="183"/>
      <c r="J1161" s="291"/>
      <c r="K1161" s="291"/>
      <c r="L1161" s="292"/>
      <c r="M1161" s="293"/>
      <c r="N1161" s="293"/>
    </row>
    <row r="1162">
      <c r="A1162" s="30"/>
      <c r="B1162" s="30"/>
      <c r="C1162" s="290"/>
      <c r="D1162" s="30"/>
      <c r="E1162" s="286"/>
      <c r="F1162" s="30"/>
      <c r="G1162" s="183"/>
      <c r="J1162" s="291"/>
      <c r="K1162" s="291"/>
      <c r="L1162" s="292"/>
      <c r="M1162" s="293"/>
      <c r="N1162" s="293"/>
    </row>
    <row r="1163">
      <c r="A1163" s="30"/>
      <c r="B1163" s="30"/>
      <c r="C1163" s="290"/>
      <c r="D1163" s="30"/>
      <c r="E1163" s="286"/>
      <c r="F1163" s="30"/>
      <c r="G1163" s="183"/>
      <c r="J1163" s="291"/>
      <c r="K1163" s="291"/>
      <c r="L1163" s="292"/>
      <c r="M1163" s="293"/>
      <c r="N1163" s="293"/>
    </row>
    <row r="1164">
      <c r="A1164" s="30"/>
      <c r="B1164" s="30"/>
      <c r="C1164" s="290"/>
      <c r="D1164" s="30"/>
      <c r="E1164" s="286"/>
      <c r="F1164" s="30"/>
      <c r="G1164" s="183"/>
      <c r="J1164" s="291"/>
      <c r="K1164" s="291"/>
      <c r="L1164" s="292"/>
      <c r="M1164" s="293"/>
      <c r="N1164" s="293"/>
    </row>
    <row r="1165">
      <c r="A1165" s="30"/>
      <c r="B1165" s="30"/>
      <c r="C1165" s="290"/>
      <c r="D1165" s="30"/>
      <c r="E1165" s="286"/>
      <c r="F1165" s="30"/>
      <c r="G1165" s="183"/>
      <c r="J1165" s="291"/>
      <c r="K1165" s="291"/>
      <c r="L1165" s="292"/>
      <c r="M1165" s="293"/>
      <c r="N1165" s="293"/>
    </row>
    <row r="1166">
      <c r="A1166" s="30"/>
      <c r="B1166" s="30"/>
      <c r="C1166" s="290"/>
      <c r="D1166" s="30"/>
      <c r="E1166" s="286"/>
      <c r="F1166" s="30"/>
      <c r="G1166" s="183"/>
      <c r="J1166" s="291"/>
      <c r="K1166" s="291"/>
      <c r="L1166" s="292"/>
      <c r="M1166" s="293"/>
      <c r="N1166" s="293"/>
    </row>
    <row r="1167">
      <c r="A1167" s="30"/>
      <c r="B1167" s="30"/>
      <c r="C1167" s="290"/>
      <c r="D1167" s="30"/>
      <c r="E1167" s="286"/>
      <c r="F1167" s="30"/>
      <c r="G1167" s="183"/>
      <c r="J1167" s="291"/>
      <c r="K1167" s="291"/>
      <c r="L1167" s="292"/>
      <c r="M1167" s="293"/>
      <c r="N1167" s="293"/>
    </row>
    <row r="1168">
      <c r="A1168" s="30"/>
      <c r="B1168" s="30"/>
      <c r="C1168" s="290"/>
      <c r="D1168" s="30"/>
      <c r="E1168" s="286"/>
      <c r="F1168" s="30"/>
      <c r="G1168" s="183"/>
      <c r="J1168" s="291"/>
      <c r="K1168" s="291"/>
      <c r="L1168" s="292"/>
      <c r="M1168" s="293"/>
      <c r="N1168" s="293"/>
    </row>
    <row r="1169">
      <c r="A1169" s="30"/>
      <c r="B1169" s="30"/>
      <c r="C1169" s="290"/>
      <c r="D1169" s="30"/>
      <c r="E1169" s="286"/>
      <c r="F1169" s="30"/>
      <c r="G1169" s="183"/>
      <c r="J1169" s="291"/>
      <c r="K1169" s="291"/>
      <c r="L1169" s="292"/>
      <c r="M1169" s="293"/>
      <c r="N1169" s="293"/>
    </row>
    <row r="1170">
      <c r="A1170" s="30"/>
      <c r="B1170" s="30"/>
      <c r="C1170" s="290"/>
      <c r="D1170" s="30"/>
      <c r="E1170" s="286"/>
      <c r="F1170" s="30"/>
      <c r="G1170" s="183"/>
      <c r="J1170" s="291"/>
      <c r="K1170" s="291"/>
      <c r="L1170" s="292"/>
      <c r="M1170" s="293"/>
      <c r="N1170" s="293"/>
    </row>
    <row r="1171">
      <c r="A1171" s="30"/>
      <c r="B1171" s="30"/>
      <c r="C1171" s="290"/>
      <c r="D1171" s="30"/>
      <c r="E1171" s="286"/>
      <c r="F1171" s="30"/>
      <c r="G1171" s="183"/>
      <c r="J1171" s="291"/>
      <c r="K1171" s="291"/>
      <c r="L1171" s="292"/>
      <c r="M1171" s="293"/>
      <c r="N1171" s="293"/>
    </row>
    <row r="1172">
      <c r="A1172" s="30"/>
      <c r="B1172" s="30"/>
      <c r="C1172" s="290"/>
      <c r="D1172" s="30"/>
      <c r="E1172" s="286"/>
      <c r="F1172" s="30"/>
      <c r="G1172" s="183"/>
      <c r="J1172" s="291"/>
      <c r="K1172" s="291"/>
      <c r="L1172" s="292"/>
      <c r="M1172" s="293"/>
      <c r="N1172" s="293"/>
    </row>
    <row r="1173">
      <c r="A1173" s="30"/>
      <c r="B1173" s="30"/>
      <c r="C1173" s="290"/>
      <c r="D1173" s="30"/>
      <c r="E1173" s="286"/>
      <c r="F1173" s="30"/>
      <c r="G1173" s="183"/>
      <c r="J1173" s="291"/>
      <c r="K1173" s="291"/>
      <c r="L1173" s="292"/>
      <c r="M1173" s="293"/>
      <c r="N1173" s="293"/>
    </row>
    <row r="1174">
      <c r="A1174" s="30"/>
      <c r="B1174" s="30"/>
      <c r="C1174" s="290"/>
      <c r="D1174" s="30"/>
      <c r="E1174" s="286"/>
      <c r="F1174" s="30"/>
      <c r="G1174" s="183"/>
      <c r="J1174" s="291"/>
      <c r="K1174" s="291"/>
      <c r="L1174" s="292"/>
      <c r="M1174" s="293"/>
      <c r="N1174" s="293"/>
    </row>
    <row r="1175">
      <c r="A1175" s="30"/>
      <c r="B1175" s="30"/>
      <c r="C1175" s="290"/>
      <c r="D1175" s="30"/>
      <c r="E1175" s="286"/>
      <c r="F1175" s="30"/>
      <c r="G1175" s="183"/>
      <c r="J1175" s="291"/>
      <c r="K1175" s="291"/>
      <c r="L1175" s="292"/>
      <c r="M1175" s="293"/>
      <c r="N1175" s="293"/>
    </row>
    <row r="1176">
      <c r="A1176" s="30"/>
      <c r="B1176" s="30"/>
      <c r="C1176" s="290"/>
      <c r="D1176" s="30"/>
      <c r="E1176" s="286"/>
      <c r="F1176" s="30"/>
      <c r="G1176" s="183"/>
      <c r="J1176" s="291"/>
      <c r="K1176" s="291"/>
      <c r="L1176" s="292"/>
      <c r="M1176" s="293"/>
      <c r="N1176" s="293"/>
    </row>
    <row r="1177">
      <c r="A1177" s="30"/>
      <c r="B1177" s="30"/>
      <c r="C1177" s="290"/>
      <c r="D1177" s="30"/>
      <c r="E1177" s="286"/>
      <c r="F1177" s="30"/>
      <c r="G1177" s="183"/>
      <c r="J1177" s="291"/>
      <c r="K1177" s="291"/>
      <c r="L1177" s="292"/>
      <c r="M1177" s="293"/>
      <c r="N1177" s="293"/>
    </row>
    <row r="1178">
      <c r="A1178" s="30"/>
      <c r="B1178" s="30"/>
      <c r="C1178" s="290"/>
      <c r="D1178" s="30"/>
      <c r="E1178" s="286"/>
      <c r="F1178" s="30"/>
      <c r="G1178" s="183"/>
      <c r="J1178" s="291"/>
      <c r="K1178" s="291"/>
      <c r="L1178" s="292"/>
      <c r="M1178" s="293"/>
      <c r="N1178" s="293"/>
    </row>
    <row r="1179">
      <c r="A1179" s="30"/>
      <c r="B1179" s="30"/>
      <c r="C1179" s="290"/>
      <c r="D1179" s="30"/>
      <c r="E1179" s="286"/>
      <c r="F1179" s="30"/>
      <c r="G1179" s="183"/>
      <c r="J1179" s="291"/>
      <c r="K1179" s="291"/>
      <c r="L1179" s="292"/>
      <c r="M1179" s="293"/>
      <c r="N1179" s="293"/>
    </row>
    <row r="1180">
      <c r="A1180" s="30"/>
      <c r="B1180" s="30"/>
      <c r="C1180" s="290"/>
      <c r="D1180" s="30"/>
      <c r="E1180" s="286"/>
      <c r="F1180" s="30"/>
      <c r="G1180" s="183"/>
      <c r="J1180" s="291"/>
      <c r="K1180" s="291"/>
      <c r="L1180" s="292"/>
      <c r="M1180" s="293"/>
      <c r="N1180" s="293"/>
    </row>
    <row r="1181">
      <c r="A1181" s="30"/>
      <c r="B1181" s="30"/>
      <c r="C1181" s="290"/>
      <c r="D1181" s="30"/>
      <c r="E1181" s="286"/>
      <c r="F1181" s="30"/>
      <c r="G1181" s="183"/>
      <c r="J1181" s="291"/>
      <c r="K1181" s="291"/>
      <c r="L1181" s="292"/>
      <c r="M1181" s="293"/>
      <c r="N1181" s="293"/>
    </row>
    <row r="1182">
      <c r="A1182" s="30"/>
      <c r="B1182" s="30"/>
      <c r="C1182" s="290"/>
      <c r="D1182" s="30"/>
      <c r="E1182" s="286"/>
      <c r="F1182" s="30"/>
      <c r="G1182" s="183"/>
      <c r="J1182" s="291"/>
      <c r="K1182" s="291"/>
      <c r="L1182" s="292"/>
      <c r="M1182" s="293"/>
      <c r="N1182" s="293"/>
    </row>
    <row r="1183">
      <c r="A1183" s="30"/>
      <c r="B1183" s="30"/>
      <c r="C1183" s="290"/>
      <c r="D1183" s="30"/>
      <c r="E1183" s="286"/>
      <c r="F1183" s="30"/>
      <c r="G1183" s="183"/>
      <c r="J1183" s="291"/>
      <c r="K1183" s="291"/>
      <c r="L1183" s="292"/>
      <c r="M1183" s="293"/>
      <c r="N1183" s="293"/>
    </row>
    <row r="1184">
      <c r="A1184" s="30"/>
      <c r="B1184" s="30"/>
      <c r="C1184" s="290"/>
      <c r="D1184" s="30"/>
      <c r="E1184" s="286"/>
      <c r="F1184" s="30"/>
      <c r="G1184" s="183"/>
      <c r="J1184" s="291"/>
      <c r="K1184" s="291"/>
      <c r="L1184" s="292"/>
      <c r="M1184" s="293"/>
      <c r="N1184" s="293"/>
    </row>
    <row r="1185">
      <c r="A1185" s="30"/>
      <c r="B1185" s="30"/>
      <c r="C1185" s="290"/>
      <c r="D1185" s="30"/>
      <c r="E1185" s="286"/>
      <c r="F1185" s="30"/>
      <c r="G1185" s="183"/>
      <c r="J1185" s="291"/>
      <c r="K1185" s="291"/>
      <c r="L1185" s="292"/>
      <c r="M1185" s="293"/>
      <c r="N1185" s="293"/>
    </row>
    <row r="1186">
      <c r="A1186" s="30"/>
      <c r="B1186" s="30"/>
      <c r="C1186" s="290"/>
      <c r="D1186" s="30"/>
      <c r="E1186" s="286"/>
      <c r="F1186" s="30"/>
      <c r="G1186" s="183"/>
      <c r="J1186" s="291"/>
      <c r="K1186" s="291"/>
      <c r="L1186" s="292"/>
      <c r="M1186" s="293"/>
      <c r="N1186" s="293"/>
    </row>
    <row r="1187">
      <c r="A1187" s="30"/>
      <c r="B1187" s="30"/>
      <c r="C1187" s="290"/>
      <c r="D1187" s="30"/>
      <c r="E1187" s="286"/>
      <c r="F1187" s="30"/>
      <c r="G1187" s="183"/>
      <c r="J1187" s="291"/>
      <c r="K1187" s="291"/>
      <c r="L1187" s="292"/>
      <c r="M1187" s="293"/>
      <c r="N1187" s="293"/>
    </row>
    <row r="1188">
      <c r="A1188" s="30"/>
      <c r="B1188" s="30"/>
      <c r="C1188" s="290"/>
      <c r="D1188" s="30"/>
      <c r="E1188" s="286"/>
      <c r="F1188" s="30"/>
      <c r="G1188" s="183"/>
      <c r="J1188" s="291"/>
      <c r="K1188" s="291"/>
      <c r="L1188" s="292"/>
      <c r="M1188" s="293"/>
      <c r="N1188" s="293"/>
    </row>
    <row r="1189">
      <c r="A1189" s="30"/>
      <c r="B1189" s="30"/>
      <c r="C1189" s="290"/>
      <c r="D1189" s="30"/>
      <c r="E1189" s="286"/>
      <c r="F1189" s="30"/>
      <c r="G1189" s="183"/>
      <c r="J1189" s="291"/>
      <c r="K1189" s="291"/>
      <c r="L1189" s="292"/>
      <c r="M1189" s="293"/>
      <c r="N1189" s="293"/>
    </row>
    <row r="1190">
      <c r="A1190" s="30"/>
      <c r="B1190" s="30"/>
      <c r="C1190" s="290"/>
      <c r="D1190" s="30"/>
      <c r="E1190" s="286"/>
      <c r="F1190" s="30"/>
      <c r="G1190" s="183"/>
      <c r="J1190" s="291"/>
      <c r="K1190" s="291"/>
      <c r="L1190" s="292"/>
      <c r="M1190" s="293"/>
      <c r="N1190" s="293"/>
    </row>
    <row r="1191">
      <c r="A1191" s="30"/>
      <c r="B1191" s="30"/>
      <c r="C1191" s="290"/>
      <c r="D1191" s="30"/>
      <c r="E1191" s="286"/>
      <c r="F1191" s="30"/>
      <c r="G1191" s="183"/>
      <c r="J1191" s="291"/>
      <c r="K1191" s="291"/>
      <c r="L1191" s="292"/>
      <c r="M1191" s="293"/>
      <c r="N1191" s="293"/>
    </row>
    <row r="1192">
      <c r="A1192" s="30"/>
      <c r="B1192" s="30"/>
      <c r="C1192" s="290"/>
      <c r="D1192" s="30"/>
      <c r="E1192" s="286"/>
      <c r="F1192" s="30"/>
      <c r="G1192" s="183"/>
      <c r="J1192" s="291"/>
      <c r="K1192" s="291"/>
      <c r="L1192" s="292"/>
      <c r="M1192" s="293"/>
      <c r="N1192" s="293"/>
    </row>
    <row r="1193">
      <c r="A1193" s="30"/>
      <c r="B1193" s="30"/>
      <c r="C1193" s="290"/>
      <c r="D1193" s="30"/>
      <c r="E1193" s="286"/>
      <c r="F1193" s="30"/>
      <c r="G1193" s="183"/>
      <c r="J1193" s="291"/>
      <c r="K1193" s="291"/>
      <c r="L1193" s="292"/>
      <c r="M1193" s="293"/>
      <c r="N1193" s="293"/>
    </row>
    <row r="1194">
      <c r="A1194" s="30"/>
      <c r="B1194" s="30"/>
      <c r="C1194" s="290"/>
      <c r="D1194" s="30"/>
      <c r="E1194" s="286"/>
      <c r="F1194" s="30"/>
      <c r="G1194" s="183"/>
      <c r="J1194" s="291"/>
      <c r="K1194" s="291"/>
      <c r="L1194" s="292"/>
      <c r="M1194" s="293"/>
      <c r="N1194" s="293"/>
    </row>
    <row r="1195">
      <c r="A1195" s="30"/>
      <c r="B1195" s="30"/>
      <c r="C1195" s="290"/>
      <c r="D1195" s="30"/>
      <c r="E1195" s="286"/>
      <c r="F1195" s="30"/>
      <c r="G1195" s="183"/>
      <c r="J1195" s="291"/>
      <c r="K1195" s="291"/>
      <c r="L1195" s="292"/>
      <c r="M1195" s="293"/>
      <c r="N1195" s="293"/>
    </row>
    <row r="1196">
      <c r="A1196" s="30"/>
      <c r="B1196" s="30"/>
      <c r="C1196" s="290"/>
      <c r="D1196" s="30"/>
      <c r="E1196" s="286"/>
      <c r="F1196" s="30"/>
      <c r="G1196" s="183"/>
      <c r="J1196" s="291"/>
      <c r="K1196" s="291"/>
      <c r="L1196" s="292"/>
      <c r="M1196" s="293"/>
      <c r="N1196" s="293"/>
    </row>
    <row r="1197">
      <c r="A1197" s="30"/>
      <c r="B1197" s="30"/>
      <c r="C1197" s="290"/>
      <c r="D1197" s="30"/>
      <c r="E1197" s="286"/>
      <c r="F1197" s="30"/>
      <c r="G1197" s="183"/>
      <c r="J1197" s="291"/>
      <c r="K1197" s="291"/>
      <c r="L1197" s="292"/>
      <c r="M1197" s="293"/>
      <c r="N1197" s="293"/>
    </row>
    <row r="1198">
      <c r="A1198" s="30"/>
      <c r="B1198" s="30"/>
      <c r="C1198" s="290"/>
      <c r="D1198" s="30"/>
      <c r="E1198" s="286"/>
      <c r="F1198" s="30"/>
      <c r="G1198" s="183"/>
      <c r="J1198" s="291"/>
      <c r="K1198" s="291"/>
      <c r="L1198" s="292"/>
      <c r="M1198" s="293"/>
      <c r="N1198" s="293"/>
    </row>
    <row r="1199">
      <c r="A1199" s="30"/>
      <c r="B1199" s="30"/>
      <c r="C1199" s="290"/>
      <c r="D1199" s="30"/>
      <c r="E1199" s="286"/>
      <c r="F1199" s="30"/>
      <c r="G1199" s="183"/>
      <c r="J1199" s="291"/>
      <c r="K1199" s="291"/>
      <c r="L1199" s="292"/>
      <c r="M1199" s="293"/>
      <c r="N1199" s="293"/>
    </row>
    <row r="1200">
      <c r="A1200" s="30"/>
      <c r="B1200" s="30"/>
      <c r="C1200" s="290"/>
      <c r="D1200" s="30"/>
      <c r="E1200" s="286"/>
      <c r="F1200" s="30"/>
      <c r="G1200" s="183"/>
      <c r="J1200" s="291"/>
      <c r="K1200" s="291"/>
      <c r="L1200" s="292"/>
      <c r="M1200" s="293"/>
      <c r="N1200" s="293"/>
    </row>
    <row r="1201">
      <c r="A1201" s="30"/>
      <c r="B1201" s="30"/>
      <c r="C1201" s="290"/>
      <c r="D1201" s="30"/>
      <c r="E1201" s="286"/>
      <c r="F1201" s="30"/>
      <c r="G1201" s="183"/>
      <c r="J1201" s="291"/>
      <c r="K1201" s="291"/>
      <c r="L1201" s="292"/>
      <c r="M1201" s="293"/>
      <c r="N1201" s="293"/>
    </row>
    <row r="1202">
      <c r="A1202" s="30"/>
      <c r="B1202" s="30"/>
      <c r="C1202" s="290"/>
      <c r="D1202" s="30"/>
      <c r="E1202" s="286"/>
      <c r="F1202" s="30"/>
      <c r="G1202" s="183"/>
      <c r="J1202" s="291"/>
      <c r="K1202" s="291"/>
      <c r="L1202" s="292"/>
      <c r="M1202" s="293"/>
      <c r="N1202" s="293"/>
    </row>
    <row r="1203">
      <c r="A1203" s="30"/>
      <c r="B1203" s="30"/>
      <c r="C1203" s="290"/>
      <c r="D1203" s="30"/>
      <c r="E1203" s="286"/>
      <c r="F1203" s="30"/>
      <c r="G1203" s="183"/>
      <c r="J1203" s="291"/>
      <c r="K1203" s="291"/>
      <c r="L1203" s="292"/>
      <c r="M1203" s="293"/>
      <c r="N1203" s="293"/>
    </row>
    <row r="1204">
      <c r="A1204" s="30"/>
      <c r="B1204" s="30"/>
      <c r="C1204" s="290"/>
      <c r="D1204" s="30"/>
      <c r="E1204" s="286"/>
      <c r="F1204" s="30"/>
      <c r="G1204" s="183"/>
      <c r="J1204" s="291"/>
      <c r="K1204" s="291"/>
      <c r="L1204" s="292"/>
      <c r="M1204" s="293"/>
      <c r="N1204" s="293"/>
    </row>
    <row r="1205">
      <c r="A1205" s="30"/>
      <c r="B1205" s="30"/>
      <c r="C1205" s="290"/>
      <c r="D1205" s="30"/>
      <c r="E1205" s="286"/>
      <c r="F1205" s="30"/>
      <c r="G1205" s="183"/>
      <c r="J1205" s="291"/>
      <c r="K1205" s="291"/>
      <c r="L1205" s="292"/>
      <c r="M1205" s="293"/>
      <c r="N1205" s="293"/>
    </row>
    <row r="1206">
      <c r="A1206" s="30"/>
      <c r="B1206" s="30"/>
      <c r="C1206" s="290"/>
      <c r="D1206" s="30"/>
      <c r="E1206" s="286"/>
      <c r="F1206" s="30"/>
      <c r="G1206" s="183"/>
      <c r="J1206" s="291"/>
      <c r="K1206" s="291"/>
      <c r="L1206" s="292"/>
      <c r="M1206" s="293"/>
      <c r="N1206" s="293"/>
    </row>
    <row r="1207">
      <c r="A1207" s="30"/>
      <c r="B1207" s="30"/>
      <c r="C1207" s="290"/>
      <c r="D1207" s="30"/>
      <c r="E1207" s="286"/>
      <c r="F1207" s="30"/>
      <c r="G1207" s="183"/>
      <c r="J1207" s="291"/>
      <c r="K1207" s="291"/>
      <c r="L1207" s="292"/>
      <c r="M1207" s="293"/>
      <c r="N1207" s="293"/>
    </row>
    <row r="1208">
      <c r="A1208" s="30"/>
      <c r="B1208" s="30"/>
      <c r="C1208" s="290"/>
      <c r="D1208" s="30"/>
      <c r="E1208" s="286"/>
      <c r="F1208" s="30"/>
      <c r="G1208" s="183"/>
      <c r="J1208" s="291"/>
      <c r="K1208" s="291"/>
      <c r="L1208" s="292"/>
      <c r="M1208" s="293"/>
      <c r="N1208" s="293"/>
    </row>
    <row r="1209">
      <c r="A1209" s="30"/>
      <c r="B1209" s="30"/>
      <c r="C1209" s="290"/>
      <c r="D1209" s="30"/>
      <c r="E1209" s="286"/>
      <c r="F1209" s="30"/>
      <c r="G1209" s="183"/>
      <c r="J1209" s="291"/>
      <c r="K1209" s="291"/>
      <c r="L1209" s="292"/>
      <c r="M1209" s="293"/>
      <c r="N1209" s="293"/>
    </row>
    <row r="1210">
      <c r="A1210" s="30"/>
      <c r="B1210" s="30"/>
      <c r="C1210" s="290"/>
      <c r="D1210" s="30"/>
      <c r="E1210" s="286"/>
      <c r="F1210" s="30"/>
      <c r="G1210" s="183"/>
      <c r="J1210" s="291"/>
      <c r="K1210" s="291"/>
      <c r="L1210" s="292"/>
      <c r="M1210" s="293"/>
      <c r="N1210" s="293"/>
    </row>
    <row r="1211">
      <c r="A1211" s="30"/>
      <c r="B1211" s="30"/>
      <c r="C1211" s="290"/>
      <c r="D1211" s="30"/>
      <c r="E1211" s="286"/>
      <c r="F1211" s="30"/>
      <c r="G1211" s="183"/>
      <c r="J1211" s="291"/>
      <c r="K1211" s="291"/>
      <c r="L1211" s="292"/>
      <c r="M1211" s="293"/>
      <c r="N1211" s="293"/>
    </row>
    <row r="1212">
      <c r="A1212" s="30"/>
      <c r="B1212" s="30"/>
      <c r="C1212" s="290"/>
      <c r="D1212" s="30"/>
      <c r="E1212" s="286"/>
      <c r="F1212" s="30"/>
      <c r="G1212" s="183"/>
      <c r="J1212" s="291"/>
      <c r="K1212" s="291"/>
      <c r="L1212" s="292"/>
      <c r="M1212" s="293"/>
      <c r="N1212" s="293"/>
    </row>
    <row r="1213">
      <c r="A1213" s="30"/>
      <c r="B1213" s="30"/>
      <c r="C1213" s="290"/>
      <c r="D1213" s="30"/>
      <c r="E1213" s="286"/>
      <c r="F1213" s="30"/>
      <c r="G1213" s="183"/>
      <c r="J1213" s="291"/>
      <c r="K1213" s="291"/>
      <c r="L1213" s="292"/>
      <c r="M1213" s="293"/>
      <c r="N1213" s="293"/>
    </row>
    <row r="1214">
      <c r="A1214" s="30"/>
      <c r="B1214" s="30"/>
      <c r="C1214" s="290"/>
      <c r="D1214" s="30"/>
      <c r="E1214" s="286"/>
      <c r="F1214" s="30"/>
      <c r="G1214" s="183"/>
      <c r="J1214" s="291"/>
      <c r="K1214" s="291"/>
      <c r="L1214" s="292"/>
      <c r="M1214" s="293"/>
      <c r="N1214" s="293"/>
    </row>
    <row r="1215">
      <c r="A1215" s="30"/>
      <c r="B1215" s="30"/>
      <c r="C1215" s="290"/>
      <c r="D1215" s="30"/>
      <c r="E1215" s="286"/>
      <c r="F1215" s="30"/>
      <c r="G1215" s="183"/>
      <c r="J1215" s="291"/>
      <c r="K1215" s="291"/>
      <c r="L1215" s="292"/>
      <c r="M1215" s="293"/>
      <c r="N1215" s="293"/>
    </row>
    <row r="1216">
      <c r="A1216" s="30"/>
      <c r="B1216" s="30"/>
      <c r="C1216" s="290"/>
      <c r="D1216" s="30"/>
      <c r="E1216" s="286"/>
      <c r="F1216" s="30"/>
      <c r="G1216" s="183"/>
      <c r="J1216" s="291"/>
      <c r="K1216" s="291"/>
      <c r="L1216" s="292"/>
      <c r="M1216" s="293"/>
      <c r="N1216" s="293"/>
    </row>
    <row r="1217">
      <c r="A1217" s="30"/>
      <c r="B1217" s="30"/>
      <c r="C1217" s="290"/>
      <c r="D1217" s="30"/>
      <c r="E1217" s="286"/>
      <c r="F1217" s="30"/>
      <c r="G1217" s="183"/>
      <c r="J1217" s="291"/>
      <c r="K1217" s="291"/>
      <c r="L1217" s="292"/>
      <c r="M1217" s="293"/>
      <c r="N1217" s="293"/>
    </row>
    <row r="1218">
      <c r="A1218" s="30"/>
      <c r="B1218" s="30"/>
      <c r="C1218" s="290"/>
      <c r="D1218" s="30"/>
      <c r="E1218" s="286"/>
      <c r="F1218" s="30"/>
      <c r="G1218" s="183"/>
      <c r="J1218" s="291"/>
      <c r="K1218" s="291"/>
      <c r="L1218" s="292"/>
      <c r="M1218" s="293"/>
      <c r="N1218" s="293"/>
    </row>
    <row r="1219">
      <c r="A1219" s="30"/>
      <c r="B1219" s="30"/>
      <c r="C1219" s="290"/>
      <c r="D1219" s="30"/>
      <c r="E1219" s="286"/>
      <c r="F1219" s="30"/>
      <c r="G1219" s="183"/>
      <c r="J1219" s="291"/>
      <c r="K1219" s="291"/>
      <c r="L1219" s="292"/>
      <c r="M1219" s="293"/>
      <c r="N1219" s="293"/>
    </row>
    <row r="1220">
      <c r="A1220" s="30"/>
      <c r="B1220" s="30"/>
      <c r="C1220" s="290"/>
      <c r="D1220" s="30"/>
      <c r="E1220" s="286"/>
      <c r="F1220" s="30"/>
      <c r="G1220" s="183"/>
      <c r="J1220" s="291"/>
      <c r="K1220" s="291"/>
      <c r="L1220" s="292"/>
      <c r="M1220" s="293"/>
      <c r="N1220" s="293"/>
    </row>
    <row r="1221">
      <c r="A1221" s="30"/>
      <c r="B1221" s="30"/>
      <c r="C1221" s="290"/>
      <c r="D1221" s="30"/>
      <c r="E1221" s="286"/>
      <c r="F1221" s="30"/>
      <c r="G1221" s="183"/>
      <c r="J1221" s="291"/>
      <c r="K1221" s="291"/>
      <c r="L1221" s="292"/>
      <c r="M1221" s="293"/>
      <c r="N1221" s="293"/>
    </row>
    <row r="1222">
      <c r="A1222" s="30"/>
      <c r="B1222" s="30"/>
      <c r="C1222" s="290"/>
      <c r="D1222" s="30"/>
      <c r="E1222" s="286"/>
      <c r="F1222" s="30"/>
      <c r="G1222" s="183"/>
      <c r="J1222" s="291"/>
      <c r="K1222" s="291"/>
      <c r="L1222" s="292"/>
      <c r="M1222" s="293"/>
      <c r="N1222" s="293"/>
    </row>
    <row r="1223">
      <c r="A1223" s="30"/>
      <c r="B1223" s="30"/>
      <c r="C1223" s="290"/>
      <c r="D1223" s="30"/>
      <c r="E1223" s="286"/>
      <c r="F1223" s="30"/>
      <c r="G1223" s="183"/>
      <c r="J1223" s="291"/>
      <c r="K1223" s="291"/>
      <c r="L1223" s="292"/>
      <c r="M1223" s="293"/>
      <c r="N1223" s="293"/>
    </row>
    <row r="1224">
      <c r="A1224" s="30"/>
      <c r="B1224" s="30"/>
      <c r="C1224" s="290"/>
      <c r="D1224" s="30"/>
      <c r="E1224" s="286"/>
      <c r="F1224" s="30"/>
      <c r="G1224" s="183"/>
      <c r="J1224" s="291"/>
      <c r="K1224" s="291"/>
      <c r="L1224" s="292"/>
      <c r="M1224" s="293"/>
      <c r="N1224" s="293"/>
    </row>
    <row r="1225">
      <c r="A1225" s="30"/>
      <c r="B1225" s="30"/>
      <c r="C1225" s="290"/>
      <c r="D1225" s="30"/>
      <c r="E1225" s="286"/>
      <c r="F1225" s="30"/>
      <c r="G1225" s="183"/>
      <c r="J1225" s="291"/>
      <c r="K1225" s="291"/>
      <c r="L1225" s="292"/>
      <c r="M1225" s="293"/>
      <c r="N1225" s="293"/>
    </row>
    <row r="1226">
      <c r="A1226" s="30"/>
      <c r="B1226" s="30"/>
      <c r="C1226" s="290"/>
      <c r="D1226" s="30"/>
      <c r="E1226" s="286"/>
      <c r="F1226" s="30"/>
      <c r="G1226" s="183"/>
      <c r="J1226" s="291"/>
      <c r="K1226" s="291"/>
      <c r="L1226" s="292"/>
      <c r="M1226" s="293"/>
      <c r="N1226" s="293"/>
    </row>
    <row r="1227">
      <c r="A1227" s="30"/>
      <c r="B1227" s="30"/>
      <c r="C1227" s="290"/>
      <c r="D1227" s="30"/>
      <c r="E1227" s="286"/>
      <c r="F1227" s="30"/>
      <c r="G1227" s="183"/>
      <c r="J1227" s="291"/>
      <c r="K1227" s="291"/>
      <c r="L1227" s="292"/>
      <c r="M1227" s="293"/>
      <c r="N1227" s="293"/>
    </row>
    <row r="1228">
      <c r="A1228" s="30"/>
      <c r="B1228" s="30"/>
      <c r="C1228" s="290"/>
      <c r="D1228" s="30"/>
      <c r="E1228" s="286"/>
      <c r="F1228" s="30"/>
      <c r="G1228" s="183"/>
      <c r="J1228" s="291"/>
      <c r="K1228" s="291"/>
      <c r="L1228" s="292"/>
      <c r="M1228" s="293"/>
      <c r="N1228" s="293"/>
    </row>
  </sheetData>
  <mergeCells count="700">
    <mergeCell ref="F127:F131"/>
    <mergeCell ref="G127:G131"/>
    <mergeCell ref="A117:A131"/>
    <mergeCell ref="B117:B131"/>
    <mergeCell ref="C117:C131"/>
    <mergeCell ref="D117:D131"/>
    <mergeCell ref="E117:E131"/>
    <mergeCell ref="F117:F126"/>
    <mergeCell ref="G117:G126"/>
    <mergeCell ref="D98:D99"/>
    <mergeCell ref="E98:E99"/>
    <mergeCell ref="G98:G99"/>
    <mergeCell ref="A89:A93"/>
    <mergeCell ref="B89:B93"/>
    <mergeCell ref="C89:C93"/>
    <mergeCell ref="D89:D93"/>
    <mergeCell ref="E89:E93"/>
    <mergeCell ref="F89:F93"/>
    <mergeCell ref="A98:A99"/>
    <mergeCell ref="F98:F99"/>
    <mergeCell ref="F102:F106"/>
    <mergeCell ref="G102:G106"/>
    <mergeCell ref="A108:A109"/>
    <mergeCell ref="B108:B109"/>
    <mergeCell ref="C108:C109"/>
    <mergeCell ref="D108:D109"/>
    <mergeCell ref="E108:E109"/>
    <mergeCell ref="F108:F109"/>
    <mergeCell ref="G108:G109"/>
    <mergeCell ref="B98:B99"/>
    <mergeCell ref="C98:C99"/>
    <mergeCell ref="A102:A107"/>
    <mergeCell ref="B102:B107"/>
    <mergeCell ref="C102:C107"/>
    <mergeCell ref="D102:D107"/>
    <mergeCell ref="E102:E107"/>
    <mergeCell ref="A111:A114"/>
    <mergeCell ref="B111:B114"/>
    <mergeCell ref="C111:C114"/>
    <mergeCell ref="D111:D114"/>
    <mergeCell ref="E111:E114"/>
    <mergeCell ref="F111:F114"/>
    <mergeCell ref="G111:G114"/>
    <mergeCell ref="A154:A156"/>
    <mergeCell ref="B154:B156"/>
    <mergeCell ref="C154:C156"/>
    <mergeCell ref="D154:D156"/>
    <mergeCell ref="E154:E156"/>
    <mergeCell ref="F154:F155"/>
    <mergeCell ref="G154:G155"/>
    <mergeCell ref="E6:E10"/>
    <mergeCell ref="F6:F10"/>
    <mergeCell ref="E12:E13"/>
    <mergeCell ref="F12:F13"/>
    <mergeCell ref="G12:G13"/>
    <mergeCell ref="A1:B3"/>
    <mergeCell ref="C1:F3"/>
    <mergeCell ref="H1:M1"/>
    <mergeCell ref="K2:M2"/>
    <mergeCell ref="K3:M3"/>
    <mergeCell ref="A6:A10"/>
    <mergeCell ref="B6:B10"/>
    <mergeCell ref="G6:G10"/>
    <mergeCell ref="B15:B18"/>
    <mergeCell ref="C15:C18"/>
    <mergeCell ref="E15:E18"/>
    <mergeCell ref="F15:F18"/>
    <mergeCell ref="A15:A18"/>
    <mergeCell ref="A20:A21"/>
    <mergeCell ref="B20:B21"/>
    <mergeCell ref="C20:C21"/>
    <mergeCell ref="D20:D21"/>
    <mergeCell ref="E20:E21"/>
    <mergeCell ref="F20:F21"/>
    <mergeCell ref="G20:G21"/>
    <mergeCell ref="C6:C10"/>
    <mergeCell ref="D6:D10"/>
    <mergeCell ref="A12:A13"/>
    <mergeCell ref="B12:B13"/>
    <mergeCell ref="C12:C13"/>
    <mergeCell ref="D12:D13"/>
    <mergeCell ref="D15:D18"/>
    <mergeCell ref="A24:A25"/>
    <mergeCell ref="B24:B25"/>
    <mergeCell ref="C24:C25"/>
    <mergeCell ref="D24:D25"/>
    <mergeCell ref="E24:E25"/>
    <mergeCell ref="F24:F25"/>
    <mergeCell ref="G24:G25"/>
    <mergeCell ref="B33:B34"/>
    <mergeCell ref="C33:C34"/>
    <mergeCell ref="A44:A50"/>
    <mergeCell ref="B51:B53"/>
    <mergeCell ref="C51:C53"/>
    <mergeCell ref="D51:D53"/>
    <mergeCell ref="E51:E53"/>
    <mergeCell ref="F51:F53"/>
    <mergeCell ref="G51:G53"/>
    <mergeCell ref="A51:A53"/>
    <mergeCell ref="B54:B59"/>
    <mergeCell ref="C54:C59"/>
    <mergeCell ref="D54:D59"/>
    <mergeCell ref="E54:E59"/>
    <mergeCell ref="F54:F59"/>
    <mergeCell ref="G54:G59"/>
    <mergeCell ref="G60:G61"/>
    <mergeCell ref="A54:A59"/>
    <mergeCell ref="A60:A61"/>
    <mergeCell ref="B60:B61"/>
    <mergeCell ref="C60:C61"/>
    <mergeCell ref="D60:D61"/>
    <mergeCell ref="E60:E61"/>
    <mergeCell ref="F60:F61"/>
    <mergeCell ref="G78:G85"/>
    <mergeCell ref="G86:G88"/>
    <mergeCell ref="G89:G93"/>
    <mergeCell ref="A62:A77"/>
    <mergeCell ref="B62:B77"/>
    <mergeCell ref="C62:C77"/>
    <mergeCell ref="D62:D77"/>
    <mergeCell ref="E62:E77"/>
    <mergeCell ref="F62:F77"/>
    <mergeCell ref="G62:G77"/>
    <mergeCell ref="D33:D34"/>
    <mergeCell ref="E33:E34"/>
    <mergeCell ref="A30:A32"/>
    <mergeCell ref="B30:B32"/>
    <mergeCell ref="C30:C32"/>
    <mergeCell ref="D30:D32"/>
    <mergeCell ref="E30:E32"/>
    <mergeCell ref="F30:F32"/>
    <mergeCell ref="F33:F34"/>
    <mergeCell ref="A33:A34"/>
    <mergeCell ref="A35:A36"/>
    <mergeCell ref="B35:B36"/>
    <mergeCell ref="C35:C36"/>
    <mergeCell ref="D35:D36"/>
    <mergeCell ref="E35:E36"/>
    <mergeCell ref="F35:F36"/>
    <mergeCell ref="D41:D43"/>
    <mergeCell ref="E41:E43"/>
    <mergeCell ref="A37:A40"/>
    <mergeCell ref="B37:B40"/>
    <mergeCell ref="C37:C40"/>
    <mergeCell ref="D37:D40"/>
    <mergeCell ref="E37:E40"/>
    <mergeCell ref="F37:F40"/>
    <mergeCell ref="A41:A43"/>
    <mergeCell ref="F41:F43"/>
    <mergeCell ref="B41:B43"/>
    <mergeCell ref="C41:C43"/>
    <mergeCell ref="B44:B50"/>
    <mergeCell ref="C44:C50"/>
    <mergeCell ref="D44:D50"/>
    <mergeCell ref="E44:E50"/>
    <mergeCell ref="F44:F50"/>
    <mergeCell ref="A78:A88"/>
    <mergeCell ref="B78:B88"/>
    <mergeCell ref="C78:C88"/>
    <mergeCell ref="D78:D88"/>
    <mergeCell ref="E78:E88"/>
    <mergeCell ref="F78:F85"/>
    <mergeCell ref="F86:F88"/>
    <mergeCell ref="A132:A133"/>
    <mergeCell ref="B132:B133"/>
    <mergeCell ref="C132:C133"/>
    <mergeCell ref="D132:D133"/>
    <mergeCell ref="E132:E133"/>
    <mergeCell ref="F132:F133"/>
    <mergeCell ref="G132:G133"/>
    <mergeCell ref="A136:A140"/>
    <mergeCell ref="B136:B140"/>
    <mergeCell ref="C136:C140"/>
    <mergeCell ref="D136:D140"/>
    <mergeCell ref="E136:E140"/>
    <mergeCell ref="F136:F140"/>
    <mergeCell ref="G136:G140"/>
    <mergeCell ref="F152:F153"/>
    <mergeCell ref="G152:G153"/>
    <mergeCell ref="A142:A153"/>
    <mergeCell ref="B142:B153"/>
    <mergeCell ref="C142:C153"/>
    <mergeCell ref="D142:D153"/>
    <mergeCell ref="E142:E153"/>
    <mergeCell ref="F142:F151"/>
    <mergeCell ref="G142:G151"/>
    <mergeCell ref="A225:A226"/>
    <mergeCell ref="B225:B226"/>
    <mergeCell ref="C225:C226"/>
    <mergeCell ref="D225:D226"/>
    <mergeCell ref="E225:E226"/>
    <mergeCell ref="F225:F226"/>
    <mergeCell ref="G225:G226"/>
    <mergeCell ref="A235:A237"/>
    <mergeCell ref="B235:B237"/>
    <mergeCell ref="C235:C237"/>
    <mergeCell ref="D235:D237"/>
    <mergeCell ref="E235:E237"/>
    <mergeCell ref="F235:F237"/>
    <mergeCell ref="G235:G237"/>
    <mergeCell ref="A228:A231"/>
    <mergeCell ref="B228:B231"/>
    <mergeCell ref="C228:C231"/>
    <mergeCell ref="D228:D231"/>
    <mergeCell ref="E228:E231"/>
    <mergeCell ref="F229:F230"/>
    <mergeCell ref="G229:G230"/>
    <mergeCell ref="F169:F180"/>
    <mergeCell ref="G169:G180"/>
    <mergeCell ref="A157:A180"/>
    <mergeCell ref="B157:B180"/>
    <mergeCell ref="C157:C180"/>
    <mergeCell ref="D157:D180"/>
    <mergeCell ref="E157:E180"/>
    <mergeCell ref="F157:F167"/>
    <mergeCell ref="G157:G167"/>
    <mergeCell ref="A181:A189"/>
    <mergeCell ref="B181:B189"/>
    <mergeCell ref="C181:C189"/>
    <mergeCell ref="D181:D189"/>
    <mergeCell ref="E181:E189"/>
    <mergeCell ref="F181:F189"/>
    <mergeCell ref="G181:G189"/>
    <mergeCell ref="C195:C199"/>
    <mergeCell ref="D195:D199"/>
    <mergeCell ref="E195:E199"/>
    <mergeCell ref="F195:F197"/>
    <mergeCell ref="G195:G197"/>
    <mergeCell ref="A193:A194"/>
    <mergeCell ref="B193:B194"/>
    <mergeCell ref="C193:C194"/>
    <mergeCell ref="D193:D194"/>
    <mergeCell ref="E193:E194"/>
    <mergeCell ref="A195:A199"/>
    <mergeCell ref="B195:B199"/>
    <mergeCell ref="A200:A202"/>
    <mergeCell ref="B200:B202"/>
    <mergeCell ref="C200:C202"/>
    <mergeCell ref="D200:D202"/>
    <mergeCell ref="E200:E202"/>
    <mergeCell ref="F200:F201"/>
    <mergeCell ref="G200:G201"/>
    <mergeCell ref="D207:D210"/>
    <mergeCell ref="E207:E210"/>
    <mergeCell ref="F207:F208"/>
    <mergeCell ref="G207:G208"/>
    <mergeCell ref="G209:G210"/>
    <mergeCell ref="A204:A205"/>
    <mergeCell ref="B204:B205"/>
    <mergeCell ref="C204:C205"/>
    <mergeCell ref="D204:D205"/>
    <mergeCell ref="E204:E205"/>
    <mergeCell ref="F204:F205"/>
    <mergeCell ref="A207:A210"/>
    <mergeCell ref="F209:F210"/>
    <mergeCell ref="F214:F215"/>
    <mergeCell ref="G214:G215"/>
    <mergeCell ref="A216:A218"/>
    <mergeCell ref="B216:B218"/>
    <mergeCell ref="C216:C218"/>
    <mergeCell ref="D216:D218"/>
    <mergeCell ref="E216:E218"/>
    <mergeCell ref="F216:F217"/>
    <mergeCell ref="G216:G217"/>
    <mergeCell ref="A219:A220"/>
    <mergeCell ref="B219:B220"/>
    <mergeCell ref="C219:C220"/>
    <mergeCell ref="D219:D220"/>
    <mergeCell ref="E219:E220"/>
    <mergeCell ref="F219:F220"/>
    <mergeCell ref="G219:G220"/>
    <mergeCell ref="B207:B210"/>
    <mergeCell ref="C207:C210"/>
    <mergeCell ref="A214:A215"/>
    <mergeCell ref="B214:B215"/>
    <mergeCell ref="C214:C215"/>
    <mergeCell ref="D214:D215"/>
    <mergeCell ref="E214:E215"/>
    <mergeCell ref="F247:F257"/>
    <mergeCell ref="G247:G257"/>
    <mergeCell ref="A238:A257"/>
    <mergeCell ref="B238:B257"/>
    <mergeCell ref="C238:C257"/>
    <mergeCell ref="D238:D257"/>
    <mergeCell ref="E238:E257"/>
    <mergeCell ref="F238:F246"/>
    <mergeCell ref="G238:G246"/>
    <mergeCell ref="F270:F280"/>
    <mergeCell ref="G270:G280"/>
    <mergeCell ref="A258:A280"/>
    <mergeCell ref="B258:B280"/>
    <mergeCell ref="C258:C280"/>
    <mergeCell ref="D258:D280"/>
    <mergeCell ref="E258:E280"/>
    <mergeCell ref="F258:F269"/>
    <mergeCell ref="G258:G269"/>
    <mergeCell ref="C286:C287"/>
    <mergeCell ref="D286:D287"/>
    <mergeCell ref="F286:F287"/>
    <mergeCell ref="G286:G287"/>
    <mergeCell ref="A286:A287"/>
    <mergeCell ref="A289:A290"/>
    <mergeCell ref="B289:B290"/>
    <mergeCell ref="C289:C290"/>
    <mergeCell ref="D289:D290"/>
    <mergeCell ref="E289:E290"/>
    <mergeCell ref="F289:F290"/>
    <mergeCell ref="G289:G290"/>
    <mergeCell ref="A282:A283"/>
    <mergeCell ref="B282:B283"/>
    <mergeCell ref="C282:C283"/>
    <mergeCell ref="D282:D283"/>
    <mergeCell ref="E282:E283"/>
    <mergeCell ref="B286:B287"/>
    <mergeCell ref="E286:E287"/>
    <mergeCell ref="F324:F325"/>
    <mergeCell ref="G324:G325"/>
    <mergeCell ref="A326:A327"/>
    <mergeCell ref="B326:B327"/>
    <mergeCell ref="C326:C327"/>
    <mergeCell ref="D326:D327"/>
    <mergeCell ref="E326:E327"/>
    <mergeCell ref="F326:F327"/>
    <mergeCell ref="G326:G327"/>
    <mergeCell ref="A293:A300"/>
    <mergeCell ref="B293:B300"/>
    <mergeCell ref="C293:C300"/>
    <mergeCell ref="D293:D300"/>
    <mergeCell ref="E293:E300"/>
    <mergeCell ref="F293:F300"/>
    <mergeCell ref="G293:G300"/>
    <mergeCell ref="A301:A302"/>
    <mergeCell ref="B301:B302"/>
    <mergeCell ref="C301:C302"/>
    <mergeCell ref="D301:D302"/>
    <mergeCell ref="E301:E302"/>
    <mergeCell ref="F301:F302"/>
    <mergeCell ref="G301:G302"/>
    <mergeCell ref="A303:A314"/>
    <mergeCell ref="B303:B314"/>
    <mergeCell ref="C303:C314"/>
    <mergeCell ref="D303:D314"/>
    <mergeCell ref="E303:E314"/>
    <mergeCell ref="F303:F314"/>
    <mergeCell ref="G303:G314"/>
    <mergeCell ref="E317:E318"/>
    <mergeCell ref="F317:F318"/>
    <mergeCell ref="G317:G318"/>
    <mergeCell ref="A315:A316"/>
    <mergeCell ref="B315:B316"/>
    <mergeCell ref="C315:C316"/>
    <mergeCell ref="D315:D316"/>
    <mergeCell ref="E315:E316"/>
    <mergeCell ref="A317:A318"/>
    <mergeCell ref="B317:B318"/>
    <mergeCell ref="C317:C318"/>
    <mergeCell ref="D317:D318"/>
    <mergeCell ref="A324:A325"/>
    <mergeCell ref="B324:B325"/>
    <mergeCell ref="C324:C325"/>
    <mergeCell ref="D324:D325"/>
    <mergeCell ref="E324:E325"/>
    <mergeCell ref="A330:A331"/>
    <mergeCell ref="B330:B331"/>
    <mergeCell ref="C330:C331"/>
    <mergeCell ref="D330:D331"/>
    <mergeCell ref="E330:E331"/>
    <mergeCell ref="F330:F331"/>
    <mergeCell ref="G330:G331"/>
    <mergeCell ref="A403:A405"/>
    <mergeCell ref="B403:B405"/>
    <mergeCell ref="C403:C405"/>
    <mergeCell ref="D403:D405"/>
    <mergeCell ref="E403:E405"/>
    <mergeCell ref="F403:F405"/>
    <mergeCell ref="G403:G405"/>
    <mergeCell ref="A408:A413"/>
    <mergeCell ref="B408:B413"/>
    <mergeCell ref="C408:C413"/>
    <mergeCell ref="D408:D413"/>
    <mergeCell ref="E408:E413"/>
    <mergeCell ref="F408:F413"/>
    <mergeCell ref="G408:G413"/>
    <mergeCell ref="A414:A422"/>
    <mergeCell ref="B414:B422"/>
    <mergeCell ref="C414:C422"/>
    <mergeCell ref="D414:D422"/>
    <mergeCell ref="E414:E422"/>
    <mergeCell ref="F414:F421"/>
    <mergeCell ref="G414:G421"/>
    <mergeCell ref="A423:A427"/>
    <mergeCell ref="B423:B427"/>
    <mergeCell ref="C423:C427"/>
    <mergeCell ref="D423:D427"/>
    <mergeCell ref="E423:E427"/>
    <mergeCell ref="F423:F427"/>
    <mergeCell ref="G423:G427"/>
    <mergeCell ref="A548:A551"/>
    <mergeCell ref="B548:B551"/>
    <mergeCell ref="C548:C551"/>
    <mergeCell ref="D548:D551"/>
    <mergeCell ref="E548:E551"/>
    <mergeCell ref="F548:F551"/>
    <mergeCell ref="G548:G551"/>
    <mergeCell ref="A552:A559"/>
    <mergeCell ref="B552:B559"/>
    <mergeCell ref="C552:C559"/>
    <mergeCell ref="D552:D559"/>
    <mergeCell ref="E552:E559"/>
    <mergeCell ref="F552:F559"/>
    <mergeCell ref="G552:G559"/>
    <mergeCell ref="A596:A597"/>
    <mergeCell ref="B596:B597"/>
    <mergeCell ref="C596:C597"/>
    <mergeCell ref="D596:D597"/>
    <mergeCell ref="E596:E597"/>
    <mergeCell ref="F596:F597"/>
    <mergeCell ref="G596:G597"/>
    <mergeCell ref="A598:A600"/>
    <mergeCell ref="B598:B600"/>
    <mergeCell ref="C598:C600"/>
    <mergeCell ref="D598:D600"/>
    <mergeCell ref="E598:E600"/>
    <mergeCell ref="F598:F600"/>
    <mergeCell ref="G598:G600"/>
    <mergeCell ref="A612:A615"/>
    <mergeCell ref="B612:B615"/>
    <mergeCell ref="C612:C615"/>
    <mergeCell ref="D612:D615"/>
    <mergeCell ref="E612:E615"/>
    <mergeCell ref="F612:F615"/>
    <mergeCell ref="G612:G615"/>
    <mergeCell ref="A620:A621"/>
    <mergeCell ref="B620:B621"/>
    <mergeCell ref="C620:C621"/>
    <mergeCell ref="D620:D621"/>
    <mergeCell ref="E620:E621"/>
    <mergeCell ref="F620:F621"/>
    <mergeCell ref="G620:G621"/>
    <mergeCell ref="D631:D637"/>
    <mergeCell ref="E631:E637"/>
    <mergeCell ref="G631:G635"/>
    <mergeCell ref="F636:F637"/>
    <mergeCell ref="G636:G637"/>
    <mergeCell ref="A623:A629"/>
    <mergeCell ref="B623:B629"/>
    <mergeCell ref="C623:C629"/>
    <mergeCell ref="D623:D629"/>
    <mergeCell ref="E623:E629"/>
    <mergeCell ref="F623:F629"/>
    <mergeCell ref="A631:A637"/>
    <mergeCell ref="F631:F635"/>
    <mergeCell ref="F641:F645"/>
    <mergeCell ref="G641:G645"/>
    <mergeCell ref="B631:B637"/>
    <mergeCell ref="C631:C637"/>
    <mergeCell ref="A641:A645"/>
    <mergeCell ref="B641:B645"/>
    <mergeCell ref="C641:C645"/>
    <mergeCell ref="D641:D645"/>
    <mergeCell ref="E641:E645"/>
    <mergeCell ref="A519:A523"/>
    <mergeCell ref="B519:B523"/>
    <mergeCell ref="C519:C523"/>
    <mergeCell ref="D519:D523"/>
    <mergeCell ref="E519:E523"/>
    <mergeCell ref="F519:F523"/>
    <mergeCell ref="G519:G523"/>
    <mergeCell ref="A524:A525"/>
    <mergeCell ref="B524:B525"/>
    <mergeCell ref="C524:C525"/>
    <mergeCell ref="D524:D525"/>
    <mergeCell ref="E524:E525"/>
    <mergeCell ref="F524:F525"/>
    <mergeCell ref="G524:G525"/>
    <mergeCell ref="A527:A528"/>
    <mergeCell ref="B527:B528"/>
    <mergeCell ref="C527:C528"/>
    <mergeCell ref="D527:D528"/>
    <mergeCell ref="E527:E528"/>
    <mergeCell ref="F527:F528"/>
    <mergeCell ref="G527:G528"/>
    <mergeCell ref="A529:A531"/>
    <mergeCell ref="B529:B531"/>
    <mergeCell ref="C529:C531"/>
    <mergeCell ref="D529:D531"/>
    <mergeCell ref="E529:E531"/>
    <mergeCell ref="F529:F531"/>
    <mergeCell ref="G529:G531"/>
    <mergeCell ref="A537:A541"/>
    <mergeCell ref="B537:B541"/>
    <mergeCell ref="C537:C541"/>
    <mergeCell ref="D537:D541"/>
    <mergeCell ref="E537:E541"/>
    <mergeCell ref="F537:F541"/>
    <mergeCell ref="G537:G541"/>
    <mergeCell ref="A543:A547"/>
    <mergeCell ref="B543:B547"/>
    <mergeCell ref="C543:C547"/>
    <mergeCell ref="D543:D547"/>
    <mergeCell ref="E543:E547"/>
    <mergeCell ref="F543:F547"/>
    <mergeCell ref="G543:G547"/>
    <mergeCell ref="A603:A604"/>
    <mergeCell ref="B603:B604"/>
    <mergeCell ref="C603:C604"/>
    <mergeCell ref="D603:D604"/>
    <mergeCell ref="E603:E604"/>
    <mergeCell ref="F603:F604"/>
    <mergeCell ref="G603:G604"/>
    <mergeCell ref="D337:D344"/>
    <mergeCell ref="E337:E344"/>
    <mergeCell ref="D345:D349"/>
    <mergeCell ref="E345:E349"/>
    <mergeCell ref="D350:D357"/>
    <mergeCell ref="E350:E357"/>
    <mergeCell ref="F337:F344"/>
    <mergeCell ref="G337:G344"/>
    <mergeCell ref="F345:F348"/>
    <mergeCell ref="G345:G348"/>
    <mergeCell ref="F350:F357"/>
    <mergeCell ref="G350:G357"/>
    <mergeCell ref="A335:A336"/>
    <mergeCell ref="B335:B336"/>
    <mergeCell ref="C335:C336"/>
    <mergeCell ref="D335:D336"/>
    <mergeCell ref="E335:E336"/>
    <mergeCell ref="F335:F336"/>
    <mergeCell ref="A337:A344"/>
    <mergeCell ref="E360:E362"/>
    <mergeCell ref="F360:F362"/>
    <mergeCell ref="G360:G362"/>
    <mergeCell ref="B364:B366"/>
    <mergeCell ref="C364:C366"/>
    <mergeCell ref="D364:D366"/>
    <mergeCell ref="E364:E366"/>
    <mergeCell ref="F364:F366"/>
    <mergeCell ref="G364:G366"/>
    <mergeCell ref="B358:B359"/>
    <mergeCell ref="C358:C359"/>
    <mergeCell ref="D358:D359"/>
    <mergeCell ref="E358:E359"/>
    <mergeCell ref="B360:B362"/>
    <mergeCell ref="C360:C362"/>
    <mergeCell ref="D360:D362"/>
    <mergeCell ref="D368:D374"/>
    <mergeCell ref="E368:E374"/>
    <mergeCell ref="F368:F370"/>
    <mergeCell ref="G368:G370"/>
    <mergeCell ref="F371:F374"/>
    <mergeCell ref="G371:G374"/>
    <mergeCell ref="B337:B344"/>
    <mergeCell ref="C337:C344"/>
    <mergeCell ref="A345:A349"/>
    <mergeCell ref="B345:B349"/>
    <mergeCell ref="C345:C349"/>
    <mergeCell ref="B350:B357"/>
    <mergeCell ref="C350:C357"/>
    <mergeCell ref="A350:A357"/>
    <mergeCell ref="A358:A359"/>
    <mergeCell ref="A360:A362"/>
    <mergeCell ref="A364:A366"/>
    <mergeCell ref="A368:A374"/>
    <mergeCell ref="B368:B374"/>
    <mergeCell ref="C368:C374"/>
    <mergeCell ref="A384:A389"/>
    <mergeCell ref="B384:B389"/>
    <mergeCell ref="C384:C389"/>
    <mergeCell ref="D384:D389"/>
    <mergeCell ref="E384:E389"/>
    <mergeCell ref="F384:F388"/>
    <mergeCell ref="G384:G388"/>
    <mergeCell ref="A390:A397"/>
    <mergeCell ref="B390:B397"/>
    <mergeCell ref="C390:C397"/>
    <mergeCell ref="D390:D397"/>
    <mergeCell ref="E390:E397"/>
    <mergeCell ref="F390:F397"/>
    <mergeCell ref="G390:G397"/>
    <mergeCell ref="A399:A400"/>
    <mergeCell ref="B399:B400"/>
    <mergeCell ref="C399:C400"/>
    <mergeCell ref="D399:D400"/>
    <mergeCell ref="E399:E400"/>
    <mergeCell ref="F399:F400"/>
    <mergeCell ref="G399:G400"/>
    <mergeCell ref="A401:A402"/>
    <mergeCell ref="B401:B402"/>
    <mergeCell ref="C401:C402"/>
    <mergeCell ref="D401:D402"/>
    <mergeCell ref="E401:E402"/>
    <mergeCell ref="F401:F402"/>
    <mergeCell ref="G401:G402"/>
    <mergeCell ref="A428:A432"/>
    <mergeCell ref="B428:B432"/>
    <mergeCell ref="C428:C432"/>
    <mergeCell ref="D428:D432"/>
    <mergeCell ref="E428:E432"/>
    <mergeCell ref="F428:F432"/>
    <mergeCell ref="G428:G432"/>
    <mergeCell ref="A461:A481"/>
    <mergeCell ref="B461:B481"/>
    <mergeCell ref="C461:C481"/>
    <mergeCell ref="D461:D481"/>
    <mergeCell ref="E461:E481"/>
    <mergeCell ref="F461:F475"/>
    <mergeCell ref="G461:G475"/>
    <mergeCell ref="A482:A485"/>
    <mergeCell ref="B482:B485"/>
    <mergeCell ref="C482:C485"/>
    <mergeCell ref="D482:D485"/>
    <mergeCell ref="E482:E485"/>
    <mergeCell ref="F482:F485"/>
    <mergeCell ref="G482:G485"/>
    <mergeCell ref="A487:A493"/>
    <mergeCell ref="B487:B493"/>
    <mergeCell ref="C487:C493"/>
    <mergeCell ref="D487:D493"/>
    <mergeCell ref="E487:E493"/>
    <mergeCell ref="F487:F493"/>
    <mergeCell ref="G487:G493"/>
    <mergeCell ref="A494:A504"/>
    <mergeCell ref="B494:B504"/>
    <mergeCell ref="C494:C504"/>
    <mergeCell ref="D494:D504"/>
    <mergeCell ref="E494:E504"/>
    <mergeCell ref="F494:F504"/>
    <mergeCell ref="G494:G504"/>
    <mergeCell ref="A505:A506"/>
    <mergeCell ref="B505:B506"/>
    <mergeCell ref="C505:C506"/>
    <mergeCell ref="D505:D506"/>
    <mergeCell ref="E505:E506"/>
    <mergeCell ref="F505:F506"/>
    <mergeCell ref="G505:G506"/>
    <mergeCell ref="A507:A510"/>
    <mergeCell ref="B507:B510"/>
    <mergeCell ref="C507:C510"/>
    <mergeCell ref="D507:D510"/>
    <mergeCell ref="E507:E510"/>
    <mergeCell ref="F507:F510"/>
    <mergeCell ref="G507:G510"/>
    <mergeCell ref="A439:A441"/>
    <mergeCell ref="B439:B441"/>
    <mergeCell ref="C439:C441"/>
    <mergeCell ref="D439:D441"/>
    <mergeCell ref="E439:E441"/>
    <mergeCell ref="F439:F441"/>
    <mergeCell ref="G439:G441"/>
    <mergeCell ref="A442:A443"/>
    <mergeCell ref="B442:B443"/>
    <mergeCell ref="C442:C443"/>
    <mergeCell ref="D442:D443"/>
    <mergeCell ref="E442:E443"/>
    <mergeCell ref="F442:F443"/>
    <mergeCell ref="G442:G443"/>
    <mergeCell ref="A444:A448"/>
    <mergeCell ref="B444:B448"/>
    <mergeCell ref="C444:C448"/>
    <mergeCell ref="D444:D448"/>
    <mergeCell ref="E444:E448"/>
    <mergeCell ref="F444:F448"/>
    <mergeCell ref="G444:G448"/>
    <mergeCell ref="A449:A454"/>
    <mergeCell ref="B449:B454"/>
    <mergeCell ref="C449:C454"/>
    <mergeCell ref="D449:D454"/>
    <mergeCell ref="E449:E454"/>
    <mergeCell ref="F449:F454"/>
    <mergeCell ref="G449:G454"/>
    <mergeCell ref="A459:A460"/>
    <mergeCell ref="B459:B460"/>
    <mergeCell ref="C459:C460"/>
    <mergeCell ref="D459:D460"/>
    <mergeCell ref="E459:E460"/>
    <mergeCell ref="F459:F460"/>
    <mergeCell ref="G459:G460"/>
    <mergeCell ref="F476:F481"/>
    <mergeCell ref="G476:G481"/>
    <mergeCell ref="A512:A513"/>
    <mergeCell ref="B512:B513"/>
    <mergeCell ref="C512:C513"/>
    <mergeCell ref="D512:D513"/>
    <mergeCell ref="E512:E513"/>
    <mergeCell ref="F512:F513"/>
    <mergeCell ref="G512:G513"/>
    <mergeCell ref="A575:A578"/>
    <mergeCell ref="B575:B578"/>
    <mergeCell ref="C575:C578"/>
    <mergeCell ref="D575:D578"/>
    <mergeCell ref="E575:E578"/>
    <mergeCell ref="F575:F578"/>
    <mergeCell ref="G575:G578"/>
    <mergeCell ref="A579:A581"/>
    <mergeCell ref="B579:B581"/>
    <mergeCell ref="C579:C581"/>
    <mergeCell ref="D579:D581"/>
    <mergeCell ref="E579:E581"/>
    <mergeCell ref="F579:F581"/>
    <mergeCell ref="G579:G581"/>
  </mergeCells>
  <conditionalFormatting sqref="B1:B1228">
    <cfRule type="expression" dxfId="0" priority="1">
      <formula>COUNTIF(B:B,B1)&gt;1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6.0"/>
    <col customWidth="1" min="2" max="2" width="13.22"/>
    <col customWidth="1" min="6" max="6" width="11.22"/>
    <col customWidth="1" min="7" max="7" width="13.33"/>
    <col customWidth="1" min="8" max="8" width="40.44"/>
    <col customWidth="1" min="9" max="9" width="22.89"/>
    <col customWidth="1" min="10" max="10" width="7.56"/>
    <col customWidth="1" min="11" max="11" width="9.56"/>
    <col customWidth="1" min="13" max="13" width="12.22"/>
    <col customWidth="1" min="14" max="14" width="23.67"/>
    <col customWidth="1" min="15" max="15" width="35.56"/>
  </cols>
  <sheetData>
    <row r="1">
      <c r="A1" s="294" t="s">
        <v>0</v>
      </c>
      <c r="B1" s="130"/>
      <c r="C1" s="295" t="s">
        <v>1</v>
      </c>
      <c r="D1" s="132"/>
      <c r="E1" s="132"/>
      <c r="F1" s="130"/>
      <c r="G1" s="296"/>
      <c r="H1" s="297" t="s">
        <v>551</v>
      </c>
      <c r="I1" s="135"/>
      <c r="J1" s="135"/>
      <c r="K1" s="135"/>
      <c r="L1" s="135"/>
      <c r="M1" s="136"/>
      <c r="N1" s="298"/>
      <c r="O1" s="299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300"/>
    </row>
    <row r="2">
      <c r="A2" s="139"/>
      <c r="B2" s="71"/>
      <c r="C2" s="139"/>
      <c r="F2" s="71"/>
      <c r="G2" s="301"/>
      <c r="H2" s="302" t="s">
        <v>3</v>
      </c>
      <c r="I2" s="302" t="s">
        <v>4</v>
      </c>
      <c r="J2" s="303"/>
      <c r="K2" s="304" t="s">
        <v>5</v>
      </c>
      <c r="L2" s="135"/>
      <c r="M2" s="136"/>
      <c r="N2" s="305"/>
      <c r="O2" s="306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  <c r="AA2" s="300"/>
      <c r="AB2" s="300"/>
      <c r="AC2" s="300"/>
    </row>
    <row r="3">
      <c r="A3" s="144"/>
      <c r="B3" s="72"/>
      <c r="C3" s="144"/>
      <c r="D3" s="145"/>
      <c r="E3" s="145"/>
      <c r="F3" s="72"/>
      <c r="G3" s="307"/>
      <c r="H3" s="308">
        <f>20000000+18000000</f>
        <v>38000000</v>
      </c>
      <c r="I3" s="309">
        <f>M662</f>
        <v>33294041.83</v>
      </c>
      <c r="J3" s="310"/>
      <c r="K3" s="200">
        <f>H3-I3</f>
        <v>4705958.169</v>
      </c>
      <c r="L3" s="135"/>
      <c r="M3" s="136"/>
      <c r="N3" s="311"/>
      <c r="O3" s="312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300"/>
    </row>
    <row r="4">
      <c r="A4" s="313" t="s">
        <v>6</v>
      </c>
      <c r="B4" s="313" t="s">
        <v>7</v>
      </c>
      <c r="C4" s="314" t="s">
        <v>261</v>
      </c>
      <c r="D4" s="313" t="s">
        <v>262</v>
      </c>
      <c r="E4" s="315" t="s">
        <v>552</v>
      </c>
      <c r="F4" s="24" t="s">
        <v>572</v>
      </c>
      <c r="G4" s="316" t="s">
        <v>264</v>
      </c>
      <c r="H4" s="313" t="s">
        <v>13</v>
      </c>
      <c r="I4" s="313" t="s">
        <v>14</v>
      </c>
      <c r="J4" s="313" t="s">
        <v>15</v>
      </c>
      <c r="K4" s="313" t="s">
        <v>16</v>
      </c>
      <c r="L4" s="317" t="s">
        <v>17</v>
      </c>
      <c r="M4" s="318" t="s">
        <v>18</v>
      </c>
      <c r="N4" s="319" t="s">
        <v>19</v>
      </c>
      <c r="O4" s="313" t="s">
        <v>554</v>
      </c>
      <c r="P4" s="320"/>
      <c r="Q4" s="320"/>
      <c r="R4" s="320"/>
      <c r="S4" s="320"/>
      <c r="T4" s="320"/>
      <c r="U4" s="320"/>
      <c r="V4" s="320"/>
      <c r="W4" s="320"/>
      <c r="X4" s="320"/>
      <c r="Y4" s="320"/>
      <c r="Z4" s="320"/>
      <c r="AA4" s="320"/>
      <c r="AB4" s="320"/>
      <c r="AC4" s="320"/>
    </row>
    <row r="5">
      <c r="A5" s="312"/>
      <c r="B5" s="321">
        <v>253060.0</v>
      </c>
      <c r="C5" s="322">
        <v>45893.0</v>
      </c>
      <c r="D5" s="321" t="s">
        <v>1217</v>
      </c>
      <c r="E5" s="323">
        <v>45912.0</v>
      </c>
      <c r="F5" s="321">
        <v>831.0</v>
      </c>
      <c r="G5" s="324">
        <v>45893.0</v>
      </c>
      <c r="H5" s="325" t="s">
        <v>36</v>
      </c>
      <c r="I5" s="325" t="s">
        <v>24</v>
      </c>
      <c r="J5" s="321">
        <v>440.0</v>
      </c>
      <c r="K5" s="321" t="s">
        <v>25</v>
      </c>
      <c r="L5" s="326">
        <v>63.92</v>
      </c>
      <c r="M5" s="105">
        <f t="shared" ref="M5:M335" si="1">L5*J5</f>
        <v>28124.8</v>
      </c>
      <c r="N5" s="327" t="s">
        <v>91</v>
      </c>
      <c r="O5" s="312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</row>
    <row r="6">
      <c r="A6" s="312"/>
      <c r="B6" s="321">
        <v>253053.0</v>
      </c>
      <c r="C6" s="322">
        <v>45893.0</v>
      </c>
      <c r="D6" s="321" t="s">
        <v>1217</v>
      </c>
      <c r="E6" s="323">
        <v>45912.0</v>
      </c>
      <c r="F6" s="321">
        <v>831.0</v>
      </c>
      <c r="G6" s="324">
        <v>45893.0</v>
      </c>
      <c r="H6" s="325" t="s">
        <v>23</v>
      </c>
      <c r="I6" s="325" t="s">
        <v>24</v>
      </c>
      <c r="J6" s="321">
        <v>2200.0</v>
      </c>
      <c r="K6" s="321" t="s">
        <v>25</v>
      </c>
      <c r="L6" s="326">
        <v>67.13</v>
      </c>
      <c r="M6" s="105">
        <f t="shared" si="1"/>
        <v>147686</v>
      </c>
      <c r="N6" s="327" t="s">
        <v>91</v>
      </c>
      <c r="O6" s="312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  <c r="AA6" s="300"/>
      <c r="AB6" s="300"/>
      <c r="AC6" s="300"/>
    </row>
    <row r="7">
      <c r="A7" s="312"/>
      <c r="B7" s="321">
        <v>20505.0</v>
      </c>
      <c r="C7" s="322">
        <v>45893.0</v>
      </c>
      <c r="D7" s="321" t="s">
        <v>1217</v>
      </c>
      <c r="E7" s="323">
        <v>45912.0</v>
      </c>
      <c r="F7" s="321">
        <v>831.0</v>
      </c>
      <c r="G7" s="324">
        <v>45893.0</v>
      </c>
      <c r="H7" s="325" t="s">
        <v>38</v>
      </c>
      <c r="I7" s="325" t="s">
        <v>24</v>
      </c>
      <c r="J7" s="321">
        <v>300.0</v>
      </c>
      <c r="K7" s="321" t="s">
        <v>39</v>
      </c>
      <c r="L7" s="326">
        <v>20.0</v>
      </c>
      <c r="M7" s="105">
        <f t="shared" si="1"/>
        <v>6000</v>
      </c>
      <c r="N7" s="327" t="s">
        <v>91</v>
      </c>
      <c r="O7" s="312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00"/>
    </row>
    <row r="8">
      <c r="A8" s="312"/>
      <c r="B8" s="321">
        <v>256174.0</v>
      </c>
      <c r="C8" s="322">
        <v>45901.0</v>
      </c>
      <c r="D8" s="321" t="s">
        <v>1217</v>
      </c>
      <c r="E8" s="323">
        <v>45912.0</v>
      </c>
      <c r="F8" s="321">
        <v>838.0</v>
      </c>
      <c r="G8" s="324">
        <v>45902.0</v>
      </c>
      <c r="H8" s="325" t="s">
        <v>36</v>
      </c>
      <c r="I8" s="325" t="s">
        <v>24</v>
      </c>
      <c r="J8" s="321">
        <v>220.0</v>
      </c>
      <c r="K8" s="321" t="s">
        <v>25</v>
      </c>
      <c r="L8" s="326">
        <v>63.92</v>
      </c>
      <c r="M8" s="105">
        <f t="shared" si="1"/>
        <v>14062.4</v>
      </c>
      <c r="N8" s="327" t="s">
        <v>91</v>
      </c>
      <c r="O8" s="312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  <c r="AA8" s="300"/>
      <c r="AB8" s="300"/>
      <c r="AC8" s="300"/>
    </row>
    <row r="9">
      <c r="A9" s="312"/>
      <c r="B9" s="321">
        <v>168339.0</v>
      </c>
      <c r="C9" s="322">
        <v>45901.0</v>
      </c>
      <c r="D9" s="321" t="s">
        <v>1217</v>
      </c>
      <c r="E9" s="323">
        <v>45912.0</v>
      </c>
      <c r="F9" s="321">
        <v>838.0</v>
      </c>
      <c r="G9" s="324">
        <v>45902.0</v>
      </c>
      <c r="H9" s="325" t="s">
        <v>38</v>
      </c>
      <c r="I9" s="325" t="s">
        <v>24</v>
      </c>
      <c r="J9" s="321">
        <v>440.0</v>
      </c>
      <c r="K9" s="321" t="s">
        <v>39</v>
      </c>
      <c r="L9" s="326">
        <v>20.0</v>
      </c>
      <c r="M9" s="105">
        <f t="shared" si="1"/>
        <v>8800</v>
      </c>
      <c r="N9" s="327" t="s">
        <v>91</v>
      </c>
      <c r="O9" s="312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  <c r="AA9" s="300"/>
      <c r="AB9" s="300"/>
      <c r="AC9" s="300"/>
    </row>
    <row r="10">
      <c r="A10" s="312"/>
      <c r="B10" s="321">
        <v>250162.0</v>
      </c>
      <c r="C10" s="322">
        <v>45885.0</v>
      </c>
      <c r="D10" s="321" t="s">
        <v>1218</v>
      </c>
      <c r="E10" s="323">
        <v>45912.0</v>
      </c>
      <c r="F10" s="321">
        <v>825.0</v>
      </c>
      <c r="G10" s="324">
        <v>45885.0</v>
      </c>
      <c r="H10" s="325" t="s">
        <v>23</v>
      </c>
      <c r="I10" s="325" t="s">
        <v>24</v>
      </c>
      <c r="J10" s="321">
        <v>2200.0</v>
      </c>
      <c r="K10" s="321" t="s">
        <v>25</v>
      </c>
      <c r="L10" s="326">
        <v>68.12</v>
      </c>
      <c r="M10" s="105">
        <f t="shared" si="1"/>
        <v>149864</v>
      </c>
      <c r="N10" s="327" t="s">
        <v>91</v>
      </c>
      <c r="O10" s="312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  <c r="AA10" s="300"/>
      <c r="AB10" s="300"/>
      <c r="AC10" s="300"/>
    </row>
    <row r="11">
      <c r="A11" s="312"/>
      <c r="B11" s="321">
        <v>250145.0</v>
      </c>
      <c r="C11" s="322">
        <v>45885.0</v>
      </c>
      <c r="D11" s="321" t="s">
        <v>1218</v>
      </c>
      <c r="E11" s="323">
        <v>45912.0</v>
      </c>
      <c r="F11" s="321">
        <v>825.0</v>
      </c>
      <c r="G11" s="324">
        <v>45885.0</v>
      </c>
      <c r="H11" s="325" t="s">
        <v>36</v>
      </c>
      <c r="I11" s="325" t="s">
        <v>24</v>
      </c>
      <c r="J11" s="321">
        <v>220.0</v>
      </c>
      <c r="K11" s="321" t="s">
        <v>25</v>
      </c>
      <c r="L11" s="326">
        <v>62.42</v>
      </c>
      <c r="M11" s="105">
        <f t="shared" si="1"/>
        <v>13732.4</v>
      </c>
      <c r="N11" s="327" t="s">
        <v>91</v>
      </c>
      <c r="O11" s="312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  <c r="AA11" s="300"/>
      <c r="AB11" s="300"/>
      <c r="AC11" s="300"/>
    </row>
    <row r="12">
      <c r="A12" s="312"/>
      <c r="B12" s="321">
        <v>130677.0</v>
      </c>
      <c r="C12" s="322">
        <v>45885.0</v>
      </c>
      <c r="D12" s="321" t="s">
        <v>1218</v>
      </c>
      <c r="E12" s="323">
        <v>45912.0</v>
      </c>
      <c r="F12" s="321">
        <v>825.0</v>
      </c>
      <c r="G12" s="324">
        <v>45885.0</v>
      </c>
      <c r="H12" s="325" t="s">
        <v>38</v>
      </c>
      <c r="I12" s="325" t="s">
        <v>24</v>
      </c>
      <c r="J12" s="321">
        <v>240.0</v>
      </c>
      <c r="K12" s="321" t="s">
        <v>39</v>
      </c>
      <c r="L12" s="326">
        <v>20.0</v>
      </c>
      <c r="M12" s="105">
        <f t="shared" si="1"/>
        <v>4800</v>
      </c>
      <c r="N12" s="327" t="s">
        <v>91</v>
      </c>
      <c r="O12" s="312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  <c r="AA12" s="300"/>
      <c r="AB12" s="300"/>
      <c r="AC12" s="300"/>
    </row>
    <row r="13">
      <c r="A13" s="312"/>
      <c r="B13" s="321">
        <v>258025.0</v>
      </c>
      <c r="C13" s="322">
        <v>45906.0</v>
      </c>
      <c r="D13" s="321" t="s">
        <v>1219</v>
      </c>
      <c r="E13" s="323">
        <v>45912.0</v>
      </c>
      <c r="F13" s="321">
        <v>840.0</v>
      </c>
      <c r="G13" s="324">
        <v>45906.0</v>
      </c>
      <c r="H13" s="325" t="s">
        <v>36</v>
      </c>
      <c r="I13" s="325" t="s">
        <v>24</v>
      </c>
      <c r="J13" s="321">
        <v>220.0</v>
      </c>
      <c r="K13" s="321" t="s">
        <v>25</v>
      </c>
      <c r="L13" s="326">
        <v>63.78</v>
      </c>
      <c r="M13" s="105">
        <f t="shared" si="1"/>
        <v>14031.6</v>
      </c>
      <c r="N13" s="327" t="s">
        <v>91</v>
      </c>
      <c r="O13" s="312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300"/>
    </row>
    <row r="14">
      <c r="A14" s="312"/>
      <c r="B14" s="321">
        <v>258046.0</v>
      </c>
      <c r="C14" s="322">
        <v>45906.0</v>
      </c>
      <c r="D14" s="321" t="s">
        <v>1219</v>
      </c>
      <c r="E14" s="323">
        <v>45912.0</v>
      </c>
      <c r="F14" s="321">
        <v>840.0</v>
      </c>
      <c r="G14" s="324">
        <v>45906.0</v>
      </c>
      <c r="H14" s="325" t="s">
        <v>23</v>
      </c>
      <c r="I14" s="325" t="s">
        <v>24</v>
      </c>
      <c r="J14" s="321">
        <v>4180.0</v>
      </c>
      <c r="K14" s="321" t="s">
        <v>25</v>
      </c>
      <c r="L14" s="326">
        <v>64.39</v>
      </c>
      <c r="M14" s="105">
        <f t="shared" si="1"/>
        <v>269150.2</v>
      </c>
      <c r="N14" s="327" t="s">
        <v>91</v>
      </c>
      <c r="O14" s="312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  <c r="AA14" s="300"/>
      <c r="AB14" s="300"/>
      <c r="AC14" s="300"/>
    </row>
    <row r="15">
      <c r="A15" s="312"/>
      <c r="B15" s="321">
        <v>20506.0</v>
      </c>
      <c r="C15" s="322">
        <v>45906.0</v>
      </c>
      <c r="D15" s="321" t="s">
        <v>1219</v>
      </c>
      <c r="E15" s="323">
        <v>45912.0</v>
      </c>
      <c r="F15" s="321">
        <v>840.0</v>
      </c>
      <c r="G15" s="324">
        <v>45906.0</v>
      </c>
      <c r="H15" s="325" t="s">
        <v>38</v>
      </c>
      <c r="I15" s="325" t="s">
        <v>24</v>
      </c>
      <c r="J15" s="321">
        <v>520.0</v>
      </c>
      <c r="K15" s="321" t="s">
        <v>39</v>
      </c>
      <c r="L15" s="326">
        <v>20.0</v>
      </c>
      <c r="M15" s="105">
        <f t="shared" si="1"/>
        <v>10400</v>
      </c>
      <c r="N15" s="327" t="s">
        <v>91</v>
      </c>
      <c r="O15" s="312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</row>
    <row r="16">
      <c r="A16" s="312"/>
      <c r="B16" s="321">
        <v>256954.0</v>
      </c>
      <c r="C16" s="322">
        <v>45903.0</v>
      </c>
      <c r="D16" s="321" t="s">
        <v>1220</v>
      </c>
      <c r="E16" s="323">
        <v>45912.0</v>
      </c>
      <c r="F16" s="321">
        <v>839.0</v>
      </c>
      <c r="G16" s="324">
        <v>45903.0</v>
      </c>
      <c r="H16" s="325" t="s">
        <v>36</v>
      </c>
      <c r="I16" s="325" t="s">
        <v>24</v>
      </c>
      <c r="J16" s="321">
        <v>220.0</v>
      </c>
      <c r="K16" s="321" t="s">
        <v>25</v>
      </c>
      <c r="L16" s="326">
        <v>63.78</v>
      </c>
      <c r="M16" s="105">
        <f t="shared" si="1"/>
        <v>14031.6</v>
      </c>
      <c r="N16" s="327" t="s">
        <v>91</v>
      </c>
      <c r="O16" s="312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</row>
    <row r="17">
      <c r="A17" s="312"/>
      <c r="B17" s="321">
        <v>256926.0</v>
      </c>
      <c r="C17" s="322">
        <v>45903.0</v>
      </c>
      <c r="D17" s="321" t="s">
        <v>1220</v>
      </c>
      <c r="E17" s="323">
        <v>45912.0</v>
      </c>
      <c r="F17" s="321">
        <v>839.0</v>
      </c>
      <c r="G17" s="324">
        <v>45903.0</v>
      </c>
      <c r="H17" s="325" t="s">
        <v>23</v>
      </c>
      <c r="I17" s="325" t="s">
        <v>24</v>
      </c>
      <c r="J17" s="321">
        <v>3080.0</v>
      </c>
      <c r="K17" s="321" t="s">
        <v>25</v>
      </c>
      <c r="L17" s="326">
        <v>64.39</v>
      </c>
      <c r="M17" s="105">
        <f t="shared" si="1"/>
        <v>198321.2</v>
      </c>
      <c r="N17" s="327" t="s">
        <v>91</v>
      </c>
      <c r="O17" s="312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0"/>
      <c r="AB17" s="300"/>
      <c r="AC17" s="300"/>
    </row>
    <row r="18">
      <c r="A18" s="312"/>
      <c r="B18" s="321">
        <v>254558.0</v>
      </c>
      <c r="C18" s="322">
        <v>45897.0</v>
      </c>
      <c r="D18" s="321" t="s">
        <v>1221</v>
      </c>
      <c r="E18" s="323">
        <v>45912.0</v>
      </c>
      <c r="F18" s="321">
        <v>835.0</v>
      </c>
      <c r="G18" s="324">
        <v>45897.0</v>
      </c>
      <c r="H18" s="325" t="s">
        <v>23</v>
      </c>
      <c r="I18" s="325" t="s">
        <v>24</v>
      </c>
      <c r="J18" s="321">
        <v>1760.0</v>
      </c>
      <c r="K18" s="321" t="s">
        <v>25</v>
      </c>
      <c r="L18" s="326">
        <v>67.13</v>
      </c>
      <c r="M18" s="105">
        <f t="shared" si="1"/>
        <v>118148.8</v>
      </c>
      <c r="N18" s="327" t="s">
        <v>91</v>
      </c>
      <c r="O18" s="312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</row>
    <row r="19">
      <c r="A19" s="312"/>
      <c r="B19" s="321">
        <v>256171.0</v>
      </c>
      <c r="C19" s="322">
        <v>45901.0</v>
      </c>
      <c r="D19" s="321" t="s">
        <v>1221</v>
      </c>
      <c r="E19" s="323">
        <v>45912.0</v>
      </c>
      <c r="F19" s="321">
        <v>838.0</v>
      </c>
      <c r="G19" s="324">
        <v>45902.0</v>
      </c>
      <c r="H19" s="325" t="s">
        <v>23</v>
      </c>
      <c r="I19" s="325" t="s">
        <v>24</v>
      </c>
      <c r="J19" s="321">
        <v>1320.0</v>
      </c>
      <c r="K19" s="321" t="s">
        <v>25</v>
      </c>
      <c r="L19" s="326">
        <v>67.13</v>
      </c>
      <c r="M19" s="105">
        <f t="shared" si="1"/>
        <v>88611.6</v>
      </c>
      <c r="N19" s="327" t="s">
        <v>91</v>
      </c>
      <c r="O19" s="312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</row>
    <row r="20">
      <c r="A20" s="312"/>
      <c r="B20" s="328" t="s">
        <v>92</v>
      </c>
      <c r="C20" s="322">
        <v>45901.0</v>
      </c>
      <c r="D20" s="321" t="s">
        <v>1221</v>
      </c>
      <c r="E20" s="323">
        <v>45912.0</v>
      </c>
      <c r="F20" s="321">
        <v>835.0</v>
      </c>
      <c r="G20" s="324">
        <v>45897.0</v>
      </c>
      <c r="H20" s="325" t="s">
        <v>1222</v>
      </c>
      <c r="I20" s="325" t="s">
        <v>24</v>
      </c>
      <c r="J20" s="321">
        <v>200.0</v>
      </c>
      <c r="K20" s="321" t="s">
        <v>25</v>
      </c>
      <c r="L20" s="326">
        <v>46.5</v>
      </c>
      <c r="M20" s="105">
        <f t="shared" si="1"/>
        <v>9300</v>
      </c>
      <c r="N20" s="327" t="s">
        <v>92</v>
      </c>
      <c r="O20" s="312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</row>
    <row r="21">
      <c r="A21" s="329"/>
      <c r="B21" s="330">
        <v>110162.0</v>
      </c>
      <c r="C21" s="331">
        <v>45912.0</v>
      </c>
      <c r="D21" s="330" t="s">
        <v>1223</v>
      </c>
      <c r="E21" s="332">
        <v>45912.0</v>
      </c>
      <c r="F21" s="330">
        <v>201.0</v>
      </c>
      <c r="G21" s="333"/>
      <c r="H21" s="325" t="s">
        <v>1224</v>
      </c>
      <c r="I21" s="325" t="s">
        <v>24</v>
      </c>
      <c r="J21" s="321">
        <v>200.0</v>
      </c>
      <c r="K21" s="321" t="s">
        <v>25</v>
      </c>
      <c r="L21" s="326">
        <v>339.0</v>
      </c>
      <c r="M21" s="105">
        <f t="shared" si="1"/>
        <v>67800</v>
      </c>
      <c r="N21" s="327" t="s">
        <v>1081</v>
      </c>
      <c r="O21" s="312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</row>
    <row r="22">
      <c r="A22" s="48"/>
      <c r="B22" s="48"/>
      <c r="C22" s="48"/>
      <c r="D22" s="48"/>
      <c r="E22" s="48"/>
      <c r="F22" s="48"/>
      <c r="G22" s="333"/>
      <c r="H22" s="325" t="s">
        <v>38</v>
      </c>
      <c r="I22" s="325" t="s">
        <v>24</v>
      </c>
      <c r="J22" s="321">
        <v>200.0</v>
      </c>
      <c r="K22" s="321" t="s">
        <v>39</v>
      </c>
      <c r="L22" s="326">
        <v>20.0</v>
      </c>
      <c r="M22" s="105">
        <f t="shared" si="1"/>
        <v>4000</v>
      </c>
      <c r="N22" s="327" t="s">
        <v>1081</v>
      </c>
      <c r="O22" s="312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  <c r="AA22" s="300"/>
      <c r="AB22" s="300"/>
      <c r="AC22" s="300"/>
    </row>
    <row r="23">
      <c r="A23" s="312"/>
      <c r="B23" s="321">
        <v>4429.0</v>
      </c>
      <c r="C23" s="322">
        <v>45875.0</v>
      </c>
      <c r="D23" s="321" t="s">
        <v>1223</v>
      </c>
      <c r="E23" s="323">
        <v>45912.0</v>
      </c>
      <c r="F23" s="321">
        <v>821.0</v>
      </c>
      <c r="G23" s="324">
        <v>45877.0</v>
      </c>
      <c r="H23" s="325" t="s">
        <v>1225</v>
      </c>
      <c r="I23" s="325" t="s">
        <v>51</v>
      </c>
      <c r="J23" s="321">
        <v>1.0</v>
      </c>
      <c r="K23" s="321" t="s">
        <v>156</v>
      </c>
      <c r="L23" s="326">
        <v>2200.0</v>
      </c>
      <c r="M23" s="105">
        <f t="shared" si="1"/>
        <v>2200</v>
      </c>
      <c r="N23" s="327" t="s">
        <v>1226</v>
      </c>
      <c r="O23" s="312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  <c r="AA23" s="300"/>
      <c r="AB23" s="300"/>
      <c r="AC23" s="300"/>
    </row>
    <row r="24">
      <c r="A24" s="329"/>
      <c r="B24" s="330">
        <v>701.0</v>
      </c>
      <c r="C24" s="331">
        <v>45876.0</v>
      </c>
      <c r="D24" s="330" t="s">
        <v>1223</v>
      </c>
      <c r="E24" s="332">
        <v>45912.0</v>
      </c>
      <c r="F24" s="330">
        <v>818.0</v>
      </c>
      <c r="G24" s="334">
        <v>45877.0</v>
      </c>
      <c r="H24" s="325" t="s">
        <v>1227</v>
      </c>
      <c r="I24" s="325" t="s">
        <v>55</v>
      </c>
      <c r="J24" s="321">
        <v>15.0</v>
      </c>
      <c r="K24" s="321" t="s">
        <v>405</v>
      </c>
      <c r="L24" s="326">
        <v>150.0</v>
      </c>
      <c r="M24" s="105">
        <f t="shared" si="1"/>
        <v>2250</v>
      </c>
      <c r="N24" s="327" t="s">
        <v>219</v>
      </c>
      <c r="O24" s="312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  <c r="AA24" s="300"/>
      <c r="AB24" s="300"/>
      <c r="AC24" s="300"/>
    </row>
    <row r="25">
      <c r="A25" s="48"/>
      <c r="B25" s="48"/>
      <c r="C25" s="48"/>
      <c r="D25" s="48"/>
      <c r="E25" s="48"/>
      <c r="F25" s="48"/>
      <c r="G25" s="48"/>
      <c r="H25" s="325" t="s">
        <v>1228</v>
      </c>
      <c r="I25" s="325" t="s">
        <v>55</v>
      </c>
      <c r="J25" s="321">
        <v>2.0</v>
      </c>
      <c r="K25" s="321" t="s">
        <v>156</v>
      </c>
      <c r="L25" s="326">
        <v>600.0</v>
      </c>
      <c r="M25" s="105">
        <f t="shared" si="1"/>
        <v>1200</v>
      </c>
      <c r="N25" s="327" t="s">
        <v>219</v>
      </c>
      <c r="O25" s="312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  <c r="AA25" s="300"/>
      <c r="AB25" s="300"/>
      <c r="AC25" s="300"/>
    </row>
    <row r="26">
      <c r="A26" s="312"/>
      <c r="B26" s="321">
        <v>211.0</v>
      </c>
      <c r="C26" s="322">
        <v>45876.0</v>
      </c>
      <c r="D26" s="321" t="s">
        <v>1223</v>
      </c>
      <c r="E26" s="323">
        <v>45912.0</v>
      </c>
      <c r="F26" s="321">
        <v>818.0</v>
      </c>
      <c r="G26" s="324">
        <v>45877.0</v>
      </c>
      <c r="H26" s="325" t="s">
        <v>1229</v>
      </c>
      <c r="I26" s="325" t="s">
        <v>55</v>
      </c>
      <c r="J26" s="321">
        <v>46.5</v>
      </c>
      <c r="K26" s="321" t="s">
        <v>654</v>
      </c>
      <c r="L26" s="326">
        <v>60.0</v>
      </c>
      <c r="M26" s="105">
        <f t="shared" si="1"/>
        <v>2790</v>
      </c>
      <c r="N26" s="327" t="s">
        <v>1214</v>
      </c>
      <c r="O26" s="312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  <c r="AA26" s="300"/>
      <c r="AB26" s="300"/>
      <c r="AC26" s="300"/>
    </row>
    <row r="27">
      <c r="A27" s="312"/>
      <c r="B27" s="321">
        <v>3179739.0</v>
      </c>
      <c r="C27" s="322">
        <v>45848.0</v>
      </c>
      <c r="D27" s="321" t="s">
        <v>1230</v>
      </c>
      <c r="E27" s="323">
        <v>45881.0</v>
      </c>
      <c r="F27" s="321" t="s">
        <v>92</v>
      </c>
      <c r="G27" s="333"/>
      <c r="H27" s="325" t="s">
        <v>1231</v>
      </c>
      <c r="I27" s="325" t="s">
        <v>837</v>
      </c>
      <c r="J27" s="321">
        <v>1.0</v>
      </c>
      <c r="K27" s="321" t="s">
        <v>838</v>
      </c>
      <c r="L27" s="326">
        <v>28462.0</v>
      </c>
      <c r="M27" s="105">
        <f t="shared" si="1"/>
        <v>28462</v>
      </c>
      <c r="N27" s="327" t="s">
        <v>842</v>
      </c>
      <c r="O27" s="312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  <c r="AA27" s="300"/>
      <c r="AB27" s="300"/>
      <c r="AC27" s="300"/>
    </row>
    <row r="28">
      <c r="A28" s="312"/>
      <c r="B28" s="321">
        <v>3.2012457E7</v>
      </c>
      <c r="C28" s="322">
        <v>45870.0</v>
      </c>
      <c r="D28" s="321" t="s">
        <v>1230</v>
      </c>
      <c r="E28" s="323">
        <v>45881.0</v>
      </c>
      <c r="F28" s="321" t="s">
        <v>92</v>
      </c>
      <c r="G28" s="333"/>
      <c r="H28" s="325" t="s">
        <v>1232</v>
      </c>
      <c r="I28" s="325" t="s">
        <v>837</v>
      </c>
      <c r="J28" s="321">
        <v>1.0</v>
      </c>
      <c r="K28" s="321" t="s">
        <v>838</v>
      </c>
      <c r="L28" s="326">
        <v>19684.0</v>
      </c>
      <c r="M28" s="105">
        <f t="shared" si="1"/>
        <v>19684</v>
      </c>
      <c r="N28" s="327" t="s">
        <v>842</v>
      </c>
      <c r="O28" s="312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  <c r="AA28" s="300"/>
      <c r="AB28" s="300"/>
      <c r="AC28" s="300"/>
    </row>
    <row r="29">
      <c r="A29" s="312"/>
      <c r="B29" s="321" t="s">
        <v>1233</v>
      </c>
      <c r="C29" s="322">
        <v>45845.0</v>
      </c>
      <c r="D29" s="321" t="s">
        <v>1234</v>
      </c>
      <c r="E29" s="323">
        <v>45916.0</v>
      </c>
      <c r="F29" s="321">
        <v>1247.0</v>
      </c>
      <c r="G29" s="324">
        <v>45846.0</v>
      </c>
      <c r="H29" s="325" t="s">
        <v>1235</v>
      </c>
      <c r="I29" s="325" t="s">
        <v>60</v>
      </c>
      <c r="J29" s="321">
        <v>1.0</v>
      </c>
      <c r="K29" s="321" t="s">
        <v>89</v>
      </c>
      <c r="L29" s="326">
        <v>14994.0</v>
      </c>
      <c r="M29" s="105">
        <f t="shared" si="1"/>
        <v>14994</v>
      </c>
      <c r="N29" s="327" t="s">
        <v>1236</v>
      </c>
      <c r="O29" s="312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</row>
    <row r="30">
      <c r="A30" s="312"/>
      <c r="B30" s="321" t="s">
        <v>1237</v>
      </c>
      <c r="C30" s="322">
        <v>45845.0</v>
      </c>
      <c r="D30" s="321" t="s">
        <v>1234</v>
      </c>
      <c r="E30" s="323">
        <v>45916.0</v>
      </c>
      <c r="F30" s="321">
        <v>1247.0</v>
      </c>
      <c r="G30" s="324">
        <v>45846.0</v>
      </c>
      <c r="H30" s="325" t="s">
        <v>1238</v>
      </c>
      <c r="I30" s="325" t="s">
        <v>51</v>
      </c>
      <c r="J30" s="321">
        <v>1.0</v>
      </c>
      <c r="K30" s="321" t="s">
        <v>89</v>
      </c>
      <c r="L30" s="326">
        <v>6500.0</v>
      </c>
      <c r="M30" s="105">
        <f t="shared" si="1"/>
        <v>6500</v>
      </c>
      <c r="N30" s="327" t="s">
        <v>1236</v>
      </c>
      <c r="O30" s="312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</row>
    <row r="31">
      <c r="A31" s="329"/>
      <c r="B31" s="330" t="s">
        <v>1239</v>
      </c>
      <c r="C31" s="331">
        <v>45863.0</v>
      </c>
      <c r="D31" s="330" t="s">
        <v>1234</v>
      </c>
      <c r="E31" s="332">
        <v>45916.0</v>
      </c>
      <c r="F31" s="330">
        <v>812.0</v>
      </c>
      <c r="G31" s="334">
        <v>45864.0</v>
      </c>
      <c r="H31" s="325" t="s">
        <v>1240</v>
      </c>
      <c r="I31" s="325" t="s">
        <v>276</v>
      </c>
      <c r="J31" s="321">
        <v>3.0</v>
      </c>
      <c r="K31" s="321" t="s">
        <v>981</v>
      </c>
      <c r="L31" s="326">
        <v>3141.0</v>
      </c>
      <c r="M31" s="105">
        <f t="shared" si="1"/>
        <v>9423</v>
      </c>
      <c r="N31" s="327" t="s">
        <v>1236</v>
      </c>
      <c r="O31" s="312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300"/>
      <c r="AB31" s="300"/>
      <c r="AC31" s="300"/>
    </row>
    <row r="32">
      <c r="A32" s="47"/>
      <c r="B32" s="47"/>
      <c r="C32" s="47"/>
      <c r="D32" s="47"/>
      <c r="E32" s="47"/>
      <c r="F32" s="47"/>
      <c r="G32" s="47"/>
      <c r="H32" s="325" t="s">
        <v>1241</v>
      </c>
      <c r="I32" s="325" t="s">
        <v>276</v>
      </c>
      <c r="J32" s="321">
        <v>3.0</v>
      </c>
      <c r="K32" s="321" t="s">
        <v>981</v>
      </c>
      <c r="L32" s="326">
        <v>1395.0</v>
      </c>
      <c r="M32" s="105">
        <f t="shared" si="1"/>
        <v>4185</v>
      </c>
      <c r="N32" s="327" t="s">
        <v>1236</v>
      </c>
      <c r="O32" s="312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  <c r="AA32" s="300"/>
      <c r="AB32" s="300"/>
      <c r="AC32" s="300"/>
    </row>
    <row r="33">
      <c r="A33" s="47"/>
      <c r="B33" s="47"/>
      <c r="C33" s="47"/>
      <c r="D33" s="47"/>
      <c r="E33" s="47"/>
      <c r="F33" s="47"/>
      <c r="G33" s="47"/>
      <c r="H33" s="325" t="s">
        <v>1242</v>
      </c>
      <c r="I33" s="325" t="s">
        <v>276</v>
      </c>
      <c r="J33" s="321">
        <v>1.0</v>
      </c>
      <c r="K33" s="321" t="s">
        <v>98</v>
      </c>
      <c r="L33" s="326">
        <v>5400.0</v>
      </c>
      <c r="M33" s="105">
        <f t="shared" si="1"/>
        <v>5400</v>
      </c>
      <c r="N33" s="327" t="s">
        <v>1243</v>
      </c>
      <c r="O33" s="312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300"/>
      <c r="AB33" s="300"/>
      <c r="AC33" s="300"/>
    </row>
    <row r="34">
      <c r="A34" s="48"/>
      <c r="B34" s="48"/>
      <c r="C34" s="48"/>
      <c r="D34" s="48"/>
      <c r="E34" s="48"/>
      <c r="F34" s="48"/>
      <c r="G34" s="48"/>
      <c r="H34" s="325" t="s">
        <v>1244</v>
      </c>
      <c r="I34" s="325" t="s">
        <v>276</v>
      </c>
      <c r="J34" s="321">
        <v>180.0</v>
      </c>
      <c r="K34" s="321" t="s">
        <v>74</v>
      </c>
      <c r="L34" s="326">
        <v>42.0</v>
      </c>
      <c r="M34" s="105">
        <f t="shared" si="1"/>
        <v>7560</v>
      </c>
      <c r="N34" s="327" t="s">
        <v>1236</v>
      </c>
      <c r="O34" s="312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</row>
    <row r="35">
      <c r="A35" s="329"/>
      <c r="B35" s="330" t="s">
        <v>1245</v>
      </c>
      <c r="C35" s="331">
        <v>45873.0</v>
      </c>
      <c r="D35" s="330" t="s">
        <v>1234</v>
      </c>
      <c r="E35" s="332">
        <v>46281.0</v>
      </c>
      <c r="F35" s="330">
        <v>816.0</v>
      </c>
      <c r="G35" s="334">
        <v>45873.0</v>
      </c>
      <c r="H35" s="325" t="s">
        <v>1246</v>
      </c>
      <c r="I35" s="325" t="s">
        <v>82</v>
      </c>
      <c r="J35" s="321">
        <v>146.0</v>
      </c>
      <c r="K35" s="321" t="s">
        <v>156</v>
      </c>
      <c r="L35" s="326">
        <v>1283.0</v>
      </c>
      <c r="M35" s="105">
        <f t="shared" si="1"/>
        <v>187318</v>
      </c>
      <c r="N35" s="327" t="s">
        <v>1236</v>
      </c>
      <c r="O35" s="312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  <c r="AA35" s="300"/>
      <c r="AB35" s="300"/>
      <c r="AC35" s="300"/>
    </row>
    <row r="36">
      <c r="A36" s="48"/>
      <c r="B36" s="48"/>
      <c r="C36" s="48"/>
      <c r="D36" s="48"/>
      <c r="E36" s="48"/>
      <c r="F36" s="48"/>
      <c r="G36" s="48"/>
      <c r="H36" s="325" t="s">
        <v>1181</v>
      </c>
      <c r="I36" s="325" t="s">
        <v>276</v>
      </c>
      <c r="J36" s="321">
        <v>3.0</v>
      </c>
      <c r="K36" s="321" t="s">
        <v>156</v>
      </c>
      <c r="L36" s="326">
        <v>5800.0</v>
      </c>
      <c r="M36" s="105">
        <f t="shared" si="1"/>
        <v>17400</v>
      </c>
      <c r="N36" s="327" t="s">
        <v>1243</v>
      </c>
      <c r="O36" s="312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</row>
    <row r="37">
      <c r="A37" s="312"/>
      <c r="B37" s="321" t="s">
        <v>1247</v>
      </c>
      <c r="C37" s="322">
        <v>45877.0</v>
      </c>
      <c r="D37" s="321" t="s">
        <v>1234</v>
      </c>
      <c r="E37" s="323">
        <v>45916.0</v>
      </c>
      <c r="F37" s="321">
        <v>818.0</v>
      </c>
      <c r="G37" s="324">
        <v>45877.0</v>
      </c>
      <c r="H37" s="325" t="s">
        <v>1246</v>
      </c>
      <c r="I37" s="325" t="s">
        <v>82</v>
      </c>
      <c r="J37" s="321">
        <v>104.0</v>
      </c>
      <c r="K37" s="321" t="s">
        <v>156</v>
      </c>
      <c r="L37" s="326">
        <v>1283.0</v>
      </c>
      <c r="M37" s="105">
        <f t="shared" si="1"/>
        <v>133432</v>
      </c>
      <c r="N37" s="327" t="s">
        <v>1236</v>
      </c>
      <c r="O37" s="312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  <c r="AA37" s="300"/>
      <c r="AB37" s="300"/>
      <c r="AC37" s="300"/>
    </row>
    <row r="38">
      <c r="A38" s="329"/>
      <c r="B38" s="330">
        <v>829.0</v>
      </c>
      <c r="C38" s="331">
        <v>45863.0</v>
      </c>
      <c r="D38" s="330" t="s">
        <v>1248</v>
      </c>
      <c r="E38" s="332">
        <v>45916.0</v>
      </c>
      <c r="F38" s="335">
        <v>811.0</v>
      </c>
      <c r="G38" s="334">
        <v>45864.0</v>
      </c>
      <c r="H38" s="325" t="s">
        <v>1249</v>
      </c>
      <c r="I38" s="325" t="s">
        <v>294</v>
      </c>
      <c r="J38" s="321">
        <v>7.0</v>
      </c>
      <c r="K38" s="321" t="s">
        <v>654</v>
      </c>
      <c r="L38" s="326">
        <v>415.0</v>
      </c>
      <c r="M38" s="105">
        <f t="shared" si="1"/>
        <v>2905</v>
      </c>
      <c r="N38" s="327" t="s">
        <v>440</v>
      </c>
      <c r="O38" s="312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</row>
    <row r="39">
      <c r="A39" s="47"/>
      <c r="B39" s="47"/>
      <c r="C39" s="47"/>
      <c r="D39" s="47"/>
      <c r="E39" s="47"/>
      <c r="F39" s="47"/>
      <c r="G39" s="47"/>
      <c r="H39" s="325" t="s">
        <v>348</v>
      </c>
      <c r="I39" s="325" t="s">
        <v>294</v>
      </c>
      <c r="J39" s="321">
        <v>25.0</v>
      </c>
      <c r="K39" s="321" t="s">
        <v>654</v>
      </c>
      <c r="L39" s="326">
        <v>72.0</v>
      </c>
      <c r="M39" s="105">
        <f t="shared" si="1"/>
        <v>1800</v>
      </c>
      <c r="N39" s="327" t="s">
        <v>440</v>
      </c>
      <c r="O39" s="312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  <c r="AA39" s="300"/>
      <c r="AB39" s="300"/>
      <c r="AC39" s="300"/>
    </row>
    <row r="40">
      <c r="A40" s="47"/>
      <c r="B40" s="47"/>
      <c r="C40" s="47"/>
      <c r="D40" s="47"/>
      <c r="E40" s="47"/>
      <c r="F40" s="47"/>
      <c r="G40" s="47"/>
      <c r="H40" s="325" t="s">
        <v>349</v>
      </c>
      <c r="I40" s="325" t="s">
        <v>294</v>
      </c>
      <c r="J40" s="321">
        <v>25.0</v>
      </c>
      <c r="K40" s="321" t="s">
        <v>654</v>
      </c>
      <c r="L40" s="326">
        <v>72.0</v>
      </c>
      <c r="M40" s="105">
        <f t="shared" si="1"/>
        <v>1800</v>
      </c>
      <c r="N40" s="327" t="s">
        <v>440</v>
      </c>
      <c r="O40" s="312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</row>
    <row r="41">
      <c r="A41" s="47"/>
      <c r="B41" s="47"/>
      <c r="C41" s="47"/>
      <c r="D41" s="47"/>
      <c r="E41" s="47"/>
      <c r="F41" s="47"/>
      <c r="G41" s="47"/>
      <c r="H41" s="325" t="s">
        <v>350</v>
      </c>
      <c r="I41" s="325" t="s">
        <v>294</v>
      </c>
      <c r="J41" s="321">
        <v>25.0</v>
      </c>
      <c r="K41" s="321" t="s">
        <v>654</v>
      </c>
      <c r="L41" s="326">
        <v>72.0</v>
      </c>
      <c r="M41" s="105">
        <f t="shared" si="1"/>
        <v>1800</v>
      </c>
      <c r="N41" s="327" t="s">
        <v>440</v>
      </c>
      <c r="O41" s="312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  <c r="AA41" s="300"/>
      <c r="AB41" s="300"/>
      <c r="AC41" s="300"/>
    </row>
    <row r="42">
      <c r="A42" s="47"/>
      <c r="B42" s="47"/>
      <c r="C42" s="47"/>
      <c r="D42" s="47"/>
      <c r="E42" s="47"/>
      <c r="F42" s="47"/>
      <c r="G42" s="47"/>
      <c r="H42" s="325" t="s">
        <v>351</v>
      </c>
      <c r="I42" s="325" t="s">
        <v>294</v>
      </c>
      <c r="J42" s="321">
        <v>25.0</v>
      </c>
      <c r="K42" s="321" t="s">
        <v>654</v>
      </c>
      <c r="L42" s="326">
        <v>73.0</v>
      </c>
      <c r="M42" s="105">
        <f t="shared" si="1"/>
        <v>1825</v>
      </c>
      <c r="N42" s="327" t="s">
        <v>440</v>
      </c>
      <c r="O42" s="312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  <c r="AA42" s="300"/>
      <c r="AB42" s="300"/>
      <c r="AC42" s="300"/>
    </row>
    <row r="43">
      <c r="A43" s="47"/>
      <c r="B43" s="47"/>
      <c r="C43" s="47"/>
      <c r="D43" s="47"/>
      <c r="E43" s="47"/>
      <c r="F43" s="47"/>
      <c r="G43" s="47"/>
      <c r="H43" s="336" t="s">
        <v>915</v>
      </c>
      <c r="I43" s="325" t="s">
        <v>276</v>
      </c>
      <c r="J43" s="321">
        <v>2.0</v>
      </c>
      <c r="K43" s="321" t="s">
        <v>156</v>
      </c>
      <c r="L43" s="326">
        <v>6132.0</v>
      </c>
      <c r="M43" s="105">
        <f t="shared" si="1"/>
        <v>12264</v>
      </c>
      <c r="N43" s="327" t="s">
        <v>440</v>
      </c>
      <c r="O43" s="312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  <c r="AA43" s="300"/>
      <c r="AB43" s="300"/>
      <c r="AC43" s="300"/>
    </row>
    <row r="44">
      <c r="A44" s="47"/>
      <c r="B44" s="47"/>
      <c r="C44" s="47"/>
      <c r="D44" s="47"/>
      <c r="E44" s="47"/>
      <c r="F44" s="47"/>
      <c r="G44" s="47"/>
      <c r="H44" s="325" t="s">
        <v>1250</v>
      </c>
      <c r="I44" s="325" t="s">
        <v>276</v>
      </c>
      <c r="J44" s="321">
        <v>2.0</v>
      </c>
      <c r="K44" s="321" t="s">
        <v>156</v>
      </c>
      <c r="L44" s="326">
        <v>1690.0</v>
      </c>
      <c r="M44" s="105">
        <f t="shared" si="1"/>
        <v>3380</v>
      </c>
      <c r="N44" s="327" t="s">
        <v>440</v>
      </c>
      <c r="O44" s="312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</row>
    <row r="45">
      <c r="A45" s="47"/>
      <c r="B45" s="47"/>
      <c r="C45" s="47"/>
      <c r="D45" s="47"/>
      <c r="E45" s="47"/>
      <c r="F45" s="47"/>
      <c r="G45" s="47"/>
      <c r="H45" s="325" t="s">
        <v>1251</v>
      </c>
      <c r="I45" s="325" t="s">
        <v>276</v>
      </c>
      <c r="J45" s="321">
        <v>10.0</v>
      </c>
      <c r="K45" s="321" t="s">
        <v>156</v>
      </c>
      <c r="L45" s="326">
        <v>165.0</v>
      </c>
      <c r="M45" s="105">
        <f t="shared" si="1"/>
        <v>1650</v>
      </c>
      <c r="N45" s="327" t="s">
        <v>440</v>
      </c>
      <c r="O45" s="312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  <c r="AA45" s="300"/>
      <c r="AB45" s="300"/>
      <c r="AC45" s="300"/>
    </row>
    <row r="46">
      <c r="A46" s="47"/>
      <c r="B46" s="47"/>
      <c r="C46" s="47"/>
      <c r="D46" s="47"/>
      <c r="E46" s="47"/>
      <c r="F46" s="47"/>
      <c r="G46" s="47"/>
      <c r="H46" s="325" t="s">
        <v>1252</v>
      </c>
      <c r="I46" s="325" t="s">
        <v>276</v>
      </c>
      <c r="J46" s="321">
        <v>10.0</v>
      </c>
      <c r="K46" s="321" t="s">
        <v>156</v>
      </c>
      <c r="L46" s="326">
        <v>185.0</v>
      </c>
      <c r="M46" s="105">
        <f t="shared" si="1"/>
        <v>1850</v>
      </c>
      <c r="N46" s="327" t="s">
        <v>440</v>
      </c>
      <c r="O46" s="312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</row>
    <row r="47">
      <c r="A47" s="47"/>
      <c r="B47" s="47"/>
      <c r="C47" s="47"/>
      <c r="D47" s="47"/>
      <c r="E47" s="47"/>
      <c r="F47" s="47"/>
      <c r="G47" s="47"/>
      <c r="H47" s="325" t="s">
        <v>1253</v>
      </c>
      <c r="I47" s="325" t="s">
        <v>276</v>
      </c>
      <c r="J47" s="321">
        <v>2.0</v>
      </c>
      <c r="K47" s="321" t="s">
        <v>156</v>
      </c>
      <c r="L47" s="326">
        <v>35.0</v>
      </c>
      <c r="M47" s="105">
        <f t="shared" si="1"/>
        <v>70</v>
      </c>
      <c r="N47" s="327" t="s">
        <v>440</v>
      </c>
      <c r="O47" s="312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  <c r="AA47" s="300"/>
      <c r="AB47" s="300"/>
      <c r="AC47" s="300"/>
    </row>
    <row r="48">
      <c r="A48" s="47"/>
      <c r="B48" s="47"/>
      <c r="C48" s="47"/>
      <c r="D48" s="47"/>
      <c r="E48" s="47"/>
      <c r="F48" s="47"/>
      <c r="G48" s="47"/>
      <c r="H48" s="325" t="s">
        <v>1254</v>
      </c>
      <c r="I48" s="325" t="s">
        <v>276</v>
      </c>
      <c r="J48" s="321">
        <v>4.0</v>
      </c>
      <c r="K48" s="321" t="s">
        <v>156</v>
      </c>
      <c r="L48" s="326">
        <v>25.0</v>
      </c>
      <c r="M48" s="105">
        <f t="shared" si="1"/>
        <v>100</v>
      </c>
      <c r="N48" s="327" t="s">
        <v>440</v>
      </c>
      <c r="O48" s="312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  <c r="AA48" s="300"/>
      <c r="AB48" s="300"/>
      <c r="AC48" s="300"/>
    </row>
    <row r="49">
      <c r="A49" s="47"/>
      <c r="B49" s="47"/>
      <c r="C49" s="47"/>
      <c r="D49" s="47"/>
      <c r="E49" s="47"/>
      <c r="F49" s="47"/>
      <c r="G49" s="47"/>
      <c r="H49" s="325" t="s">
        <v>1255</v>
      </c>
      <c r="I49" s="325" t="s">
        <v>276</v>
      </c>
      <c r="J49" s="321">
        <v>2.0</v>
      </c>
      <c r="K49" s="321" t="s">
        <v>156</v>
      </c>
      <c r="L49" s="326">
        <v>900.0</v>
      </c>
      <c r="M49" s="105">
        <f t="shared" si="1"/>
        <v>1800</v>
      </c>
      <c r="N49" s="327" t="s">
        <v>440</v>
      </c>
      <c r="O49" s="312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  <c r="AA49" s="300"/>
      <c r="AB49" s="300"/>
      <c r="AC49" s="300"/>
    </row>
    <row r="50">
      <c r="A50" s="47"/>
      <c r="B50" s="47"/>
      <c r="C50" s="47"/>
      <c r="D50" s="47"/>
      <c r="E50" s="47"/>
      <c r="F50" s="47"/>
      <c r="G50" s="47"/>
      <c r="H50" s="325" t="s">
        <v>1256</v>
      </c>
      <c r="I50" s="325" t="s">
        <v>276</v>
      </c>
      <c r="J50" s="321">
        <v>2.0</v>
      </c>
      <c r="K50" s="321" t="s">
        <v>156</v>
      </c>
      <c r="L50" s="326">
        <v>235.0</v>
      </c>
      <c r="M50" s="105">
        <f t="shared" si="1"/>
        <v>470</v>
      </c>
      <c r="N50" s="327" t="s">
        <v>440</v>
      </c>
      <c r="O50" s="312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  <c r="AA50" s="300"/>
      <c r="AB50" s="300"/>
      <c r="AC50" s="300"/>
    </row>
    <row r="51">
      <c r="A51" s="47"/>
      <c r="B51" s="47"/>
      <c r="C51" s="47"/>
      <c r="D51" s="47"/>
      <c r="E51" s="47"/>
      <c r="F51" s="48"/>
      <c r="G51" s="48"/>
      <c r="H51" s="325" t="s">
        <v>1257</v>
      </c>
      <c r="I51" s="325" t="s">
        <v>276</v>
      </c>
      <c r="J51" s="321">
        <v>5.0</v>
      </c>
      <c r="K51" s="321" t="s">
        <v>156</v>
      </c>
      <c r="L51" s="326">
        <v>31.0</v>
      </c>
      <c r="M51" s="105">
        <f t="shared" si="1"/>
        <v>155</v>
      </c>
      <c r="N51" s="327" t="s">
        <v>440</v>
      </c>
      <c r="O51" s="312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300"/>
      <c r="AB51" s="300"/>
      <c r="AC51" s="300"/>
    </row>
    <row r="52">
      <c r="A52" s="48"/>
      <c r="B52" s="48"/>
      <c r="C52" s="48"/>
      <c r="D52" s="48"/>
      <c r="E52" s="48"/>
      <c r="F52" s="337">
        <v>812.0</v>
      </c>
      <c r="G52" s="324">
        <v>45864.0</v>
      </c>
      <c r="H52" s="325" t="s">
        <v>772</v>
      </c>
      <c r="I52" s="325" t="s">
        <v>276</v>
      </c>
      <c r="J52" s="321">
        <v>1.0</v>
      </c>
      <c r="K52" s="321" t="s">
        <v>156</v>
      </c>
      <c r="L52" s="326">
        <v>6990.0</v>
      </c>
      <c r="M52" s="105">
        <f t="shared" si="1"/>
        <v>6990</v>
      </c>
      <c r="N52" s="327" t="s">
        <v>440</v>
      </c>
      <c r="O52" s="312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  <c r="AA52" s="300"/>
      <c r="AB52" s="300"/>
      <c r="AC52" s="300"/>
    </row>
    <row r="53">
      <c r="A53" s="329"/>
      <c r="B53" s="330">
        <v>869.0</v>
      </c>
      <c r="C53" s="331">
        <v>45872.0</v>
      </c>
      <c r="D53" s="330" t="s">
        <v>1248</v>
      </c>
      <c r="E53" s="332">
        <v>46281.0</v>
      </c>
      <c r="F53" s="330">
        <v>818.0</v>
      </c>
      <c r="G53" s="334">
        <v>45877.0</v>
      </c>
      <c r="H53" s="325" t="s">
        <v>279</v>
      </c>
      <c r="I53" s="325" t="s">
        <v>276</v>
      </c>
      <c r="J53" s="321">
        <v>20.0</v>
      </c>
      <c r="K53" s="321" t="s">
        <v>156</v>
      </c>
      <c r="L53" s="326">
        <v>185.0</v>
      </c>
      <c r="M53" s="105">
        <f t="shared" si="1"/>
        <v>3700</v>
      </c>
      <c r="N53" s="327" t="s">
        <v>440</v>
      </c>
      <c r="O53" s="312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  <c r="AA53" s="300"/>
      <c r="AB53" s="300"/>
      <c r="AC53" s="300"/>
    </row>
    <row r="54">
      <c r="A54" s="47"/>
      <c r="B54" s="47"/>
      <c r="C54" s="47"/>
      <c r="D54" s="47"/>
      <c r="E54" s="47"/>
      <c r="F54" s="47"/>
      <c r="G54" s="47"/>
      <c r="H54" s="325" t="s">
        <v>1258</v>
      </c>
      <c r="I54" s="325" t="s">
        <v>276</v>
      </c>
      <c r="J54" s="321">
        <v>20.0</v>
      </c>
      <c r="K54" s="321" t="s">
        <v>156</v>
      </c>
      <c r="L54" s="326">
        <v>87.0</v>
      </c>
      <c r="M54" s="105">
        <f t="shared" si="1"/>
        <v>1740</v>
      </c>
      <c r="N54" s="327" t="s">
        <v>440</v>
      </c>
      <c r="O54" s="312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  <c r="AA54" s="300"/>
      <c r="AB54" s="300"/>
      <c r="AC54" s="300"/>
    </row>
    <row r="55">
      <c r="A55" s="48"/>
      <c r="B55" s="48"/>
      <c r="C55" s="48"/>
      <c r="D55" s="48"/>
      <c r="E55" s="48"/>
      <c r="F55" s="48"/>
      <c r="G55" s="48"/>
      <c r="H55" s="325" t="s">
        <v>1259</v>
      </c>
      <c r="I55" s="325" t="s">
        <v>276</v>
      </c>
      <c r="J55" s="321">
        <v>20.0</v>
      </c>
      <c r="K55" s="321" t="s">
        <v>156</v>
      </c>
      <c r="L55" s="326">
        <v>110.0</v>
      </c>
      <c r="M55" s="105">
        <f t="shared" si="1"/>
        <v>2200</v>
      </c>
      <c r="N55" s="327" t="s">
        <v>440</v>
      </c>
      <c r="O55" s="312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  <c r="AA55" s="300"/>
      <c r="AB55" s="300"/>
      <c r="AC55" s="300"/>
    </row>
    <row r="56">
      <c r="A56" s="329"/>
      <c r="B56" s="330">
        <v>868.0</v>
      </c>
      <c r="C56" s="331">
        <v>45873.0</v>
      </c>
      <c r="D56" s="330" t="s">
        <v>1248</v>
      </c>
      <c r="E56" s="332">
        <v>45916.0</v>
      </c>
      <c r="F56" s="330">
        <v>817.0</v>
      </c>
      <c r="G56" s="334">
        <v>45877.0</v>
      </c>
      <c r="H56" s="325" t="s">
        <v>299</v>
      </c>
      <c r="I56" s="325" t="s">
        <v>29</v>
      </c>
      <c r="J56" s="321">
        <v>10.0</v>
      </c>
      <c r="K56" s="321" t="s">
        <v>156</v>
      </c>
      <c r="L56" s="326">
        <v>220.0</v>
      </c>
      <c r="M56" s="105">
        <f t="shared" si="1"/>
        <v>2200</v>
      </c>
      <c r="N56" s="327" t="s">
        <v>440</v>
      </c>
      <c r="O56" s="312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  <c r="AA56" s="300"/>
      <c r="AB56" s="300"/>
      <c r="AC56" s="300"/>
    </row>
    <row r="57">
      <c r="A57" s="47"/>
      <c r="B57" s="47"/>
      <c r="C57" s="47"/>
      <c r="D57" s="47"/>
      <c r="E57" s="47"/>
      <c r="F57" s="47"/>
      <c r="G57" s="47"/>
      <c r="H57" s="325" t="s">
        <v>736</v>
      </c>
      <c r="I57" s="325" t="s">
        <v>29</v>
      </c>
      <c r="J57" s="321">
        <v>15.0</v>
      </c>
      <c r="K57" s="321" t="s">
        <v>156</v>
      </c>
      <c r="L57" s="326">
        <v>55.0</v>
      </c>
      <c r="M57" s="105">
        <f t="shared" si="1"/>
        <v>825</v>
      </c>
      <c r="N57" s="327" t="s">
        <v>440</v>
      </c>
      <c r="O57" s="312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</row>
    <row r="58">
      <c r="A58" s="47"/>
      <c r="B58" s="47"/>
      <c r="C58" s="47"/>
      <c r="D58" s="47"/>
      <c r="E58" s="47"/>
      <c r="F58" s="47"/>
      <c r="G58" s="47"/>
      <c r="H58" s="325" t="s">
        <v>1260</v>
      </c>
      <c r="I58" s="325" t="s">
        <v>29</v>
      </c>
      <c r="J58" s="321">
        <v>10.0</v>
      </c>
      <c r="K58" s="321" t="s">
        <v>156</v>
      </c>
      <c r="L58" s="326">
        <v>220.0</v>
      </c>
      <c r="M58" s="105">
        <f t="shared" si="1"/>
        <v>2200</v>
      </c>
      <c r="N58" s="327" t="s">
        <v>440</v>
      </c>
      <c r="O58" s="312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  <c r="AA58" s="300"/>
      <c r="AB58" s="300"/>
      <c r="AC58" s="300"/>
    </row>
    <row r="59">
      <c r="A59" s="47"/>
      <c r="B59" s="47"/>
      <c r="C59" s="47"/>
      <c r="D59" s="47"/>
      <c r="E59" s="47"/>
      <c r="F59" s="47"/>
      <c r="G59" s="47"/>
      <c r="H59" s="325" t="s">
        <v>1261</v>
      </c>
      <c r="I59" s="325" t="s">
        <v>29</v>
      </c>
      <c r="J59" s="321">
        <v>30.0</v>
      </c>
      <c r="K59" s="321" t="s">
        <v>156</v>
      </c>
      <c r="L59" s="326">
        <v>380.0</v>
      </c>
      <c r="M59" s="105">
        <f t="shared" si="1"/>
        <v>11400</v>
      </c>
      <c r="N59" s="327" t="s">
        <v>440</v>
      </c>
      <c r="O59" s="312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300"/>
      <c r="AB59" s="300"/>
      <c r="AC59" s="300"/>
    </row>
    <row r="60">
      <c r="A60" s="47"/>
      <c r="B60" s="47"/>
      <c r="C60" s="47"/>
      <c r="D60" s="47"/>
      <c r="E60" s="47"/>
      <c r="F60" s="47"/>
      <c r="G60" s="47"/>
      <c r="H60" s="325" t="s">
        <v>1262</v>
      </c>
      <c r="I60" s="325" t="s">
        <v>29</v>
      </c>
      <c r="J60" s="321">
        <v>5.0</v>
      </c>
      <c r="K60" s="321" t="s">
        <v>981</v>
      </c>
      <c r="L60" s="326">
        <v>90.0</v>
      </c>
      <c r="M60" s="105">
        <f t="shared" si="1"/>
        <v>450</v>
      </c>
      <c r="N60" s="327" t="s">
        <v>440</v>
      </c>
      <c r="O60" s="312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  <c r="AA60" s="300"/>
      <c r="AB60" s="300"/>
      <c r="AC60" s="300"/>
    </row>
    <row r="61">
      <c r="A61" s="47"/>
      <c r="B61" s="47"/>
      <c r="C61" s="47"/>
      <c r="D61" s="47"/>
      <c r="E61" s="47"/>
      <c r="F61" s="47"/>
      <c r="G61" s="47"/>
      <c r="H61" s="325" t="s">
        <v>1065</v>
      </c>
      <c r="I61" s="325" t="s">
        <v>29</v>
      </c>
      <c r="J61" s="321">
        <v>30.0</v>
      </c>
      <c r="K61" s="321" t="s">
        <v>981</v>
      </c>
      <c r="L61" s="326">
        <v>25.0</v>
      </c>
      <c r="M61" s="105">
        <f t="shared" si="1"/>
        <v>750</v>
      </c>
      <c r="N61" s="327" t="s">
        <v>440</v>
      </c>
      <c r="O61" s="312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300"/>
      <c r="AB61" s="300"/>
      <c r="AC61" s="300"/>
    </row>
    <row r="62">
      <c r="A62" s="47"/>
      <c r="B62" s="47"/>
      <c r="C62" s="47"/>
      <c r="D62" s="47"/>
      <c r="E62" s="47"/>
      <c r="F62" s="47"/>
      <c r="G62" s="47"/>
      <c r="H62" s="325" t="s">
        <v>1263</v>
      </c>
      <c r="I62" s="325" t="s">
        <v>29</v>
      </c>
      <c r="J62" s="321">
        <v>5.0</v>
      </c>
      <c r="K62" s="321" t="s">
        <v>156</v>
      </c>
      <c r="L62" s="326">
        <v>900.0</v>
      </c>
      <c r="M62" s="105">
        <f t="shared" si="1"/>
        <v>4500</v>
      </c>
      <c r="N62" s="327" t="s">
        <v>440</v>
      </c>
      <c r="O62" s="312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  <c r="AA62" s="300"/>
      <c r="AB62" s="300"/>
      <c r="AC62" s="300"/>
    </row>
    <row r="63">
      <c r="A63" s="47"/>
      <c r="B63" s="47"/>
      <c r="C63" s="47"/>
      <c r="D63" s="47"/>
      <c r="E63" s="47"/>
      <c r="F63" s="47"/>
      <c r="G63" s="47"/>
      <c r="H63" s="325" t="s">
        <v>1264</v>
      </c>
      <c r="I63" s="325" t="s">
        <v>268</v>
      </c>
      <c r="J63" s="321">
        <v>5.0</v>
      </c>
      <c r="K63" s="321" t="s">
        <v>156</v>
      </c>
      <c r="L63" s="326">
        <v>1100.0</v>
      </c>
      <c r="M63" s="105">
        <f t="shared" si="1"/>
        <v>5500</v>
      </c>
      <c r="N63" s="327" t="s">
        <v>440</v>
      </c>
      <c r="O63" s="312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300"/>
      <c r="AB63" s="300"/>
      <c r="AC63" s="300"/>
    </row>
    <row r="64">
      <c r="A64" s="47"/>
      <c r="B64" s="47"/>
      <c r="C64" s="47"/>
      <c r="D64" s="47"/>
      <c r="E64" s="47"/>
      <c r="F64" s="47"/>
      <c r="G64" s="47"/>
      <c r="H64" s="325" t="s">
        <v>1265</v>
      </c>
      <c r="I64" s="325" t="s">
        <v>60</v>
      </c>
      <c r="J64" s="321">
        <v>5.0</v>
      </c>
      <c r="K64" s="321" t="s">
        <v>156</v>
      </c>
      <c r="L64" s="326">
        <v>300.0</v>
      </c>
      <c r="M64" s="105">
        <f t="shared" si="1"/>
        <v>1500</v>
      </c>
      <c r="N64" s="327" t="s">
        <v>440</v>
      </c>
      <c r="O64" s="312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  <c r="AA64" s="300"/>
      <c r="AB64" s="300"/>
      <c r="AC64" s="300"/>
    </row>
    <row r="65">
      <c r="A65" s="48"/>
      <c r="B65" s="48"/>
      <c r="C65" s="48"/>
      <c r="D65" s="48"/>
      <c r="E65" s="48"/>
      <c r="F65" s="48"/>
      <c r="G65" s="48"/>
      <c r="H65" s="325" t="s">
        <v>1266</v>
      </c>
      <c r="I65" s="325" t="s">
        <v>29</v>
      </c>
      <c r="J65" s="321">
        <v>1.0</v>
      </c>
      <c r="K65" s="321" t="s">
        <v>156</v>
      </c>
      <c r="L65" s="326">
        <v>3375.0</v>
      </c>
      <c r="M65" s="105">
        <f t="shared" si="1"/>
        <v>3375</v>
      </c>
      <c r="N65" s="327" t="s">
        <v>440</v>
      </c>
      <c r="O65" s="312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  <c r="AA65" s="300"/>
      <c r="AB65" s="300"/>
      <c r="AC65" s="300"/>
    </row>
    <row r="66">
      <c r="A66" s="329"/>
      <c r="B66" s="330">
        <v>896.0</v>
      </c>
      <c r="C66" s="331">
        <v>45877.0</v>
      </c>
      <c r="D66" s="330" t="s">
        <v>1248</v>
      </c>
      <c r="E66" s="332">
        <v>45916.0</v>
      </c>
      <c r="F66" s="330">
        <v>819.0</v>
      </c>
      <c r="G66" s="334">
        <v>45877.0</v>
      </c>
      <c r="H66" s="336" t="s">
        <v>1267</v>
      </c>
      <c r="I66" s="325" t="s">
        <v>55</v>
      </c>
      <c r="J66" s="321">
        <v>44.0</v>
      </c>
      <c r="K66" s="321" t="s">
        <v>654</v>
      </c>
      <c r="L66" s="326">
        <v>190.0</v>
      </c>
      <c r="M66" s="105">
        <f t="shared" si="1"/>
        <v>8360</v>
      </c>
      <c r="N66" s="327" t="s">
        <v>440</v>
      </c>
      <c r="O66" s="312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300"/>
      <c r="AA66" s="300"/>
      <c r="AB66" s="300"/>
      <c r="AC66" s="300"/>
    </row>
    <row r="67">
      <c r="A67" s="47"/>
      <c r="B67" s="47"/>
      <c r="C67" s="47"/>
      <c r="D67" s="47"/>
      <c r="E67" s="47"/>
      <c r="F67" s="47"/>
      <c r="G67" s="47"/>
      <c r="H67" s="325" t="s">
        <v>1011</v>
      </c>
      <c r="I67" s="325" t="s">
        <v>325</v>
      </c>
      <c r="J67" s="321">
        <v>10.0</v>
      </c>
      <c r="K67" s="321" t="s">
        <v>25</v>
      </c>
      <c r="L67" s="326">
        <v>230.0</v>
      </c>
      <c r="M67" s="105">
        <f t="shared" si="1"/>
        <v>2300</v>
      </c>
      <c r="N67" s="327" t="s">
        <v>440</v>
      </c>
      <c r="O67" s="312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300"/>
      <c r="AB67" s="300"/>
      <c r="AC67" s="300"/>
    </row>
    <row r="68">
      <c r="A68" s="47"/>
      <c r="B68" s="47"/>
      <c r="C68" s="47"/>
      <c r="D68" s="47"/>
      <c r="E68" s="47"/>
      <c r="F68" s="47"/>
      <c r="G68" s="47"/>
      <c r="H68" s="325" t="s">
        <v>1268</v>
      </c>
      <c r="I68" s="325" t="s">
        <v>325</v>
      </c>
      <c r="J68" s="321">
        <v>4.0</v>
      </c>
      <c r="K68" s="321" t="s">
        <v>156</v>
      </c>
      <c r="L68" s="326">
        <v>55.0</v>
      </c>
      <c r="M68" s="105">
        <f t="shared" si="1"/>
        <v>220</v>
      </c>
      <c r="N68" s="327" t="s">
        <v>440</v>
      </c>
      <c r="O68" s="312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  <c r="AA68" s="300"/>
      <c r="AB68" s="300"/>
      <c r="AC68" s="300"/>
    </row>
    <row r="69">
      <c r="A69" s="47"/>
      <c r="B69" s="47"/>
      <c r="C69" s="47"/>
      <c r="D69" s="47"/>
      <c r="E69" s="47"/>
      <c r="F69" s="47"/>
      <c r="G69" s="47"/>
      <c r="H69" s="325" t="s">
        <v>1269</v>
      </c>
      <c r="I69" s="325" t="s">
        <v>55</v>
      </c>
      <c r="J69" s="321">
        <v>100.0</v>
      </c>
      <c r="K69" s="321" t="s">
        <v>1205</v>
      </c>
      <c r="L69" s="326">
        <v>60.0</v>
      </c>
      <c r="M69" s="105">
        <f t="shared" si="1"/>
        <v>6000</v>
      </c>
      <c r="N69" s="327" t="s">
        <v>440</v>
      </c>
      <c r="O69" s="312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  <c r="AA69" s="300"/>
      <c r="AB69" s="300"/>
      <c r="AC69" s="300"/>
    </row>
    <row r="70">
      <c r="A70" s="48"/>
      <c r="B70" s="48"/>
      <c r="C70" s="48"/>
      <c r="D70" s="48"/>
      <c r="E70" s="48"/>
      <c r="F70" s="48"/>
      <c r="G70" s="48"/>
      <c r="H70" s="325" t="s">
        <v>871</v>
      </c>
      <c r="I70" s="325" t="s">
        <v>325</v>
      </c>
      <c r="J70" s="321">
        <v>12.0</v>
      </c>
      <c r="K70" s="321" t="s">
        <v>654</v>
      </c>
      <c r="L70" s="326">
        <v>256.0</v>
      </c>
      <c r="M70" s="105">
        <f t="shared" si="1"/>
        <v>3072</v>
      </c>
      <c r="N70" s="327" t="s">
        <v>440</v>
      </c>
      <c r="O70" s="312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  <c r="AA70" s="300"/>
      <c r="AB70" s="300"/>
      <c r="AC70" s="300"/>
    </row>
    <row r="71">
      <c r="A71" s="312"/>
      <c r="B71" s="321">
        <v>830.0</v>
      </c>
      <c r="C71" s="322">
        <v>45859.0</v>
      </c>
      <c r="D71" s="321" t="s">
        <v>1270</v>
      </c>
      <c r="E71" s="323">
        <v>45916.0</v>
      </c>
      <c r="F71" s="321">
        <v>203.0</v>
      </c>
      <c r="G71" s="333"/>
      <c r="H71" s="325" t="s">
        <v>330</v>
      </c>
      <c r="I71" s="325" t="s">
        <v>29</v>
      </c>
      <c r="J71" s="321">
        <v>5.0</v>
      </c>
      <c r="K71" s="321" t="s">
        <v>156</v>
      </c>
      <c r="L71" s="326">
        <v>650.0</v>
      </c>
      <c r="M71" s="105">
        <f t="shared" si="1"/>
        <v>3250</v>
      </c>
      <c r="N71" s="327" t="s">
        <v>440</v>
      </c>
      <c r="O71" s="312"/>
      <c r="P71" s="300"/>
      <c r="Q71" s="300"/>
      <c r="R71" s="300"/>
      <c r="S71" s="300"/>
      <c r="T71" s="300"/>
      <c r="U71" s="300"/>
      <c r="V71" s="300"/>
      <c r="W71" s="300"/>
      <c r="X71" s="300"/>
      <c r="Y71" s="300"/>
      <c r="Z71" s="300"/>
      <c r="AA71" s="300"/>
      <c r="AB71" s="300"/>
      <c r="AC71" s="300"/>
    </row>
    <row r="72">
      <c r="A72" s="329"/>
      <c r="B72" s="338">
        <v>55.0</v>
      </c>
      <c r="C72" s="331">
        <v>45839.0</v>
      </c>
      <c r="D72" s="330" t="s">
        <v>1271</v>
      </c>
      <c r="E72" s="332">
        <v>45916.0</v>
      </c>
      <c r="F72" s="330">
        <v>201.0</v>
      </c>
      <c r="G72" s="333"/>
      <c r="H72" s="325" t="s">
        <v>956</v>
      </c>
      <c r="I72" s="325" t="s">
        <v>29</v>
      </c>
      <c r="J72" s="321">
        <v>10.0</v>
      </c>
      <c r="K72" s="321" t="s">
        <v>156</v>
      </c>
      <c r="L72" s="326">
        <v>1200.0</v>
      </c>
      <c r="M72" s="105">
        <f t="shared" si="1"/>
        <v>12000</v>
      </c>
      <c r="N72" s="327" t="s">
        <v>1272</v>
      </c>
      <c r="O72" s="312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300"/>
      <c r="AB72" s="300"/>
      <c r="AC72" s="300"/>
    </row>
    <row r="73">
      <c r="A73" s="48"/>
      <c r="B73" s="48"/>
      <c r="C73" s="48"/>
      <c r="D73" s="48"/>
      <c r="E73" s="48"/>
      <c r="F73" s="48"/>
      <c r="G73" s="333"/>
      <c r="H73" s="325" t="s">
        <v>1273</v>
      </c>
      <c r="I73" s="325" t="s">
        <v>29</v>
      </c>
      <c r="J73" s="321">
        <v>10.0</v>
      </c>
      <c r="K73" s="321" t="s">
        <v>156</v>
      </c>
      <c r="L73" s="326">
        <v>100.0</v>
      </c>
      <c r="M73" s="105">
        <f t="shared" si="1"/>
        <v>1000</v>
      </c>
      <c r="N73" s="327" t="s">
        <v>1272</v>
      </c>
      <c r="O73" s="312"/>
      <c r="P73" s="300"/>
      <c r="Q73" s="300"/>
      <c r="R73" s="300"/>
      <c r="S73" s="300"/>
      <c r="T73" s="300"/>
      <c r="U73" s="300"/>
      <c r="V73" s="300"/>
      <c r="W73" s="300"/>
      <c r="X73" s="300"/>
      <c r="Y73" s="300"/>
      <c r="Z73" s="300"/>
      <c r="AA73" s="300"/>
      <c r="AB73" s="300"/>
      <c r="AC73" s="300"/>
    </row>
    <row r="74">
      <c r="A74" s="312"/>
      <c r="B74" s="321">
        <v>65.0</v>
      </c>
      <c r="C74" s="322">
        <v>45852.0</v>
      </c>
      <c r="D74" s="321" t="s">
        <v>1274</v>
      </c>
      <c r="E74" s="323">
        <v>45916.0</v>
      </c>
      <c r="F74" s="321" t="s">
        <v>92</v>
      </c>
      <c r="G74" s="333"/>
      <c r="H74" s="325" t="s">
        <v>1275</v>
      </c>
      <c r="I74" s="325" t="s">
        <v>76</v>
      </c>
      <c r="J74" s="321">
        <v>1.0</v>
      </c>
      <c r="K74" s="321" t="s">
        <v>838</v>
      </c>
      <c r="L74" s="326">
        <v>15000.0</v>
      </c>
      <c r="M74" s="105">
        <f t="shared" si="1"/>
        <v>15000</v>
      </c>
      <c r="N74" s="327" t="s">
        <v>208</v>
      </c>
      <c r="O74" s="312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300"/>
      <c r="AB74" s="300"/>
      <c r="AC74" s="300"/>
    </row>
    <row r="75">
      <c r="A75" s="312"/>
      <c r="B75" s="321">
        <v>411.0</v>
      </c>
      <c r="C75" s="322">
        <v>45891.0</v>
      </c>
      <c r="D75" s="321" t="s">
        <v>1274</v>
      </c>
      <c r="E75" s="323">
        <v>45916.0</v>
      </c>
      <c r="F75" s="321" t="s">
        <v>92</v>
      </c>
      <c r="G75" s="333"/>
      <c r="H75" s="325" t="s">
        <v>1276</v>
      </c>
      <c r="I75" s="325" t="s">
        <v>76</v>
      </c>
      <c r="J75" s="321">
        <v>2.0</v>
      </c>
      <c r="K75" s="321" t="s">
        <v>838</v>
      </c>
      <c r="L75" s="326">
        <v>16000.0</v>
      </c>
      <c r="M75" s="105">
        <f t="shared" si="1"/>
        <v>32000</v>
      </c>
      <c r="N75" s="327" t="s">
        <v>208</v>
      </c>
      <c r="O75" s="312"/>
      <c r="P75" s="300"/>
      <c r="Q75" s="300"/>
      <c r="R75" s="300"/>
      <c r="S75" s="300"/>
      <c r="T75" s="300"/>
      <c r="U75" s="300"/>
      <c r="V75" s="300"/>
      <c r="W75" s="300"/>
      <c r="X75" s="300"/>
      <c r="Y75" s="300"/>
      <c r="Z75" s="300"/>
      <c r="AA75" s="300"/>
      <c r="AB75" s="300"/>
      <c r="AC75" s="300"/>
    </row>
    <row r="76">
      <c r="A76" s="312"/>
      <c r="B76" s="321">
        <v>412.0</v>
      </c>
      <c r="C76" s="322">
        <v>45897.0</v>
      </c>
      <c r="D76" s="321" t="s">
        <v>1274</v>
      </c>
      <c r="E76" s="323">
        <v>45916.0</v>
      </c>
      <c r="F76" s="321" t="s">
        <v>92</v>
      </c>
      <c r="G76" s="333"/>
      <c r="H76" s="325" t="s">
        <v>1276</v>
      </c>
      <c r="I76" s="325" t="s">
        <v>76</v>
      </c>
      <c r="J76" s="321">
        <v>1.0</v>
      </c>
      <c r="K76" s="321" t="s">
        <v>838</v>
      </c>
      <c r="L76" s="326">
        <v>16000.0</v>
      </c>
      <c r="M76" s="105">
        <f t="shared" si="1"/>
        <v>16000</v>
      </c>
      <c r="N76" s="327" t="s">
        <v>208</v>
      </c>
      <c r="O76" s="312"/>
      <c r="P76" s="300"/>
      <c r="Q76" s="300"/>
      <c r="R76" s="300"/>
      <c r="S76" s="300"/>
      <c r="T76" s="300"/>
      <c r="U76" s="300"/>
      <c r="V76" s="300"/>
      <c r="W76" s="300"/>
      <c r="X76" s="300"/>
      <c r="Y76" s="300"/>
      <c r="Z76" s="300"/>
      <c r="AA76" s="300"/>
      <c r="AB76" s="300"/>
      <c r="AC76" s="300"/>
    </row>
    <row r="77">
      <c r="A77" s="312"/>
      <c r="B77" s="321">
        <v>413.0</v>
      </c>
      <c r="C77" s="322">
        <v>45903.0</v>
      </c>
      <c r="D77" s="321" t="s">
        <v>1274</v>
      </c>
      <c r="E77" s="323">
        <v>45916.0</v>
      </c>
      <c r="F77" s="321" t="s">
        <v>92</v>
      </c>
      <c r="G77" s="333"/>
      <c r="H77" s="325" t="s">
        <v>1277</v>
      </c>
      <c r="I77" s="325" t="s">
        <v>76</v>
      </c>
      <c r="J77" s="321">
        <v>1.0</v>
      </c>
      <c r="K77" s="321" t="s">
        <v>838</v>
      </c>
      <c r="L77" s="326">
        <v>16000.0</v>
      </c>
      <c r="M77" s="105">
        <f t="shared" si="1"/>
        <v>16000</v>
      </c>
      <c r="N77" s="327" t="s">
        <v>208</v>
      </c>
      <c r="O77" s="312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  <c r="AA77" s="300"/>
      <c r="AB77" s="300"/>
      <c r="AC77" s="300"/>
    </row>
    <row r="78">
      <c r="A78" s="312"/>
      <c r="B78" s="328" t="s">
        <v>92</v>
      </c>
      <c r="C78" s="322">
        <v>45898.0</v>
      </c>
      <c r="D78" s="321" t="s">
        <v>1278</v>
      </c>
      <c r="E78" s="323">
        <v>45916.0</v>
      </c>
      <c r="F78" s="321" t="s">
        <v>92</v>
      </c>
      <c r="G78" s="333"/>
      <c r="H78" s="325" t="s">
        <v>1279</v>
      </c>
      <c r="I78" s="325" t="s">
        <v>837</v>
      </c>
      <c r="J78" s="321">
        <v>1.0</v>
      </c>
      <c r="K78" s="321" t="s">
        <v>838</v>
      </c>
      <c r="L78" s="326">
        <v>7753.0</v>
      </c>
      <c r="M78" s="105">
        <f t="shared" si="1"/>
        <v>7753</v>
      </c>
      <c r="N78" s="327" t="s">
        <v>839</v>
      </c>
      <c r="O78" s="312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300"/>
      <c r="AA78" s="300"/>
      <c r="AB78" s="300"/>
      <c r="AC78" s="300"/>
    </row>
    <row r="79">
      <c r="A79" s="312"/>
      <c r="B79" s="328">
        <v>895.0</v>
      </c>
      <c r="C79" s="322">
        <v>45637.0</v>
      </c>
      <c r="D79" s="321" t="s">
        <v>1280</v>
      </c>
      <c r="E79" s="323">
        <v>45916.0</v>
      </c>
      <c r="F79" s="321">
        <v>267.0</v>
      </c>
      <c r="G79" s="333"/>
      <c r="H79" s="325" t="s">
        <v>1264</v>
      </c>
      <c r="I79" s="325" t="s">
        <v>268</v>
      </c>
      <c r="J79" s="321">
        <v>2.0</v>
      </c>
      <c r="K79" s="321" t="s">
        <v>156</v>
      </c>
      <c r="L79" s="326">
        <v>1100.0</v>
      </c>
      <c r="M79" s="105">
        <f t="shared" si="1"/>
        <v>2200</v>
      </c>
      <c r="N79" s="327" t="s">
        <v>440</v>
      </c>
      <c r="O79" s="312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300"/>
      <c r="AB79" s="300"/>
      <c r="AC79" s="300"/>
    </row>
    <row r="80">
      <c r="A80" s="312"/>
      <c r="B80" s="328">
        <v>159.0</v>
      </c>
      <c r="C80" s="322">
        <v>45806.0</v>
      </c>
      <c r="D80" s="321" t="s">
        <v>1281</v>
      </c>
      <c r="E80" s="323">
        <v>45916.0</v>
      </c>
      <c r="F80" s="321">
        <v>1220.0</v>
      </c>
      <c r="G80" s="333"/>
      <c r="H80" s="325" t="s">
        <v>1282</v>
      </c>
      <c r="I80" s="325" t="s">
        <v>76</v>
      </c>
      <c r="J80" s="321">
        <v>6.0</v>
      </c>
      <c r="K80" s="321" t="s">
        <v>207</v>
      </c>
      <c r="L80" s="326">
        <v>23930.0</v>
      </c>
      <c r="M80" s="105">
        <f t="shared" si="1"/>
        <v>143580</v>
      </c>
      <c r="N80" s="327" t="s">
        <v>208</v>
      </c>
      <c r="O80" s="312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</row>
    <row r="81">
      <c r="A81" s="329"/>
      <c r="B81" s="330" t="s">
        <v>1283</v>
      </c>
      <c r="C81" s="331">
        <v>45902.0</v>
      </c>
      <c r="D81" s="330" t="s">
        <v>1284</v>
      </c>
      <c r="E81" s="332">
        <v>45916.0</v>
      </c>
      <c r="F81" s="330">
        <v>841.0</v>
      </c>
      <c r="G81" s="334">
        <v>45906.0</v>
      </c>
      <c r="H81" s="325" t="s">
        <v>1285</v>
      </c>
      <c r="I81" s="336" t="s">
        <v>1286</v>
      </c>
      <c r="J81" s="321">
        <v>9300.0</v>
      </c>
      <c r="K81" s="321" t="s">
        <v>654</v>
      </c>
      <c r="L81" s="326">
        <v>55.37</v>
      </c>
      <c r="M81" s="105">
        <f t="shared" si="1"/>
        <v>514941</v>
      </c>
      <c r="N81" s="327" t="s">
        <v>1287</v>
      </c>
      <c r="O81" s="312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</row>
    <row r="82">
      <c r="A82" s="48"/>
      <c r="B82" s="48"/>
      <c r="C82" s="48"/>
      <c r="D82" s="48"/>
      <c r="E82" s="48"/>
      <c r="F82" s="48"/>
      <c r="G82" s="48"/>
      <c r="H82" s="325" t="s">
        <v>1288</v>
      </c>
      <c r="I82" s="336" t="s">
        <v>1286</v>
      </c>
      <c r="J82" s="321">
        <v>2880.0</v>
      </c>
      <c r="K82" s="321" t="s">
        <v>654</v>
      </c>
      <c r="L82" s="326">
        <v>54.87</v>
      </c>
      <c r="M82" s="105">
        <f t="shared" si="1"/>
        <v>158025.6</v>
      </c>
      <c r="N82" s="327" t="s">
        <v>1287</v>
      </c>
      <c r="O82" s="312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</row>
    <row r="83">
      <c r="A83" s="312"/>
      <c r="B83" s="321">
        <v>547.0</v>
      </c>
      <c r="C83" s="322">
        <v>45862.0</v>
      </c>
      <c r="D83" s="321" t="s">
        <v>1289</v>
      </c>
      <c r="E83" s="323">
        <v>45916.0</v>
      </c>
      <c r="F83" s="321">
        <v>814.0</v>
      </c>
      <c r="G83" s="324">
        <v>45869.0</v>
      </c>
      <c r="H83" s="325" t="s">
        <v>1290</v>
      </c>
      <c r="I83" s="325" t="s">
        <v>29</v>
      </c>
      <c r="J83" s="321">
        <v>10.0</v>
      </c>
      <c r="K83" s="321" t="s">
        <v>981</v>
      </c>
      <c r="L83" s="326">
        <v>250.0</v>
      </c>
      <c r="M83" s="105">
        <f t="shared" si="1"/>
        <v>2500</v>
      </c>
      <c r="N83" s="327" t="s">
        <v>1187</v>
      </c>
      <c r="O83" s="312"/>
      <c r="P83" s="300"/>
      <c r="Q83" s="300"/>
      <c r="R83" s="300"/>
      <c r="S83" s="300"/>
      <c r="T83" s="300"/>
      <c r="U83" s="300"/>
      <c r="V83" s="300"/>
      <c r="W83" s="300"/>
      <c r="X83" s="300"/>
      <c r="Y83" s="300"/>
      <c r="Z83" s="300"/>
      <c r="AA83" s="300"/>
      <c r="AB83" s="300"/>
      <c r="AC83" s="300"/>
    </row>
    <row r="84">
      <c r="A84" s="312"/>
      <c r="B84" s="328">
        <v>62.0</v>
      </c>
      <c r="C84" s="322">
        <v>45878.0</v>
      </c>
      <c r="D84" s="321" t="s">
        <v>1291</v>
      </c>
      <c r="E84" s="323">
        <v>45916.0</v>
      </c>
      <c r="F84" s="321">
        <v>829.0</v>
      </c>
      <c r="G84" s="324">
        <v>45889.0</v>
      </c>
      <c r="H84" s="325" t="s">
        <v>50</v>
      </c>
      <c r="I84" s="325" t="s">
        <v>51</v>
      </c>
      <c r="J84" s="321">
        <v>3.0</v>
      </c>
      <c r="K84" s="321" t="s">
        <v>156</v>
      </c>
      <c r="L84" s="326">
        <v>35300.0</v>
      </c>
      <c r="M84" s="105">
        <f t="shared" si="1"/>
        <v>105900</v>
      </c>
      <c r="N84" s="327" t="s">
        <v>1272</v>
      </c>
      <c r="O84" s="312"/>
      <c r="P84" s="300"/>
      <c r="Q84" s="300"/>
      <c r="R84" s="300"/>
      <c r="S84" s="300"/>
      <c r="T84" s="300"/>
      <c r="U84" s="300"/>
      <c r="V84" s="300"/>
      <c r="W84" s="300"/>
      <c r="X84" s="300"/>
      <c r="Y84" s="300"/>
      <c r="Z84" s="300"/>
      <c r="AA84" s="300"/>
      <c r="AB84" s="300"/>
      <c r="AC84" s="300"/>
    </row>
    <row r="85">
      <c r="A85" s="312"/>
      <c r="B85" s="338">
        <v>60.0</v>
      </c>
      <c r="C85" s="331">
        <v>45876.0</v>
      </c>
      <c r="D85" s="330" t="s">
        <v>1291</v>
      </c>
      <c r="E85" s="332">
        <v>45916.0</v>
      </c>
      <c r="F85" s="330">
        <v>820.0</v>
      </c>
      <c r="G85" s="334">
        <v>45877.0</v>
      </c>
      <c r="H85" s="325" t="s">
        <v>1292</v>
      </c>
      <c r="I85" s="325" t="s">
        <v>51</v>
      </c>
      <c r="J85" s="321">
        <v>10.0</v>
      </c>
      <c r="K85" s="321" t="s">
        <v>156</v>
      </c>
      <c r="L85" s="326">
        <v>1200.0</v>
      </c>
      <c r="M85" s="105">
        <f t="shared" si="1"/>
        <v>12000</v>
      </c>
      <c r="N85" s="327" t="s">
        <v>1272</v>
      </c>
      <c r="O85" s="312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300"/>
      <c r="AB85" s="300"/>
      <c r="AC85" s="300"/>
    </row>
    <row r="86">
      <c r="A86" s="312"/>
      <c r="B86" s="47"/>
      <c r="C86" s="47"/>
      <c r="D86" s="47"/>
      <c r="E86" s="47"/>
      <c r="F86" s="47"/>
      <c r="G86" s="47"/>
      <c r="H86" s="325" t="s">
        <v>1293</v>
      </c>
      <c r="I86" s="325" t="s">
        <v>51</v>
      </c>
      <c r="J86" s="321">
        <v>10.0</v>
      </c>
      <c r="K86" s="321" t="s">
        <v>156</v>
      </c>
      <c r="L86" s="326">
        <v>1200.0</v>
      </c>
      <c r="M86" s="105">
        <f t="shared" si="1"/>
        <v>12000</v>
      </c>
      <c r="N86" s="327" t="s">
        <v>1272</v>
      </c>
      <c r="O86" s="312"/>
      <c r="P86" s="300"/>
      <c r="Q86" s="300"/>
      <c r="R86" s="300"/>
      <c r="S86" s="300"/>
      <c r="T86" s="300"/>
      <c r="U86" s="300"/>
      <c r="V86" s="300"/>
      <c r="W86" s="300"/>
      <c r="X86" s="300"/>
      <c r="Y86" s="300"/>
      <c r="Z86" s="300"/>
      <c r="AA86" s="300"/>
      <c r="AB86" s="300"/>
      <c r="AC86" s="300"/>
    </row>
    <row r="87">
      <c r="A87" s="312"/>
      <c r="B87" s="47"/>
      <c r="C87" s="47"/>
      <c r="D87" s="47"/>
      <c r="E87" s="47"/>
      <c r="F87" s="47"/>
      <c r="G87" s="47"/>
      <c r="H87" s="325" t="s">
        <v>1294</v>
      </c>
      <c r="I87" s="325" t="s">
        <v>51</v>
      </c>
      <c r="J87" s="321">
        <v>10.0</v>
      </c>
      <c r="K87" s="321" t="s">
        <v>156</v>
      </c>
      <c r="L87" s="326">
        <v>80.0</v>
      </c>
      <c r="M87" s="105">
        <f t="shared" si="1"/>
        <v>800</v>
      </c>
      <c r="N87" s="327" t="s">
        <v>1272</v>
      </c>
      <c r="O87" s="312"/>
      <c r="P87" s="300"/>
      <c r="Q87" s="300"/>
      <c r="R87" s="300"/>
      <c r="S87" s="300"/>
      <c r="T87" s="300"/>
      <c r="U87" s="300"/>
      <c r="V87" s="300"/>
      <c r="W87" s="300"/>
      <c r="X87" s="300"/>
      <c r="Y87" s="300"/>
      <c r="Z87" s="300"/>
      <c r="AA87" s="300"/>
      <c r="AB87" s="300"/>
      <c r="AC87" s="300"/>
    </row>
    <row r="88">
      <c r="A88" s="312"/>
      <c r="B88" s="48"/>
      <c r="C88" s="48"/>
      <c r="D88" s="48"/>
      <c r="E88" s="48"/>
      <c r="F88" s="48"/>
      <c r="G88" s="48"/>
      <c r="H88" s="325" t="s">
        <v>1295</v>
      </c>
      <c r="I88" s="325" t="s">
        <v>51</v>
      </c>
      <c r="J88" s="321">
        <v>10.0</v>
      </c>
      <c r="K88" s="321" t="s">
        <v>156</v>
      </c>
      <c r="L88" s="326">
        <v>100.0</v>
      </c>
      <c r="M88" s="105">
        <f t="shared" si="1"/>
        <v>1000</v>
      </c>
      <c r="N88" s="327" t="s">
        <v>1272</v>
      </c>
      <c r="O88" s="312"/>
      <c r="P88" s="300"/>
      <c r="Q88" s="300"/>
      <c r="R88" s="300"/>
      <c r="S88" s="300"/>
      <c r="T88" s="300"/>
      <c r="U88" s="300"/>
      <c r="V88" s="300"/>
      <c r="W88" s="300"/>
      <c r="X88" s="300"/>
      <c r="Y88" s="300"/>
      <c r="Z88" s="300"/>
      <c r="AA88" s="300"/>
      <c r="AB88" s="300"/>
      <c r="AC88" s="300"/>
    </row>
    <row r="89">
      <c r="A89" s="312"/>
      <c r="B89" s="321">
        <v>853.0</v>
      </c>
      <c r="C89" s="322">
        <v>45888.0</v>
      </c>
      <c r="D89" s="321" t="s">
        <v>1296</v>
      </c>
      <c r="E89" s="323">
        <v>45916.0</v>
      </c>
      <c r="F89" s="321">
        <v>826.0</v>
      </c>
      <c r="G89" s="324">
        <v>45889.0</v>
      </c>
      <c r="H89" s="325" t="s">
        <v>1297</v>
      </c>
      <c r="I89" s="325" t="s">
        <v>547</v>
      </c>
      <c r="J89" s="321">
        <v>5.0</v>
      </c>
      <c r="K89" s="321" t="s">
        <v>156</v>
      </c>
      <c r="L89" s="326">
        <v>3500.0</v>
      </c>
      <c r="M89" s="105">
        <f t="shared" si="1"/>
        <v>17500</v>
      </c>
      <c r="N89" s="327" t="s">
        <v>548</v>
      </c>
      <c r="O89" s="312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</row>
    <row r="90">
      <c r="A90" s="312"/>
      <c r="B90" s="321">
        <v>338.0</v>
      </c>
      <c r="C90" s="322">
        <v>45894.0</v>
      </c>
      <c r="D90" s="321" t="s">
        <v>1298</v>
      </c>
      <c r="E90" s="323">
        <v>45916.0</v>
      </c>
      <c r="F90" s="321">
        <v>840.0</v>
      </c>
      <c r="G90" s="324">
        <v>45906.0</v>
      </c>
      <c r="H90" s="325" t="s">
        <v>1299</v>
      </c>
      <c r="I90" s="325" t="s">
        <v>547</v>
      </c>
      <c r="J90" s="321">
        <v>10.0</v>
      </c>
      <c r="K90" s="321" t="s">
        <v>156</v>
      </c>
      <c r="L90" s="326">
        <v>2499.0</v>
      </c>
      <c r="M90" s="105">
        <f t="shared" si="1"/>
        <v>24990</v>
      </c>
      <c r="N90" s="327" t="s">
        <v>1300</v>
      </c>
      <c r="O90" s="312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300"/>
      <c r="AB90" s="300"/>
      <c r="AC90" s="300"/>
    </row>
    <row r="91">
      <c r="A91" s="312"/>
      <c r="B91" s="330" t="s">
        <v>1301</v>
      </c>
      <c r="C91" s="331">
        <v>45890.0</v>
      </c>
      <c r="D91" s="330" t="s">
        <v>1302</v>
      </c>
      <c r="E91" s="332">
        <v>45917.0</v>
      </c>
      <c r="F91" s="330">
        <v>831.0</v>
      </c>
      <c r="G91" s="334">
        <v>45893.0</v>
      </c>
      <c r="H91" s="325" t="s">
        <v>1303</v>
      </c>
      <c r="I91" s="325" t="s">
        <v>60</v>
      </c>
      <c r="J91" s="321">
        <v>3.0</v>
      </c>
      <c r="K91" s="337" t="s">
        <v>98</v>
      </c>
      <c r="L91" s="326">
        <v>2200.0</v>
      </c>
      <c r="M91" s="105">
        <f t="shared" si="1"/>
        <v>6600</v>
      </c>
      <c r="N91" s="327" t="s">
        <v>1304</v>
      </c>
      <c r="O91" s="312"/>
      <c r="P91" s="300"/>
      <c r="Q91" s="300"/>
      <c r="R91" s="300"/>
      <c r="S91" s="300"/>
      <c r="T91" s="300"/>
      <c r="U91" s="300"/>
      <c r="V91" s="300"/>
      <c r="W91" s="300"/>
      <c r="X91" s="300"/>
      <c r="Y91" s="300"/>
      <c r="Z91" s="300"/>
      <c r="AA91" s="300"/>
      <c r="AB91" s="300"/>
      <c r="AC91" s="300"/>
    </row>
    <row r="92">
      <c r="A92" s="312"/>
      <c r="B92" s="48"/>
      <c r="C92" s="48"/>
      <c r="D92" s="48"/>
      <c r="E92" s="48"/>
      <c r="F92" s="48"/>
      <c r="G92" s="48"/>
      <c r="H92" s="325" t="s">
        <v>1305</v>
      </c>
      <c r="I92" s="325" t="s">
        <v>60</v>
      </c>
      <c r="J92" s="321">
        <v>4.0</v>
      </c>
      <c r="K92" s="337" t="s">
        <v>98</v>
      </c>
      <c r="L92" s="326">
        <v>3150.0</v>
      </c>
      <c r="M92" s="105">
        <f t="shared" si="1"/>
        <v>12600</v>
      </c>
      <c r="N92" s="327" t="s">
        <v>1306</v>
      </c>
      <c r="O92" s="312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300"/>
      <c r="AA92" s="300"/>
      <c r="AB92" s="300"/>
      <c r="AC92" s="300"/>
    </row>
    <row r="93">
      <c r="A93" s="312"/>
      <c r="B93" s="321">
        <v>1767.0</v>
      </c>
      <c r="C93" s="322">
        <v>45899.0</v>
      </c>
      <c r="D93" s="321" t="s">
        <v>1302</v>
      </c>
      <c r="E93" s="323">
        <v>45917.0</v>
      </c>
      <c r="F93" s="321">
        <v>838.0</v>
      </c>
      <c r="G93" s="324">
        <v>45902.0</v>
      </c>
      <c r="H93" s="325" t="s">
        <v>1307</v>
      </c>
      <c r="I93" s="325" t="s">
        <v>60</v>
      </c>
      <c r="J93" s="321">
        <v>4.0</v>
      </c>
      <c r="K93" s="337" t="s">
        <v>98</v>
      </c>
      <c r="L93" s="326">
        <v>2200.0</v>
      </c>
      <c r="M93" s="105">
        <f t="shared" si="1"/>
        <v>8800</v>
      </c>
      <c r="N93" s="327" t="s">
        <v>1308</v>
      </c>
      <c r="O93" s="312"/>
      <c r="P93" s="300"/>
      <c r="Q93" s="300"/>
      <c r="R93" s="300"/>
      <c r="S93" s="300"/>
      <c r="T93" s="300"/>
      <c r="U93" s="300"/>
      <c r="V93" s="300"/>
      <c r="W93" s="300"/>
      <c r="X93" s="300"/>
      <c r="Y93" s="300"/>
      <c r="Z93" s="300"/>
      <c r="AA93" s="300"/>
      <c r="AB93" s="300"/>
      <c r="AC93" s="300"/>
    </row>
    <row r="94">
      <c r="A94" s="312"/>
      <c r="B94" s="321">
        <v>893.0</v>
      </c>
      <c r="C94" s="322">
        <v>45914.0</v>
      </c>
      <c r="D94" s="321" t="s">
        <v>1309</v>
      </c>
      <c r="E94" s="323">
        <v>45916.0</v>
      </c>
      <c r="F94" s="321" t="s">
        <v>92</v>
      </c>
      <c r="G94" s="333"/>
      <c r="H94" s="325" t="s">
        <v>1310</v>
      </c>
      <c r="I94" s="325" t="s">
        <v>837</v>
      </c>
      <c r="J94" s="321">
        <v>1.0</v>
      </c>
      <c r="K94" s="321" t="s">
        <v>838</v>
      </c>
      <c r="L94" s="326">
        <v>4500.0</v>
      </c>
      <c r="M94" s="105">
        <f t="shared" si="1"/>
        <v>4500</v>
      </c>
      <c r="N94" s="327" t="s">
        <v>839</v>
      </c>
      <c r="O94" s="312"/>
      <c r="P94" s="300"/>
      <c r="Q94" s="300"/>
      <c r="R94" s="300"/>
      <c r="S94" s="300"/>
      <c r="T94" s="300"/>
      <c r="U94" s="300"/>
      <c r="V94" s="300"/>
      <c r="W94" s="300"/>
      <c r="X94" s="300"/>
      <c r="Y94" s="300"/>
      <c r="Z94" s="300"/>
      <c r="AA94" s="300"/>
      <c r="AB94" s="300"/>
      <c r="AC94" s="300"/>
    </row>
    <row r="95">
      <c r="A95" s="312"/>
      <c r="B95" s="328">
        <v>895.0</v>
      </c>
      <c r="C95" s="322">
        <v>45914.0</v>
      </c>
      <c r="D95" s="321" t="s">
        <v>1309</v>
      </c>
      <c r="E95" s="323">
        <v>45916.0</v>
      </c>
      <c r="F95" s="321" t="s">
        <v>92</v>
      </c>
      <c r="G95" s="333"/>
      <c r="H95" s="325" t="s">
        <v>1311</v>
      </c>
      <c r="I95" s="325" t="s">
        <v>837</v>
      </c>
      <c r="J95" s="321">
        <v>1.0</v>
      </c>
      <c r="K95" s="321" t="s">
        <v>838</v>
      </c>
      <c r="L95" s="326">
        <v>3059.0</v>
      </c>
      <c r="M95" s="105">
        <f t="shared" si="1"/>
        <v>3059</v>
      </c>
      <c r="N95" s="327" t="s">
        <v>839</v>
      </c>
      <c r="O95" s="312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300"/>
      <c r="AA95" s="300"/>
      <c r="AB95" s="300"/>
      <c r="AC95" s="300"/>
    </row>
    <row r="96">
      <c r="A96" s="312"/>
      <c r="B96" s="321">
        <v>536.0</v>
      </c>
      <c r="C96" s="322">
        <v>45859.0</v>
      </c>
      <c r="D96" s="321" t="s">
        <v>1312</v>
      </c>
      <c r="E96" s="323">
        <v>45916.0</v>
      </c>
      <c r="F96" s="321">
        <v>812.0</v>
      </c>
      <c r="G96" s="324">
        <v>45864.0</v>
      </c>
      <c r="H96" s="325" t="s">
        <v>1313</v>
      </c>
      <c r="I96" s="325" t="s">
        <v>51</v>
      </c>
      <c r="J96" s="321">
        <v>1.0</v>
      </c>
      <c r="K96" s="321" t="s">
        <v>89</v>
      </c>
      <c r="L96" s="326">
        <v>11000.0</v>
      </c>
      <c r="M96" s="105">
        <f t="shared" si="1"/>
        <v>11000</v>
      </c>
      <c r="N96" s="327" t="s">
        <v>1314</v>
      </c>
      <c r="O96" s="312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300"/>
      <c r="AB96" s="300"/>
      <c r="AC96" s="300"/>
    </row>
    <row r="97">
      <c r="A97" s="312"/>
      <c r="B97" s="321" t="s">
        <v>1315</v>
      </c>
      <c r="C97" s="322">
        <v>45896.0</v>
      </c>
      <c r="D97" s="321" t="s">
        <v>1316</v>
      </c>
      <c r="E97" s="323">
        <v>45916.0</v>
      </c>
      <c r="F97" s="321">
        <v>833.0</v>
      </c>
      <c r="G97" s="324">
        <v>45897.0</v>
      </c>
      <c r="H97" s="325" t="s">
        <v>1317</v>
      </c>
      <c r="I97" s="325" t="s">
        <v>547</v>
      </c>
      <c r="J97" s="321">
        <v>1.0</v>
      </c>
      <c r="K97" s="321" t="s">
        <v>156</v>
      </c>
      <c r="L97" s="326">
        <v>27283.0</v>
      </c>
      <c r="M97" s="105">
        <f t="shared" si="1"/>
        <v>27283</v>
      </c>
      <c r="N97" s="327" t="s">
        <v>570</v>
      </c>
      <c r="O97" s="312"/>
      <c r="P97" s="300"/>
      <c r="Q97" s="300"/>
      <c r="R97" s="300"/>
      <c r="S97" s="300"/>
      <c r="T97" s="300"/>
      <c r="U97" s="300"/>
      <c r="V97" s="300"/>
      <c r="W97" s="300"/>
      <c r="X97" s="300"/>
      <c r="Y97" s="300"/>
      <c r="Z97" s="300"/>
      <c r="AA97" s="300"/>
      <c r="AB97" s="300"/>
      <c r="AC97" s="300"/>
    </row>
    <row r="98">
      <c r="A98" s="312"/>
      <c r="B98" s="321" t="s">
        <v>1318</v>
      </c>
      <c r="C98" s="322">
        <v>45896.0</v>
      </c>
      <c r="D98" s="321" t="s">
        <v>1316</v>
      </c>
      <c r="E98" s="323">
        <v>45916.0</v>
      </c>
      <c r="F98" s="321">
        <v>833.0</v>
      </c>
      <c r="G98" s="324">
        <v>45897.0</v>
      </c>
      <c r="H98" s="325" t="s">
        <v>1319</v>
      </c>
      <c r="I98" s="325" t="s">
        <v>547</v>
      </c>
      <c r="J98" s="321">
        <v>4.0</v>
      </c>
      <c r="K98" s="321" t="s">
        <v>156</v>
      </c>
      <c r="L98" s="326">
        <v>249.0</v>
      </c>
      <c r="M98" s="105">
        <f t="shared" si="1"/>
        <v>996</v>
      </c>
      <c r="N98" s="327" t="s">
        <v>570</v>
      </c>
      <c r="O98" s="312"/>
      <c r="P98" s="300"/>
      <c r="Q98" s="300"/>
      <c r="R98" s="300"/>
      <c r="S98" s="300"/>
      <c r="T98" s="300"/>
      <c r="U98" s="300"/>
      <c r="V98" s="300"/>
      <c r="W98" s="300"/>
      <c r="X98" s="300"/>
      <c r="Y98" s="300"/>
      <c r="Z98" s="300"/>
      <c r="AA98" s="300"/>
      <c r="AB98" s="300"/>
      <c r="AC98" s="300"/>
    </row>
    <row r="99">
      <c r="A99" s="312"/>
      <c r="B99" s="321" t="s">
        <v>1320</v>
      </c>
      <c r="C99" s="322">
        <v>45863.0</v>
      </c>
      <c r="D99" s="321" t="s">
        <v>1316</v>
      </c>
      <c r="E99" s="323">
        <v>45916.0</v>
      </c>
      <c r="F99" s="321">
        <v>820.0</v>
      </c>
      <c r="G99" s="324">
        <v>45877.0</v>
      </c>
      <c r="H99" s="325" t="s">
        <v>1321</v>
      </c>
      <c r="I99" s="325" t="s">
        <v>547</v>
      </c>
      <c r="J99" s="321">
        <v>1.0</v>
      </c>
      <c r="K99" s="321" t="s">
        <v>156</v>
      </c>
      <c r="L99" s="326">
        <v>16490.0</v>
      </c>
      <c r="M99" s="105">
        <f t="shared" si="1"/>
        <v>16490</v>
      </c>
      <c r="N99" s="327" t="s">
        <v>570</v>
      </c>
      <c r="O99" s="312"/>
      <c r="P99" s="300"/>
      <c r="Q99" s="300"/>
      <c r="R99" s="300"/>
      <c r="S99" s="300"/>
      <c r="T99" s="300"/>
      <c r="U99" s="300"/>
      <c r="V99" s="300"/>
      <c r="W99" s="300"/>
      <c r="X99" s="300"/>
      <c r="Y99" s="300"/>
      <c r="Z99" s="300"/>
      <c r="AA99" s="300"/>
      <c r="AB99" s="300"/>
      <c r="AC99" s="300"/>
    </row>
    <row r="100">
      <c r="A100" s="329"/>
      <c r="B100" s="330" t="s">
        <v>1322</v>
      </c>
      <c r="C100" s="331">
        <v>45890.0</v>
      </c>
      <c r="D100" s="330" t="s">
        <v>1323</v>
      </c>
      <c r="E100" s="332">
        <v>45916.0</v>
      </c>
      <c r="F100" s="330">
        <v>831.0</v>
      </c>
      <c r="G100" s="334">
        <v>45893.0</v>
      </c>
      <c r="H100" s="325" t="s">
        <v>1246</v>
      </c>
      <c r="I100" s="325" t="s">
        <v>82</v>
      </c>
      <c r="J100" s="321">
        <v>700.0</v>
      </c>
      <c r="K100" s="321" t="s">
        <v>156</v>
      </c>
      <c r="L100" s="326">
        <v>1283.0</v>
      </c>
      <c r="M100" s="105">
        <f t="shared" si="1"/>
        <v>898100</v>
      </c>
      <c r="N100" s="327" t="s">
        <v>1236</v>
      </c>
      <c r="O100" s="312"/>
      <c r="P100" s="300"/>
      <c r="Q100" s="300"/>
      <c r="R100" s="300"/>
      <c r="S100" s="300"/>
      <c r="T100" s="300"/>
      <c r="U100" s="300"/>
      <c r="V100" s="300"/>
      <c r="W100" s="300"/>
      <c r="X100" s="300"/>
      <c r="Y100" s="300"/>
      <c r="Z100" s="300"/>
      <c r="AA100" s="300"/>
      <c r="AB100" s="300"/>
      <c r="AC100" s="300"/>
    </row>
    <row r="101">
      <c r="A101" s="48"/>
      <c r="B101" s="48"/>
      <c r="C101" s="48"/>
      <c r="D101" s="48"/>
      <c r="E101" s="48"/>
      <c r="F101" s="48"/>
      <c r="G101" s="48"/>
      <c r="H101" s="325" t="s">
        <v>1324</v>
      </c>
      <c r="I101" s="325" t="s">
        <v>82</v>
      </c>
      <c r="J101" s="321">
        <v>1050.0</v>
      </c>
      <c r="K101" s="321" t="s">
        <v>156</v>
      </c>
      <c r="L101" s="326">
        <v>1360.0</v>
      </c>
      <c r="M101" s="105">
        <f t="shared" si="1"/>
        <v>1428000</v>
      </c>
      <c r="N101" s="327" t="s">
        <v>1236</v>
      </c>
      <c r="O101" s="312"/>
      <c r="P101" s="300"/>
      <c r="Q101" s="300"/>
      <c r="R101" s="300"/>
      <c r="S101" s="300"/>
      <c r="T101" s="300"/>
      <c r="U101" s="300"/>
      <c r="V101" s="300"/>
      <c r="W101" s="300"/>
      <c r="X101" s="300"/>
      <c r="Y101" s="300"/>
      <c r="Z101" s="300"/>
      <c r="AA101" s="300"/>
      <c r="AB101" s="300"/>
      <c r="AC101" s="300"/>
    </row>
    <row r="102">
      <c r="A102" s="312"/>
      <c r="B102" s="321" t="s">
        <v>1325</v>
      </c>
      <c r="C102" s="322">
        <v>45890.0</v>
      </c>
      <c r="D102" s="321" t="s">
        <v>1323</v>
      </c>
      <c r="E102" s="323">
        <v>45916.0</v>
      </c>
      <c r="F102" s="321">
        <v>830.0</v>
      </c>
      <c r="G102" s="324">
        <v>45893.0</v>
      </c>
      <c r="H102" s="325" t="s">
        <v>1326</v>
      </c>
      <c r="I102" s="325" t="s">
        <v>51</v>
      </c>
      <c r="J102" s="321">
        <v>4.0</v>
      </c>
      <c r="K102" s="321" t="s">
        <v>156</v>
      </c>
      <c r="L102" s="326">
        <v>3950.0</v>
      </c>
      <c r="M102" s="105">
        <f t="shared" si="1"/>
        <v>15800</v>
      </c>
      <c r="N102" s="327" t="s">
        <v>1236</v>
      </c>
      <c r="O102" s="312"/>
      <c r="P102" s="300"/>
      <c r="Q102" s="300"/>
      <c r="R102" s="300"/>
      <c r="S102" s="300"/>
      <c r="T102" s="300"/>
      <c r="U102" s="300"/>
      <c r="V102" s="300"/>
      <c r="W102" s="300"/>
      <c r="X102" s="300"/>
      <c r="Y102" s="300"/>
      <c r="Z102" s="300"/>
      <c r="AA102" s="300"/>
      <c r="AB102" s="300"/>
      <c r="AC102" s="300"/>
    </row>
    <row r="103">
      <c r="A103" s="312"/>
      <c r="B103" s="321" t="s">
        <v>1327</v>
      </c>
      <c r="C103" s="322">
        <v>45890.0</v>
      </c>
      <c r="D103" s="321" t="s">
        <v>1323</v>
      </c>
      <c r="E103" s="323">
        <v>45916.0</v>
      </c>
      <c r="F103" s="321">
        <v>831.0</v>
      </c>
      <c r="G103" s="324">
        <v>45893.0</v>
      </c>
      <c r="H103" s="325" t="s">
        <v>1326</v>
      </c>
      <c r="I103" s="325" t="s">
        <v>51</v>
      </c>
      <c r="J103" s="321">
        <v>10.0</v>
      </c>
      <c r="K103" s="321" t="s">
        <v>156</v>
      </c>
      <c r="L103" s="326">
        <v>3950.0</v>
      </c>
      <c r="M103" s="105">
        <f t="shared" si="1"/>
        <v>39500</v>
      </c>
      <c r="N103" s="327" t="s">
        <v>1236</v>
      </c>
      <c r="O103" s="312"/>
      <c r="P103" s="300"/>
      <c r="Q103" s="300"/>
      <c r="R103" s="300"/>
      <c r="S103" s="300"/>
      <c r="T103" s="300"/>
      <c r="U103" s="300"/>
      <c r="V103" s="300"/>
      <c r="W103" s="300"/>
      <c r="X103" s="300"/>
      <c r="Y103" s="300"/>
      <c r="Z103" s="300"/>
      <c r="AA103" s="300"/>
      <c r="AB103" s="300"/>
      <c r="AC103" s="300"/>
    </row>
    <row r="104">
      <c r="A104" s="312"/>
      <c r="B104" s="321" t="s">
        <v>1328</v>
      </c>
      <c r="C104" s="322">
        <v>45891.0</v>
      </c>
      <c r="D104" s="321" t="s">
        <v>1323</v>
      </c>
      <c r="E104" s="323">
        <v>45916.0</v>
      </c>
      <c r="F104" s="321">
        <v>830.0</v>
      </c>
      <c r="G104" s="324">
        <v>45893.0</v>
      </c>
      <c r="H104" s="325" t="s">
        <v>1329</v>
      </c>
      <c r="I104" s="325" t="s">
        <v>276</v>
      </c>
      <c r="J104" s="321">
        <v>200.0</v>
      </c>
      <c r="K104" s="321" t="s">
        <v>74</v>
      </c>
      <c r="L104" s="326">
        <v>486.0</v>
      </c>
      <c r="M104" s="105">
        <f t="shared" si="1"/>
        <v>97200</v>
      </c>
      <c r="N104" s="327" t="s">
        <v>1236</v>
      </c>
      <c r="O104" s="312"/>
      <c r="P104" s="300"/>
      <c r="Q104" s="300"/>
      <c r="R104" s="300"/>
      <c r="S104" s="300"/>
      <c r="T104" s="300"/>
      <c r="U104" s="300"/>
      <c r="V104" s="300"/>
      <c r="W104" s="300"/>
      <c r="X104" s="300"/>
      <c r="Y104" s="300"/>
      <c r="Z104" s="300"/>
      <c r="AA104" s="300"/>
      <c r="AB104" s="300"/>
      <c r="AC104" s="300"/>
    </row>
    <row r="105">
      <c r="A105" s="312"/>
      <c r="B105" s="321" t="s">
        <v>1330</v>
      </c>
      <c r="C105" s="322">
        <v>45896.0</v>
      </c>
      <c r="D105" s="321" t="s">
        <v>1323</v>
      </c>
      <c r="E105" s="323">
        <v>45916.0</v>
      </c>
      <c r="F105" s="321">
        <v>833.0</v>
      </c>
      <c r="G105" s="324">
        <v>45897.0</v>
      </c>
      <c r="H105" s="325" t="s">
        <v>1331</v>
      </c>
      <c r="I105" s="325" t="s">
        <v>276</v>
      </c>
      <c r="J105" s="321">
        <v>170.0</v>
      </c>
      <c r="K105" s="321" t="s">
        <v>1332</v>
      </c>
      <c r="L105" s="326">
        <v>279.0</v>
      </c>
      <c r="M105" s="105">
        <f t="shared" si="1"/>
        <v>47430</v>
      </c>
      <c r="N105" s="327" t="s">
        <v>1236</v>
      </c>
      <c r="O105" s="312"/>
      <c r="P105" s="300"/>
      <c r="Q105" s="300"/>
      <c r="R105" s="300"/>
      <c r="S105" s="300"/>
      <c r="T105" s="300"/>
      <c r="U105" s="300"/>
      <c r="V105" s="300"/>
      <c r="W105" s="300"/>
      <c r="X105" s="300"/>
      <c r="Y105" s="300"/>
      <c r="Z105" s="300"/>
      <c r="AA105" s="300"/>
      <c r="AB105" s="300"/>
      <c r="AC105" s="300"/>
    </row>
    <row r="106">
      <c r="A106" s="312"/>
      <c r="B106" s="321">
        <v>1095.0</v>
      </c>
      <c r="C106" s="322">
        <v>45894.0</v>
      </c>
      <c r="D106" s="321" t="s">
        <v>1333</v>
      </c>
      <c r="E106" s="323">
        <v>45925.0</v>
      </c>
      <c r="F106" s="321">
        <v>838.0</v>
      </c>
      <c r="G106" s="324">
        <v>45902.0</v>
      </c>
      <c r="H106" s="325" t="s">
        <v>1334</v>
      </c>
      <c r="I106" s="325" t="s">
        <v>51</v>
      </c>
      <c r="J106" s="321">
        <v>2.0</v>
      </c>
      <c r="K106" s="321" t="s">
        <v>74</v>
      </c>
      <c r="L106" s="326">
        <v>750.0</v>
      </c>
      <c r="M106" s="105">
        <f t="shared" si="1"/>
        <v>1500</v>
      </c>
      <c r="N106" s="327" t="s">
        <v>1335</v>
      </c>
      <c r="O106" s="312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</row>
    <row r="107">
      <c r="A107" s="312"/>
      <c r="B107" s="321">
        <v>762.0</v>
      </c>
      <c r="C107" s="322">
        <v>45880.0</v>
      </c>
      <c r="D107" s="321" t="s">
        <v>1333</v>
      </c>
      <c r="E107" s="323">
        <v>45925.0</v>
      </c>
      <c r="F107" s="321">
        <v>832.0</v>
      </c>
      <c r="G107" s="324">
        <v>45893.0</v>
      </c>
      <c r="H107" s="325" t="s">
        <v>1336</v>
      </c>
      <c r="I107" s="325" t="s">
        <v>51</v>
      </c>
      <c r="J107" s="321">
        <v>4.0</v>
      </c>
      <c r="K107" s="321" t="s">
        <v>156</v>
      </c>
      <c r="L107" s="326">
        <v>550.0</v>
      </c>
      <c r="M107" s="105">
        <f t="shared" si="1"/>
        <v>2200</v>
      </c>
      <c r="N107" s="327" t="s">
        <v>219</v>
      </c>
      <c r="O107" s="312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00"/>
    </row>
    <row r="108">
      <c r="A108" s="329"/>
      <c r="B108" s="330">
        <v>5525.0</v>
      </c>
      <c r="C108" s="331">
        <v>45894.0</v>
      </c>
      <c r="D108" s="330" t="s">
        <v>1333</v>
      </c>
      <c r="E108" s="332">
        <v>45925.0</v>
      </c>
      <c r="F108" s="330" t="s">
        <v>92</v>
      </c>
      <c r="G108" s="333"/>
      <c r="H108" s="325" t="s">
        <v>1337</v>
      </c>
      <c r="I108" s="325" t="s">
        <v>429</v>
      </c>
      <c r="J108" s="321">
        <v>1.0</v>
      </c>
      <c r="K108" s="321" t="s">
        <v>89</v>
      </c>
      <c r="L108" s="326">
        <v>2520.0</v>
      </c>
      <c r="M108" s="105">
        <f t="shared" si="1"/>
        <v>2520</v>
      </c>
      <c r="N108" s="327" t="s">
        <v>221</v>
      </c>
      <c r="O108" s="312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</row>
    <row r="109">
      <c r="A109" s="48"/>
      <c r="B109" s="48"/>
      <c r="C109" s="48"/>
      <c r="D109" s="48"/>
      <c r="E109" s="48"/>
      <c r="F109" s="48"/>
      <c r="G109" s="333"/>
      <c r="H109" s="325" t="s">
        <v>1338</v>
      </c>
      <c r="I109" s="325" t="s">
        <v>429</v>
      </c>
      <c r="J109" s="321">
        <v>1.0</v>
      </c>
      <c r="K109" s="321" t="s">
        <v>89</v>
      </c>
      <c r="L109" s="326">
        <v>1760.0</v>
      </c>
      <c r="M109" s="105">
        <f t="shared" si="1"/>
        <v>1760</v>
      </c>
      <c r="N109" s="327" t="s">
        <v>221</v>
      </c>
      <c r="O109" s="312"/>
      <c r="P109" s="300"/>
      <c r="Q109" s="300"/>
      <c r="R109" s="300"/>
      <c r="S109" s="300"/>
      <c r="T109" s="300"/>
      <c r="U109" s="300"/>
      <c r="V109" s="300"/>
      <c r="W109" s="300"/>
      <c r="X109" s="300"/>
      <c r="Y109" s="300"/>
      <c r="Z109" s="300"/>
      <c r="AA109" s="300"/>
      <c r="AB109" s="300"/>
      <c r="AC109" s="300"/>
    </row>
    <row r="110">
      <c r="A110" s="312"/>
      <c r="B110" s="328">
        <v>1709.0</v>
      </c>
      <c r="C110" s="322">
        <v>45897.0</v>
      </c>
      <c r="D110" s="321" t="s">
        <v>1333</v>
      </c>
      <c r="E110" s="323">
        <v>45925.0</v>
      </c>
      <c r="F110" s="321" t="s">
        <v>92</v>
      </c>
      <c r="G110" s="333"/>
      <c r="H110" s="325" t="s">
        <v>1339</v>
      </c>
      <c r="I110" s="325" t="s">
        <v>1340</v>
      </c>
      <c r="J110" s="321">
        <v>1.0</v>
      </c>
      <c r="K110" s="321" t="s">
        <v>89</v>
      </c>
      <c r="L110" s="326">
        <v>500.0</v>
      </c>
      <c r="M110" s="105">
        <f t="shared" si="1"/>
        <v>500</v>
      </c>
      <c r="N110" s="327" t="s">
        <v>1341</v>
      </c>
      <c r="O110" s="312"/>
      <c r="P110" s="300"/>
      <c r="Q110" s="300"/>
      <c r="R110" s="300"/>
      <c r="S110" s="300"/>
      <c r="T110" s="300"/>
      <c r="U110" s="300"/>
      <c r="V110" s="300"/>
      <c r="W110" s="300"/>
      <c r="X110" s="300"/>
      <c r="Y110" s="300"/>
      <c r="Z110" s="300"/>
      <c r="AA110" s="300"/>
      <c r="AB110" s="300"/>
      <c r="AC110" s="300"/>
    </row>
    <row r="111">
      <c r="A111" s="312"/>
      <c r="B111" s="321">
        <v>702.0</v>
      </c>
      <c r="C111" s="322">
        <v>45876.0</v>
      </c>
      <c r="D111" s="321" t="s">
        <v>1333</v>
      </c>
      <c r="E111" s="323">
        <v>45925.0</v>
      </c>
      <c r="F111" s="321" t="s">
        <v>92</v>
      </c>
      <c r="G111" s="333"/>
      <c r="H111" s="325" t="s">
        <v>1342</v>
      </c>
      <c r="I111" s="325" t="s">
        <v>1340</v>
      </c>
      <c r="J111" s="321">
        <v>1.0</v>
      </c>
      <c r="K111" s="321" t="s">
        <v>89</v>
      </c>
      <c r="L111" s="326">
        <v>300.0</v>
      </c>
      <c r="M111" s="105">
        <f t="shared" si="1"/>
        <v>300</v>
      </c>
      <c r="N111" s="327" t="s">
        <v>219</v>
      </c>
      <c r="O111" s="312"/>
      <c r="P111" s="300"/>
      <c r="Q111" s="300"/>
      <c r="R111" s="300"/>
      <c r="S111" s="300"/>
      <c r="T111" s="300"/>
      <c r="U111" s="300"/>
      <c r="V111" s="300"/>
      <c r="W111" s="300"/>
      <c r="X111" s="300"/>
      <c r="Y111" s="300"/>
      <c r="Z111" s="300"/>
      <c r="AA111" s="300"/>
      <c r="AB111" s="300"/>
      <c r="AC111" s="300"/>
    </row>
    <row r="112">
      <c r="A112" s="312"/>
      <c r="B112" s="321">
        <v>88.0</v>
      </c>
      <c r="C112" s="322">
        <v>45911.0</v>
      </c>
      <c r="D112" s="321" t="s">
        <v>1333</v>
      </c>
      <c r="E112" s="323">
        <v>45925.0</v>
      </c>
      <c r="F112" s="321" t="s">
        <v>92</v>
      </c>
      <c r="G112" s="333"/>
      <c r="H112" s="325" t="s">
        <v>1343</v>
      </c>
      <c r="I112" s="325" t="s">
        <v>1340</v>
      </c>
      <c r="J112" s="321">
        <v>1.0</v>
      </c>
      <c r="K112" s="321" t="s">
        <v>89</v>
      </c>
      <c r="L112" s="326">
        <v>800.0</v>
      </c>
      <c r="M112" s="105">
        <f t="shared" si="1"/>
        <v>800</v>
      </c>
      <c r="N112" s="327" t="s">
        <v>1344</v>
      </c>
      <c r="O112" s="312"/>
      <c r="P112" s="300"/>
      <c r="Q112" s="300"/>
      <c r="R112" s="300"/>
      <c r="S112" s="300"/>
      <c r="T112" s="300"/>
      <c r="U112" s="300"/>
      <c r="V112" s="300"/>
      <c r="W112" s="300"/>
      <c r="X112" s="300"/>
      <c r="Y112" s="300"/>
      <c r="Z112" s="300"/>
      <c r="AA112" s="300"/>
      <c r="AB112" s="300"/>
      <c r="AC112" s="300"/>
    </row>
    <row r="113">
      <c r="A113" s="312"/>
      <c r="B113" s="321">
        <v>1227.0</v>
      </c>
      <c r="C113" s="322">
        <v>45902.0</v>
      </c>
      <c r="D113" s="321" t="s">
        <v>1345</v>
      </c>
      <c r="E113" s="323">
        <v>45926.0</v>
      </c>
      <c r="F113" s="321">
        <v>842.0</v>
      </c>
      <c r="G113" s="324">
        <v>45907.0</v>
      </c>
      <c r="H113" s="336" t="s">
        <v>1346</v>
      </c>
      <c r="I113" s="325" t="s">
        <v>547</v>
      </c>
      <c r="J113" s="321">
        <v>7.0</v>
      </c>
      <c r="K113" s="321" t="s">
        <v>89</v>
      </c>
      <c r="L113" s="326">
        <v>11500.0</v>
      </c>
      <c r="M113" s="105">
        <f t="shared" si="1"/>
        <v>80500</v>
      </c>
      <c r="N113" s="327" t="s">
        <v>1347</v>
      </c>
      <c r="O113" s="312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  <c r="AA113" s="300"/>
      <c r="AB113" s="300"/>
      <c r="AC113" s="300"/>
    </row>
    <row r="114">
      <c r="A114" s="312"/>
      <c r="B114" s="321">
        <v>3.2266326E7</v>
      </c>
      <c r="C114" s="322">
        <v>45905.0</v>
      </c>
      <c r="D114" s="321" t="s">
        <v>1348</v>
      </c>
      <c r="E114" s="323">
        <v>45924.0</v>
      </c>
      <c r="F114" s="321" t="s">
        <v>92</v>
      </c>
      <c r="G114" s="333"/>
      <c r="H114" s="325" t="s">
        <v>1349</v>
      </c>
      <c r="I114" s="325" t="s">
        <v>837</v>
      </c>
      <c r="J114" s="321">
        <v>1.0</v>
      </c>
      <c r="K114" s="321" t="s">
        <v>838</v>
      </c>
      <c r="L114" s="326">
        <v>37240.0</v>
      </c>
      <c r="M114" s="105">
        <f t="shared" si="1"/>
        <v>37240</v>
      </c>
      <c r="N114" s="327" t="s">
        <v>842</v>
      </c>
      <c r="O114" s="312"/>
      <c r="P114" s="300"/>
      <c r="Q114" s="300"/>
      <c r="R114" s="300"/>
      <c r="S114" s="300"/>
      <c r="T114" s="300"/>
      <c r="U114" s="300"/>
      <c r="V114" s="300"/>
      <c r="W114" s="300"/>
      <c r="X114" s="300"/>
      <c r="Y114" s="300"/>
      <c r="Z114" s="300"/>
      <c r="AA114" s="300"/>
      <c r="AB114" s="300"/>
      <c r="AC114" s="300"/>
    </row>
    <row r="115">
      <c r="A115" s="312"/>
      <c r="B115" s="321">
        <v>1844.0</v>
      </c>
      <c r="C115" s="322">
        <v>45919.0</v>
      </c>
      <c r="D115" s="321" t="s">
        <v>1350</v>
      </c>
      <c r="E115" s="323">
        <v>45919.0</v>
      </c>
      <c r="F115" s="321">
        <v>826.0</v>
      </c>
      <c r="G115" s="324">
        <v>45889.0</v>
      </c>
      <c r="H115" s="325" t="s">
        <v>1351</v>
      </c>
      <c r="I115" s="325" t="s">
        <v>547</v>
      </c>
      <c r="J115" s="321">
        <v>15.0</v>
      </c>
      <c r="K115" s="321" t="s">
        <v>165</v>
      </c>
      <c r="L115" s="326">
        <v>218.0</v>
      </c>
      <c r="M115" s="105">
        <f t="shared" si="1"/>
        <v>3270</v>
      </c>
      <c r="N115" s="327" t="s">
        <v>1352</v>
      </c>
      <c r="O115" s="312"/>
      <c r="P115" s="300"/>
      <c r="Q115" s="300"/>
      <c r="R115" s="300"/>
      <c r="S115" s="300"/>
      <c r="T115" s="300"/>
      <c r="U115" s="300"/>
      <c r="V115" s="300"/>
      <c r="W115" s="300"/>
      <c r="X115" s="300"/>
      <c r="Y115" s="300"/>
      <c r="Z115" s="300"/>
      <c r="AA115" s="300"/>
      <c r="AB115" s="300"/>
      <c r="AC115" s="300"/>
    </row>
    <row r="116">
      <c r="A116" s="312"/>
      <c r="B116" s="321">
        <v>7.0</v>
      </c>
      <c r="C116" s="322">
        <v>45898.0</v>
      </c>
      <c r="D116" s="321" t="s">
        <v>1353</v>
      </c>
      <c r="E116" s="323">
        <v>45919.0</v>
      </c>
      <c r="F116" s="321">
        <v>148.0</v>
      </c>
      <c r="G116" s="333"/>
      <c r="H116" s="325" t="s">
        <v>1354</v>
      </c>
      <c r="I116" s="336" t="s">
        <v>122</v>
      </c>
      <c r="J116" s="321">
        <v>360.0</v>
      </c>
      <c r="K116" s="321" t="s">
        <v>89</v>
      </c>
      <c r="L116" s="326">
        <v>430.0</v>
      </c>
      <c r="M116" s="105">
        <f t="shared" si="1"/>
        <v>154800</v>
      </c>
      <c r="N116" s="327" t="s">
        <v>208</v>
      </c>
      <c r="O116" s="339" t="s">
        <v>1355</v>
      </c>
      <c r="P116" s="300"/>
      <c r="Q116" s="300"/>
      <c r="R116" s="300"/>
      <c r="S116" s="300"/>
      <c r="T116" s="300"/>
      <c r="U116" s="300"/>
      <c r="V116" s="300"/>
      <c r="W116" s="300"/>
      <c r="X116" s="300"/>
      <c r="Y116" s="300"/>
      <c r="Z116" s="300"/>
      <c r="AA116" s="300"/>
      <c r="AB116" s="300"/>
      <c r="AC116" s="300"/>
    </row>
    <row r="117">
      <c r="A117" s="312"/>
      <c r="B117" s="321">
        <v>408.0</v>
      </c>
      <c r="C117" s="322">
        <v>45890.0</v>
      </c>
      <c r="D117" s="321" t="s">
        <v>1356</v>
      </c>
      <c r="E117" s="323">
        <v>45919.0</v>
      </c>
      <c r="F117" s="321">
        <v>842.0</v>
      </c>
      <c r="G117" s="324">
        <v>45907.0</v>
      </c>
      <c r="H117" s="325" t="s">
        <v>1357</v>
      </c>
      <c r="I117" s="325" t="s">
        <v>76</v>
      </c>
      <c r="J117" s="321">
        <v>3.0</v>
      </c>
      <c r="K117" s="321" t="s">
        <v>587</v>
      </c>
      <c r="L117" s="326">
        <v>16000.0</v>
      </c>
      <c r="M117" s="105">
        <f t="shared" si="1"/>
        <v>48000</v>
      </c>
      <c r="N117" s="327" t="s">
        <v>208</v>
      </c>
      <c r="O117" s="312"/>
      <c r="P117" s="300"/>
      <c r="Q117" s="300"/>
      <c r="R117" s="300"/>
      <c r="S117" s="300"/>
      <c r="T117" s="300"/>
      <c r="U117" s="300"/>
      <c r="V117" s="300"/>
      <c r="W117" s="300"/>
      <c r="X117" s="300"/>
      <c r="Y117" s="300"/>
      <c r="Z117" s="300"/>
      <c r="AA117" s="300"/>
      <c r="AB117" s="300"/>
      <c r="AC117" s="300"/>
    </row>
    <row r="118">
      <c r="A118" s="312"/>
      <c r="B118" s="321">
        <v>409.0</v>
      </c>
      <c r="C118" s="322">
        <v>45891.0</v>
      </c>
      <c r="D118" s="321" t="s">
        <v>1356</v>
      </c>
      <c r="E118" s="323">
        <v>45919.0</v>
      </c>
      <c r="F118" s="321">
        <v>842.0</v>
      </c>
      <c r="G118" s="324">
        <v>45907.0</v>
      </c>
      <c r="H118" s="325" t="s">
        <v>1357</v>
      </c>
      <c r="I118" s="325" t="s">
        <v>76</v>
      </c>
      <c r="J118" s="321">
        <v>1.0</v>
      </c>
      <c r="K118" s="321" t="s">
        <v>587</v>
      </c>
      <c r="L118" s="326">
        <v>16000.0</v>
      </c>
      <c r="M118" s="105">
        <f t="shared" si="1"/>
        <v>16000</v>
      </c>
      <c r="N118" s="327" t="s">
        <v>208</v>
      </c>
      <c r="O118" s="312"/>
      <c r="P118" s="300"/>
      <c r="Q118" s="300"/>
      <c r="R118" s="300"/>
      <c r="S118" s="300"/>
      <c r="T118" s="300"/>
      <c r="U118" s="300"/>
      <c r="V118" s="300"/>
      <c r="W118" s="300"/>
      <c r="X118" s="300"/>
      <c r="Y118" s="300"/>
      <c r="Z118" s="300"/>
      <c r="AA118" s="300"/>
      <c r="AB118" s="300"/>
      <c r="AC118" s="300"/>
    </row>
    <row r="119">
      <c r="A119" s="312"/>
      <c r="B119" s="321">
        <v>410.0</v>
      </c>
      <c r="C119" s="322">
        <v>45892.0</v>
      </c>
      <c r="D119" s="321" t="s">
        <v>1356</v>
      </c>
      <c r="E119" s="323">
        <v>45919.0</v>
      </c>
      <c r="F119" s="321">
        <v>842.0</v>
      </c>
      <c r="G119" s="324">
        <v>45907.0</v>
      </c>
      <c r="H119" s="325" t="s">
        <v>1357</v>
      </c>
      <c r="I119" s="325" t="s">
        <v>76</v>
      </c>
      <c r="J119" s="321">
        <v>6.0</v>
      </c>
      <c r="K119" s="321" t="s">
        <v>587</v>
      </c>
      <c r="L119" s="326">
        <v>16000.0</v>
      </c>
      <c r="M119" s="105">
        <f t="shared" si="1"/>
        <v>96000</v>
      </c>
      <c r="N119" s="327" t="s">
        <v>208</v>
      </c>
      <c r="O119" s="312"/>
      <c r="P119" s="300"/>
      <c r="Q119" s="300"/>
      <c r="R119" s="300"/>
      <c r="S119" s="300"/>
      <c r="T119" s="300"/>
      <c r="U119" s="300"/>
      <c r="V119" s="300"/>
      <c r="W119" s="300"/>
      <c r="X119" s="300"/>
      <c r="Y119" s="300"/>
      <c r="Z119" s="300"/>
      <c r="AA119" s="300"/>
      <c r="AB119" s="300"/>
      <c r="AC119" s="300"/>
    </row>
    <row r="120">
      <c r="A120" s="312"/>
      <c r="B120" s="338">
        <v>31.0</v>
      </c>
      <c r="C120" s="331">
        <v>45888.0</v>
      </c>
      <c r="D120" s="330" t="s">
        <v>1358</v>
      </c>
      <c r="E120" s="332">
        <v>45919.0</v>
      </c>
      <c r="F120" s="330">
        <v>826.0</v>
      </c>
      <c r="G120" s="334">
        <v>45889.0</v>
      </c>
      <c r="H120" s="325" t="s">
        <v>1359</v>
      </c>
      <c r="I120" s="325" t="s">
        <v>547</v>
      </c>
      <c r="J120" s="321">
        <v>3.0</v>
      </c>
      <c r="K120" s="321" t="s">
        <v>165</v>
      </c>
      <c r="L120" s="326">
        <v>13.0</v>
      </c>
      <c r="M120" s="105">
        <f t="shared" si="1"/>
        <v>39</v>
      </c>
      <c r="N120" s="327" t="s">
        <v>548</v>
      </c>
      <c r="O120" s="312"/>
      <c r="P120" s="300"/>
      <c r="Q120" s="300"/>
      <c r="R120" s="300"/>
      <c r="S120" s="300"/>
      <c r="T120" s="300"/>
      <c r="U120" s="300"/>
      <c r="V120" s="300"/>
      <c r="W120" s="300"/>
      <c r="X120" s="300"/>
      <c r="Y120" s="300"/>
      <c r="Z120" s="300"/>
      <c r="AA120" s="300"/>
      <c r="AB120" s="300"/>
      <c r="AC120" s="300"/>
    </row>
    <row r="121">
      <c r="A121" s="312"/>
      <c r="B121" s="47"/>
      <c r="C121" s="47"/>
      <c r="D121" s="47"/>
      <c r="E121" s="47"/>
      <c r="F121" s="47"/>
      <c r="G121" s="47"/>
      <c r="H121" s="325" t="s">
        <v>1360</v>
      </c>
      <c r="I121" s="325" t="s">
        <v>547</v>
      </c>
      <c r="J121" s="321">
        <v>6.0</v>
      </c>
      <c r="K121" s="321" t="s">
        <v>165</v>
      </c>
      <c r="L121" s="326">
        <v>79.0</v>
      </c>
      <c r="M121" s="105">
        <f t="shared" si="1"/>
        <v>474</v>
      </c>
      <c r="N121" s="340"/>
      <c r="O121" s="312"/>
      <c r="P121" s="300"/>
      <c r="Q121" s="300"/>
      <c r="R121" s="300"/>
      <c r="S121" s="300"/>
      <c r="T121" s="300"/>
      <c r="U121" s="300"/>
      <c r="V121" s="300"/>
      <c r="W121" s="300"/>
      <c r="X121" s="300"/>
      <c r="Y121" s="300"/>
      <c r="Z121" s="300"/>
      <c r="AA121" s="300"/>
      <c r="AB121" s="300"/>
      <c r="AC121" s="300"/>
    </row>
    <row r="122">
      <c r="A122" s="312"/>
      <c r="B122" s="47"/>
      <c r="C122" s="47"/>
      <c r="D122" s="47"/>
      <c r="E122" s="47"/>
      <c r="F122" s="47"/>
      <c r="G122" s="47"/>
      <c r="H122" s="325" t="s">
        <v>1361</v>
      </c>
      <c r="I122" s="325" t="s">
        <v>547</v>
      </c>
      <c r="J122" s="321">
        <v>6.0</v>
      </c>
      <c r="K122" s="321" t="s">
        <v>39</v>
      </c>
      <c r="L122" s="326">
        <v>15.0</v>
      </c>
      <c r="M122" s="105">
        <f t="shared" si="1"/>
        <v>90</v>
      </c>
      <c r="N122" s="340"/>
      <c r="O122" s="312"/>
      <c r="P122" s="300"/>
      <c r="Q122" s="300"/>
      <c r="R122" s="300"/>
      <c r="S122" s="300"/>
      <c r="T122" s="300"/>
      <c r="U122" s="300"/>
      <c r="V122" s="300"/>
      <c r="W122" s="300"/>
      <c r="X122" s="300"/>
      <c r="Y122" s="300"/>
      <c r="Z122" s="300"/>
      <c r="AA122" s="300"/>
      <c r="AB122" s="300"/>
      <c r="AC122" s="300"/>
    </row>
    <row r="123">
      <c r="A123" s="312"/>
      <c r="B123" s="47"/>
      <c r="C123" s="47"/>
      <c r="D123" s="47"/>
      <c r="E123" s="47"/>
      <c r="F123" s="47"/>
      <c r="G123" s="47"/>
      <c r="H123" s="325" t="s">
        <v>1362</v>
      </c>
      <c r="I123" s="325" t="s">
        <v>547</v>
      </c>
      <c r="J123" s="321">
        <v>4.0</v>
      </c>
      <c r="K123" s="321" t="s">
        <v>165</v>
      </c>
      <c r="L123" s="326">
        <v>82.0</v>
      </c>
      <c r="M123" s="105">
        <f t="shared" si="1"/>
        <v>328</v>
      </c>
      <c r="N123" s="340"/>
      <c r="O123" s="312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300"/>
      <c r="AB123" s="300"/>
      <c r="AC123" s="300"/>
    </row>
    <row r="124">
      <c r="A124" s="312"/>
      <c r="B124" s="47"/>
      <c r="C124" s="47"/>
      <c r="D124" s="47"/>
      <c r="E124" s="47"/>
      <c r="F124" s="47"/>
      <c r="G124" s="47"/>
      <c r="H124" s="325" t="s">
        <v>1363</v>
      </c>
      <c r="I124" s="325" t="s">
        <v>547</v>
      </c>
      <c r="J124" s="321">
        <v>3.0</v>
      </c>
      <c r="K124" s="321" t="s">
        <v>165</v>
      </c>
      <c r="L124" s="326">
        <v>38.0</v>
      </c>
      <c r="M124" s="105">
        <f t="shared" si="1"/>
        <v>114</v>
      </c>
      <c r="N124" s="340"/>
      <c r="O124" s="312"/>
      <c r="P124" s="300"/>
      <c r="Q124" s="300"/>
      <c r="R124" s="300"/>
      <c r="S124" s="300"/>
      <c r="T124" s="300"/>
      <c r="U124" s="300"/>
      <c r="V124" s="300"/>
      <c r="W124" s="300"/>
      <c r="X124" s="300"/>
      <c r="Y124" s="300"/>
      <c r="Z124" s="300"/>
      <c r="AA124" s="300"/>
      <c r="AB124" s="300"/>
      <c r="AC124" s="300"/>
    </row>
    <row r="125">
      <c r="A125" s="312"/>
      <c r="B125" s="48"/>
      <c r="C125" s="48"/>
      <c r="D125" s="48"/>
      <c r="E125" s="48"/>
      <c r="F125" s="48"/>
      <c r="G125" s="48"/>
      <c r="H125" s="325" t="s">
        <v>1364</v>
      </c>
      <c r="I125" s="325" t="s">
        <v>547</v>
      </c>
      <c r="J125" s="321">
        <v>12.0</v>
      </c>
      <c r="K125" s="321" t="s">
        <v>165</v>
      </c>
      <c r="L125" s="326">
        <v>10.0</v>
      </c>
      <c r="M125" s="105">
        <f t="shared" si="1"/>
        <v>120</v>
      </c>
      <c r="N125" s="340"/>
      <c r="O125" s="312"/>
      <c r="P125" s="300"/>
      <c r="Q125" s="300"/>
      <c r="R125" s="300"/>
      <c r="S125" s="300"/>
      <c r="T125" s="300"/>
      <c r="U125" s="300"/>
      <c r="V125" s="300"/>
      <c r="W125" s="300"/>
      <c r="X125" s="300"/>
      <c r="Y125" s="300"/>
      <c r="Z125" s="300"/>
      <c r="AA125" s="300"/>
      <c r="AB125" s="300"/>
      <c r="AC125" s="300"/>
    </row>
    <row r="126">
      <c r="A126" s="312"/>
      <c r="B126" s="321">
        <v>1809090.0</v>
      </c>
      <c r="C126" s="322">
        <v>45924.0</v>
      </c>
      <c r="D126" s="321" t="s">
        <v>1365</v>
      </c>
      <c r="E126" s="323">
        <v>45926.0</v>
      </c>
      <c r="F126" s="321">
        <v>849.0</v>
      </c>
      <c r="G126" s="324">
        <v>45924.0</v>
      </c>
      <c r="H126" s="325" t="s">
        <v>36</v>
      </c>
      <c r="I126" s="325" t="s">
        <v>24</v>
      </c>
      <c r="J126" s="321">
        <v>440.0</v>
      </c>
      <c r="K126" s="321" t="s">
        <v>25</v>
      </c>
      <c r="L126" s="326">
        <v>65.37</v>
      </c>
      <c r="M126" s="105">
        <f t="shared" si="1"/>
        <v>28762.8</v>
      </c>
      <c r="N126" s="327" t="s">
        <v>91</v>
      </c>
      <c r="O126" s="312"/>
      <c r="P126" s="300"/>
      <c r="Q126" s="300"/>
      <c r="R126" s="300"/>
      <c r="S126" s="300"/>
      <c r="T126" s="300"/>
      <c r="U126" s="300"/>
      <c r="V126" s="300"/>
      <c r="W126" s="300"/>
      <c r="X126" s="300"/>
      <c r="Y126" s="300"/>
      <c r="Z126" s="300"/>
      <c r="AA126" s="300"/>
      <c r="AB126" s="300"/>
      <c r="AC126" s="300"/>
    </row>
    <row r="127">
      <c r="A127" s="312"/>
      <c r="B127" s="321">
        <v>1808911.0</v>
      </c>
      <c r="C127" s="322">
        <v>45924.0</v>
      </c>
      <c r="D127" s="321" t="s">
        <v>1365</v>
      </c>
      <c r="E127" s="323">
        <v>45926.0</v>
      </c>
      <c r="F127" s="321">
        <v>849.0</v>
      </c>
      <c r="G127" s="324">
        <v>45924.0</v>
      </c>
      <c r="H127" s="325" t="s">
        <v>23</v>
      </c>
      <c r="I127" s="325" t="s">
        <v>24</v>
      </c>
      <c r="J127" s="321">
        <v>2639.991</v>
      </c>
      <c r="K127" s="321" t="s">
        <v>25</v>
      </c>
      <c r="L127" s="326">
        <v>66.79</v>
      </c>
      <c r="M127" s="105">
        <f t="shared" si="1"/>
        <v>176324.9989</v>
      </c>
      <c r="N127" s="327" t="s">
        <v>91</v>
      </c>
      <c r="O127" s="312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300"/>
      <c r="AB127" s="300"/>
      <c r="AC127" s="300"/>
    </row>
    <row r="128">
      <c r="A128" s="312"/>
      <c r="B128" s="338">
        <v>61.0</v>
      </c>
      <c r="C128" s="331">
        <v>45888.0</v>
      </c>
      <c r="D128" s="330" t="s">
        <v>1366</v>
      </c>
      <c r="E128" s="332">
        <v>45919.0</v>
      </c>
      <c r="F128" s="330">
        <v>829.0</v>
      </c>
      <c r="G128" s="334">
        <v>45889.0</v>
      </c>
      <c r="H128" s="325" t="s">
        <v>1367</v>
      </c>
      <c r="I128" s="325" t="s">
        <v>51</v>
      </c>
      <c r="J128" s="321">
        <v>10.0</v>
      </c>
      <c r="K128" s="321" t="s">
        <v>165</v>
      </c>
      <c r="L128" s="326">
        <v>4500.0</v>
      </c>
      <c r="M128" s="105">
        <f t="shared" si="1"/>
        <v>45000</v>
      </c>
      <c r="N128" s="341" t="s">
        <v>1368</v>
      </c>
      <c r="O128" s="312"/>
      <c r="P128" s="300"/>
      <c r="Q128" s="300"/>
      <c r="R128" s="300"/>
      <c r="S128" s="300"/>
      <c r="T128" s="300"/>
      <c r="U128" s="300"/>
      <c r="V128" s="300"/>
      <c r="W128" s="300"/>
      <c r="X128" s="300"/>
      <c r="Y128" s="300"/>
      <c r="Z128" s="300"/>
      <c r="AA128" s="300"/>
      <c r="AB128" s="300"/>
      <c r="AC128" s="300"/>
    </row>
    <row r="129">
      <c r="A129" s="312"/>
      <c r="B129" s="47"/>
      <c r="C129" s="47"/>
      <c r="D129" s="47"/>
      <c r="E129" s="47"/>
      <c r="F129" s="47"/>
      <c r="G129" s="47"/>
      <c r="H129" s="325" t="s">
        <v>1369</v>
      </c>
      <c r="I129" s="325" t="s">
        <v>51</v>
      </c>
      <c r="J129" s="321">
        <v>30.0</v>
      </c>
      <c r="K129" s="321" t="s">
        <v>165</v>
      </c>
      <c r="L129" s="326">
        <v>1200.0</v>
      </c>
      <c r="M129" s="105">
        <f t="shared" si="1"/>
        <v>36000</v>
      </c>
      <c r="N129" s="47"/>
      <c r="O129" s="312"/>
      <c r="P129" s="300"/>
      <c r="Q129" s="300"/>
      <c r="R129" s="300"/>
      <c r="S129" s="300"/>
      <c r="T129" s="300"/>
      <c r="U129" s="300"/>
      <c r="V129" s="300"/>
      <c r="W129" s="300"/>
      <c r="X129" s="300"/>
      <c r="Y129" s="300"/>
      <c r="Z129" s="300"/>
      <c r="AA129" s="300"/>
      <c r="AB129" s="300"/>
      <c r="AC129" s="300"/>
    </row>
    <row r="130">
      <c r="A130" s="312"/>
      <c r="B130" s="47"/>
      <c r="C130" s="47"/>
      <c r="D130" s="47"/>
      <c r="E130" s="47"/>
      <c r="F130" s="47"/>
      <c r="G130" s="47"/>
      <c r="H130" s="325" t="s">
        <v>1370</v>
      </c>
      <c r="I130" s="325" t="s">
        <v>51</v>
      </c>
      <c r="J130" s="321">
        <v>30.0</v>
      </c>
      <c r="K130" s="321" t="s">
        <v>165</v>
      </c>
      <c r="L130" s="326">
        <v>100.0</v>
      </c>
      <c r="M130" s="105">
        <f t="shared" si="1"/>
        <v>3000</v>
      </c>
      <c r="N130" s="47"/>
      <c r="O130" s="312"/>
      <c r="P130" s="300"/>
      <c r="Q130" s="300"/>
      <c r="R130" s="300"/>
      <c r="S130" s="300"/>
      <c r="T130" s="300"/>
      <c r="U130" s="300"/>
      <c r="V130" s="300"/>
      <c r="W130" s="300"/>
      <c r="X130" s="300"/>
      <c r="Y130" s="300"/>
      <c r="Z130" s="300"/>
      <c r="AA130" s="300"/>
      <c r="AB130" s="300"/>
      <c r="AC130" s="300"/>
    </row>
    <row r="131">
      <c r="A131" s="312"/>
      <c r="B131" s="48"/>
      <c r="C131" s="48"/>
      <c r="D131" s="48"/>
      <c r="E131" s="48"/>
      <c r="F131" s="48"/>
      <c r="G131" s="48"/>
      <c r="H131" s="325" t="s">
        <v>1371</v>
      </c>
      <c r="I131" s="325" t="s">
        <v>51</v>
      </c>
      <c r="J131" s="321">
        <v>30.0</v>
      </c>
      <c r="K131" s="321" t="s">
        <v>165</v>
      </c>
      <c r="L131" s="326">
        <v>80.0</v>
      </c>
      <c r="M131" s="105">
        <f t="shared" si="1"/>
        <v>2400</v>
      </c>
      <c r="N131" s="48"/>
      <c r="O131" s="312"/>
      <c r="P131" s="300"/>
      <c r="Q131" s="300"/>
      <c r="R131" s="300"/>
      <c r="S131" s="300"/>
      <c r="T131" s="300"/>
      <c r="U131" s="300"/>
      <c r="V131" s="300"/>
      <c r="W131" s="300"/>
      <c r="X131" s="300"/>
      <c r="Y131" s="300"/>
      <c r="Z131" s="300"/>
      <c r="AA131" s="300"/>
      <c r="AB131" s="300"/>
      <c r="AC131" s="300"/>
    </row>
    <row r="132">
      <c r="A132" s="312"/>
      <c r="B132" s="330">
        <v>64.0</v>
      </c>
      <c r="C132" s="331">
        <v>45908.0</v>
      </c>
      <c r="D132" s="330" t="s">
        <v>1366</v>
      </c>
      <c r="E132" s="332">
        <v>45919.0</v>
      </c>
      <c r="F132" s="330">
        <v>841.0</v>
      </c>
      <c r="G132" s="333"/>
      <c r="H132" s="325" t="s">
        <v>1372</v>
      </c>
      <c r="I132" s="325" t="s">
        <v>51</v>
      </c>
      <c r="J132" s="321">
        <v>20.0</v>
      </c>
      <c r="K132" s="321" t="s">
        <v>165</v>
      </c>
      <c r="L132" s="326">
        <v>1200.0</v>
      </c>
      <c r="M132" s="105">
        <f t="shared" si="1"/>
        <v>24000</v>
      </c>
      <c r="N132" s="341" t="s">
        <v>1368</v>
      </c>
      <c r="O132" s="312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300"/>
      <c r="AB132" s="300"/>
      <c r="AC132" s="300"/>
    </row>
    <row r="133">
      <c r="A133" s="312"/>
      <c r="B133" s="47"/>
      <c r="C133" s="47"/>
      <c r="D133" s="47"/>
      <c r="E133" s="47"/>
      <c r="F133" s="47"/>
      <c r="G133" s="333"/>
      <c r="H133" s="325" t="s">
        <v>1373</v>
      </c>
      <c r="I133" s="325" t="s">
        <v>51</v>
      </c>
      <c r="J133" s="321">
        <v>20.0</v>
      </c>
      <c r="K133" s="321" t="s">
        <v>165</v>
      </c>
      <c r="L133" s="326">
        <v>1200.0</v>
      </c>
      <c r="M133" s="105">
        <f t="shared" si="1"/>
        <v>24000</v>
      </c>
      <c r="N133" s="47"/>
      <c r="O133" s="312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300"/>
      <c r="AB133" s="300"/>
      <c r="AC133" s="300"/>
    </row>
    <row r="134">
      <c r="A134" s="312"/>
      <c r="B134" s="48"/>
      <c r="C134" s="48"/>
      <c r="D134" s="48"/>
      <c r="E134" s="48"/>
      <c r="F134" s="48"/>
      <c r="G134" s="333"/>
      <c r="H134" s="325" t="s">
        <v>1370</v>
      </c>
      <c r="I134" s="325" t="s">
        <v>51</v>
      </c>
      <c r="J134" s="321">
        <v>40.0</v>
      </c>
      <c r="K134" s="321" t="s">
        <v>165</v>
      </c>
      <c r="L134" s="326">
        <v>100.0</v>
      </c>
      <c r="M134" s="105">
        <f t="shared" si="1"/>
        <v>4000</v>
      </c>
      <c r="N134" s="48"/>
      <c r="O134" s="312"/>
      <c r="P134" s="300"/>
      <c r="Q134" s="300"/>
      <c r="R134" s="300"/>
      <c r="S134" s="300"/>
      <c r="T134" s="300"/>
      <c r="U134" s="300"/>
      <c r="V134" s="300"/>
      <c r="W134" s="300"/>
      <c r="X134" s="300"/>
      <c r="Y134" s="300"/>
      <c r="Z134" s="300"/>
      <c r="AA134" s="300"/>
      <c r="AB134" s="300"/>
      <c r="AC134" s="300"/>
    </row>
    <row r="135">
      <c r="A135" s="312"/>
      <c r="B135" s="321">
        <v>728.0</v>
      </c>
      <c r="C135" s="322">
        <v>45891.0</v>
      </c>
      <c r="D135" s="321" t="s">
        <v>1374</v>
      </c>
      <c r="E135" s="323">
        <v>45919.0</v>
      </c>
      <c r="F135" s="321">
        <v>831.0</v>
      </c>
      <c r="G135" s="324">
        <v>45893.0</v>
      </c>
      <c r="H135" s="325" t="s">
        <v>1375</v>
      </c>
      <c r="I135" s="325" t="s">
        <v>60</v>
      </c>
      <c r="J135" s="321">
        <v>2.0</v>
      </c>
      <c r="K135" s="321" t="s">
        <v>165</v>
      </c>
      <c r="L135" s="326">
        <v>14000.0</v>
      </c>
      <c r="M135" s="105">
        <f t="shared" si="1"/>
        <v>28000</v>
      </c>
      <c r="N135" s="327" t="s">
        <v>1376</v>
      </c>
      <c r="O135" s="312"/>
      <c r="P135" s="300"/>
      <c r="Q135" s="300"/>
      <c r="R135" s="300"/>
      <c r="S135" s="300"/>
      <c r="T135" s="300"/>
      <c r="U135" s="300"/>
      <c r="V135" s="300"/>
      <c r="W135" s="300"/>
      <c r="X135" s="300"/>
      <c r="Y135" s="300"/>
      <c r="Z135" s="300"/>
      <c r="AA135" s="300"/>
      <c r="AB135" s="300"/>
      <c r="AC135" s="300"/>
    </row>
    <row r="136">
      <c r="A136" s="312"/>
      <c r="B136" s="328">
        <v>195.0</v>
      </c>
      <c r="C136" s="322">
        <v>45907.0</v>
      </c>
      <c r="D136" s="321" t="s">
        <v>1377</v>
      </c>
      <c r="E136" s="323">
        <v>45929.0</v>
      </c>
      <c r="F136" s="321">
        <v>184.0</v>
      </c>
      <c r="G136" s="333"/>
      <c r="H136" s="325" t="s">
        <v>1378</v>
      </c>
      <c r="I136" s="325" t="s">
        <v>837</v>
      </c>
      <c r="J136" s="321">
        <v>1.0</v>
      </c>
      <c r="K136" s="321" t="s">
        <v>838</v>
      </c>
      <c r="L136" s="326">
        <v>7742.0</v>
      </c>
      <c r="M136" s="105">
        <f t="shared" si="1"/>
        <v>7742</v>
      </c>
      <c r="N136" s="327" t="s">
        <v>839</v>
      </c>
      <c r="O136" s="312"/>
      <c r="P136" s="300"/>
      <c r="Q136" s="300"/>
      <c r="R136" s="300"/>
      <c r="S136" s="300"/>
      <c r="T136" s="300"/>
      <c r="U136" s="300"/>
      <c r="V136" s="300"/>
      <c r="W136" s="300"/>
      <c r="X136" s="300"/>
      <c r="Y136" s="300"/>
      <c r="Z136" s="300"/>
      <c r="AA136" s="300"/>
      <c r="AB136" s="300"/>
      <c r="AC136" s="300"/>
    </row>
    <row r="137">
      <c r="A137" s="312"/>
      <c r="B137" s="321">
        <v>260279.0</v>
      </c>
      <c r="C137" s="322">
        <v>45912.0</v>
      </c>
      <c r="D137" s="321" t="s">
        <v>1379</v>
      </c>
      <c r="E137" s="323">
        <v>45918.0</v>
      </c>
      <c r="F137" s="321" t="s">
        <v>1380</v>
      </c>
      <c r="G137" s="324">
        <v>42259.0</v>
      </c>
      <c r="H137" s="325" t="s">
        <v>36</v>
      </c>
      <c r="I137" s="325" t="s">
        <v>24</v>
      </c>
      <c r="J137" s="321">
        <v>440.0</v>
      </c>
      <c r="K137" s="321" t="s">
        <v>25</v>
      </c>
      <c r="L137" s="326">
        <v>63.78</v>
      </c>
      <c r="M137" s="105">
        <f t="shared" si="1"/>
        <v>28063.2</v>
      </c>
      <c r="N137" s="327" t="s">
        <v>91</v>
      </c>
      <c r="O137" s="312"/>
      <c r="P137" s="300"/>
      <c r="Q137" s="300"/>
      <c r="R137" s="300"/>
      <c r="S137" s="300"/>
      <c r="T137" s="300"/>
      <c r="U137" s="300"/>
      <c r="V137" s="300"/>
      <c r="W137" s="300"/>
      <c r="X137" s="300"/>
      <c r="Y137" s="300"/>
      <c r="Z137" s="300"/>
      <c r="AA137" s="300"/>
      <c r="AB137" s="300"/>
      <c r="AC137" s="300"/>
    </row>
    <row r="138">
      <c r="A138" s="312"/>
      <c r="B138" s="321">
        <v>168693.0</v>
      </c>
      <c r="C138" s="322">
        <v>45911.0</v>
      </c>
      <c r="D138" s="321" t="s">
        <v>1379</v>
      </c>
      <c r="E138" s="323">
        <v>45918.0</v>
      </c>
      <c r="F138" s="321">
        <v>843.0</v>
      </c>
      <c r="G138" s="324">
        <v>45912.0</v>
      </c>
      <c r="H138" s="325" t="s">
        <v>38</v>
      </c>
      <c r="I138" s="325" t="s">
        <v>24</v>
      </c>
      <c r="J138" s="321">
        <v>210.0</v>
      </c>
      <c r="K138" s="321" t="s">
        <v>39</v>
      </c>
      <c r="L138" s="326">
        <v>20.0</v>
      </c>
      <c r="M138" s="105">
        <f t="shared" si="1"/>
        <v>4200</v>
      </c>
      <c r="N138" s="327" t="s">
        <v>1381</v>
      </c>
      <c r="O138" s="312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300"/>
      <c r="AA138" s="300"/>
      <c r="AB138" s="300"/>
      <c r="AC138" s="300"/>
    </row>
    <row r="139">
      <c r="A139" s="312"/>
      <c r="B139" s="328" t="s">
        <v>22</v>
      </c>
      <c r="C139" s="322">
        <v>45910.0</v>
      </c>
      <c r="D139" s="321" t="s">
        <v>1379</v>
      </c>
      <c r="E139" s="323">
        <v>45918.0</v>
      </c>
      <c r="F139" s="321">
        <v>843.0</v>
      </c>
      <c r="G139" s="324">
        <v>45912.0</v>
      </c>
      <c r="H139" s="325" t="s">
        <v>1382</v>
      </c>
      <c r="I139" s="325" t="s">
        <v>24</v>
      </c>
      <c r="J139" s="321">
        <v>200.0</v>
      </c>
      <c r="K139" s="321" t="s">
        <v>25</v>
      </c>
      <c r="L139" s="326">
        <v>47.0</v>
      </c>
      <c r="M139" s="105">
        <f t="shared" si="1"/>
        <v>9400</v>
      </c>
      <c r="N139" s="340"/>
      <c r="O139" s="312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300"/>
      <c r="AB139" s="300"/>
      <c r="AC139" s="300"/>
    </row>
    <row r="140">
      <c r="A140" s="312"/>
      <c r="B140" s="321">
        <v>1778548.0</v>
      </c>
      <c r="C140" s="322">
        <v>45915.0</v>
      </c>
      <c r="D140" s="321" t="s">
        <v>1379</v>
      </c>
      <c r="E140" s="323">
        <v>45918.0</v>
      </c>
      <c r="F140" s="321">
        <v>845.0</v>
      </c>
      <c r="G140" s="324">
        <v>45915.0</v>
      </c>
      <c r="H140" s="325" t="s">
        <v>23</v>
      </c>
      <c r="I140" s="325" t="s">
        <v>24</v>
      </c>
      <c r="J140" s="321">
        <v>3960.0</v>
      </c>
      <c r="K140" s="321" t="s">
        <v>25</v>
      </c>
      <c r="L140" s="326">
        <v>64.39</v>
      </c>
      <c r="M140" s="105">
        <f t="shared" si="1"/>
        <v>254984.4</v>
      </c>
      <c r="N140" s="327" t="s">
        <v>91</v>
      </c>
      <c r="O140" s="312"/>
      <c r="P140" s="300"/>
      <c r="Q140" s="300"/>
      <c r="R140" s="300"/>
      <c r="S140" s="300"/>
      <c r="T140" s="300"/>
      <c r="U140" s="300"/>
      <c r="V140" s="300"/>
      <c r="W140" s="300"/>
      <c r="X140" s="300"/>
      <c r="Y140" s="300"/>
      <c r="Z140" s="300"/>
      <c r="AA140" s="300"/>
      <c r="AB140" s="300"/>
      <c r="AC140" s="300"/>
    </row>
    <row r="141">
      <c r="A141" s="312"/>
      <c r="B141" s="321" t="s">
        <v>1383</v>
      </c>
      <c r="C141" s="322">
        <v>45904.0</v>
      </c>
      <c r="D141" s="321" t="s">
        <v>1384</v>
      </c>
      <c r="E141" s="323">
        <v>45925.0</v>
      </c>
      <c r="F141" s="321">
        <v>840.0</v>
      </c>
      <c r="G141" s="324">
        <v>45906.0</v>
      </c>
      <c r="H141" s="325" t="s">
        <v>1385</v>
      </c>
      <c r="I141" s="325" t="s">
        <v>1386</v>
      </c>
      <c r="J141" s="321">
        <v>1.0</v>
      </c>
      <c r="K141" s="321" t="s">
        <v>1387</v>
      </c>
      <c r="L141" s="326">
        <v>10450.0</v>
      </c>
      <c r="M141" s="105">
        <f t="shared" si="1"/>
        <v>10450</v>
      </c>
      <c r="N141" s="327" t="s">
        <v>1070</v>
      </c>
      <c r="O141" s="325" t="s">
        <v>1388</v>
      </c>
      <c r="P141" s="300"/>
      <c r="Q141" s="300"/>
      <c r="R141" s="300"/>
      <c r="S141" s="300"/>
      <c r="T141" s="300"/>
      <c r="U141" s="300"/>
      <c r="V141" s="300"/>
      <c r="W141" s="300"/>
      <c r="X141" s="300"/>
      <c r="Y141" s="300"/>
      <c r="Z141" s="300"/>
      <c r="AA141" s="300"/>
      <c r="AB141" s="300"/>
      <c r="AC141" s="300"/>
    </row>
    <row r="142">
      <c r="A142" s="312"/>
      <c r="B142" s="328">
        <v>420.0</v>
      </c>
      <c r="C142" s="322">
        <v>45907.0</v>
      </c>
      <c r="D142" s="321" t="s">
        <v>1389</v>
      </c>
      <c r="E142" s="323">
        <v>45938.0</v>
      </c>
      <c r="F142" s="321">
        <v>851.0</v>
      </c>
      <c r="G142" s="324">
        <v>45930.0</v>
      </c>
      <c r="H142" s="325" t="s">
        <v>1390</v>
      </c>
      <c r="I142" s="325" t="s">
        <v>76</v>
      </c>
      <c r="J142" s="321">
        <v>3.0</v>
      </c>
      <c r="K142" s="321" t="s">
        <v>586</v>
      </c>
      <c r="L142" s="326">
        <v>16000.0</v>
      </c>
      <c r="M142" s="105">
        <f t="shared" si="1"/>
        <v>48000</v>
      </c>
      <c r="N142" s="327" t="s">
        <v>208</v>
      </c>
      <c r="O142" s="325" t="s">
        <v>1391</v>
      </c>
      <c r="P142" s="300"/>
      <c r="Q142" s="300"/>
      <c r="R142" s="300"/>
      <c r="S142" s="300"/>
      <c r="T142" s="300"/>
      <c r="U142" s="300"/>
      <c r="V142" s="300"/>
      <c r="W142" s="300"/>
      <c r="X142" s="300"/>
      <c r="Y142" s="300"/>
      <c r="Z142" s="300"/>
      <c r="AA142" s="300"/>
      <c r="AB142" s="300"/>
      <c r="AC142" s="300"/>
    </row>
    <row r="143">
      <c r="A143" s="312"/>
      <c r="B143" s="321">
        <v>421.0</v>
      </c>
      <c r="C143" s="322">
        <v>45908.0</v>
      </c>
      <c r="D143" s="321" t="s">
        <v>1389</v>
      </c>
      <c r="E143" s="323">
        <v>45938.0</v>
      </c>
      <c r="F143" s="321">
        <v>851.0</v>
      </c>
      <c r="G143" s="324">
        <v>45930.0</v>
      </c>
      <c r="H143" s="325" t="s">
        <v>1390</v>
      </c>
      <c r="I143" s="325" t="s">
        <v>76</v>
      </c>
      <c r="J143" s="321">
        <v>6.0</v>
      </c>
      <c r="K143" s="321" t="s">
        <v>586</v>
      </c>
      <c r="L143" s="326">
        <v>16000.0</v>
      </c>
      <c r="M143" s="105">
        <f t="shared" si="1"/>
        <v>96000</v>
      </c>
      <c r="N143" s="327" t="s">
        <v>208</v>
      </c>
      <c r="O143" s="325" t="s">
        <v>1391</v>
      </c>
      <c r="P143" s="300"/>
      <c r="Q143" s="300"/>
      <c r="R143" s="300"/>
      <c r="S143" s="300"/>
      <c r="T143" s="300"/>
      <c r="U143" s="300"/>
      <c r="V143" s="300"/>
      <c r="W143" s="300"/>
      <c r="X143" s="300"/>
      <c r="Y143" s="300"/>
      <c r="Z143" s="300"/>
      <c r="AA143" s="300"/>
      <c r="AB143" s="300"/>
      <c r="AC143" s="300"/>
    </row>
    <row r="144">
      <c r="A144" s="312"/>
      <c r="B144" s="321">
        <v>422.0</v>
      </c>
      <c r="C144" s="322">
        <v>45908.0</v>
      </c>
      <c r="D144" s="321" t="s">
        <v>1389</v>
      </c>
      <c r="E144" s="323">
        <v>45938.0</v>
      </c>
      <c r="F144" s="321">
        <v>851.0</v>
      </c>
      <c r="G144" s="324">
        <v>45930.0</v>
      </c>
      <c r="H144" s="325" t="s">
        <v>1390</v>
      </c>
      <c r="I144" s="325" t="s">
        <v>76</v>
      </c>
      <c r="J144" s="321">
        <v>4.0</v>
      </c>
      <c r="K144" s="321" t="s">
        <v>586</v>
      </c>
      <c r="L144" s="326">
        <v>16000.0</v>
      </c>
      <c r="M144" s="105">
        <f t="shared" si="1"/>
        <v>64000</v>
      </c>
      <c r="N144" s="327" t="s">
        <v>208</v>
      </c>
      <c r="O144" s="325" t="s">
        <v>1391</v>
      </c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300"/>
      <c r="AA144" s="300"/>
      <c r="AB144" s="300"/>
      <c r="AC144" s="300"/>
    </row>
    <row r="145">
      <c r="A145" s="312"/>
      <c r="B145" s="321">
        <v>423.0</v>
      </c>
      <c r="C145" s="322">
        <v>45908.0</v>
      </c>
      <c r="D145" s="321" t="s">
        <v>1389</v>
      </c>
      <c r="E145" s="323">
        <v>45938.0</v>
      </c>
      <c r="F145" s="321">
        <v>851.0</v>
      </c>
      <c r="G145" s="324">
        <v>45930.0</v>
      </c>
      <c r="H145" s="325" t="s">
        <v>1390</v>
      </c>
      <c r="I145" s="325" t="s">
        <v>76</v>
      </c>
      <c r="J145" s="321">
        <v>2.0</v>
      </c>
      <c r="K145" s="321" t="s">
        <v>586</v>
      </c>
      <c r="L145" s="326">
        <v>16000.0</v>
      </c>
      <c r="M145" s="105">
        <f t="shared" si="1"/>
        <v>32000</v>
      </c>
      <c r="N145" s="327" t="s">
        <v>208</v>
      </c>
      <c r="O145" s="325" t="s">
        <v>1391</v>
      </c>
      <c r="P145" s="300"/>
      <c r="Q145" s="300"/>
      <c r="R145" s="300"/>
      <c r="S145" s="300"/>
      <c r="T145" s="300"/>
      <c r="U145" s="300"/>
      <c r="V145" s="300"/>
      <c r="W145" s="300"/>
      <c r="X145" s="300"/>
      <c r="Y145" s="300"/>
      <c r="Z145" s="300"/>
      <c r="AA145" s="300"/>
      <c r="AB145" s="300"/>
      <c r="AC145" s="300"/>
    </row>
    <row r="146">
      <c r="A146" s="312"/>
      <c r="B146" s="321">
        <v>424.0</v>
      </c>
      <c r="C146" s="322">
        <v>45908.0</v>
      </c>
      <c r="D146" s="321" t="s">
        <v>1389</v>
      </c>
      <c r="E146" s="323">
        <v>45938.0</v>
      </c>
      <c r="F146" s="321">
        <v>851.0</v>
      </c>
      <c r="G146" s="324">
        <v>45930.0</v>
      </c>
      <c r="H146" s="325" t="s">
        <v>1390</v>
      </c>
      <c r="I146" s="325" t="s">
        <v>76</v>
      </c>
      <c r="J146" s="321">
        <v>5.0</v>
      </c>
      <c r="K146" s="321" t="s">
        <v>586</v>
      </c>
      <c r="L146" s="326">
        <v>16000.0</v>
      </c>
      <c r="M146" s="105">
        <f t="shared" si="1"/>
        <v>80000</v>
      </c>
      <c r="N146" s="327" t="s">
        <v>208</v>
      </c>
      <c r="O146" s="325" t="s">
        <v>1391</v>
      </c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300"/>
      <c r="AB146" s="300"/>
      <c r="AC146" s="300"/>
    </row>
    <row r="147">
      <c r="A147" s="312"/>
      <c r="B147" s="321">
        <v>417.0</v>
      </c>
      <c r="C147" s="322">
        <v>45905.0</v>
      </c>
      <c r="D147" s="321" t="s">
        <v>1392</v>
      </c>
      <c r="E147" s="323">
        <v>45938.0</v>
      </c>
      <c r="F147" s="321">
        <v>851.0</v>
      </c>
      <c r="G147" s="324">
        <v>45930.0</v>
      </c>
      <c r="H147" s="325" t="s">
        <v>1390</v>
      </c>
      <c r="I147" s="325" t="s">
        <v>76</v>
      </c>
      <c r="J147" s="321">
        <v>1.0</v>
      </c>
      <c r="K147" s="321" t="s">
        <v>586</v>
      </c>
      <c r="L147" s="326">
        <v>16000.0</v>
      </c>
      <c r="M147" s="105">
        <f t="shared" si="1"/>
        <v>16000</v>
      </c>
      <c r="N147" s="327" t="s">
        <v>208</v>
      </c>
      <c r="O147" s="325" t="s">
        <v>1393</v>
      </c>
      <c r="P147" s="300"/>
      <c r="Q147" s="300"/>
      <c r="R147" s="300"/>
      <c r="S147" s="300"/>
      <c r="T147" s="300"/>
      <c r="U147" s="300"/>
      <c r="V147" s="300"/>
      <c r="W147" s="300"/>
      <c r="X147" s="300"/>
      <c r="Y147" s="300"/>
      <c r="Z147" s="300"/>
      <c r="AA147" s="300"/>
      <c r="AB147" s="300"/>
      <c r="AC147" s="300"/>
    </row>
    <row r="148">
      <c r="A148" s="312"/>
      <c r="B148" s="328">
        <v>418.0</v>
      </c>
      <c r="C148" s="322">
        <v>45906.0</v>
      </c>
      <c r="D148" s="321" t="s">
        <v>1392</v>
      </c>
      <c r="E148" s="323">
        <v>45938.0</v>
      </c>
      <c r="F148" s="321">
        <v>851.0</v>
      </c>
      <c r="G148" s="324">
        <v>45930.0</v>
      </c>
      <c r="H148" s="325" t="s">
        <v>1390</v>
      </c>
      <c r="I148" s="325" t="s">
        <v>76</v>
      </c>
      <c r="J148" s="321">
        <v>8.0</v>
      </c>
      <c r="K148" s="321" t="s">
        <v>586</v>
      </c>
      <c r="L148" s="326">
        <v>16000.0</v>
      </c>
      <c r="M148" s="105">
        <f t="shared" si="1"/>
        <v>128000</v>
      </c>
      <c r="N148" s="327" t="s">
        <v>1394</v>
      </c>
      <c r="O148" s="325" t="s">
        <v>1393</v>
      </c>
      <c r="P148" s="300"/>
      <c r="Q148" s="300"/>
      <c r="R148" s="300"/>
      <c r="S148" s="300"/>
      <c r="T148" s="300"/>
      <c r="U148" s="300"/>
      <c r="V148" s="300"/>
      <c r="W148" s="300"/>
      <c r="X148" s="300"/>
      <c r="Y148" s="300"/>
      <c r="Z148" s="300"/>
      <c r="AA148" s="300"/>
      <c r="AB148" s="300"/>
      <c r="AC148" s="300"/>
    </row>
    <row r="149">
      <c r="A149" s="312"/>
      <c r="B149" s="328">
        <v>419.0</v>
      </c>
      <c r="C149" s="322">
        <v>45907.0</v>
      </c>
      <c r="D149" s="321" t="s">
        <v>1392</v>
      </c>
      <c r="E149" s="323">
        <v>45938.0</v>
      </c>
      <c r="F149" s="321">
        <v>851.0</v>
      </c>
      <c r="G149" s="324">
        <v>45930.0</v>
      </c>
      <c r="H149" s="325" t="s">
        <v>1390</v>
      </c>
      <c r="I149" s="325" t="s">
        <v>76</v>
      </c>
      <c r="J149" s="321">
        <v>1.0</v>
      </c>
      <c r="K149" s="321" t="s">
        <v>586</v>
      </c>
      <c r="L149" s="326">
        <v>16000.0</v>
      </c>
      <c r="M149" s="105">
        <f t="shared" si="1"/>
        <v>16000</v>
      </c>
      <c r="N149" s="327" t="s">
        <v>1394</v>
      </c>
      <c r="O149" s="325" t="s">
        <v>1393</v>
      </c>
      <c r="P149" s="300"/>
      <c r="Q149" s="300"/>
      <c r="R149" s="300"/>
      <c r="S149" s="300"/>
      <c r="T149" s="300"/>
      <c r="U149" s="300"/>
      <c r="V149" s="300"/>
      <c r="W149" s="300"/>
      <c r="X149" s="300"/>
      <c r="Y149" s="300"/>
      <c r="Z149" s="300"/>
      <c r="AA149" s="300"/>
      <c r="AB149" s="300"/>
      <c r="AC149" s="300"/>
    </row>
    <row r="150">
      <c r="A150" s="312"/>
      <c r="B150" s="321">
        <v>429.0</v>
      </c>
      <c r="C150" s="322">
        <v>45910.0</v>
      </c>
      <c r="D150" s="321" t="s">
        <v>1395</v>
      </c>
      <c r="E150" s="323">
        <v>45938.0</v>
      </c>
      <c r="F150" s="321">
        <v>851.0</v>
      </c>
      <c r="G150" s="324">
        <v>45930.0</v>
      </c>
      <c r="H150" s="325" t="s">
        <v>1396</v>
      </c>
      <c r="I150" s="325" t="s">
        <v>76</v>
      </c>
      <c r="J150" s="321">
        <v>3.0</v>
      </c>
      <c r="K150" s="321" t="s">
        <v>586</v>
      </c>
      <c r="L150" s="326">
        <v>11890.0</v>
      </c>
      <c r="M150" s="105">
        <f t="shared" si="1"/>
        <v>35670</v>
      </c>
      <c r="N150" s="327" t="s">
        <v>1394</v>
      </c>
      <c r="O150" s="325" t="s">
        <v>1397</v>
      </c>
      <c r="P150" s="300"/>
      <c r="Q150" s="300"/>
      <c r="R150" s="300"/>
      <c r="S150" s="300"/>
      <c r="T150" s="300"/>
      <c r="U150" s="300"/>
      <c r="V150" s="300"/>
      <c r="W150" s="300"/>
      <c r="X150" s="300"/>
      <c r="Y150" s="300"/>
      <c r="Z150" s="300"/>
      <c r="AA150" s="300"/>
      <c r="AB150" s="300"/>
      <c r="AC150" s="300"/>
    </row>
    <row r="151">
      <c r="A151" s="312"/>
      <c r="B151" s="328">
        <v>430.0</v>
      </c>
      <c r="C151" s="322">
        <v>45911.0</v>
      </c>
      <c r="D151" s="321" t="s">
        <v>1395</v>
      </c>
      <c r="E151" s="323">
        <v>45938.0</v>
      </c>
      <c r="F151" s="321">
        <v>851.0</v>
      </c>
      <c r="G151" s="324">
        <v>45930.0</v>
      </c>
      <c r="H151" s="325" t="s">
        <v>1398</v>
      </c>
      <c r="I151" s="325" t="s">
        <v>76</v>
      </c>
      <c r="J151" s="321">
        <v>1.0</v>
      </c>
      <c r="K151" s="321" t="s">
        <v>586</v>
      </c>
      <c r="L151" s="326">
        <v>11890.0</v>
      </c>
      <c r="M151" s="105">
        <f t="shared" si="1"/>
        <v>11890</v>
      </c>
      <c r="N151" s="327" t="s">
        <v>1394</v>
      </c>
      <c r="O151" s="325" t="s">
        <v>1397</v>
      </c>
      <c r="P151" s="300"/>
      <c r="Q151" s="300"/>
      <c r="R151" s="300"/>
      <c r="S151" s="300"/>
      <c r="T151" s="300"/>
      <c r="U151" s="300"/>
      <c r="V151" s="300"/>
      <c r="W151" s="300"/>
      <c r="X151" s="300"/>
      <c r="Y151" s="300"/>
      <c r="Z151" s="300"/>
      <c r="AA151" s="300"/>
      <c r="AB151" s="300"/>
      <c r="AC151" s="300"/>
    </row>
    <row r="152">
      <c r="A152" s="312"/>
      <c r="B152" s="328">
        <v>430.0</v>
      </c>
      <c r="C152" s="322">
        <v>45912.0</v>
      </c>
      <c r="D152" s="321" t="s">
        <v>1395</v>
      </c>
      <c r="E152" s="323">
        <v>45938.0</v>
      </c>
      <c r="F152" s="321">
        <v>851.0</v>
      </c>
      <c r="G152" s="324">
        <v>45930.0</v>
      </c>
      <c r="H152" s="325" t="s">
        <v>1396</v>
      </c>
      <c r="I152" s="325" t="s">
        <v>76</v>
      </c>
      <c r="J152" s="321">
        <v>6.0</v>
      </c>
      <c r="K152" s="321" t="s">
        <v>586</v>
      </c>
      <c r="L152" s="326">
        <v>11890.0</v>
      </c>
      <c r="M152" s="105">
        <f t="shared" si="1"/>
        <v>71340</v>
      </c>
      <c r="N152" s="327" t="s">
        <v>1394</v>
      </c>
      <c r="O152" s="325" t="s">
        <v>1397</v>
      </c>
      <c r="P152" s="300"/>
      <c r="Q152" s="300"/>
      <c r="R152" s="300"/>
      <c r="S152" s="300"/>
      <c r="T152" s="300"/>
      <c r="U152" s="300"/>
      <c r="V152" s="300"/>
      <c r="W152" s="300"/>
      <c r="X152" s="300"/>
      <c r="Y152" s="300"/>
      <c r="Z152" s="300"/>
      <c r="AA152" s="300"/>
      <c r="AB152" s="300"/>
      <c r="AC152" s="300"/>
    </row>
    <row r="153">
      <c r="A153" s="312"/>
      <c r="B153" s="321">
        <v>433.0</v>
      </c>
      <c r="C153" s="322">
        <v>45915.0</v>
      </c>
      <c r="D153" s="321" t="s">
        <v>1395</v>
      </c>
      <c r="E153" s="323">
        <v>45938.0</v>
      </c>
      <c r="F153" s="321">
        <v>851.0</v>
      </c>
      <c r="G153" s="324">
        <v>45930.0</v>
      </c>
      <c r="H153" s="325" t="s">
        <v>1396</v>
      </c>
      <c r="I153" s="325" t="s">
        <v>76</v>
      </c>
      <c r="J153" s="321">
        <v>1.0</v>
      </c>
      <c r="K153" s="321" t="s">
        <v>586</v>
      </c>
      <c r="L153" s="326">
        <v>11890.0</v>
      </c>
      <c r="M153" s="105">
        <f t="shared" si="1"/>
        <v>11890</v>
      </c>
      <c r="N153" s="327" t="s">
        <v>1394</v>
      </c>
      <c r="O153" s="325" t="s">
        <v>1397</v>
      </c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300"/>
      <c r="AB153" s="300"/>
      <c r="AC153" s="300"/>
    </row>
    <row r="154">
      <c r="A154" s="312"/>
      <c r="B154" s="330">
        <v>947.0</v>
      </c>
      <c r="C154" s="331">
        <v>45888.0</v>
      </c>
      <c r="D154" s="330" t="s">
        <v>1399</v>
      </c>
      <c r="E154" s="332">
        <v>45929.0</v>
      </c>
      <c r="F154" s="330">
        <v>827.0</v>
      </c>
      <c r="G154" s="334">
        <v>45889.0</v>
      </c>
      <c r="H154" s="325" t="s">
        <v>1400</v>
      </c>
      <c r="I154" s="325" t="s">
        <v>1401</v>
      </c>
      <c r="J154" s="321">
        <v>71.0</v>
      </c>
      <c r="K154" s="321" t="s">
        <v>1205</v>
      </c>
      <c r="L154" s="326">
        <v>60.0</v>
      </c>
      <c r="M154" s="105">
        <f t="shared" si="1"/>
        <v>4260</v>
      </c>
      <c r="N154" s="327" t="s">
        <v>99</v>
      </c>
      <c r="O154" s="325" t="s">
        <v>1402</v>
      </c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00"/>
      <c r="AA154" s="300"/>
      <c r="AB154" s="300"/>
      <c r="AC154" s="300"/>
    </row>
    <row r="155">
      <c r="A155" s="312"/>
      <c r="B155" s="47"/>
      <c r="C155" s="47"/>
      <c r="D155" s="47"/>
      <c r="E155" s="47"/>
      <c r="F155" s="47"/>
      <c r="G155" s="47"/>
      <c r="H155" s="325" t="s">
        <v>1403</v>
      </c>
      <c r="I155" s="325" t="s">
        <v>29</v>
      </c>
      <c r="J155" s="321">
        <v>50.0</v>
      </c>
      <c r="K155" s="321" t="s">
        <v>156</v>
      </c>
      <c r="L155" s="326">
        <v>350.0</v>
      </c>
      <c r="M155" s="105">
        <f t="shared" si="1"/>
        <v>17500</v>
      </c>
      <c r="N155" s="327" t="s">
        <v>99</v>
      </c>
      <c r="O155" s="325" t="s">
        <v>29</v>
      </c>
      <c r="P155" s="300"/>
      <c r="Q155" s="300"/>
      <c r="R155" s="300"/>
      <c r="S155" s="300"/>
      <c r="T155" s="300"/>
      <c r="U155" s="300"/>
      <c r="V155" s="300"/>
      <c r="W155" s="300"/>
      <c r="X155" s="300"/>
      <c r="Y155" s="300"/>
      <c r="Z155" s="300"/>
      <c r="AA155" s="300"/>
      <c r="AB155" s="300"/>
      <c r="AC155" s="300"/>
    </row>
    <row r="156">
      <c r="A156" s="312"/>
      <c r="B156" s="47"/>
      <c r="C156" s="47"/>
      <c r="D156" s="47"/>
      <c r="E156" s="47"/>
      <c r="F156" s="47"/>
      <c r="G156" s="47"/>
      <c r="H156" s="325" t="s">
        <v>736</v>
      </c>
      <c r="I156" s="325" t="s">
        <v>29</v>
      </c>
      <c r="J156" s="321">
        <v>30.0</v>
      </c>
      <c r="K156" s="321" t="s">
        <v>156</v>
      </c>
      <c r="L156" s="326">
        <v>55.0</v>
      </c>
      <c r="M156" s="105">
        <f t="shared" si="1"/>
        <v>1650</v>
      </c>
      <c r="N156" s="327" t="s">
        <v>99</v>
      </c>
      <c r="O156" s="325" t="s">
        <v>29</v>
      </c>
      <c r="P156" s="300"/>
      <c r="Q156" s="300"/>
      <c r="R156" s="300"/>
      <c r="S156" s="300"/>
      <c r="T156" s="300"/>
      <c r="U156" s="300"/>
      <c r="V156" s="300"/>
      <c r="W156" s="300"/>
      <c r="X156" s="300"/>
      <c r="Y156" s="300"/>
      <c r="Z156" s="300"/>
      <c r="AA156" s="300"/>
      <c r="AB156" s="300"/>
      <c r="AC156" s="300"/>
    </row>
    <row r="157">
      <c r="A157" s="312"/>
      <c r="B157" s="47"/>
      <c r="C157" s="47"/>
      <c r="D157" s="47"/>
      <c r="E157" s="47"/>
      <c r="F157" s="47"/>
      <c r="G157" s="47"/>
      <c r="H157" s="325" t="s">
        <v>1262</v>
      </c>
      <c r="I157" s="325" t="s">
        <v>29</v>
      </c>
      <c r="J157" s="321">
        <v>50.0</v>
      </c>
      <c r="K157" s="321" t="s">
        <v>156</v>
      </c>
      <c r="L157" s="326">
        <v>90.0</v>
      </c>
      <c r="M157" s="105">
        <f t="shared" si="1"/>
        <v>4500</v>
      </c>
      <c r="N157" s="327" t="s">
        <v>99</v>
      </c>
      <c r="O157" s="325" t="s">
        <v>29</v>
      </c>
      <c r="P157" s="300"/>
      <c r="Q157" s="300"/>
      <c r="R157" s="300"/>
      <c r="S157" s="300"/>
      <c r="T157" s="300"/>
      <c r="U157" s="300"/>
      <c r="V157" s="300"/>
      <c r="W157" s="300"/>
      <c r="X157" s="300"/>
      <c r="Y157" s="300"/>
      <c r="Z157" s="300"/>
      <c r="AA157" s="300"/>
      <c r="AB157" s="300"/>
      <c r="AC157" s="300"/>
    </row>
    <row r="158">
      <c r="A158" s="312"/>
      <c r="B158" s="47"/>
      <c r="C158" s="47"/>
      <c r="D158" s="47"/>
      <c r="E158" s="47"/>
      <c r="F158" s="47"/>
      <c r="G158" s="47"/>
      <c r="H158" s="325" t="s">
        <v>1404</v>
      </c>
      <c r="I158" s="325" t="s">
        <v>29</v>
      </c>
      <c r="J158" s="321">
        <v>10.0</v>
      </c>
      <c r="K158" s="321" t="s">
        <v>165</v>
      </c>
      <c r="L158" s="326">
        <v>75.0</v>
      </c>
      <c r="M158" s="105">
        <f t="shared" si="1"/>
        <v>750</v>
      </c>
      <c r="N158" s="327" t="s">
        <v>99</v>
      </c>
      <c r="O158" s="325" t="s">
        <v>29</v>
      </c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300"/>
      <c r="AA158" s="300"/>
      <c r="AB158" s="300"/>
      <c r="AC158" s="300"/>
    </row>
    <row r="159">
      <c r="A159" s="312"/>
      <c r="B159" s="47"/>
      <c r="C159" s="47"/>
      <c r="D159" s="47"/>
      <c r="E159" s="47"/>
      <c r="F159" s="47"/>
      <c r="G159" s="47"/>
      <c r="H159" s="325" t="s">
        <v>299</v>
      </c>
      <c r="I159" s="325" t="s">
        <v>29</v>
      </c>
      <c r="J159" s="321">
        <v>30.0</v>
      </c>
      <c r="K159" s="321" t="s">
        <v>165</v>
      </c>
      <c r="L159" s="326">
        <v>220.0</v>
      </c>
      <c r="M159" s="105">
        <f t="shared" si="1"/>
        <v>6600</v>
      </c>
      <c r="N159" s="327" t="s">
        <v>99</v>
      </c>
      <c r="O159" s="325" t="s">
        <v>29</v>
      </c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300"/>
      <c r="AB159" s="300"/>
      <c r="AC159" s="300"/>
    </row>
    <row r="160">
      <c r="A160" s="312"/>
      <c r="B160" s="47"/>
      <c r="C160" s="47"/>
      <c r="D160" s="47"/>
      <c r="E160" s="47"/>
      <c r="F160" s="47"/>
      <c r="G160" s="47"/>
      <c r="H160" s="325" t="s">
        <v>1263</v>
      </c>
      <c r="I160" s="325" t="s">
        <v>29</v>
      </c>
      <c r="J160" s="321">
        <v>5.0</v>
      </c>
      <c r="K160" s="321" t="s">
        <v>165</v>
      </c>
      <c r="L160" s="326">
        <v>900.0</v>
      </c>
      <c r="M160" s="105">
        <f t="shared" si="1"/>
        <v>4500</v>
      </c>
      <c r="N160" s="327" t="s">
        <v>99</v>
      </c>
      <c r="O160" s="325" t="s">
        <v>29</v>
      </c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00"/>
      <c r="AA160" s="300"/>
      <c r="AB160" s="300"/>
      <c r="AC160" s="300"/>
    </row>
    <row r="161">
      <c r="A161" s="312"/>
      <c r="B161" s="47"/>
      <c r="C161" s="47"/>
      <c r="D161" s="47"/>
      <c r="E161" s="47"/>
      <c r="F161" s="47"/>
      <c r="G161" s="47"/>
      <c r="H161" s="325" t="s">
        <v>1405</v>
      </c>
      <c r="I161" s="325" t="s">
        <v>29</v>
      </c>
      <c r="J161" s="321">
        <v>20.0</v>
      </c>
      <c r="K161" s="321" t="s">
        <v>165</v>
      </c>
      <c r="L161" s="326">
        <v>220.0</v>
      </c>
      <c r="M161" s="105">
        <f t="shared" si="1"/>
        <v>4400</v>
      </c>
      <c r="N161" s="327" t="s">
        <v>99</v>
      </c>
      <c r="O161" s="325" t="s">
        <v>29</v>
      </c>
      <c r="P161" s="300"/>
      <c r="Q161" s="300"/>
      <c r="R161" s="300"/>
      <c r="S161" s="300"/>
      <c r="T161" s="300"/>
      <c r="U161" s="300"/>
      <c r="V161" s="300"/>
      <c r="W161" s="300"/>
      <c r="X161" s="300"/>
      <c r="Y161" s="300"/>
      <c r="Z161" s="300"/>
      <c r="AA161" s="300"/>
      <c r="AB161" s="300"/>
      <c r="AC161" s="300"/>
    </row>
    <row r="162">
      <c r="A162" s="312"/>
      <c r="B162" s="47"/>
      <c r="C162" s="47"/>
      <c r="D162" s="47"/>
      <c r="E162" s="47"/>
      <c r="F162" s="47"/>
      <c r="G162" s="47"/>
      <c r="H162" s="325" t="s">
        <v>351</v>
      </c>
      <c r="I162" s="325" t="s">
        <v>294</v>
      </c>
      <c r="J162" s="321">
        <v>25.0</v>
      </c>
      <c r="K162" s="321" t="s">
        <v>654</v>
      </c>
      <c r="L162" s="326">
        <v>72.0</v>
      </c>
      <c r="M162" s="105">
        <f t="shared" si="1"/>
        <v>1800</v>
      </c>
      <c r="N162" s="327" t="s">
        <v>99</v>
      </c>
      <c r="O162" s="325" t="s">
        <v>29</v>
      </c>
      <c r="P162" s="300"/>
      <c r="Q162" s="300"/>
      <c r="R162" s="300"/>
      <c r="S162" s="300"/>
      <c r="T162" s="300"/>
      <c r="U162" s="300"/>
      <c r="V162" s="300"/>
      <c r="W162" s="300"/>
      <c r="X162" s="300"/>
      <c r="Y162" s="300"/>
      <c r="Z162" s="300"/>
      <c r="AA162" s="300"/>
      <c r="AB162" s="300"/>
      <c r="AC162" s="300"/>
    </row>
    <row r="163">
      <c r="A163" s="312"/>
      <c r="B163" s="47"/>
      <c r="C163" s="47"/>
      <c r="D163" s="47"/>
      <c r="E163" s="47"/>
      <c r="F163" s="47"/>
      <c r="G163" s="47"/>
      <c r="H163" s="325" t="s">
        <v>1110</v>
      </c>
      <c r="I163" s="325" t="s">
        <v>294</v>
      </c>
      <c r="J163" s="321">
        <v>25.0</v>
      </c>
      <c r="K163" s="321" t="s">
        <v>654</v>
      </c>
      <c r="L163" s="326">
        <v>72.0</v>
      </c>
      <c r="M163" s="105">
        <f t="shared" si="1"/>
        <v>1800</v>
      </c>
      <c r="N163" s="327" t="s">
        <v>99</v>
      </c>
      <c r="O163" s="325" t="s">
        <v>29</v>
      </c>
      <c r="P163" s="300"/>
      <c r="Q163" s="300"/>
      <c r="R163" s="300"/>
      <c r="S163" s="300"/>
      <c r="T163" s="300"/>
      <c r="U163" s="300"/>
      <c r="V163" s="300"/>
      <c r="W163" s="300"/>
      <c r="X163" s="300"/>
      <c r="Y163" s="300"/>
      <c r="Z163" s="300"/>
      <c r="AA163" s="300"/>
      <c r="AB163" s="300"/>
      <c r="AC163" s="300"/>
    </row>
    <row r="164">
      <c r="A164" s="312"/>
      <c r="B164" s="47"/>
      <c r="C164" s="47"/>
      <c r="D164" s="47"/>
      <c r="E164" s="47"/>
      <c r="F164" s="47"/>
      <c r="G164" s="47"/>
      <c r="H164" s="325" t="s">
        <v>1406</v>
      </c>
      <c r="I164" s="325" t="s">
        <v>294</v>
      </c>
      <c r="J164" s="321">
        <v>25.0</v>
      </c>
      <c r="K164" s="321" t="s">
        <v>654</v>
      </c>
      <c r="L164" s="326">
        <v>72.0</v>
      </c>
      <c r="M164" s="105">
        <f t="shared" si="1"/>
        <v>1800</v>
      </c>
      <c r="N164" s="327" t="s">
        <v>99</v>
      </c>
      <c r="O164" s="325" t="s">
        <v>29</v>
      </c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  <c r="AA164" s="300"/>
      <c r="AB164" s="300"/>
      <c r="AC164" s="300"/>
    </row>
    <row r="165">
      <c r="A165" s="312"/>
      <c r="B165" s="47"/>
      <c r="C165" s="47"/>
      <c r="D165" s="47"/>
      <c r="E165" s="47"/>
      <c r="F165" s="47"/>
      <c r="G165" s="47"/>
      <c r="H165" s="325" t="s">
        <v>1111</v>
      </c>
      <c r="I165" s="325" t="s">
        <v>294</v>
      </c>
      <c r="J165" s="321">
        <v>25.0</v>
      </c>
      <c r="K165" s="321" t="s">
        <v>654</v>
      </c>
      <c r="L165" s="326">
        <v>72.0</v>
      </c>
      <c r="M165" s="105">
        <f t="shared" si="1"/>
        <v>1800</v>
      </c>
      <c r="N165" s="327" t="s">
        <v>99</v>
      </c>
      <c r="O165" s="325" t="s">
        <v>29</v>
      </c>
      <c r="P165" s="300"/>
      <c r="Q165" s="300"/>
      <c r="R165" s="300"/>
      <c r="S165" s="300"/>
      <c r="T165" s="300"/>
      <c r="U165" s="300"/>
      <c r="V165" s="300"/>
      <c r="W165" s="300"/>
      <c r="X165" s="300"/>
      <c r="Y165" s="300"/>
      <c r="Z165" s="300"/>
      <c r="AA165" s="300"/>
      <c r="AB165" s="300"/>
      <c r="AC165" s="300"/>
    </row>
    <row r="166">
      <c r="A166" s="312"/>
      <c r="B166" s="47"/>
      <c r="C166" s="47"/>
      <c r="D166" s="47"/>
      <c r="E166" s="47"/>
      <c r="F166" s="47"/>
      <c r="G166" s="47"/>
      <c r="H166" s="325" t="s">
        <v>1107</v>
      </c>
      <c r="I166" s="325" t="s">
        <v>294</v>
      </c>
      <c r="J166" s="321">
        <v>25.0</v>
      </c>
      <c r="K166" s="321" t="s">
        <v>654</v>
      </c>
      <c r="L166" s="326">
        <v>74.0</v>
      </c>
      <c r="M166" s="105">
        <f t="shared" si="1"/>
        <v>1850</v>
      </c>
      <c r="N166" s="327" t="s">
        <v>99</v>
      </c>
      <c r="O166" s="325" t="s">
        <v>29</v>
      </c>
      <c r="P166" s="300"/>
      <c r="Q166" s="300"/>
      <c r="R166" s="300"/>
      <c r="S166" s="300"/>
      <c r="T166" s="300"/>
      <c r="U166" s="300"/>
      <c r="V166" s="300"/>
      <c r="W166" s="300"/>
      <c r="X166" s="300"/>
      <c r="Y166" s="300"/>
      <c r="Z166" s="300"/>
      <c r="AA166" s="300"/>
      <c r="AB166" s="300"/>
      <c r="AC166" s="300"/>
    </row>
    <row r="167">
      <c r="A167" s="312"/>
      <c r="B167" s="47"/>
      <c r="C167" s="47"/>
      <c r="D167" s="47"/>
      <c r="E167" s="47"/>
      <c r="F167" s="47"/>
      <c r="G167" s="47"/>
      <c r="H167" s="325" t="s">
        <v>1108</v>
      </c>
      <c r="I167" s="325" t="s">
        <v>294</v>
      </c>
      <c r="J167" s="321">
        <v>25.0</v>
      </c>
      <c r="K167" s="321" t="s">
        <v>654</v>
      </c>
      <c r="L167" s="326">
        <v>74.0</v>
      </c>
      <c r="M167" s="105">
        <f t="shared" si="1"/>
        <v>1850</v>
      </c>
      <c r="N167" s="327" t="s">
        <v>99</v>
      </c>
      <c r="O167" s="325" t="s">
        <v>29</v>
      </c>
      <c r="P167" s="300"/>
      <c r="Q167" s="300"/>
      <c r="R167" s="300"/>
      <c r="S167" s="300"/>
      <c r="T167" s="300"/>
      <c r="U167" s="300"/>
      <c r="V167" s="300"/>
      <c r="W167" s="300"/>
      <c r="X167" s="300"/>
      <c r="Y167" s="300"/>
      <c r="Z167" s="300"/>
      <c r="AA167" s="300"/>
      <c r="AB167" s="300"/>
      <c r="AC167" s="300"/>
    </row>
    <row r="168">
      <c r="A168" s="312"/>
      <c r="B168" s="47"/>
      <c r="C168" s="47"/>
      <c r="D168" s="47"/>
      <c r="E168" s="47"/>
      <c r="F168" s="47"/>
      <c r="G168" s="47"/>
      <c r="H168" s="325" t="s">
        <v>803</v>
      </c>
      <c r="I168" s="325" t="s">
        <v>325</v>
      </c>
      <c r="J168" s="321">
        <v>10.0</v>
      </c>
      <c r="K168" s="321" t="s">
        <v>654</v>
      </c>
      <c r="L168" s="326">
        <v>60.0</v>
      </c>
      <c r="M168" s="105">
        <f t="shared" si="1"/>
        <v>600</v>
      </c>
      <c r="N168" s="327" t="s">
        <v>99</v>
      </c>
      <c r="O168" s="325" t="s">
        <v>29</v>
      </c>
      <c r="P168" s="300"/>
      <c r="Q168" s="300"/>
      <c r="R168" s="300"/>
      <c r="S168" s="300"/>
      <c r="T168" s="300"/>
      <c r="U168" s="300"/>
      <c r="V168" s="300"/>
      <c r="W168" s="300"/>
      <c r="X168" s="300"/>
      <c r="Y168" s="300"/>
      <c r="Z168" s="300"/>
      <c r="AA168" s="300"/>
      <c r="AB168" s="300"/>
      <c r="AC168" s="300"/>
    </row>
    <row r="169">
      <c r="A169" s="312"/>
      <c r="B169" s="47"/>
      <c r="C169" s="47"/>
      <c r="D169" s="47"/>
      <c r="E169" s="47"/>
      <c r="F169" s="47"/>
      <c r="G169" s="47"/>
      <c r="H169" s="325" t="s">
        <v>258</v>
      </c>
      <c r="I169" s="325" t="s">
        <v>29</v>
      </c>
      <c r="J169" s="321">
        <v>10.0</v>
      </c>
      <c r="K169" s="321" t="s">
        <v>165</v>
      </c>
      <c r="L169" s="326">
        <v>80.0</v>
      </c>
      <c r="M169" s="105">
        <f t="shared" si="1"/>
        <v>800</v>
      </c>
      <c r="N169" s="327" t="s">
        <v>99</v>
      </c>
      <c r="O169" s="325" t="s">
        <v>29</v>
      </c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  <c r="AA169" s="300"/>
      <c r="AB169" s="300"/>
      <c r="AC169" s="300"/>
    </row>
    <row r="170">
      <c r="A170" s="312"/>
      <c r="B170" s="48"/>
      <c r="C170" s="48"/>
      <c r="D170" s="48"/>
      <c r="E170" s="48"/>
      <c r="F170" s="48"/>
      <c r="G170" s="48"/>
      <c r="H170" s="325" t="s">
        <v>1407</v>
      </c>
      <c r="I170" s="325" t="s">
        <v>29</v>
      </c>
      <c r="J170" s="321">
        <v>2.0</v>
      </c>
      <c r="K170" s="321" t="s">
        <v>981</v>
      </c>
      <c r="L170" s="326">
        <v>184.0</v>
      </c>
      <c r="M170" s="105">
        <f t="shared" si="1"/>
        <v>368</v>
      </c>
      <c r="N170" s="327" t="s">
        <v>99</v>
      </c>
      <c r="O170" s="325" t="s">
        <v>29</v>
      </c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00"/>
      <c r="AA170" s="300"/>
      <c r="AB170" s="300"/>
      <c r="AC170" s="300"/>
    </row>
    <row r="171">
      <c r="A171" s="312"/>
      <c r="B171" s="330">
        <v>948.0</v>
      </c>
      <c r="C171" s="331">
        <v>45888.0</v>
      </c>
      <c r="D171" s="330" t="s">
        <v>1399</v>
      </c>
      <c r="E171" s="332">
        <v>45929.0</v>
      </c>
      <c r="F171" s="330">
        <v>826.0</v>
      </c>
      <c r="G171" s="334">
        <v>45889.0</v>
      </c>
      <c r="H171" s="325" t="s">
        <v>1408</v>
      </c>
      <c r="I171" s="325" t="s">
        <v>1401</v>
      </c>
      <c r="J171" s="321">
        <v>2.0</v>
      </c>
      <c r="K171" s="321" t="s">
        <v>1409</v>
      </c>
      <c r="L171" s="326">
        <v>14000.0</v>
      </c>
      <c r="M171" s="105">
        <f t="shared" si="1"/>
        <v>28000</v>
      </c>
      <c r="N171" s="327" t="s">
        <v>99</v>
      </c>
      <c r="O171" s="325" t="s">
        <v>1410</v>
      </c>
      <c r="P171" s="300"/>
      <c r="Q171" s="300"/>
      <c r="R171" s="300"/>
      <c r="S171" s="300"/>
      <c r="T171" s="300"/>
      <c r="U171" s="300"/>
      <c r="V171" s="300"/>
      <c r="W171" s="300"/>
      <c r="X171" s="300"/>
      <c r="Y171" s="300"/>
      <c r="Z171" s="300"/>
      <c r="AA171" s="300"/>
      <c r="AB171" s="300"/>
      <c r="AC171" s="300"/>
    </row>
    <row r="172">
      <c r="A172" s="312"/>
      <c r="B172" s="47"/>
      <c r="C172" s="47"/>
      <c r="D172" s="47"/>
      <c r="E172" s="47"/>
      <c r="F172" s="47"/>
      <c r="G172" s="47"/>
      <c r="H172" s="325" t="s">
        <v>1411</v>
      </c>
      <c r="I172" s="325" t="s">
        <v>55</v>
      </c>
      <c r="J172" s="321">
        <v>2.0</v>
      </c>
      <c r="K172" s="321" t="s">
        <v>1409</v>
      </c>
      <c r="L172" s="326">
        <v>14000.0</v>
      </c>
      <c r="M172" s="105">
        <f t="shared" si="1"/>
        <v>28000</v>
      </c>
      <c r="N172" s="327" t="s">
        <v>99</v>
      </c>
      <c r="O172" s="325" t="s">
        <v>1412</v>
      </c>
      <c r="P172" s="300"/>
      <c r="Q172" s="300"/>
      <c r="R172" s="300"/>
      <c r="S172" s="300"/>
      <c r="T172" s="300"/>
      <c r="U172" s="300"/>
      <c r="V172" s="300"/>
      <c r="W172" s="300"/>
      <c r="X172" s="300"/>
      <c r="Y172" s="300"/>
      <c r="Z172" s="300"/>
      <c r="AA172" s="300"/>
      <c r="AB172" s="300"/>
      <c r="AC172" s="300"/>
    </row>
    <row r="173">
      <c r="A173" s="312"/>
      <c r="B173" s="48"/>
      <c r="C173" s="48"/>
      <c r="D173" s="48"/>
      <c r="E173" s="48"/>
      <c r="F173" s="48"/>
      <c r="G173" s="48"/>
      <c r="H173" s="325" t="s">
        <v>1413</v>
      </c>
      <c r="I173" s="325" t="s">
        <v>1401</v>
      </c>
      <c r="J173" s="321">
        <v>2.0</v>
      </c>
      <c r="K173" s="321" t="s">
        <v>1414</v>
      </c>
      <c r="L173" s="326">
        <v>14000.0</v>
      </c>
      <c r="M173" s="105">
        <f t="shared" si="1"/>
        <v>28000</v>
      </c>
      <c r="N173" s="327" t="s">
        <v>99</v>
      </c>
      <c r="O173" s="325" t="s">
        <v>1412</v>
      </c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300"/>
      <c r="AB173" s="300"/>
      <c r="AC173" s="300"/>
    </row>
    <row r="174">
      <c r="A174" s="312"/>
      <c r="B174" s="330">
        <v>970.0</v>
      </c>
      <c r="C174" s="331">
        <v>45890.0</v>
      </c>
      <c r="D174" s="330" t="s">
        <v>1399</v>
      </c>
      <c r="E174" s="332">
        <v>45929.0</v>
      </c>
      <c r="F174" s="330">
        <v>830.0</v>
      </c>
      <c r="G174" s="334">
        <v>45893.0</v>
      </c>
      <c r="H174" s="325" t="s">
        <v>299</v>
      </c>
      <c r="I174" s="325" t="s">
        <v>29</v>
      </c>
      <c r="J174" s="321">
        <v>4.0</v>
      </c>
      <c r="K174" s="321" t="s">
        <v>165</v>
      </c>
      <c r="L174" s="326">
        <v>220.0</v>
      </c>
      <c r="M174" s="105">
        <f t="shared" si="1"/>
        <v>880</v>
      </c>
      <c r="N174" s="327" t="s">
        <v>99</v>
      </c>
      <c r="O174" s="325" t="s">
        <v>1412</v>
      </c>
      <c r="P174" s="300"/>
      <c r="Q174" s="300"/>
      <c r="R174" s="300"/>
      <c r="S174" s="300"/>
      <c r="T174" s="300"/>
      <c r="U174" s="300"/>
      <c r="V174" s="300"/>
      <c r="W174" s="300"/>
      <c r="X174" s="300"/>
      <c r="Y174" s="300"/>
      <c r="Z174" s="300"/>
      <c r="AA174" s="300"/>
      <c r="AB174" s="300"/>
      <c r="AC174" s="300"/>
    </row>
    <row r="175">
      <c r="A175" s="312"/>
      <c r="B175" s="47"/>
      <c r="C175" s="47"/>
      <c r="D175" s="47"/>
      <c r="E175" s="47"/>
      <c r="F175" s="47"/>
      <c r="G175" s="47"/>
      <c r="H175" s="325" t="s">
        <v>914</v>
      </c>
      <c r="I175" s="325" t="s">
        <v>29</v>
      </c>
      <c r="J175" s="321">
        <v>12.0</v>
      </c>
      <c r="K175" s="321" t="s">
        <v>1415</v>
      </c>
      <c r="L175" s="326">
        <v>25.0</v>
      </c>
      <c r="M175" s="105">
        <f t="shared" si="1"/>
        <v>300</v>
      </c>
      <c r="N175" s="327" t="s">
        <v>99</v>
      </c>
      <c r="O175" s="325" t="s">
        <v>1412</v>
      </c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300"/>
      <c r="AB175" s="300"/>
      <c r="AC175" s="300"/>
    </row>
    <row r="176">
      <c r="A176" s="312"/>
      <c r="B176" s="47"/>
      <c r="C176" s="47"/>
      <c r="D176" s="47"/>
      <c r="E176" s="47"/>
      <c r="F176" s="47"/>
      <c r="G176" s="47"/>
      <c r="H176" s="325" t="s">
        <v>1269</v>
      </c>
      <c r="I176" s="325" t="s">
        <v>29</v>
      </c>
      <c r="J176" s="321">
        <v>28.0</v>
      </c>
      <c r="K176" s="321" t="s">
        <v>165</v>
      </c>
      <c r="L176" s="326">
        <v>60.0</v>
      </c>
      <c r="M176" s="105">
        <f t="shared" si="1"/>
        <v>1680</v>
      </c>
      <c r="N176" s="327" t="s">
        <v>99</v>
      </c>
      <c r="O176" s="325" t="s">
        <v>1412</v>
      </c>
      <c r="P176" s="300"/>
      <c r="Q176" s="300"/>
      <c r="R176" s="300"/>
      <c r="S176" s="300"/>
      <c r="T176" s="300"/>
      <c r="U176" s="300"/>
      <c r="V176" s="300"/>
      <c r="W176" s="300"/>
      <c r="X176" s="300"/>
      <c r="Y176" s="300"/>
      <c r="Z176" s="300"/>
      <c r="AA176" s="300"/>
      <c r="AB176" s="300"/>
      <c r="AC176" s="300"/>
    </row>
    <row r="177">
      <c r="A177" s="312"/>
      <c r="B177" s="47"/>
      <c r="C177" s="47"/>
      <c r="D177" s="47"/>
      <c r="E177" s="47"/>
      <c r="F177" s="47"/>
      <c r="G177" s="47"/>
      <c r="H177" s="325" t="s">
        <v>1416</v>
      </c>
      <c r="I177" s="325" t="s">
        <v>29</v>
      </c>
      <c r="J177" s="321">
        <v>2.0</v>
      </c>
      <c r="K177" s="321" t="s">
        <v>165</v>
      </c>
      <c r="L177" s="326">
        <v>120.0</v>
      </c>
      <c r="M177" s="105">
        <f t="shared" si="1"/>
        <v>240</v>
      </c>
      <c r="N177" s="327" t="s">
        <v>99</v>
      </c>
      <c r="O177" s="325" t="s">
        <v>1412</v>
      </c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300"/>
      <c r="AA177" s="300"/>
      <c r="AB177" s="300"/>
      <c r="AC177" s="300"/>
    </row>
    <row r="178">
      <c r="A178" s="312"/>
      <c r="B178" s="48"/>
      <c r="C178" s="48"/>
      <c r="D178" s="48"/>
      <c r="E178" s="48"/>
      <c r="F178" s="48"/>
      <c r="G178" s="48"/>
      <c r="H178" s="325" t="s">
        <v>736</v>
      </c>
      <c r="I178" s="325" t="s">
        <v>29</v>
      </c>
      <c r="J178" s="321">
        <v>2.0</v>
      </c>
      <c r="K178" s="321" t="s">
        <v>165</v>
      </c>
      <c r="L178" s="326">
        <v>55.0</v>
      </c>
      <c r="M178" s="105">
        <f t="shared" si="1"/>
        <v>110</v>
      </c>
      <c r="N178" s="327" t="s">
        <v>99</v>
      </c>
      <c r="O178" s="325" t="s">
        <v>1412</v>
      </c>
      <c r="P178" s="300"/>
      <c r="Q178" s="300"/>
      <c r="R178" s="300"/>
      <c r="S178" s="300"/>
      <c r="T178" s="300"/>
      <c r="U178" s="300"/>
      <c r="V178" s="300"/>
      <c r="W178" s="300"/>
      <c r="X178" s="300"/>
      <c r="Y178" s="300"/>
      <c r="Z178" s="300"/>
      <c r="AA178" s="300"/>
      <c r="AB178" s="300"/>
      <c r="AC178" s="300"/>
    </row>
    <row r="179">
      <c r="A179" s="312"/>
      <c r="B179" s="330">
        <v>946.0</v>
      </c>
      <c r="C179" s="331">
        <v>45888.0</v>
      </c>
      <c r="D179" s="330" t="s">
        <v>1417</v>
      </c>
      <c r="E179" s="332">
        <v>45943.0</v>
      </c>
      <c r="F179" s="330">
        <v>828.0</v>
      </c>
      <c r="G179" s="334">
        <v>45889.0</v>
      </c>
      <c r="H179" s="325" t="s">
        <v>1418</v>
      </c>
      <c r="I179" s="325" t="s">
        <v>276</v>
      </c>
      <c r="J179" s="321">
        <v>100.0</v>
      </c>
      <c r="K179" s="321" t="s">
        <v>165</v>
      </c>
      <c r="L179" s="326">
        <v>185.0</v>
      </c>
      <c r="M179" s="105">
        <f t="shared" si="1"/>
        <v>18500</v>
      </c>
      <c r="N179" s="327" t="s">
        <v>99</v>
      </c>
      <c r="O179" s="325" t="s">
        <v>1419</v>
      </c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  <c r="AA179" s="300"/>
      <c r="AB179" s="300"/>
      <c r="AC179" s="300"/>
    </row>
    <row r="180">
      <c r="A180" s="312"/>
      <c r="B180" s="47"/>
      <c r="C180" s="47"/>
      <c r="D180" s="47"/>
      <c r="E180" s="47"/>
      <c r="F180" s="47"/>
      <c r="G180" s="47"/>
      <c r="H180" s="325" t="s">
        <v>438</v>
      </c>
      <c r="I180" s="325" t="s">
        <v>276</v>
      </c>
      <c r="J180" s="321">
        <v>100.0</v>
      </c>
      <c r="K180" s="321" t="s">
        <v>165</v>
      </c>
      <c r="L180" s="326">
        <v>31.0</v>
      </c>
      <c r="M180" s="105">
        <f t="shared" si="1"/>
        <v>3100</v>
      </c>
      <c r="N180" s="327" t="s">
        <v>99</v>
      </c>
      <c r="O180" s="325" t="s">
        <v>1419</v>
      </c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  <c r="AA180" s="300"/>
      <c r="AB180" s="300"/>
      <c r="AC180" s="300"/>
    </row>
    <row r="181">
      <c r="A181" s="312"/>
      <c r="B181" s="47"/>
      <c r="C181" s="47"/>
      <c r="D181" s="47"/>
      <c r="E181" s="47"/>
      <c r="F181" s="47"/>
      <c r="G181" s="47"/>
      <c r="H181" s="325" t="s">
        <v>1420</v>
      </c>
      <c r="I181" s="325" t="s">
        <v>276</v>
      </c>
      <c r="J181" s="321">
        <v>100.0</v>
      </c>
      <c r="K181" s="321" t="s">
        <v>165</v>
      </c>
      <c r="L181" s="326">
        <v>80.0</v>
      </c>
      <c r="M181" s="105">
        <f t="shared" si="1"/>
        <v>8000</v>
      </c>
      <c r="N181" s="327" t="s">
        <v>99</v>
      </c>
      <c r="O181" s="325" t="s">
        <v>1419</v>
      </c>
      <c r="P181" s="300"/>
      <c r="Q181" s="300"/>
      <c r="R181" s="300"/>
      <c r="S181" s="300"/>
      <c r="T181" s="300"/>
      <c r="U181" s="300"/>
      <c r="V181" s="300"/>
      <c r="W181" s="300"/>
      <c r="X181" s="300"/>
      <c r="Y181" s="300"/>
      <c r="Z181" s="300"/>
      <c r="AA181" s="300"/>
      <c r="AB181" s="300"/>
      <c r="AC181" s="300"/>
    </row>
    <row r="182">
      <c r="A182" s="312"/>
      <c r="B182" s="47"/>
      <c r="C182" s="47"/>
      <c r="D182" s="47"/>
      <c r="E182" s="47"/>
      <c r="F182" s="47"/>
      <c r="G182" s="47"/>
      <c r="H182" s="325" t="s">
        <v>1421</v>
      </c>
      <c r="I182" s="325" t="s">
        <v>276</v>
      </c>
      <c r="J182" s="321">
        <v>100.0</v>
      </c>
      <c r="K182" s="321" t="s">
        <v>165</v>
      </c>
      <c r="L182" s="326">
        <v>15.0</v>
      </c>
      <c r="M182" s="105">
        <f t="shared" si="1"/>
        <v>1500</v>
      </c>
      <c r="N182" s="327" t="s">
        <v>99</v>
      </c>
      <c r="O182" s="325" t="s">
        <v>1419</v>
      </c>
      <c r="P182" s="300"/>
      <c r="Q182" s="300"/>
      <c r="R182" s="300"/>
      <c r="S182" s="300"/>
      <c r="T182" s="300"/>
      <c r="U182" s="300"/>
      <c r="V182" s="300"/>
      <c r="W182" s="300"/>
      <c r="X182" s="300"/>
      <c r="Y182" s="300"/>
      <c r="Z182" s="300"/>
      <c r="AA182" s="300"/>
      <c r="AB182" s="300"/>
      <c r="AC182" s="300"/>
    </row>
    <row r="183">
      <c r="A183" s="312"/>
      <c r="B183" s="47"/>
      <c r="C183" s="47"/>
      <c r="D183" s="47"/>
      <c r="E183" s="47"/>
      <c r="F183" s="47"/>
      <c r="G183" s="47"/>
      <c r="H183" s="325" t="s">
        <v>479</v>
      </c>
      <c r="I183" s="325" t="s">
        <v>276</v>
      </c>
      <c r="J183" s="321">
        <v>100.0</v>
      </c>
      <c r="K183" s="321" t="s">
        <v>165</v>
      </c>
      <c r="L183" s="326">
        <v>20.0</v>
      </c>
      <c r="M183" s="105">
        <f t="shared" si="1"/>
        <v>2000</v>
      </c>
      <c r="N183" s="327" t="s">
        <v>99</v>
      </c>
      <c r="O183" s="325" t="s">
        <v>1419</v>
      </c>
      <c r="P183" s="300"/>
      <c r="Q183" s="300"/>
      <c r="R183" s="300"/>
      <c r="S183" s="300"/>
      <c r="T183" s="300"/>
      <c r="U183" s="300"/>
      <c r="V183" s="300"/>
      <c r="W183" s="300"/>
      <c r="X183" s="300"/>
      <c r="Y183" s="300"/>
      <c r="Z183" s="300"/>
      <c r="AA183" s="300"/>
      <c r="AB183" s="300"/>
      <c r="AC183" s="300"/>
    </row>
    <row r="184">
      <c r="A184" s="312"/>
      <c r="B184" s="47"/>
      <c r="C184" s="47"/>
      <c r="D184" s="47"/>
      <c r="E184" s="47"/>
      <c r="F184" s="47"/>
      <c r="G184" s="47"/>
      <c r="H184" s="325" t="s">
        <v>1422</v>
      </c>
      <c r="I184" s="325" t="s">
        <v>276</v>
      </c>
      <c r="J184" s="321">
        <v>33.0</v>
      </c>
      <c r="K184" s="321" t="s">
        <v>165</v>
      </c>
      <c r="L184" s="326">
        <v>125.0</v>
      </c>
      <c r="M184" s="105">
        <f t="shared" si="1"/>
        <v>4125</v>
      </c>
      <c r="N184" s="327" t="s">
        <v>99</v>
      </c>
      <c r="O184" s="325" t="s">
        <v>1419</v>
      </c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  <c r="AA184" s="300"/>
      <c r="AB184" s="300"/>
      <c r="AC184" s="300"/>
    </row>
    <row r="185">
      <c r="A185" s="312"/>
      <c r="B185" s="47"/>
      <c r="C185" s="47"/>
      <c r="D185" s="47"/>
      <c r="E185" s="47"/>
      <c r="F185" s="47"/>
      <c r="G185" s="47"/>
      <c r="H185" s="325" t="s">
        <v>1423</v>
      </c>
      <c r="I185" s="325" t="s">
        <v>276</v>
      </c>
      <c r="J185" s="321">
        <v>1.0</v>
      </c>
      <c r="K185" s="321" t="s">
        <v>65</v>
      </c>
      <c r="L185" s="326">
        <v>14999.0</v>
      </c>
      <c r="M185" s="105">
        <f t="shared" si="1"/>
        <v>14999</v>
      </c>
      <c r="N185" s="327" t="s">
        <v>99</v>
      </c>
      <c r="O185" s="325" t="s">
        <v>1419</v>
      </c>
      <c r="P185" s="300"/>
      <c r="Q185" s="300"/>
      <c r="R185" s="300"/>
      <c r="S185" s="300"/>
      <c r="T185" s="300"/>
      <c r="U185" s="300"/>
      <c r="V185" s="300"/>
      <c r="W185" s="300"/>
      <c r="X185" s="300"/>
      <c r="Y185" s="300"/>
      <c r="Z185" s="300"/>
      <c r="AA185" s="300"/>
      <c r="AB185" s="300"/>
      <c r="AC185" s="300"/>
    </row>
    <row r="186">
      <c r="A186" s="312"/>
      <c r="B186" s="48"/>
      <c r="C186" s="48"/>
      <c r="D186" s="48"/>
      <c r="E186" s="48"/>
      <c r="F186" s="48"/>
      <c r="G186" s="48"/>
      <c r="H186" s="325" t="s">
        <v>915</v>
      </c>
      <c r="I186" s="325" t="s">
        <v>276</v>
      </c>
      <c r="J186" s="321">
        <v>1.0</v>
      </c>
      <c r="K186" s="321" t="s">
        <v>65</v>
      </c>
      <c r="L186" s="326">
        <v>6132.0</v>
      </c>
      <c r="M186" s="105">
        <f t="shared" si="1"/>
        <v>6132</v>
      </c>
      <c r="N186" s="327" t="s">
        <v>99</v>
      </c>
      <c r="O186" s="325" t="s">
        <v>1419</v>
      </c>
      <c r="P186" s="300"/>
      <c r="Q186" s="300"/>
      <c r="R186" s="300"/>
      <c r="S186" s="300"/>
      <c r="T186" s="300"/>
      <c r="U186" s="300"/>
      <c r="V186" s="300"/>
      <c r="W186" s="300"/>
      <c r="X186" s="300"/>
      <c r="Y186" s="300"/>
      <c r="Z186" s="300"/>
      <c r="AA186" s="300"/>
      <c r="AB186" s="300"/>
      <c r="AC186" s="300"/>
    </row>
    <row r="187">
      <c r="A187" s="312"/>
      <c r="B187" s="330">
        <v>982.0</v>
      </c>
      <c r="C187" s="331">
        <v>45896.0</v>
      </c>
      <c r="D187" s="330" t="s">
        <v>1417</v>
      </c>
      <c r="E187" s="332">
        <v>45943.0</v>
      </c>
      <c r="F187" s="330">
        <v>834.0</v>
      </c>
      <c r="G187" s="334">
        <v>45897.0</v>
      </c>
      <c r="H187" s="325" t="s">
        <v>1424</v>
      </c>
      <c r="I187" s="325" t="s">
        <v>276</v>
      </c>
      <c r="J187" s="321">
        <v>180.0</v>
      </c>
      <c r="K187" s="321" t="s">
        <v>524</v>
      </c>
      <c r="L187" s="326">
        <v>8.9</v>
      </c>
      <c r="M187" s="105">
        <f t="shared" si="1"/>
        <v>1602</v>
      </c>
      <c r="N187" s="327" t="s">
        <v>99</v>
      </c>
      <c r="O187" s="325" t="s">
        <v>1425</v>
      </c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  <c r="AA187" s="300"/>
      <c r="AB187" s="300"/>
      <c r="AC187" s="300"/>
    </row>
    <row r="188">
      <c r="A188" s="312"/>
      <c r="B188" s="47"/>
      <c r="C188" s="47"/>
      <c r="D188" s="47"/>
      <c r="E188" s="47"/>
      <c r="F188" s="47"/>
      <c r="G188" s="47"/>
      <c r="H188" s="325" t="s">
        <v>1426</v>
      </c>
      <c r="I188" s="325" t="s">
        <v>276</v>
      </c>
      <c r="J188" s="321">
        <v>60.0</v>
      </c>
      <c r="K188" s="321" t="s">
        <v>165</v>
      </c>
      <c r="L188" s="326">
        <v>12.0</v>
      </c>
      <c r="M188" s="105">
        <f t="shared" si="1"/>
        <v>720</v>
      </c>
      <c r="N188" s="327" t="s">
        <v>99</v>
      </c>
      <c r="O188" s="325" t="s">
        <v>1425</v>
      </c>
      <c r="P188" s="300"/>
      <c r="Q188" s="300"/>
      <c r="R188" s="300"/>
      <c r="S188" s="300"/>
      <c r="T188" s="300"/>
      <c r="U188" s="300"/>
      <c r="V188" s="300"/>
      <c r="W188" s="300"/>
      <c r="X188" s="300"/>
      <c r="Y188" s="300"/>
      <c r="Z188" s="300"/>
      <c r="AA188" s="300"/>
      <c r="AB188" s="300"/>
      <c r="AC188" s="300"/>
    </row>
    <row r="189">
      <c r="A189" s="312"/>
      <c r="B189" s="47"/>
      <c r="C189" s="47"/>
      <c r="D189" s="47"/>
      <c r="E189" s="47"/>
      <c r="F189" s="47"/>
      <c r="G189" s="47"/>
      <c r="H189" s="325" t="s">
        <v>1422</v>
      </c>
      <c r="I189" s="325" t="s">
        <v>276</v>
      </c>
      <c r="J189" s="321">
        <v>8.0</v>
      </c>
      <c r="K189" s="321" t="s">
        <v>165</v>
      </c>
      <c r="L189" s="326">
        <v>125.0</v>
      </c>
      <c r="M189" s="105">
        <f t="shared" si="1"/>
        <v>1000</v>
      </c>
      <c r="N189" s="327" t="s">
        <v>99</v>
      </c>
      <c r="O189" s="325" t="s">
        <v>1425</v>
      </c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300"/>
      <c r="AA189" s="300"/>
      <c r="AB189" s="300"/>
      <c r="AC189" s="300"/>
    </row>
    <row r="190">
      <c r="A190" s="312"/>
      <c r="B190" s="47"/>
      <c r="C190" s="47"/>
      <c r="D190" s="47"/>
      <c r="E190" s="47"/>
      <c r="F190" s="47"/>
      <c r="G190" s="47"/>
      <c r="H190" s="325" t="s">
        <v>286</v>
      </c>
      <c r="I190" s="325" t="s">
        <v>276</v>
      </c>
      <c r="J190" s="321">
        <v>3.0</v>
      </c>
      <c r="K190" s="321" t="s">
        <v>165</v>
      </c>
      <c r="L190" s="326">
        <v>285.0</v>
      </c>
      <c r="M190" s="105">
        <f t="shared" si="1"/>
        <v>855</v>
      </c>
      <c r="N190" s="327" t="s">
        <v>99</v>
      </c>
      <c r="O190" s="325" t="s">
        <v>1425</v>
      </c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00"/>
      <c r="AA190" s="300"/>
      <c r="AB190" s="300"/>
      <c r="AC190" s="300"/>
    </row>
    <row r="191">
      <c r="A191" s="312"/>
      <c r="B191" s="47"/>
      <c r="C191" s="47"/>
      <c r="D191" s="47"/>
      <c r="E191" s="47"/>
      <c r="F191" s="47"/>
      <c r="G191" s="47"/>
      <c r="H191" s="325" t="s">
        <v>1427</v>
      </c>
      <c r="I191" s="325" t="s">
        <v>276</v>
      </c>
      <c r="J191" s="321">
        <v>4.0</v>
      </c>
      <c r="K191" s="321" t="s">
        <v>165</v>
      </c>
      <c r="L191" s="326">
        <v>165.0</v>
      </c>
      <c r="M191" s="105">
        <f t="shared" si="1"/>
        <v>660</v>
      </c>
      <c r="N191" s="327" t="s">
        <v>99</v>
      </c>
      <c r="O191" s="325" t="s">
        <v>1425</v>
      </c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  <c r="AA191" s="300"/>
      <c r="AB191" s="300"/>
      <c r="AC191" s="300"/>
    </row>
    <row r="192">
      <c r="A192" s="312"/>
      <c r="B192" s="47"/>
      <c r="C192" s="47"/>
      <c r="D192" s="47"/>
      <c r="E192" s="47"/>
      <c r="F192" s="47"/>
      <c r="G192" s="47"/>
      <c r="H192" s="325" t="s">
        <v>454</v>
      </c>
      <c r="I192" s="325" t="s">
        <v>276</v>
      </c>
      <c r="J192" s="321">
        <v>7.0</v>
      </c>
      <c r="K192" s="321" t="s">
        <v>165</v>
      </c>
      <c r="L192" s="326">
        <v>499.0</v>
      </c>
      <c r="M192" s="105">
        <f t="shared" si="1"/>
        <v>3493</v>
      </c>
      <c r="N192" s="327" t="s">
        <v>99</v>
      </c>
      <c r="O192" s="325" t="s">
        <v>1425</v>
      </c>
      <c r="P192" s="300"/>
      <c r="Q192" s="300"/>
      <c r="R192" s="300"/>
      <c r="S192" s="300"/>
      <c r="T192" s="300"/>
      <c r="U192" s="300"/>
      <c r="V192" s="300"/>
      <c r="W192" s="300"/>
      <c r="X192" s="300"/>
      <c r="Y192" s="300"/>
      <c r="Z192" s="300"/>
      <c r="AA192" s="300"/>
      <c r="AB192" s="300"/>
      <c r="AC192" s="300"/>
    </row>
    <row r="193">
      <c r="A193" s="312"/>
      <c r="B193" s="48"/>
      <c r="C193" s="48"/>
      <c r="D193" s="48"/>
      <c r="E193" s="48"/>
      <c r="F193" s="48"/>
      <c r="G193" s="48"/>
      <c r="H193" s="325" t="s">
        <v>1428</v>
      </c>
      <c r="I193" s="325" t="s">
        <v>429</v>
      </c>
      <c r="J193" s="321">
        <v>2.0</v>
      </c>
      <c r="K193" s="321" t="s">
        <v>165</v>
      </c>
      <c r="L193" s="326">
        <v>790.0</v>
      </c>
      <c r="M193" s="105">
        <f t="shared" si="1"/>
        <v>1580</v>
      </c>
      <c r="N193" s="327" t="s">
        <v>99</v>
      </c>
      <c r="O193" s="336" t="s">
        <v>1429</v>
      </c>
      <c r="P193" s="300"/>
      <c r="Q193" s="300"/>
      <c r="R193" s="300"/>
      <c r="S193" s="300"/>
      <c r="T193" s="300"/>
      <c r="U193" s="300"/>
      <c r="V193" s="300"/>
      <c r="W193" s="300"/>
      <c r="X193" s="300"/>
      <c r="Y193" s="300"/>
      <c r="Z193" s="300"/>
      <c r="AA193" s="300"/>
      <c r="AB193" s="300"/>
      <c r="AC193" s="300"/>
    </row>
    <row r="194">
      <c r="A194" s="312"/>
      <c r="B194" s="321">
        <v>1034.0</v>
      </c>
      <c r="C194" s="322">
        <v>45899.0</v>
      </c>
      <c r="D194" s="321" t="s">
        <v>1417</v>
      </c>
      <c r="E194" s="323">
        <v>45943.0</v>
      </c>
      <c r="F194" s="321">
        <v>836.0</v>
      </c>
      <c r="G194" s="324">
        <v>45902.0</v>
      </c>
      <c r="H194" s="325" t="s">
        <v>1430</v>
      </c>
      <c r="I194" s="325" t="s">
        <v>60</v>
      </c>
      <c r="J194" s="321">
        <v>50.0</v>
      </c>
      <c r="K194" s="321" t="s">
        <v>165</v>
      </c>
      <c r="L194" s="326">
        <v>130.0</v>
      </c>
      <c r="M194" s="105">
        <f t="shared" si="1"/>
        <v>6500</v>
      </c>
      <c r="N194" s="327" t="s">
        <v>99</v>
      </c>
      <c r="O194" s="325" t="s">
        <v>1431</v>
      </c>
      <c r="P194" s="300"/>
      <c r="Q194" s="300"/>
      <c r="R194" s="300"/>
      <c r="S194" s="300"/>
      <c r="T194" s="300"/>
      <c r="U194" s="300"/>
      <c r="V194" s="300"/>
      <c r="W194" s="300"/>
      <c r="X194" s="300"/>
      <c r="Y194" s="300"/>
      <c r="Z194" s="300"/>
      <c r="AA194" s="300"/>
      <c r="AB194" s="300"/>
      <c r="AC194" s="300"/>
    </row>
    <row r="195">
      <c r="A195" s="312"/>
      <c r="B195" s="330">
        <v>1035.0</v>
      </c>
      <c r="C195" s="331">
        <v>45908.0</v>
      </c>
      <c r="D195" s="330" t="s">
        <v>1417</v>
      </c>
      <c r="E195" s="332">
        <v>45943.0</v>
      </c>
      <c r="F195" s="330">
        <v>843.0</v>
      </c>
      <c r="G195" s="334">
        <v>45902.0</v>
      </c>
      <c r="H195" s="325" t="s">
        <v>468</v>
      </c>
      <c r="I195" s="325" t="s">
        <v>29</v>
      </c>
      <c r="J195" s="321">
        <v>100.0</v>
      </c>
      <c r="K195" s="321" t="s">
        <v>165</v>
      </c>
      <c r="L195" s="326">
        <v>20.0</v>
      </c>
      <c r="M195" s="105">
        <f t="shared" si="1"/>
        <v>2000</v>
      </c>
      <c r="N195" s="327" t="s">
        <v>99</v>
      </c>
      <c r="O195" s="325" t="s">
        <v>1432</v>
      </c>
      <c r="P195" s="300"/>
      <c r="Q195" s="300"/>
      <c r="R195" s="300"/>
      <c r="S195" s="300"/>
      <c r="T195" s="300"/>
      <c r="U195" s="300"/>
      <c r="V195" s="300"/>
      <c r="W195" s="300"/>
      <c r="X195" s="300"/>
      <c r="Y195" s="300"/>
      <c r="Z195" s="300"/>
      <c r="AA195" s="300"/>
      <c r="AB195" s="300"/>
      <c r="AC195" s="300"/>
    </row>
    <row r="196">
      <c r="A196" s="312"/>
      <c r="B196" s="47"/>
      <c r="C196" s="47"/>
      <c r="D196" s="47"/>
      <c r="E196" s="47"/>
      <c r="F196" s="47"/>
      <c r="G196" s="47"/>
      <c r="H196" s="325" t="s">
        <v>1267</v>
      </c>
      <c r="I196" s="325" t="s">
        <v>29</v>
      </c>
      <c r="J196" s="321">
        <v>143.0</v>
      </c>
      <c r="K196" s="321" t="s">
        <v>654</v>
      </c>
      <c r="L196" s="326">
        <v>190.0</v>
      </c>
      <c r="M196" s="105">
        <f t="shared" si="1"/>
        <v>27170</v>
      </c>
      <c r="N196" s="327" t="s">
        <v>99</v>
      </c>
      <c r="O196" s="325" t="s">
        <v>1432</v>
      </c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300"/>
      <c r="AB196" s="300"/>
      <c r="AC196" s="300"/>
    </row>
    <row r="197">
      <c r="A197" s="312"/>
      <c r="B197" s="48"/>
      <c r="C197" s="48"/>
      <c r="D197" s="48"/>
      <c r="E197" s="48"/>
      <c r="F197" s="48"/>
      <c r="G197" s="48"/>
      <c r="H197" s="325" t="s">
        <v>1433</v>
      </c>
      <c r="I197" s="325" t="s">
        <v>29</v>
      </c>
      <c r="J197" s="321">
        <v>25.0</v>
      </c>
      <c r="K197" s="321" t="s">
        <v>165</v>
      </c>
      <c r="L197" s="326">
        <v>44.0</v>
      </c>
      <c r="M197" s="105">
        <f t="shared" si="1"/>
        <v>1100</v>
      </c>
      <c r="N197" s="327" t="s">
        <v>99</v>
      </c>
      <c r="O197" s="325" t="s">
        <v>1432</v>
      </c>
      <c r="P197" s="300"/>
      <c r="Q197" s="300"/>
      <c r="R197" s="300"/>
      <c r="S197" s="300"/>
      <c r="T197" s="300"/>
      <c r="U197" s="300"/>
      <c r="V197" s="300"/>
      <c r="W197" s="300"/>
      <c r="X197" s="300"/>
      <c r="Y197" s="300"/>
      <c r="Z197" s="300"/>
      <c r="AA197" s="300"/>
      <c r="AB197" s="300"/>
      <c r="AC197" s="300"/>
    </row>
    <row r="198">
      <c r="A198" s="312"/>
      <c r="B198" s="330">
        <v>1094.0</v>
      </c>
      <c r="C198" s="331">
        <v>45922.0</v>
      </c>
      <c r="D198" s="330" t="s">
        <v>1434</v>
      </c>
      <c r="E198" s="332">
        <v>45943.0</v>
      </c>
      <c r="F198" s="330">
        <v>848.0</v>
      </c>
      <c r="G198" s="334">
        <v>45924.0</v>
      </c>
      <c r="H198" s="325" t="s">
        <v>630</v>
      </c>
      <c r="I198" s="325" t="s">
        <v>429</v>
      </c>
      <c r="J198" s="321">
        <v>2.0</v>
      </c>
      <c r="K198" s="321" t="s">
        <v>165</v>
      </c>
      <c r="L198" s="326">
        <v>195.0</v>
      </c>
      <c r="M198" s="105">
        <f t="shared" si="1"/>
        <v>390</v>
      </c>
      <c r="N198" s="327" t="s">
        <v>99</v>
      </c>
      <c r="O198" s="325" t="s">
        <v>1435</v>
      </c>
      <c r="P198" s="300"/>
      <c r="Q198" s="300"/>
      <c r="R198" s="300"/>
      <c r="S198" s="300"/>
      <c r="T198" s="300"/>
      <c r="U198" s="300"/>
      <c r="V198" s="300"/>
      <c r="W198" s="300"/>
      <c r="X198" s="300"/>
      <c r="Y198" s="300"/>
      <c r="Z198" s="300"/>
      <c r="AA198" s="300"/>
      <c r="AB198" s="300"/>
      <c r="AC198" s="300"/>
    </row>
    <row r="199">
      <c r="A199" s="312"/>
      <c r="B199" s="48"/>
      <c r="C199" s="48"/>
      <c r="D199" s="48"/>
      <c r="E199" s="48"/>
      <c r="F199" s="48"/>
      <c r="G199" s="48"/>
      <c r="H199" s="325" t="s">
        <v>454</v>
      </c>
      <c r="I199" s="325" t="s">
        <v>429</v>
      </c>
      <c r="J199" s="321">
        <v>1.0</v>
      </c>
      <c r="K199" s="321" t="s">
        <v>65</v>
      </c>
      <c r="L199" s="326">
        <v>499.0</v>
      </c>
      <c r="M199" s="105">
        <f t="shared" si="1"/>
        <v>499</v>
      </c>
      <c r="N199" s="327" t="s">
        <v>99</v>
      </c>
      <c r="O199" s="325" t="s">
        <v>1435</v>
      </c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300"/>
      <c r="AA199" s="300"/>
      <c r="AB199" s="300"/>
      <c r="AC199" s="300"/>
    </row>
    <row r="200">
      <c r="A200" s="312"/>
      <c r="B200" s="330">
        <v>1108.0</v>
      </c>
      <c r="C200" s="331">
        <v>45924.0</v>
      </c>
      <c r="D200" s="330" t="s">
        <v>1434</v>
      </c>
      <c r="E200" s="332">
        <v>45943.0</v>
      </c>
      <c r="F200" s="330">
        <v>851.0</v>
      </c>
      <c r="G200" s="334">
        <v>45930.0</v>
      </c>
      <c r="H200" s="325" t="s">
        <v>1436</v>
      </c>
      <c r="I200" s="325" t="s">
        <v>55</v>
      </c>
      <c r="J200" s="321">
        <v>50.0</v>
      </c>
      <c r="K200" s="321" t="s">
        <v>165</v>
      </c>
      <c r="L200" s="326">
        <v>42.0</v>
      </c>
      <c r="M200" s="105">
        <f t="shared" si="1"/>
        <v>2100</v>
      </c>
      <c r="N200" s="327" t="s">
        <v>99</v>
      </c>
      <c r="O200" s="325" t="s">
        <v>1419</v>
      </c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300"/>
      <c r="AB200" s="300"/>
      <c r="AC200" s="300"/>
    </row>
    <row r="201">
      <c r="A201" s="312"/>
      <c r="B201" s="48"/>
      <c r="C201" s="48"/>
      <c r="D201" s="48"/>
      <c r="E201" s="48"/>
      <c r="F201" s="48"/>
      <c r="G201" s="48"/>
      <c r="H201" s="325" t="s">
        <v>1437</v>
      </c>
      <c r="I201" s="325" t="s">
        <v>1401</v>
      </c>
      <c r="J201" s="321">
        <v>2.0</v>
      </c>
      <c r="K201" s="321" t="s">
        <v>165</v>
      </c>
      <c r="L201" s="326">
        <v>165.0</v>
      </c>
      <c r="M201" s="105">
        <f t="shared" si="1"/>
        <v>330</v>
      </c>
      <c r="N201" s="327" t="s">
        <v>99</v>
      </c>
      <c r="O201" s="325" t="s">
        <v>1419</v>
      </c>
      <c r="P201" s="300"/>
      <c r="Q201" s="300"/>
      <c r="R201" s="300"/>
      <c r="S201" s="300"/>
      <c r="T201" s="300"/>
      <c r="U201" s="300"/>
      <c r="V201" s="300"/>
      <c r="W201" s="300"/>
      <c r="X201" s="300"/>
      <c r="Y201" s="300"/>
      <c r="Z201" s="300"/>
      <c r="AA201" s="300"/>
      <c r="AB201" s="300"/>
      <c r="AC201" s="300"/>
    </row>
    <row r="202">
      <c r="A202" s="312"/>
      <c r="B202" s="321">
        <v>1109.0</v>
      </c>
      <c r="C202" s="322">
        <v>45924.0</v>
      </c>
      <c r="D202" s="321" t="s">
        <v>1434</v>
      </c>
      <c r="E202" s="323">
        <v>45943.0</v>
      </c>
      <c r="F202" s="321">
        <v>852.0</v>
      </c>
      <c r="G202" s="324">
        <v>45930.0</v>
      </c>
      <c r="H202" s="325" t="s">
        <v>1405</v>
      </c>
      <c r="I202" s="325" t="s">
        <v>29</v>
      </c>
      <c r="J202" s="321">
        <v>50.0</v>
      </c>
      <c r="K202" s="321" t="s">
        <v>165</v>
      </c>
      <c r="L202" s="326">
        <v>220.0</v>
      </c>
      <c r="M202" s="105">
        <f t="shared" si="1"/>
        <v>11000</v>
      </c>
      <c r="N202" s="327" t="s">
        <v>99</v>
      </c>
      <c r="O202" s="325" t="s">
        <v>1438</v>
      </c>
      <c r="P202" s="300"/>
      <c r="Q202" s="300"/>
      <c r="R202" s="300"/>
      <c r="S202" s="300"/>
      <c r="T202" s="300"/>
      <c r="U202" s="300"/>
      <c r="V202" s="300"/>
      <c r="W202" s="300"/>
      <c r="X202" s="300"/>
      <c r="Y202" s="300"/>
      <c r="Z202" s="300"/>
      <c r="AA202" s="300"/>
      <c r="AB202" s="300"/>
      <c r="AC202" s="300"/>
    </row>
    <row r="203">
      <c r="A203" s="312"/>
      <c r="B203" s="321">
        <v>1122.0</v>
      </c>
      <c r="C203" s="322">
        <v>45931.0</v>
      </c>
      <c r="D203" s="321" t="s">
        <v>1434</v>
      </c>
      <c r="E203" s="323">
        <v>45943.0</v>
      </c>
      <c r="F203" s="321">
        <v>853.0</v>
      </c>
      <c r="G203" s="324">
        <v>45936.0</v>
      </c>
      <c r="H203" s="325" t="s">
        <v>772</v>
      </c>
      <c r="I203" s="325" t="s">
        <v>29</v>
      </c>
      <c r="J203" s="321">
        <v>1.0</v>
      </c>
      <c r="K203" s="321" t="s">
        <v>65</v>
      </c>
      <c r="L203" s="326">
        <v>6990.0</v>
      </c>
      <c r="M203" s="105">
        <f t="shared" si="1"/>
        <v>6990</v>
      </c>
      <c r="N203" s="327" t="s">
        <v>99</v>
      </c>
      <c r="O203" s="325" t="s">
        <v>1439</v>
      </c>
      <c r="P203" s="300"/>
      <c r="Q203" s="300"/>
      <c r="R203" s="300"/>
      <c r="S203" s="300"/>
      <c r="T203" s="300"/>
      <c r="U203" s="300"/>
      <c r="V203" s="300"/>
      <c r="W203" s="300"/>
      <c r="X203" s="300"/>
      <c r="Y203" s="300"/>
      <c r="Z203" s="300"/>
      <c r="AA203" s="300"/>
      <c r="AB203" s="300"/>
      <c r="AC203" s="300"/>
    </row>
    <row r="204">
      <c r="A204" s="312"/>
      <c r="B204" s="330">
        <v>5621.0</v>
      </c>
      <c r="C204" s="331">
        <v>45929.0</v>
      </c>
      <c r="D204" s="330" t="s">
        <v>1440</v>
      </c>
      <c r="E204" s="332">
        <v>45940.0</v>
      </c>
      <c r="F204" s="330">
        <v>852.0</v>
      </c>
      <c r="G204" s="334">
        <v>45930.0</v>
      </c>
      <c r="H204" s="325" t="s">
        <v>1441</v>
      </c>
      <c r="I204" s="325" t="s">
        <v>429</v>
      </c>
      <c r="J204" s="321">
        <v>10.0</v>
      </c>
      <c r="K204" s="321" t="s">
        <v>165</v>
      </c>
      <c r="L204" s="326">
        <v>50.0</v>
      </c>
      <c r="M204" s="105">
        <f t="shared" si="1"/>
        <v>500</v>
      </c>
      <c r="N204" s="327" t="s">
        <v>1442</v>
      </c>
      <c r="O204" s="325" t="s">
        <v>1443</v>
      </c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  <c r="AA204" s="300"/>
      <c r="AB204" s="300"/>
      <c r="AC204" s="300"/>
    </row>
    <row r="205">
      <c r="A205" s="312"/>
      <c r="B205" s="48"/>
      <c r="C205" s="48"/>
      <c r="D205" s="48"/>
      <c r="E205" s="48"/>
      <c r="F205" s="48"/>
      <c r="G205" s="48"/>
      <c r="H205" s="325" t="s">
        <v>1444</v>
      </c>
      <c r="I205" s="325" t="s">
        <v>429</v>
      </c>
      <c r="J205" s="321">
        <v>10.0</v>
      </c>
      <c r="K205" s="321" t="s">
        <v>165</v>
      </c>
      <c r="L205" s="326">
        <v>48.0</v>
      </c>
      <c r="M205" s="105">
        <f t="shared" si="1"/>
        <v>480</v>
      </c>
      <c r="N205" s="327" t="s">
        <v>1442</v>
      </c>
      <c r="O205" s="325" t="s">
        <v>1443</v>
      </c>
      <c r="P205" s="300"/>
      <c r="Q205" s="300"/>
      <c r="R205" s="300"/>
      <c r="S205" s="300"/>
      <c r="T205" s="300"/>
      <c r="U205" s="300"/>
      <c r="V205" s="300"/>
      <c r="W205" s="300"/>
      <c r="X205" s="300"/>
      <c r="Y205" s="300"/>
      <c r="Z205" s="300"/>
      <c r="AA205" s="300"/>
      <c r="AB205" s="300"/>
      <c r="AC205" s="300"/>
    </row>
    <row r="206">
      <c r="A206" s="312"/>
      <c r="B206" s="321">
        <v>1007.0</v>
      </c>
      <c r="C206" s="322">
        <v>45905.0</v>
      </c>
      <c r="D206" s="321" t="s">
        <v>1445</v>
      </c>
      <c r="E206" s="323">
        <v>45943.0</v>
      </c>
      <c r="F206" s="321">
        <v>840.0</v>
      </c>
      <c r="G206" s="324">
        <v>45906.0</v>
      </c>
      <c r="H206" s="325" t="s">
        <v>1446</v>
      </c>
      <c r="I206" s="325" t="s">
        <v>268</v>
      </c>
      <c r="J206" s="321">
        <v>4.0</v>
      </c>
      <c r="K206" s="321" t="s">
        <v>65</v>
      </c>
      <c r="L206" s="326">
        <v>2200.0</v>
      </c>
      <c r="M206" s="105">
        <f t="shared" si="1"/>
        <v>8800</v>
      </c>
      <c r="N206" s="327" t="s">
        <v>1447</v>
      </c>
      <c r="O206" s="325" t="s">
        <v>1448</v>
      </c>
      <c r="P206" s="300"/>
      <c r="Q206" s="300"/>
      <c r="R206" s="300"/>
      <c r="S206" s="300"/>
      <c r="T206" s="300"/>
      <c r="U206" s="300"/>
      <c r="V206" s="300"/>
      <c r="W206" s="300"/>
      <c r="X206" s="300"/>
      <c r="Y206" s="300"/>
      <c r="Z206" s="300"/>
      <c r="AA206" s="300"/>
      <c r="AB206" s="300"/>
      <c r="AC206" s="300"/>
    </row>
    <row r="207">
      <c r="A207" s="312"/>
      <c r="B207" s="330">
        <v>542.0</v>
      </c>
      <c r="C207" s="331">
        <v>45926.0</v>
      </c>
      <c r="D207" s="330" t="s">
        <v>1449</v>
      </c>
      <c r="E207" s="332">
        <v>45940.0</v>
      </c>
      <c r="F207" s="330">
        <v>853.0</v>
      </c>
      <c r="G207" s="334">
        <v>45936.0</v>
      </c>
      <c r="H207" s="325" t="s">
        <v>1450</v>
      </c>
      <c r="I207" s="325" t="s">
        <v>55</v>
      </c>
      <c r="J207" s="321">
        <v>1.0</v>
      </c>
      <c r="K207" s="321" t="s">
        <v>1451</v>
      </c>
      <c r="L207" s="326">
        <v>3200.0</v>
      </c>
      <c r="M207" s="105">
        <f t="shared" si="1"/>
        <v>3200</v>
      </c>
      <c r="N207" s="327" t="s">
        <v>746</v>
      </c>
      <c r="O207" s="325" t="s">
        <v>1438</v>
      </c>
      <c r="P207" s="300"/>
      <c r="Q207" s="300"/>
      <c r="R207" s="300"/>
      <c r="S207" s="300"/>
      <c r="T207" s="300"/>
      <c r="U207" s="300"/>
      <c r="V207" s="300"/>
      <c r="W207" s="300"/>
      <c r="X207" s="300"/>
      <c r="Y207" s="300"/>
      <c r="Z207" s="300"/>
      <c r="AA207" s="300"/>
      <c r="AB207" s="300"/>
      <c r="AC207" s="300"/>
    </row>
    <row r="208">
      <c r="A208" s="312"/>
      <c r="B208" s="48"/>
      <c r="C208" s="48"/>
      <c r="D208" s="48"/>
      <c r="E208" s="48"/>
      <c r="F208" s="48"/>
      <c r="G208" s="48"/>
      <c r="H208" s="325" t="s">
        <v>1452</v>
      </c>
      <c r="I208" s="325" t="s">
        <v>1401</v>
      </c>
      <c r="J208" s="321">
        <v>1.0</v>
      </c>
      <c r="K208" s="321" t="s">
        <v>65</v>
      </c>
      <c r="L208" s="326">
        <v>2200.0</v>
      </c>
      <c r="M208" s="105">
        <f t="shared" si="1"/>
        <v>2200</v>
      </c>
      <c r="N208" s="327" t="s">
        <v>746</v>
      </c>
      <c r="O208" s="325" t="s">
        <v>1453</v>
      </c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300"/>
      <c r="AB208" s="300"/>
      <c r="AC208" s="300"/>
    </row>
    <row r="209">
      <c r="A209" s="312"/>
      <c r="B209" s="321">
        <v>268582.0</v>
      </c>
      <c r="C209" s="322">
        <v>45936.0</v>
      </c>
      <c r="D209" s="321" t="s">
        <v>1454</v>
      </c>
      <c r="E209" s="323">
        <v>45938.0</v>
      </c>
      <c r="F209" s="321">
        <v>853.0</v>
      </c>
      <c r="G209" s="324">
        <v>45936.0</v>
      </c>
      <c r="H209" s="325" t="s">
        <v>23</v>
      </c>
      <c r="I209" s="325" t="s">
        <v>24</v>
      </c>
      <c r="J209" s="321">
        <v>1980.0</v>
      </c>
      <c r="K209" s="321" t="s">
        <v>25</v>
      </c>
      <c r="L209" s="326">
        <v>68.4</v>
      </c>
      <c r="M209" s="105">
        <f t="shared" si="1"/>
        <v>135432</v>
      </c>
      <c r="N209" s="327" t="s">
        <v>91</v>
      </c>
      <c r="O209" s="325" t="s">
        <v>1455</v>
      </c>
      <c r="P209" s="300"/>
      <c r="Q209" s="300"/>
      <c r="R209" s="300"/>
      <c r="S209" s="300"/>
      <c r="T209" s="300"/>
      <c r="U209" s="300"/>
      <c r="V209" s="300"/>
      <c r="W209" s="300"/>
      <c r="X209" s="300"/>
      <c r="Y209" s="300"/>
      <c r="Z209" s="300"/>
      <c r="AA209" s="300"/>
      <c r="AB209" s="300"/>
      <c r="AC209" s="300"/>
    </row>
    <row r="210">
      <c r="A210" s="312"/>
      <c r="B210" s="321">
        <v>1856523.0</v>
      </c>
      <c r="C210" s="322">
        <v>45936.0</v>
      </c>
      <c r="D210" s="321" t="s">
        <v>1454</v>
      </c>
      <c r="E210" s="323">
        <v>45938.0</v>
      </c>
      <c r="F210" s="321">
        <v>853.0</v>
      </c>
      <c r="G210" s="324">
        <v>45936.0</v>
      </c>
      <c r="H210" s="325" t="s">
        <v>36</v>
      </c>
      <c r="I210" s="325" t="s">
        <v>24</v>
      </c>
      <c r="J210" s="321">
        <v>440.0</v>
      </c>
      <c r="K210" s="321" t="s">
        <v>1456</v>
      </c>
      <c r="L210" s="326">
        <v>65.52</v>
      </c>
      <c r="M210" s="105">
        <f t="shared" si="1"/>
        <v>28828.8</v>
      </c>
      <c r="N210" s="327" t="s">
        <v>91</v>
      </c>
      <c r="O210" s="325" t="s">
        <v>1455</v>
      </c>
      <c r="P210" s="300"/>
      <c r="Q210" s="300"/>
      <c r="R210" s="300"/>
      <c r="S210" s="300"/>
      <c r="T210" s="300"/>
      <c r="U210" s="300"/>
      <c r="V210" s="300"/>
      <c r="W210" s="300"/>
      <c r="X210" s="300"/>
      <c r="Y210" s="300"/>
      <c r="Z210" s="300"/>
      <c r="AA210" s="300"/>
      <c r="AB210" s="300"/>
      <c r="AC210" s="300"/>
    </row>
    <row r="211">
      <c r="A211" s="312"/>
      <c r="B211" s="328">
        <v>434.0</v>
      </c>
      <c r="C211" s="322">
        <v>45914.0</v>
      </c>
      <c r="D211" s="321" t="s">
        <v>1457</v>
      </c>
      <c r="E211" s="323">
        <v>45943.0</v>
      </c>
      <c r="F211" s="321">
        <v>855.0</v>
      </c>
      <c r="G211" s="324">
        <v>45936.0</v>
      </c>
      <c r="H211" s="325" t="s">
        <v>1390</v>
      </c>
      <c r="I211" s="325" t="s">
        <v>76</v>
      </c>
      <c r="J211" s="321">
        <v>6.0</v>
      </c>
      <c r="K211" s="321" t="s">
        <v>586</v>
      </c>
      <c r="L211" s="326">
        <v>16000.0</v>
      </c>
      <c r="M211" s="105">
        <f t="shared" si="1"/>
        <v>96000</v>
      </c>
      <c r="N211" s="327" t="s">
        <v>1394</v>
      </c>
      <c r="O211" s="325" t="s">
        <v>1458</v>
      </c>
      <c r="P211" s="300"/>
      <c r="Q211" s="300"/>
      <c r="R211" s="300"/>
      <c r="S211" s="300"/>
      <c r="T211" s="300"/>
      <c r="U211" s="300"/>
      <c r="V211" s="300"/>
      <c r="W211" s="300"/>
      <c r="X211" s="300"/>
      <c r="Y211" s="300"/>
      <c r="Z211" s="300"/>
      <c r="AA211" s="300"/>
      <c r="AB211" s="300"/>
      <c r="AC211" s="300"/>
    </row>
    <row r="212">
      <c r="A212" s="312"/>
      <c r="B212" s="321">
        <v>435.0</v>
      </c>
      <c r="C212" s="322">
        <v>45915.0</v>
      </c>
      <c r="D212" s="321" t="s">
        <v>1457</v>
      </c>
      <c r="E212" s="323">
        <v>45943.0</v>
      </c>
      <c r="F212" s="321">
        <v>855.0</v>
      </c>
      <c r="G212" s="324">
        <v>45936.0</v>
      </c>
      <c r="H212" s="325" t="s">
        <v>1459</v>
      </c>
      <c r="I212" s="325" t="s">
        <v>76</v>
      </c>
      <c r="J212" s="321">
        <v>4.0</v>
      </c>
      <c r="K212" s="321" t="s">
        <v>586</v>
      </c>
      <c r="L212" s="326">
        <v>16000.0</v>
      </c>
      <c r="M212" s="105">
        <f t="shared" si="1"/>
        <v>64000</v>
      </c>
      <c r="N212" s="327" t="s">
        <v>1394</v>
      </c>
      <c r="O212" s="325" t="s">
        <v>1458</v>
      </c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  <c r="AA212" s="300"/>
      <c r="AB212" s="300"/>
      <c r="AC212" s="300"/>
    </row>
    <row r="213">
      <c r="A213" s="312"/>
      <c r="B213" s="321">
        <v>444.0</v>
      </c>
      <c r="C213" s="322">
        <v>45919.0</v>
      </c>
      <c r="D213" s="321" t="s">
        <v>1457</v>
      </c>
      <c r="E213" s="323">
        <v>45943.0</v>
      </c>
      <c r="F213" s="321">
        <v>855.0</v>
      </c>
      <c r="G213" s="324">
        <v>45936.0</v>
      </c>
      <c r="H213" s="325" t="s">
        <v>1390</v>
      </c>
      <c r="I213" s="325" t="s">
        <v>76</v>
      </c>
      <c r="J213" s="321">
        <v>4.0</v>
      </c>
      <c r="K213" s="321" t="s">
        <v>586</v>
      </c>
      <c r="L213" s="326">
        <v>16000.0</v>
      </c>
      <c r="M213" s="105">
        <f t="shared" si="1"/>
        <v>64000</v>
      </c>
      <c r="N213" s="327" t="s">
        <v>1394</v>
      </c>
      <c r="O213" s="325" t="s">
        <v>1458</v>
      </c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300"/>
      <c r="AB213" s="300"/>
      <c r="AC213" s="300"/>
    </row>
    <row r="214">
      <c r="A214" s="312"/>
      <c r="B214" s="321">
        <v>446.0</v>
      </c>
      <c r="C214" s="322">
        <v>45919.0</v>
      </c>
      <c r="D214" s="321" t="s">
        <v>1457</v>
      </c>
      <c r="E214" s="323">
        <v>45943.0</v>
      </c>
      <c r="F214" s="321">
        <v>855.0</v>
      </c>
      <c r="G214" s="324">
        <v>45936.0</v>
      </c>
      <c r="H214" s="325" t="s">
        <v>1390</v>
      </c>
      <c r="I214" s="325" t="s">
        <v>76</v>
      </c>
      <c r="J214" s="321">
        <v>4.0</v>
      </c>
      <c r="K214" s="321" t="s">
        <v>586</v>
      </c>
      <c r="L214" s="326">
        <v>16000.0</v>
      </c>
      <c r="M214" s="105">
        <f t="shared" si="1"/>
        <v>64000</v>
      </c>
      <c r="N214" s="327" t="s">
        <v>1394</v>
      </c>
      <c r="O214" s="325" t="s">
        <v>1458</v>
      </c>
      <c r="P214" s="300"/>
      <c r="Q214" s="300"/>
      <c r="R214" s="300"/>
      <c r="S214" s="300"/>
      <c r="T214" s="300"/>
      <c r="U214" s="300"/>
      <c r="V214" s="300"/>
      <c r="W214" s="300"/>
      <c r="X214" s="300"/>
      <c r="Y214" s="300"/>
      <c r="Z214" s="300"/>
      <c r="AA214" s="300"/>
      <c r="AB214" s="300"/>
      <c r="AC214" s="300"/>
    </row>
    <row r="215">
      <c r="A215" s="312"/>
      <c r="B215" s="321">
        <v>447.0</v>
      </c>
      <c r="C215" s="322">
        <v>45920.0</v>
      </c>
      <c r="D215" s="321" t="s">
        <v>1457</v>
      </c>
      <c r="E215" s="323">
        <v>45943.0</v>
      </c>
      <c r="F215" s="321">
        <v>855.0</v>
      </c>
      <c r="G215" s="324">
        <v>45936.0</v>
      </c>
      <c r="H215" s="325" t="s">
        <v>1390</v>
      </c>
      <c r="I215" s="325" t="s">
        <v>76</v>
      </c>
      <c r="J215" s="321">
        <v>7.0</v>
      </c>
      <c r="K215" s="321" t="s">
        <v>586</v>
      </c>
      <c r="L215" s="326">
        <v>16000.0</v>
      </c>
      <c r="M215" s="105">
        <f t="shared" si="1"/>
        <v>112000</v>
      </c>
      <c r="N215" s="327" t="s">
        <v>1394</v>
      </c>
      <c r="O215" s="325" t="s">
        <v>1458</v>
      </c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00"/>
      <c r="AA215" s="300"/>
      <c r="AB215" s="300"/>
      <c r="AC215" s="300"/>
    </row>
    <row r="216">
      <c r="A216" s="312"/>
      <c r="B216" s="321">
        <v>443.0</v>
      </c>
      <c r="C216" s="322">
        <v>45921.0</v>
      </c>
      <c r="D216" s="321" t="s">
        <v>1457</v>
      </c>
      <c r="E216" s="323">
        <v>45943.0</v>
      </c>
      <c r="F216" s="321">
        <v>855.0</v>
      </c>
      <c r="G216" s="324">
        <v>45936.0</v>
      </c>
      <c r="H216" s="325" t="s">
        <v>1390</v>
      </c>
      <c r="I216" s="325" t="s">
        <v>76</v>
      </c>
      <c r="J216" s="321">
        <v>1.0</v>
      </c>
      <c r="K216" s="321" t="s">
        <v>586</v>
      </c>
      <c r="L216" s="326">
        <v>16000.0</v>
      </c>
      <c r="M216" s="105">
        <f t="shared" si="1"/>
        <v>16000</v>
      </c>
      <c r="N216" s="327" t="s">
        <v>1394</v>
      </c>
      <c r="O216" s="325" t="s">
        <v>1460</v>
      </c>
      <c r="P216" s="300"/>
      <c r="Q216" s="300"/>
      <c r="R216" s="300"/>
      <c r="S216" s="300"/>
      <c r="T216" s="300"/>
      <c r="U216" s="300"/>
      <c r="V216" s="300"/>
      <c r="W216" s="300"/>
      <c r="X216" s="300"/>
      <c r="Y216" s="300"/>
      <c r="Z216" s="300"/>
      <c r="AA216" s="300"/>
      <c r="AB216" s="300"/>
      <c r="AC216" s="300"/>
    </row>
    <row r="217">
      <c r="A217" s="312"/>
      <c r="B217" s="321">
        <v>1830024.0</v>
      </c>
      <c r="C217" s="322">
        <v>45929.0</v>
      </c>
      <c r="D217" s="321" t="s">
        <v>1461</v>
      </c>
      <c r="E217" s="323">
        <v>45937.0</v>
      </c>
      <c r="F217" s="321">
        <v>850.0</v>
      </c>
      <c r="G217" s="324">
        <v>45930.0</v>
      </c>
      <c r="H217" s="325" t="s">
        <v>23</v>
      </c>
      <c r="I217" s="325" t="s">
        <v>24</v>
      </c>
      <c r="J217" s="321">
        <v>4180.0</v>
      </c>
      <c r="K217" s="321" t="s">
        <v>1462</v>
      </c>
      <c r="L217" s="326">
        <v>66.79</v>
      </c>
      <c r="M217" s="105">
        <f t="shared" si="1"/>
        <v>279182.2</v>
      </c>
      <c r="N217" s="327" t="s">
        <v>91</v>
      </c>
      <c r="O217" s="325" t="s">
        <v>1463</v>
      </c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300"/>
      <c r="AA217" s="300"/>
      <c r="AB217" s="300"/>
      <c r="AC217" s="300"/>
    </row>
    <row r="218">
      <c r="A218" s="312"/>
      <c r="B218" s="328" t="s">
        <v>92</v>
      </c>
      <c r="C218" s="322">
        <v>45926.0</v>
      </c>
      <c r="D218" s="321" t="s">
        <v>1461</v>
      </c>
      <c r="E218" s="323">
        <v>45937.0</v>
      </c>
      <c r="F218" s="321">
        <v>850.0</v>
      </c>
      <c r="G218" s="324">
        <v>45930.0</v>
      </c>
      <c r="H218" s="325" t="s">
        <v>1382</v>
      </c>
      <c r="I218" s="325" t="s">
        <v>24</v>
      </c>
      <c r="J218" s="321">
        <v>400.0</v>
      </c>
      <c r="K218" s="321" t="s">
        <v>1462</v>
      </c>
      <c r="L218" s="326">
        <v>46.0</v>
      </c>
      <c r="M218" s="105">
        <f t="shared" si="1"/>
        <v>18400</v>
      </c>
      <c r="N218" s="327" t="s">
        <v>92</v>
      </c>
      <c r="O218" s="325" t="s">
        <v>1463</v>
      </c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00"/>
      <c r="AA218" s="300"/>
      <c r="AB218" s="300"/>
      <c r="AC218" s="300"/>
    </row>
    <row r="219">
      <c r="A219" s="312"/>
      <c r="B219" s="321">
        <v>168337.0</v>
      </c>
      <c r="C219" s="322">
        <v>45928.0</v>
      </c>
      <c r="D219" s="321" t="s">
        <v>1461</v>
      </c>
      <c r="E219" s="323">
        <v>45937.0</v>
      </c>
      <c r="F219" s="321">
        <v>850.0</v>
      </c>
      <c r="G219" s="324">
        <v>45930.0</v>
      </c>
      <c r="H219" s="325" t="s">
        <v>38</v>
      </c>
      <c r="I219" s="325" t="s">
        <v>24</v>
      </c>
      <c r="J219" s="321">
        <v>720.0</v>
      </c>
      <c r="K219" s="321" t="s">
        <v>39</v>
      </c>
      <c r="L219" s="326">
        <v>20.0</v>
      </c>
      <c r="M219" s="105">
        <f t="shared" si="1"/>
        <v>14400</v>
      </c>
      <c r="N219" s="327" t="s">
        <v>1381</v>
      </c>
      <c r="O219" s="325" t="s">
        <v>1463</v>
      </c>
      <c r="P219" s="300"/>
      <c r="Q219" s="300"/>
      <c r="R219" s="300"/>
      <c r="S219" s="300"/>
      <c r="T219" s="300"/>
      <c r="U219" s="300"/>
      <c r="V219" s="300"/>
      <c r="W219" s="300"/>
      <c r="X219" s="300"/>
      <c r="Y219" s="300"/>
      <c r="Z219" s="300"/>
      <c r="AA219" s="300"/>
      <c r="AB219" s="300"/>
      <c r="AC219" s="300"/>
    </row>
    <row r="220">
      <c r="A220" s="312"/>
      <c r="B220" s="330">
        <v>356.0</v>
      </c>
      <c r="C220" s="331">
        <v>45909.0</v>
      </c>
      <c r="D220" s="330" t="s">
        <v>1464</v>
      </c>
      <c r="E220" s="332">
        <v>45937.0</v>
      </c>
      <c r="F220" s="330">
        <v>846.0</v>
      </c>
      <c r="G220" s="334">
        <v>45915.0</v>
      </c>
      <c r="H220" s="325" t="s">
        <v>1465</v>
      </c>
      <c r="I220" s="325" t="s">
        <v>55</v>
      </c>
      <c r="J220" s="321">
        <v>2.0</v>
      </c>
      <c r="K220" s="321" t="s">
        <v>165</v>
      </c>
      <c r="L220" s="326">
        <v>2300.0</v>
      </c>
      <c r="M220" s="105">
        <f t="shared" si="1"/>
        <v>4600</v>
      </c>
      <c r="N220" s="327" t="s">
        <v>1466</v>
      </c>
      <c r="O220" s="325" t="s">
        <v>1438</v>
      </c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  <c r="AA220" s="300"/>
      <c r="AB220" s="300"/>
      <c r="AC220" s="300"/>
    </row>
    <row r="221">
      <c r="A221" s="312"/>
      <c r="B221" s="48"/>
      <c r="C221" s="48"/>
      <c r="D221" s="48"/>
      <c r="E221" s="48"/>
      <c r="F221" s="48"/>
      <c r="G221" s="48"/>
      <c r="H221" s="325" t="s">
        <v>1467</v>
      </c>
      <c r="I221" s="325" t="s">
        <v>55</v>
      </c>
      <c r="J221" s="321">
        <v>3.0</v>
      </c>
      <c r="K221" s="321" t="s">
        <v>165</v>
      </c>
      <c r="L221" s="326">
        <v>3200.0</v>
      </c>
      <c r="M221" s="105">
        <f t="shared" si="1"/>
        <v>9600</v>
      </c>
      <c r="N221" s="327" t="s">
        <v>1466</v>
      </c>
      <c r="O221" s="325" t="s">
        <v>1438</v>
      </c>
      <c r="P221" s="300"/>
      <c r="Q221" s="300"/>
      <c r="R221" s="300"/>
      <c r="S221" s="300"/>
      <c r="T221" s="300"/>
      <c r="U221" s="300"/>
      <c r="V221" s="300"/>
      <c r="W221" s="300"/>
      <c r="X221" s="300"/>
      <c r="Y221" s="300"/>
      <c r="Z221" s="300"/>
      <c r="AA221" s="300"/>
      <c r="AB221" s="300"/>
      <c r="AC221" s="300"/>
    </row>
    <row r="222">
      <c r="A222" s="312"/>
      <c r="B222" s="321">
        <v>168694.0</v>
      </c>
      <c r="C222" s="322">
        <v>45911.0</v>
      </c>
      <c r="D222" s="321" t="s">
        <v>1464</v>
      </c>
      <c r="E222" s="323">
        <v>45937.0</v>
      </c>
      <c r="F222" s="321">
        <v>844.0</v>
      </c>
      <c r="G222" s="324">
        <v>45912.0</v>
      </c>
      <c r="H222" s="325" t="s">
        <v>119</v>
      </c>
      <c r="I222" s="325" t="s">
        <v>24</v>
      </c>
      <c r="J222" s="321">
        <v>5.0</v>
      </c>
      <c r="K222" s="321" t="s">
        <v>654</v>
      </c>
      <c r="L222" s="326">
        <v>282.0</v>
      </c>
      <c r="M222" s="105">
        <f t="shared" si="1"/>
        <v>1410</v>
      </c>
      <c r="N222" s="327" t="s">
        <v>1381</v>
      </c>
      <c r="O222" s="325" t="s">
        <v>1468</v>
      </c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300"/>
      <c r="AA222" s="300"/>
      <c r="AB222" s="300"/>
      <c r="AC222" s="300"/>
    </row>
    <row r="223">
      <c r="A223" s="312"/>
      <c r="B223" s="330" t="s">
        <v>1469</v>
      </c>
      <c r="C223" s="331">
        <v>45891.0</v>
      </c>
      <c r="D223" s="330" t="s">
        <v>1470</v>
      </c>
      <c r="E223" s="332">
        <v>45925.0</v>
      </c>
      <c r="F223" s="330">
        <v>828.0</v>
      </c>
      <c r="G223" s="334">
        <v>45889.0</v>
      </c>
      <c r="H223" s="325" t="s">
        <v>1471</v>
      </c>
      <c r="I223" s="325" t="s">
        <v>294</v>
      </c>
      <c r="J223" s="321">
        <v>20.0</v>
      </c>
      <c r="K223" s="321" t="s">
        <v>1472</v>
      </c>
      <c r="L223" s="326">
        <v>350.0</v>
      </c>
      <c r="M223" s="105">
        <f t="shared" si="1"/>
        <v>7000</v>
      </c>
      <c r="N223" s="327" t="s">
        <v>1473</v>
      </c>
      <c r="O223" s="325" t="s">
        <v>1474</v>
      </c>
      <c r="P223" s="300"/>
      <c r="Q223" s="300"/>
      <c r="R223" s="300"/>
      <c r="S223" s="300"/>
      <c r="T223" s="300"/>
      <c r="U223" s="300"/>
      <c r="V223" s="300"/>
      <c r="W223" s="300"/>
      <c r="X223" s="300"/>
      <c r="Y223" s="300"/>
      <c r="Z223" s="300"/>
      <c r="AA223" s="300"/>
      <c r="AB223" s="300"/>
      <c r="AC223" s="300"/>
    </row>
    <row r="224">
      <c r="A224" s="312"/>
      <c r="B224" s="47"/>
      <c r="C224" s="47"/>
      <c r="D224" s="47"/>
      <c r="E224" s="47"/>
      <c r="F224" s="47"/>
      <c r="G224" s="47"/>
      <c r="H224" s="325" t="s">
        <v>1475</v>
      </c>
      <c r="I224" s="325" t="s">
        <v>294</v>
      </c>
      <c r="J224" s="321">
        <v>50.0</v>
      </c>
      <c r="K224" s="321" t="s">
        <v>1476</v>
      </c>
      <c r="L224" s="326">
        <v>72.0</v>
      </c>
      <c r="M224" s="105">
        <f t="shared" si="1"/>
        <v>3600</v>
      </c>
      <c r="N224" s="327" t="s">
        <v>1473</v>
      </c>
      <c r="O224" s="325" t="s">
        <v>1474</v>
      </c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  <c r="AA224" s="300"/>
      <c r="AB224" s="300"/>
      <c r="AC224" s="300"/>
    </row>
    <row r="225">
      <c r="A225" s="312"/>
      <c r="B225" s="47"/>
      <c r="C225" s="47"/>
      <c r="D225" s="47"/>
      <c r="E225" s="47"/>
      <c r="F225" s="47"/>
      <c r="G225" s="47"/>
      <c r="H225" s="325" t="s">
        <v>1477</v>
      </c>
      <c r="I225" s="325" t="s">
        <v>276</v>
      </c>
      <c r="J225" s="321">
        <v>14.0</v>
      </c>
      <c r="K225" s="321" t="s">
        <v>1478</v>
      </c>
      <c r="L225" s="326">
        <v>3141.0</v>
      </c>
      <c r="M225" s="105">
        <f t="shared" si="1"/>
        <v>43974</v>
      </c>
      <c r="N225" s="327" t="s">
        <v>1473</v>
      </c>
      <c r="O225" s="325" t="s">
        <v>1474</v>
      </c>
      <c r="P225" s="300"/>
      <c r="Q225" s="300"/>
      <c r="R225" s="300"/>
      <c r="S225" s="300"/>
      <c r="T225" s="300"/>
      <c r="U225" s="300"/>
      <c r="V225" s="300"/>
      <c r="W225" s="300"/>
      <c r="X225" s="300"/>
      <c r="Y225" s="300"/>
      <c r="Z225" s="300"/>
      <c r="AA225" s="300"/>
      <c r="AB225" s="300"/>
      <c r="AC225" s="300"/>
    </row>
    <row r="226">
      <c r="A226" s="312"/>
      <c r="B226" s="47"/>
      <c r="C226" s="47"/>
      <c r="D226" s="47"/>
      <c r="E226" s="47"/>
      <c r="F226" s="47"/>
      <c r="G226" s="47"/>
      <c r="H226" s="325" t="s">
        <v>1241</v>
      </c>
      <c r="I226" s="325" t="s">
        <v>276</v>
      </c>
      <c r="J226" s="321">
        <v>11.0</v>
      </c>
      <c r="K226" s="321" t="s">
        <v>1478</v>
      </c>
      <c r="L226" s="326">
        <v>1395.0</v>
      </c>
      <c r="M226" s="105">
        <f t="shared" si="1"/>
        <v>15345</v>
      </c>
      <c r="N226" s="327" t="s">
        <v>1473</v>
      </c>
      <c r="O226" s="325" t="s">
        <v>1474</v>
      </c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300"/>
      <c r="AB226" s="300"/>
      <c r="AC226" s="300"/>
    </row>
    <row r="227">
      <c r="A227" s="312"/>
      <c r="B227" s="47"/>
      <c r="C227" s="47"/>
      <c r="D227" s="47"/>
      <c r="E227" s="47"/>
      <c r="F227" s="47"/>
      <c r="G227" s="47"/>
      <c r="H227" s="325" t="s">
        <v>939</v>
      </c>
      <c r="I227" s="325" t="s">
        <v>276</v>
      </c>
      <c r="J227" s="321">
        <v>30.0</v>
      </c>
      <c r="K227" s="321" t="s">
        <v>165</v>
      </c>
      <c r="L227" s="326">
        <v>31.0</v>
      </c>
      <c r="M227" s="105">
        <f t="shared" si="1"/>
        <v>930</v>
      </c>
      <c r="N227" s="327" t="s">
        <v>1473</v>
      </c>
      <c r="O227" s="325" t="s">
        <v>1474</v>
      </c>
      <c r="P227" s="300"/>
      <c r="Q227" s="300"/>
      <c r="R227" s="300"/>
      <c r="S227" s="300"/>
      <c r="T227" s="300"/>
      <c r="U227" s="300"/>
      <c r="V227" s="300"/>
      <c r="W227" s="300"/>
      <c r="X227" s="300"/>
      <c r="Y227" s="300"/>
      <c r="Z227" s="300"/>
      <c r="AA227" s="300"/>
      <c r="AB227" s="300"/>
      <c r="AC227" s="300"/>
    </row>
    <row r="228">
      <c r="A228" s="312"/>
      <c r="B228" s="48"/>
      <c r="C228" s="48"/>
      <c r="D228" s="48"/>
      <c r="E228" s="48"/>
      <c r="F228" s="48"/>
      <c r="G228" s="48"/>
      <c r="H228" s="325" t="s">
        <v>1479</v>
      </c>
      <c r="I228" s="325" t="s">
        <v>276</v>
      </c>
      <c r="J228" s="321">
        <v>20.0</v>
      </c>
      <c r="K228" s="321" t="s">
        <v>165</v>
      </c>
      <c r="L228" s="326">
        <v>300.0</v>
      </c>
      <c r="M228" s="105">
        <f t="shared" si="1"/>
        <v>6000</v>
      </c>
      <c r="N228" s="327" t="s">
        <v>1473</v>
      </c>
      <c r="O228" s="325" t="s">
        <v>1474</v>
      </c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300"/>
      <c r="AB228" s="300"/>
      <c r="AC228" s="300"/>
    </row>
    <row r="229">
      <c r="A229" s="312"/>
      <c r="B229" s="330" t="s">
        <v>1480</v>
      </c>
      <c r="C229" s="331">
        <v>45896.0</v>
      </c>
      <c r="D229" s="330" t="s">
        <v>1470</v>
      </c>
      <c r="E229" s="332">
        <v>45925.0</v>
      </c>
      <c r="F229" s="330">
        <v>834.0</v>
      </c>
      <c r="G229" s="334">
        <v>45897.0</v>
      </c>
      <c r="H229" s="325" t="s">
        <v>1481</v>
      </c>
      <c r="I229" s="325" t="s">
        <v>276</v>
      </c>
      <c r="J229" s="321">
        <v>180.0</v>
      </c>
      <c r="K229" s="321" t="s">
        <v>74</v>
      </c>
      <c r="L229" s="326">
        <v>34.9</v>
      </c>
      <c r="M229" s="105">
        <f t="shared" si="1"/>
        <v>6282</v>
      </c>
      <c r="N229" s="327" t="s">
        <v>1473</v>
      </c>
      <c r="O229" s="325" t="s">
        <v>1482</v>
      </c>
      <c r="P229" s="300"/>
      <c r="Q229" s="300"/>
      <c r="R229" s="300"/>
      <c r="S229" s="300"/>
      <c r="T229" s="300"/>
      <c r="U229" s="300"/>
      <c r="V229" s="300"/>
      <c r="W229" s="300"/>
      <c r="X229" s="300"/>
      <c r="Y229" s="300"/>
      <c r="Z229" s="300"/>
      <c r="AA229" s="300"/>
      <c r="AB229" s="300"/>
      <c r="AC229" s="300"/>
    </row>
    <row r="230">
      <c r="A230" s="312"/>
      <c r="B230" s="47"/>
      <c r="C230" s="47"/>
      <c r="D230" s="47"/>
      <c r="E230" s="47"/>
      <c r="F230" s="47"/>
      <c r="G230" s="47"/>
      <c r="H230" s="325" t="s">
        <v>1483</v>
      </c>
      <c r="I230" s="325" t="s">
        <v>276</v>
      </c>
      <c r="J230" s="321">
        <v>180.0</v>
      </c>
      <c r="K230" s="321" t="s">
        <v>74</v>
      </c>
      <c r="L230" s="326">
        <v>15.5</v>
      </c>
      <c r="M230" s="105">
        <f t="shared" si="1"/>
        <v>2790</v>
      </c>
      <c r="N230" s="327" t="s">
        <v>1473</v>
      </c>
      <c r="O230" s="325" t="s">
        <v>1482</v>
      </c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300"/>
      <c r="AB230" s="300"/>
      <c r="AC230" s="300"/>
    </row>
    <row r="231">
      <c r="A231" s="312"/>
      <c r="B231" s="47"/>
      <c r="C231" s="47"/>
      <c r="D231" s="47"/>
      <c r="E231" s="47"/>
      <c r="F231" s="47"/>
      <c r="G231" s="47"/>
      <c r="H231" s="325" t="s">
        <v>1484</v>
      </c>
      <c r="I231" s="325" t="s">
        <v>1386</v>
      </c>
      <c r="J231" s="321">
        <v>2.0</v>
      </c>
      <c r="K231" s="321" t="s">
        <v>156</v>
      </c>
      <c r="L231" s="326">
        <v>2286.0</v>
      </c>
      <c r="M231" s="105">
        <f t="shared" si="1"/>
        <v>4572</v>
      </c>
      <c r="N231" s="327" t="s">
        <v>1473</v>
      </c>
      <c r="O231" s="325" t="s">
        <v>1485</v>
      </c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300"/>
      <c r="AA231" s="300"/>
      <c r="AB231" s="300"/>
      <c r="AC231" s="300"/>
    </row>
    <row r="232">
      <c r="A232" s="312"/>
      <c r="B232" s="47"/>
      <c r="C232" s="47"/>
      <c r="D232" s="47"/>
      <c r="E232" s="47"/>
      <c r="F232" s="47"/>
      <c r="G232" s="47"/>
      <c r="H232" s="325" t="s">
        <v>996</v>
      </c>
      <c r="I232" s="325" t="s">
        <v>429</v>
      </c>
      <c r="J232" s="321">
        <v>2.0</v>
      </c>
      <c r="K232" s="321" t="s">
        <v>1486</v>
      </c>
      <c r="L232" s="326">
        <v>54.0</v>
      </c>
      <c r="M232" s="105">
        <f t="shared" si="1"/>
        <v>108</v>
      </c>
      <c r="N232" s="327" t="s">
        <v>1473</v>
      </c>
      <c r="O232" s="325" t="s">
        <v>1487</v>
      </c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300"/>
      <c r="AB232" s="300"/>
      <c r="AC232" s="300"/>
    </row>
    <row r="233">
      <c r="A233" s="312"/>
      <c r="B233" s="48"/>
      <c r="C233" s="48"/>
      <c r="D233" s="48"/>
      <c r="E233" s="48"/>
      <c r="F233" s="48"/>
      <c r="G233" s="48"/>
      <c r="H233" s="325" t="s">
        <v>995</v>
      </c>
      <c r="I233" s="325" t="s">
        <v>429</v>
      </c>
      <c r="J233" s="321">
        <v>1.0</v>
      </c>
      <c r="K233" s="321" t="s">
        <v>89</v>
      </c>
      <c r="L233" s="326">
        <v>65.0</v>
      </c>
      <c r="M233" s="105">
        <f t="shared" si="1"/>
        <v>65</v>
      </c>
      <c r="N233" s="327" t="s">
        <v>1473</v>
      </c>
      <c r="O233" s="325" t="s">
        <v>1487</v>
      </c>
      <c r="P233" s="300"/>
      <c r="Q233" s="300"/>
      <c r="R233" s="300"/>
      <c r="S233" s="300"/>
      <c r="T233" s="300"/>
      <c r="U233" s="300"/>
      <c r="V233" s="300"/>
      <c r="W233" s="300"/>
      <c r="X233" s="300"/>
      <c r="Y233" s="300"/>
      <c r="Z233" s="300"/>
      <c r="AA233" s="300"/>
      <c r="AB233" s="300"/>
      <c r="AC233" s="300"/>
    </row>
    <row r="234">
      <c r="A234" s="312"/>
      <c r="B234" s="330" t="s">
        <v>1488</v>
      </c>
      <c r="C234" s="331">
        <v>45897.0</v>
      </c>
      <c r="D234" s="330" t="s">
        <v>1470</v>
      </c>
      <c r="E234" s="332">
        <v>45925.0</v>
      </c>
      <c r="F234" s="330">
        <v>833.0</v>
      </c>
      <c r="G234" s="334">
        <v>45897.0</v>
      </c>
      <c r="H234" s="325" t="s">
        <v>1489</v>
      </c>
      <c r="I234" s="325" t="s">
        <v>294</v>
      </c>
      <c r="J234" s="321">
        <v>2.0</v>
      </c>
      <c r="K234" s="321" t="s">
        <v>319</v>
      </c>
      <c r="L234" s="326">
        <v>210.0</v>
      </c>
      <c r="M234" s="105">
        <f t="shared" si="1"/>
        <v>420</v>
      </c>
      <c r="N234" s="327" t="s">
        <v>1490</v>
      </c>
      <c r="O234" s="325" t="s">
        <v>1491</v>
      </c>
      <c r="P234" s="300"/>
      <c r="Q234" s="300"/>
      <c r="R234" s="300"/>
      <c r="S234" s="300"/>
      <c r="T234" s="300"/>
      <c r="U234" s="300"/>
      <c r="V234" s="300"/>
      <c r="W234" s="300"/>
      <c r="X234" s="300"/>
      <c r="Y234" s="300"/>
      <c r="Z234" s="300"/>
      <c r="AA234" s="300"/>
      <c r="AB234" s="300"/>
      <c r="AC234" s="300"/>
    </row>
    <row r="235">
      <c r="A235" s="312"/>
      <c r="B235" s="47"/>
      <c r="C235" s="47"/>
      <c r="D235" s="47"/>
      <c r="E235" s="47"/>
      <c r="F235" s="47"/>
      <c r="G235" s="47"/>
      <c r="H235" s="325" t="s">
        <v>1492</v>
      </c>
      <c r="I235" s="325" t="s">
        <v>547</v>
      </c>
      <c r="J235" s="321">
        <v>2.0</v>
      </c>
      <c r="K235" s="321" t="s">
        <v>319</v>
      </c>
      <c r="L235" s="326">
        <v>230.0</v>
      </c>
      <c r="M235" s="105">
        <f t="shared" si="1"/>
        <v>460</v>
      </c>
      <c r="N235" s="327" t="s">
        <v>1490</v>
      </c>
      <c r="O235" s="325" t="s">
        <v>1491</v>
      </c>
      <c r="P235" s="300"/>
      <c r="Q235" s="300"/>
      <c r="R235" s="300"/>
      <c r="S235" s="300"/>
      <c r="T235" s="300"/>
      <c r="U235" s="300"/>
      <c r="V235" s="300"/>
      <c r="W235" s="300"/>
      <c r="X235" s="300"/>
      <c r="Y235" s="300"/>
      <c r="Z235" s="300"/>
      <c r="AA235" s="300"/>
      <c r="AB235" s="300"/>
      <c r="AC235" s="300"/>
    </row>
    <row r="236">
      <c r="A236" s="312"/>
      <c r="B236" s="47"/>
      <c r="C236" s="47"/>
      <c r="D236" s="47"/>
      <c r="E236" s="47"/>
      <c r="F236" s="47"/>
      <c r="G236" s="47"/>
      <c r="H236" s="325" t="s">
        <v>1493</v>
      </c>
      <c r="I236" s="325" t="s">
        <v>29</v>
      </c>
      <c r="J236" s="321">
        <v>2.0</v>
      </c>
      <c r="K236" s="321" t="s">
        <v>156</v>
      </c>
      <c r="L236" s="326">
        <v>9350.0</v>
      </c>
      <c r="M236" s="105">
        <f t="shared" si="1"/>
        <v>18700</v>
      </c>
      <c r="N236" s="327" t="s">
        <v>1490</v>
      </c>
      <c r="O236" s="325" t="s">
        <v>1438</v>
      </c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300"/>
      <c r="AB236" s="300"/>
      <c r="AC236" s="300"/>
    </row>
    <row r="237">
      <c r="A237" s="312"/>
      <c r="B237" s="47"/>
      <c r="C237" s="47"/>
      <c r="D237" s="47"/>
      <c r="E237" s="47"/>
      <c r="F237" s="47"/>
      <c r="G237" s="47"/>
      <c r="H237" s="325" t="s">
        <v>1494</v>
      </c>
      <c r="I237" s="325" t="s">
        <v>29</v>
      </c>
      <c r="J237" s="321">
        <v>2.0</v>
      </c>
      <c r="K237" s="321" t="s">
        <v>319</v>
      </c>
      <c r="L237" s="326">
        <v>250.0</v>
      </c>
      <c r="M237" s="105">
        <f t="shared" si="1"/>
        <v>500</v>
      </c>
      <c r="N237" s="327" t="s">
        <v>1495</v>
      </c>
      <c r="O237" s="325" t="s">
        <v>1438</v>
      </c>
      <c r="P237" s="300"/>
      <c r="Q237" s="300"/>
      <c r="R237" s="300"/>
      <c r="S237" s="300"/>
      <c r="T237" s="300"/>
      <c r="U237" s="300"/>
      <c r="V237" s="300"/>
      <c r="W237" s="300"/>
      <c r="X237" s="300"/>
      <c r="Y237" s="300"/>
      <c r="Z237" s="300"/>
      <c r="AA237" s="300"/>
      <c r="AB237" s="300"/>
      <c r="AC237" s="300"/>
    </row>
    <row r="238">
      <c r="A238" s="312"/>
      <c r="B238" s="48"/>
      <c r="C238" s="48"/>
      <c r="D238" s="48"/>
      <c r="E238" s="48"/>
      <c r="F238" s="48"/>
      <c r="G238" s="48"/>
      <c r="H238" s="325" t="s">
        <v>1496</v>
      </c>
      <c r="I238" s="325" t="s">
        <v>29</v>
      </c>
      <c r="J238" s="321">
        <v>2.0</v>
      </c>
      <c r="K238" s="321" t="s">
        <v>319</v>
      </c>
      <c r="L238" s="326">
        <v>45.0</v>
      </c>
      <c r="M238" s="105">
        <f t="shared" si="1"/>
        <v>90</v>
      </c>
      <c r="N238" s="327" t="s">
        <v>1495</v>
      </c>
      <c r="O238" s="325" t="s">
        <v>1438</v>
      </c>
      <c r="P238" s="300"/>
      <c r="Q238" s="300"/>
      <c r="R238" s="300"/>
      <c r="S238" s="300"/>
      <c r="T238" s="300"/>
      <c r="U238" s="300"/>
      <c r="V238" s="300"/>
      <c r="W238" s="300"/>
      <c r="X238" s="300"/>
      <c r="Y238" s="300"/>
      <c r="Z238" s="300"/>
      <c r="AA238" s="300"/>
      <c r="AB238" s="300"/>
      <c r="AC238" s="300"/>
    </row>
    <row r="239">
      <c r="A239" s="312"/>
      <c r="B239" s="321" t="s">
        <v>1497</v>
      </c>
      <c r="C239" s="322">
        <v>45902.0</v>
      </c>
      <c r="D239" s="321" t="s">
        <v>1470</v>
      </c>
      <c r="E239" s="323">
        <v>45925.0</v>
      </c>
      <c r="F239" s="321">
        <v>840.0</v>
      </c>
      <c r="G239" s="324">
        <v>45906.0</v>
      </c>
      <c r="H239" s="325" t="s">
        <v>1498</v>
      </c>
      <c r="I239" s="325" t="s">
        <v>1499</v>
      </c>
      <c r="J239" s="321">
        <v>25.0</v>
      </c>
      <c r="K239" s="321" t="s">
        <v>156</v>
      </c>
      <c r="L239" s="326">
        <v>48.0</v>
      </c>
      <c r="M239" s="105">
        <f t="shared" si="1"/>
        <v>1200</v>
      </c>
      <c r="N239" s="327" t="s">
        <v>1495</v>
      </c>
      <c r="O239" s="325" t="s">
        <v>1500</v>
      </c>
      <c r="P239" s="300"/>
      <c r="Q239" s="300"/>
      <c r="R239" s="300"/>
      <c r="S239" s="300"/>
      <c r="T239" s="300"/>
      <c r="U239" s="300"/>
      <c r="V239" s="300"/>
      <c r="W239" s="300"/>
      <c r="X239" s="300"/>
      <c r="Y239" s="300"/>
      <c r="Z239" s="300"/>
      <c r="AA239" s="300"/>
      <c r="AB239" s="300"/>
      <c r="AC239" s="300"/>
    </row>
    <row r="240">
      <c r="A240" s="312"/>
      <c r="B240" s="330" t="s">
        <v>1501</v>
      </c>
      <c r="C240" s="331">
        <v>45902.0</v>
      </c>
      <c r="D240" s="330" t="s">
        <v>1470</v>
      </c>
      <c r="E240" s="332">
        <v>45925.0</v>
      </c>
      <c r="F240" s="330">
        <v>836.0</v>
      </c>
      <c r="G240" s="334">
        <v>45902.0</v>
      </c>
      <c r="H240" s="325" t="s">
        <v>1502</v>
      </c>
      <c r="I240" s="325" t="s">
        <v>294</v>
      </c>
      <c r="J240" s="321">
        <v>410.0</v>
      </c>
      <c r="K240" s="321" t="s">
        <v>156</v>
      </c>
      <c r="L240" s="326">
        <v>18.0</v>
      </c>
      <c r="M240" s="105">
        <f t="shared" si="1"/>
        <v>7380</v>
      </c>
      <c r="N240" s="327" t="s">
        <v>1495</v>
      </c>
      <c r="O240" s="325" t="s">
        <v>1503</v>
      </c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300"/>
      <c r="AB240" s="300"/>
      <c r="AC240" s="300"/>
    </row>
    <row r="241">
      <c r="A241" s="312"/>
      <c r="B241" s="47"/>
      <c r="C241" s="47"/>
      <c r="D241" s="47"/>
      <c r="E241" s="47"/>
      <c r="F241" s="47"/>
      <c r="G241" s="47"/>
      <c r="H241" s="325" t="s">
        <v>1504</v>
      </c>
      <c r="I241" s="325" t="s">
        <v>294</v>
      </c>
      <c r="J241" s="321">
        <v>200.0</v>
      </c>
      <c r="K241" s="321" t="s">
        <v>1476</v>
      </c>
      <c r="L241" s="326">
        <v>74.0</v>
      </c>
      <c r="M241" s="105">
        <f t="shared" si="1"/>
        <v>14800</v>
      </c>
      <c r="N241" s="327" t="s">
        <v>1495</v>
      </c>
      <c r="O241" s="325" t="s">
        <v>1503</v>
      </c>
      <c r="P241" s="300"/>
      <c r="Q241" s="300"/>
      <c r="R241" s="300"/>
      <c r="S241" s="300"/>
      <c r="T241" s="300"/>
      <c r="U241" s="300"/>
      <c r="V241" s="300"/>
      <c r="W241" s="300"/>
      <c r="X241" s="300"/>
      <c r="Y241" s="300"/>
      <c r="Z241" s="300"/>
      <c r="AA241" s="300"/>
      <c r="AB241" s="300"/>
      <c r="AC241" s="300"/>
    </row>
    <row r="242">
      <c r="A242" s="312"/>
      <c r="B242" s="47"/>
      <c r="C242" s="47"/>
      <c r="D242" s="47"/>
      <c r="E242" s="47"/>
      <c r="F242" s="47"/>
      <c r="G242" s="47"/>
      <c r="H242" s="325" t="s">
        <v>1505</v>
      </c>
      <c r="I242" s="325" t="s">
        <v>294</v>
      </c>
      <c r="J242" s="321">
        <v>200.0</v>
      </c>
      <c r="K242" s="321" t="s">
        <v>1476</v>
      </c>
      <c r="L242" s="326">
        <v>74.0</v>
      </c>
      <c r="M242" s="105">
        <f t="shared" si="1"/>
        <v>14800</v>
      </c>
      <c r="N242" s="327" t="s">
        <v>1490</v>
      </c>
      <c r="O242" s="325" t="s">
        <v>1503</v>
      </c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  <c r="AA242" s="300"/>
      <c r="AB242" s="300"/>
      <c r="AC242" s="300"/>
    </row>
    <row r="243">
      <c r="A243" s="312"/>
      <c r="B243" s="47"/>
      <c r="C243" s="47"/>
      <c r="D243" s="47"/>
      <c r="E243" s="47"/>
      <c r="F243" s="47"/>
      <c r="G243" s="47"/>
      <c r="H243" s="325" t="s">
        <v>1506</v>
      </c>
      <c r="I243" s="325" t="s">
        <v>294</v>
      </c>
      <c r="J243" s="321">
        <v>200.0</v>
      </c>
      <c r="K243" s="321" t="s">
        <v>1476</v>
      </c>
      <c r="L243" s="326">
        <v>72.0</v>
      </c>
      <c r="M243" s="105">
        <f t="shared" si="1"/>
        <v>14400</v>
      </c>
      <c r="N243" s="327" t="s">
        <v>1490</v>
      </c>
      <c r="O243" s="325" t="s">
        <v>1503</v>
      </c>
      <c r="P243" s="300"/>
      <c r="Q243" s="300"/>
      <c r="R243" s="300"/>
      <c r="S243" s="300"/>
      <c r="T243" s="300"/>
      <c r="U243" s="300"/>
      <c r="V243" s="300"/>
      <c r="W243" s="300"/>
      <c r="X243" s="300"/>
      <c r="Y243" s="300"/>
      <c r="Z243" s="300"/>
      <c r="AA243" s="300"/>
      <c r="AB243" s="300"/>
      <c r="AC243" s="300"/>
    </row>
    <row r="244">
      <c r="A244" s="312"/>
      <c r="B244" s="47"/>
      <c r="C244" s="47"/>
      <c r="D244" s="47"/>
      <c r="E244" s="47"/>
      <c r="F244" s="47"/>
      <c r="G244" s="47"/>
      <c r="H244" s="325" t="s">
        <v>1507</v>
      </c>
      <c r="I244" s="325" t="s">
        <v>294</v>
      </c>
      <c r="J244" s="321">
        <v>200.0</v>
      </c>
      <c r="K244" s="321" t="s">
        <v>1476</v>
      </c>
      <c r="L244" s="326">
        <v>72.0</v>
      </c>
      <c r="M244" s="105">
        <f t="shared" si="1"/>
        <v>14400</v>
      </c>
      <c r="N244" s="327" t="s">
        <v>1490</v>
      </c>
      <c r="O244" s="325" t="s">
        <v>1503</v>
      </c>
      <c r="P244" s="300"/>
      <c r="Q244" s="300"/>
      <c r="R244" s="300"/>
      <c r="S244" s="300"/>
      <c r="T244" s="300"/>
      <c r="U244" s="300"/>
      <c r="V244" s="300"/>
      <c r="W244" s="300"/>
      <c r="X244" s="300"/>
      <c r="Y244" s="300"/>
      <c r="Z244" s="300"/>
      <c r="AA244" s="300"/>
      <c r="AB244" s="300"/>
      <c r="AC244" s="300"/>
    </row>
    <row r="245">
      <c r="A245" s="312"/>
      <c r="B245" s="47"/>
      <c r="C245" s="47"/>
      <c r="D245" s="47"/>
      <c r="E245" s="47"/>
      <c r="F245" s="47"/>
      <c r="G245" s="47"/>
      <c r="H245" s="325" t="s">
        <v>1508</v>
      </c>
      <c r="I245" s="325" t="s">
        <v>294</v>
      </c>
      <c r="J245" s="321">
        <v>200.0</v>
      </c>
      <c r="K245" s="321" t="s">
        <v>1476</v>
      </c>
      <c r="L245" s="326">
        <v>72.0</v>
      </c>
      <c r="M245" s="105">
        <f t="shared" si="1"/>
        <v>14400</v>
      </c>
      <c r="N245" s="327" t="s">
        <v>1490</v>
      </c>
      <c r="O245" s="325" t="s">
        <v>1503</v>
      </c>
      <c r="P245" s="300"/>
      <c r="Q245" s="300"/>
      <c r="R245" s="300"/>
      <c r="S245" s="300"/>
      <c r="T245" s="300"/>
      <c r="U245" s="300"/>
      <c r="V245" s="300"/>
      <c r="W245" s="300"/>
      <c r="X245" s="300"/>
      <c r="Y245" s="300"/>
      <c r="Z245" s="300"/>
      <c r="AA245" s="300"/>
      <c r="AB245" s="300"/>
      <c r="AC245" s="300"/>
    </row>
    <row r="246">
      <c r="A246" s="312"/>
      <c r="B246" s="47"/>
      <c r="C246" s="47"/>
      <c r="D246" s="47"/>
      <c r="E246" s="47"/>
      <c r="F246" s="47"/>
      <c r="G246" s="47"/>
      <c r="H246" s="325" t="s">
        <v>1509</v>
      </c>
      <c r="I246" s="325" t="s">
        <v>294</v>
      </c>
      <c r="J246" s="321">
        <v>24.0</v>
      </c>
      <c r="K246" s="312"/>
      <c r="L246" s="326">
        <v>256.0</v>
      </c>
      <c r="M246" s="105">
        <f t="shared" si="1"/>
        <v>6144</v>
      </c>
      <c r="N246" s="327" t="s">
        <v>1490</v>
      </c>
      <c r="O246" s="325" t="s">
        <v>1503</v>
      </c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00"/>
      <c r="AA246" s="300"/>
      <c r="AB246" s="300"/>
      <c r="AC246" s="300"/>
    </row>
    <row r="247">
      <c r="A247" s="312"/>
      <c r="B247" s="48"/>
      <c r="C247" s="48"/>
      <c r="D247" s="48"/>
      <c r="E247" s="48"/>
      <c r="F247" s="48"/>
      <c r="G247" s="48"/>
      <c r="H247" s="325" t="s">
        <v>1510</v>
      </c>
      <c r="I247" s="336" t="s">
        <v>325</v>
      </c>
      <c r="J247" s="321">
        <v>20.0</v>
      </c>
      <c r="K247" s="321" t="s">
        <v>1511</v>
      </c>
      <c r="L247" s="326">
        <v>230.0</v>
      </c>
      <c r="M247" s="105">
        <f t="shared" si="1"/>
        <v>4600</v>
      </c>
      <c r="N247" s="327" t="s">
        <v>1490</v>
      </c>
      <c r="O247" s="325" t="s">
        <v>1503</v>
      </c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  <c r="AA247" s="300"/>
      <c r="AB247" s="300"/>
      <c r="AC247" s="300"/>
    </row>
    <row r="248">
      <c r="A248" s="312"/>
      <c r="B248" s="330" t="s">
        <v>1512</v>
      </c>
      <c r="C248" s="331">
        <v>45902.0</v>
      </c>
      <c r="D248" s="330" t="s">
        <v>1470</v>
      </c>
      <c r="E248" s="332">
        <v>45925.0</v>
      </c>
      <c r="F248" s="335">
        <v>837.0</v>
      </c>
      <c r="G248" s="334">
        <v>45902.0</v>
      </c>
      <c r="H248" s="325" t="s">
        <v>1513</v>
      </c>
      <c r="I248" s="325" t="s">
        <v>1499</v>
      </c>
      <c r="J248" s="321">
        <v>30.0</v>
      </c>
      <c r="K248" s="321" t="s">
        <v>156</v>
      </c>
      <c r="L248" s="326">
        <v>31.0</v>
      </c>
      <c r="M248" s="105">
        <f t="shared" si="1"/>
        <v>930</v>
      </c>
      <c r="N248" s="327" t="s">
        <v>1495</v>
      </c>
      <c r="O248" s="325" t="s">
        <v>1514</v>
      </c>
      <c r="P248" s="300"/>
      <c r="Q248" s="300"/>
      <c r="R248" s="300"/>
      <c r="S248" s="300"/>
      <c r="T248" s="300"/>
      <c r="U248" s="300"/>
      <c r="V248" s="300"/>
      <c r="W248" s="300"/>
      <c r="X248" s="300"/>
      <c r="Y248" s="300"/>
      <c r="Z248" s="300"/>
      <c r="AA248" s="300"/>
      <c r="AB248" s="300"/>
      <c r="AC248" s="300"/>
    </row>
    <row r="249">
      <c r="A249" s="312"/>
      <c r="B249" s="47"/>
      <c r="C249" s="47"/>
      <c r="D249" s="47"/>
      <c r="E249" s="47"/>
      <c r="F249" s="47"/>
      <c r="G249" s="47"/>
      <c r="H249" s="325" t="s">
        <v>1515</v>
      </c>
      <c r="I249" s="325" t="s">
        <v>1516</v>
      </c>
      <c r="J249" s="321">
        <v>8.0</v>
      </c>
      <c r="K249" s="321" t="s">
        <v>156</v>
      </c>
      <c r="L249" s="326">
        <v>84.0</v>
      </c>
      <c r="M249" s="105">
        <f t="shared" si="1"/>
        <v>672</v>
      </c>
      <c r="N249" s="327" t="s">
        <v>1495</v>
      </c>
      <c r="O249" s="325" t="s">
        <v>1514</v>
      </c>
      <c r="P249" s="300"/>
      <c r="Q249" s="300"/>
      <c r="R249" s="300"/>
      <c r="S249" s="300"/>
      <c r="T249" s="300"/>
      <c r="U249" s="300"/>
      <c r="V249" s="300"/>
      <c r="W249" s="300"/>
      <c r="X249" s="300"/>
      <c r="Y249" s="300"/>
      <c r="Z249" s="300"/>
      <c r="AA249" s="300"/>
      <c r="AB249" s="300"/>
      <c r="AC249" s="300"/>
    </row>
    <row r="250">
      <c r="A250" s="312"/>
      <c r="B250" s="47"/>
      <c r="C250" s="47"/>
      <c r="D250" s="47"/>
      <c r="E250" s="47"/>
      <c r="F250" s="47"/>
      <c r="G250" s="47"/>
      <c r="H250" s="325" t="s">
        <v>1517</v>
      </c>
      <c r="I250" s="325" t="s">
        <v>1516</v>
      </c>
      <c r="J250" s="321">
        <v>10.0</v>
      </c>
      <c r="K250" s="312"/>
      <c r="L250" s="326">
        <v>270.0</v>
      </c>
      <c r="M250" s="105">
        <f t="shared" si="1"/>
        <v>2700</v>
      </c>
      <c r="N250" s="327" t="s">
        <v>1490</v>
      </c>
      <c r="O250" s="325" t="s">
        <v>1514</v>
      </c>
      <c r="P250" s="300"/>
      <c r="Q250" s="300"/>
      <c r="R250" s="300"/>
      <c r="S250" s="300"/>
      <c r="T250" s="300"/>
      <c r="U250" s="300"/>
      <c r="V250" s="300"/>
      <c r="W250" s="300"/>
      <c r="X250" s="300"/>
      <c r="Y250" s="300"/>
      <c r="Z250" s="300"/>
      <c r="AA250" s="300"/>
      <c r="AB250" s="300"/>
      <c r="AC250" s="300"/>
    </row>
    <row r="251">
      <c r="A251" s="312"/>
      <c r="B251" s="47"/>
      <c r="C251" s="47"/>
      <c r="D251" s="47"/>
      <c r="E251" s="47"/>
      <c r="F251" s="47"/>
      <c r="G251" s="47"/>
      <c r="H251" s="325" t="s">
        <v>1518</v>
      </c>
      <c r="I251" s="325" t="s">
        <v>1499</v>
      </c>
      <c r="J251" s="321">
        <v>40.0</v>
      </c>
      <c r="K251" s="321" t="s">
        <v>156</v>
      </c>
      <c r="L251" s="326">
        <v>300.0</v>
      </c>
      <c r="M251" s="105">
        <f t="shared" si="1"/>
        <v>12000</v>
      </c>
      <c r="N251" s="327" t="s">
        <v>1495</v>
      </c>
      <c r="O251" s="325" t="s">
        <v>1514</v>
      </c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300"/>
      <c r="AB251" s="300"/>
      <c r="AC251" s="300"/>
    </row>
    <row r="252">
      <c r="A252" s="312"/>
      <c r="B252" s="47"/>
      <c r="C252" s="47"/>
      <c r="D252" s="47"/>
      <c r="E252" s="47"/>
      <c r="F252" s="47"/>
      <c r="G252" s="47"/>
      <c r="H252" s="325" t="s">
        <v>1519</v>
      </c>
      <c r="I252" s="325" t="s">
        <v>1516</v>
      </c>
      <c r="J252" s="321">
        <v>40.0</v>
      </c>
      <c r="K252" s="321" t="s">
        <v>156</v>
      </c>
      <c r="L252" s="326">
        <v>18.0</v>
      </c>
      <c r="M252" s="105">
        <f t="shared" si="1"/>
        <v>720</v>
      </c>
      <c r="N252" s="327" t="s">
        <v>1495</v>
      </c>
      <c r="O252" s="325" t="s">
        <v>1514</v>
      </c>
      <c r="P252" s="300"/>
      <c r="Q252" s="300"/>
      <c r="R252" s="300"/>
      <c r="S252" s="300"/>
      <c r="T252" s="300"/>
      <c r="U252" s="300"/>
      <c r="V252" s="300"/>
      <c r="W252" s="300"/>
      <c r="X252" s="300"/>
      <c r="Y252" s="300"/>
      <c r="Z252" s="300"/>
      <c r="AA252" s="300"/>
      <c r="AB252" s="300"/>
      <c r="AC252" s="300"/>
    </row>
    <row r="253">
      <c r="A253" s="312"/>
      <c r="B253" s="47"/>
      <c r="C253" s="47"/>
      <c r="D253" s="47"/>
      <c r="E253" s="47"/>
      <c r="F253" s="47"/>
      <c r="G253" s="47"/>
      <c r="H253" s="325" t="s">
        <v>1520</v>
      </c>
      <c r="I253" s="325" t="s">
        <v>1516</v>
      </c>
      <c r="J253" s="321">
        <v>1.0</v>
      </c>
      <c r="K253" s="312"/>
      <c r="L253" s="326">
        <v>345.0</v>
      </c>
      <c r="M253" s="105">
        <f t="shared" si="1"/>
        <v>345</v>
      </c>
      <c r="N253" s="327" t="s">
        <v>1490</v>
      </c>
      <c r="O253" s="325" t="s">
        <v>1514</v>
      </c>
      <c r="P253" s="300"/>
      <c r="Q253" s="300"/>
      <c r="R253" s="300"/>
      <c r="S253" s="300"/>
      <c r="T253" s="300"/>
      <c r="U253" s="300"/>
      <c r="V253" s="300"/>
      <c r="W253" s="300"/>
      <c r="X253" s="300"/>
      <c r="Y253" s="300"/>
      <c r="Z253" s="300"/>
      <c r="AA253" s="300"/>
      <c r="AB253" s="300"/>
      <c r="AC253" s="300"/>
    </row>
    <row r="254">
      <c r="A254" s="312"/>
      <c r="B254" s="47"/>
      <c r="C254" s="47"/>
      <c r="D254" s="47"/>
      <c r="E254" s="47"/>
      <c r="F254" s="47"/>
      <c r="G254" s="47"/>
      <c r="H254" s="325" t="s">
        <v>1521</v>
      </c>
      <c r="I254" s="325" t="s">
        <v>1516</v>
      </c>
      <c r="J254" s="321">
        <v>40.0</v>
      </c>
      <c r="K254" s="312"/>
      <c r="L254" s="326">
        <v>173.0</v>
      </c>
      <c r="M254" s="105">
        <f t="shared" si="1"/>
        <v>6920</v>
      </c>
      <c r="N254" s="327" t="s">
        <v>1490</v>
      </c>
      <c r="O254" s="325" t="s">
        <v>1514</v>
      </c>
      <c r="P254" s="300"/>
      <c r="Q254" s="300"/>
      <c r="R254" s="300"/>
      <c r="S254" s="300"/>
      <c r="T254" s="300"/>
      <c r="U254" s="300"/>
      <c r="V254" s="300"/>
      <c r="W254" s="300"/>
      <c r="X254" s="300"/>
      <c r="Y254" s="300"/>
      <c r="Z254" s="300"/>
      <c r="AA254" s="300"/>
      <c r="AB254" s="300"/>
      <c r="AC254" s="300"/>
    </row>
    <row r="255">
      <c r="A255" s="312"/>
      <c r="B255" s="47"/>
      <c r="C255" s="47"/>
      <c r="D255" s="47"/>
      <c r="E255" s="47"/>
      <c r="F255" s="48"/>
      <c r="G255" s="48"/>
      <c r="H255" s="325" t="s">
        <v>1522</v>
      </c>
      <c r="I255" s="325" t="s">
        <v>1516</v>
      </c>
      <c r="J255" s="321">
        <v>20.0</v>
      </c>
      <c r="K255" s="312"/>
      <c r="L255" s="326">
        <v>87.0</v>
      </c>
      <c r="M255" s="105">
        <f t="shared" si="1"/>
        <v>1740</v>
      </c>
      <c r="N255" s="327" t="s">
        <v>1490</v>
      </c>
      <c r="O255" s="325" t="s">
        <v>1514</v>
      </c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  <c r="AA255" s="300"/>
      <c r="AB255" s="300"/>
      <c r="AC255" s="300"/>
    </row>
    <row r="256">
      <c r="A256" s="312"/>
      <c r="B256" s="47"/>
      <c r="C256" s="47"/>
      <c r="D256" s="47"/>
      <c r="E256" s="47"/>
      <c r="F256" s="335">
        <v>838.0</v>
      </c>
      <c r="G256" s="334">
        <v>45902.0</v>
      </c>
      <c r="H256" s="325" t="s">
        <v>1523</v>
      </c>
      <c r="I256" s="325" t="s">
        <v>1516</v>
      </c>
      <c r="J256" s="321">
        <v>30.0</v>
      </c>
      <c r="K256" s="321" t="s">
        <v>156</v>
      </c>
      <c r="L256" s="326">
        <v>525.0</v>
      </c>
      <c r="M256" s="105">
        <f t="shared" si="1"/>
        <v>15750</v>
      </c>
      <c r="N256" s="327" t="s">
        <v>1490</v>
      </c>
      <c r="O256" s="325" t="s">
        <v>1514</v>
      </c>
      <c r="P256" s="300"/>
      <c r="Q256" s="300"/>
      <c r="R256" s="300"/>
      <c r="S256" s="300"/>
      <c r="T256" s="300"/>
      <c r="U256" s="300"/>
      <c r="V256" s="300"/>
      <c r="W256" s="300"/>
      <c r="X256" s="300"/>
      <c r="Y256" s="300"/>
      <c r="Z256" s="300"/>
      <c r="AA256" s="300"/>
      <c r="AB256" s="300"/>
      <c r="AC256" s="300"/>
    </row>
    <row r="257">
      <c r="A257" s="312"/>
      <c r="B257" s="47"/>
      <c r="C257" s="47"/>
      <c r="D257" s="47"/>
      <c r="E257" s="47"/>
      <c r="F257" s="47"/>
      <c r="G257" s="47"/>
      <c r="H257" s="325" t="s">
        <v>1524</v>
      </c>
      <c r="I257" s="325" t="s">
        <v>1516</v>
      </c>
      <c r="J257" s="321">
        <v>30.0</v>
      </c>
      <c r="K257" s="321" t="s">
        <v>156</v>
      </c>
      <c r="L257" s="326">
        <v>95.0</v>
      </c>
      <c r="M257" s="105">
        <f t="shared" si="1"/>
        <v>2850</v>
      </c>
      <c r="N257" s="327" t="s">
        <v>1495</v>
      </c>
      <c r="O257" s="325" t="s">
        <v>1514</v>
      </c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300"/>
      <c r="AB257" s="300"/>
      <c r="AC257" s="300"/>
    </row>
    <row r="258">
      <c r="A258" s="312"/>
      <c r="B258" s="47"/>
      <c r="C258" s="47"/>
      <c r="D258" s="47"/>
      <c r="E258" s="47"/>
      <c r="F258" s="47"/>
      <c r="G258" s="47"/>
      <c r="H258" s="325" t="s">
        <v>1525</v>
      </c>
      <c r="I258" s="325" t="s">
        <v>1516</v>
      </c>
      <c r="J258" s="321">
        <v>20.0</v>
      </c>
      <c r="K258" s="312"/>
      <c r="L258" s="326">
        <v>27.0</v>
      </c>
      <c r="M258" s="105">
        <f t="shared" si="1"/>
        <v>540</v>
      </c>
      <c r="N258" s="327" t="s">
        <v>1495</v>
      </c>
      <c r="O258" s="325" t="s">
        <v>1514</v>
      </c>
      <c r="P258" s="300"/>
      <c r="Q258" s="300"/>
      <c r="R258" s="300"/>
      <c r="S258" s="300"/>
      <c r="T258" s="300"/>
      <c r="U258" s="300"/>
      <c r="V258" s="300"/>
      <c r="W258" s="300"/>
      <c r="X258" s="300"/>
      <c r="Y258" s="300"/>
      <c r="Z258" s="300"/>
      <c r="AA258" s="300"/>
      <c r="AB258" s="300"/>
      <c r="AC258" s="300"/>
    </row>
    <row r="259">
      <c r="A259" s="312"/>
      <c r="B259" s="48"/>
      <c r="C259" s="48"/>
      <c r="D259" s="48"/>
      <c r="E259" s="48"/>
      <c r="F259" s="48"/>
      <c r="G259" s="48"/>
      <c r="H259" s="325" t="s">
        <v>1526</v>
      </c>
      <c r="I259" s="325" t="s">
        <v>1499</v>
      </c>
      <c r="J259" s="321">
        <v>40.0</v>
      </c>
      <c r="K259" s="321" t="s">
        <v>156</v>
      </c>
      <c r="L259" s="326">
        <v>15.0</v>
      </c>
      <c r="M259" s="105">
        <f t="shared" si="1"/>
        <v>600</v>
      </c>
      <c r="N259" s="327" t="s">
        <v>1495</v>
      </c>
      <c r="O259" s="325" t="s">
        <v>1514</v>
      </c>
      <c r="P259" s="300"/>
      <c r="Q259" s="300"/>
      <c r="R259" s="300"/>
      <c r="S259" s="300"/>
      <c r="T259" s="300"/>
      <c r="U259" s="300"/>
      <c r="V259" s="300"/>
      <c r="W259" s="300"/>
      <c r="X259" s="300"/>
      <c r="Y259" s="300"/>
      <c r="Z259" s="300"/>
      <c r="AA259" s="300"/>
      <c r="AB259" s="300"/>
      <c r="AC259" s="300"/>
    </row>
    <row r="260">
      <c r="A260" s="312"/>
      <c r="B260" s="330" t="s">
        <v>1527</v>
      </c>
      <c r="C260" s="331">
        <v>45912.0</v>
      </c>
      <c r="D260" s="330" t="s">
        <v>1470</v>
      </c>
      <c r="E260" s="332">
        <v>45925.0</v>
      </c>
      <c r="F260" s="330">
        <v>843.0</v>
      </c>
      <c r="G260" s="334">
        <v>45912.0</v>
      </c>
      <c r="H260" s="325" t="s">
        <v>1528</v>
      </c>
      <c r="I260" s="325" t="s">
        <v>55</v>
      </c>
      <c r="J260" s="321">
        <v>20.0</v>
      </c>
      <c r="K260" s="321" t="s">
        <v>1486</v>
      </c>
      <c r="L260" s="326">
        <v>1360.0</v>
      </c>
      <c r="M260" s="105">
        <f t="shared" si="1"/>
        <v>27200</v>
      </c>
      <c r="N260" s="327" t="s">
        <v>1495</v>
      </c>
      <c r="O260" s="325" t="s">
        <v>1397</v>
      </c>
      <c r="P260" s="300"/>
      <c r="Q260" s="300"/>
      <c r="R260" s="300"/>
      <c r="S260" s="300"/>
      <c r="T260" s="300"/>
      <c r="U260" s="300"/>
      <c r="V260" s="300"/>
      <c r="W260" s="300"/>
      <c r="X260" s="300"/>
      <c r="Y260" s="300"/>
      <c r="Z260" s="300"/>
      <c r="AA260" s="300"/>
      <c r="AB260" s="300"/>
      <c r="AC260" s="300"/>
    </row>
    <row r="261">
      <c r="A261" s="312"/>
      <c r="B261" s="47"/>
      <c r="C261" s="47"/>
      <c r="D261" s="47"/>
      <c r="E261" s="47"/>
      <c r="F261" s="47"/>
      <c r="G261" s="47"/>
      <c r="H261" s="325" t="s">
        <v>1504</v>
      </c>
      <c r="I261" s="325" t="s">
        <v>294</v>
      </c>
      <c r="J261" s="321">
        <v>5.0</v>
      </c>
      <c r="K261" s="321" t="s">
        <v>1476</v>
      </c>
      <c r="L261" s="326">
        <v>74.0</v>
      </c>
      <c r="M261" s="105">
        <f t="shared" si="1"/>
        <v>370</v>
      </c>
      <c r="N261" s="327" t="s">
        <v>1495</v>
      </c>
      <c r="O261" s="325" t="s">
        <v>1397</v>
      </c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  <c r="AA261" s="300"/>
      <c r="AB261" s="300"/>
      <c r="AC261" s="300"/>
    </row>
    <row r="262">
      <c r="A262" s="312"/>
      <c r="B262" s="48"/>
      <c r="C262" s="48"/>
      <c r="D262" s="48"/>
      <c r="E262" s="48"/>
      <c r="F262" s="48"/>
      <c r="G262" s="48"/>
      <c r="H262" s="325" t="s">
        <v>1529</v>
      </c>
      <c r="I262" s="325" t="s">
        <v>29</v>
      </c>
      <c r="J262" s="321">
        <v>50.0</v>
      </c>
      <c r="K262" s="312"/>
      <c r="L262" s="326">
        <v>25.0</v>
      </c>
      <c r="M262" s="105">
        <f t="shared" si="1"/>
        <v>1250</v>
      </c>
      <c r="N262" s="327" t="s">
        <v>1495</v>
      </c>
      <c r="O262" s="325" t="s">
        <v>1397</v>
      </c>
      <c r="P262" s="300"/>
      <c r="Q262" s="300"/>
      <c r="R262" s="300"/>
      <c r="S262" s="300"/>
      <c r="T262" s="300"/>
      <c r="U262" s="300"/>
      <c r="V262" s="300"/>
      <c r="W262" s="300"/>
      <c r="X262" s="300"/>
      <c r="Y262" s="300"/>
      <c r="Z262" s="300"/>
      <c r="AA262" s="300"/>
      <c r="AB262" s="300"/>
      <c r="AC262" s="300"/>
    </row>
    <row r="263">
      <c r="A263" s="312"/>
      <c r="B263" s="330">
        <v>913.0</v>
      </c>
      <c r="C263" s="331">
        <v>45923.0</v>
      </c>
      <c r="D263" s="330" t="s">
        <v>1530</v>
      </c>
      <c r="E263" s="332">
        <v>45938.0</v>
      </c>
      <c r="F263" s="330">
        <v>849.0</v>
      </c>
      <c r="G263" s="334">
        <v>45924.0</v>
      </c>
      <c r="H263" s="325" t="s">
        <v>1531</v>
      </c>
      <c r="I263" s="325" t="s">
        <v>547</v>
      </c>
      <c r="J263" s="321">
        <v>20.0</v>
      </c>
      <c r="K263" s="321" t="s">
        <v>156</v>
      </c>
      <c r="L263" s="326">
        <v>48.0</v>
      </c>
      <c r="M263" s="105">
        <f t="shared" si="1"/>
        <v>960</v>
      </c>
      <c r="N263" s="327" t="s">
        <v>1532</v>
      </c>
      <c r="O263" s="325" t="s">
        <v>1533</v>
      </c>
      <c r="P263" s="300"/>
      <c r="Q263" s="300"/>
      <c r="R263" s="300"/>
      <c r="S263" s="300"/>
      <c r="T263" s="300"/>
      <c r="U263" s="300"/>
      <c r="V263" s="300"/>
      <c r="W263" s="300"/>
      <c r="X263" s="300"/>
      <c r="Y263" s="300"/>
      <c r="Z263" s="300"/>
      <c r="AA263" s="300"/>
      <c r="AB263" s="300"/>
      <c r="AC263" s="300"/>
    </row>
    <row r="264">
      <c r="A264" s="312"/>
      <c r="B264" s="47"/>
      <c r="C264" s="47"/>
      <c r="D264" s="47"/>
      <c r="E264" s="47"/>
      <c r="F264" s="47"/>
      <c r="G264" s="47"/>
      <c r="H264" s="325" t="s">
        <v>1362</v>
      </c>
      <c r="I264" s="325" t="s">
        <v>547</v>
      </c>
      <c r="J264" s="321">
        <v>5.0</v>
      </c>
      <c r="K264" s="321" t="s">
        <v>156</v>
      </c>
      <c r="L264" s="326">
        <v>82.0</v>
      </c>
      <c r="M264" s="105">
        <f t="shared" si="1"/>
        <v>410</v>
      </c>
      <c r="N264" s="327" t="s">
        <v>1532</v>
      </c>
      <c r="O264" s="325" t="s">
        <v>1533</v>
      </c>
      <c r="P264" s="300"/>
      <c r="Q264" s="300"/>
      <c r="R264" s="300"/>
      <c r="S264" s="300"/>
      <c r="T264" s="300"/>
      <c r="U264" s="300"/>
      <c r="V264" s="300"/>
      <c r="W264" s="300"/>
      <c r="X264" s="300"/>
      <c r="Y264" s="300"/>
      <c r="Z264" s="300"/>
      <c r="AA264" s="300"/>
      <c r="AB264" s="300"/>
      <c r="AC264" s="300"/>
    </row>
    <row r="265">
      <c r="A265" s="312"/>
      <c r="B265" s="48"/>
      <c r="C265" s="48"/>
      <c r="D265" s="48"/>
      <c r="E265" s="48"/>
      <c r="F265" s="48"/>
      <c r="G265" s="48"/>
      <c r="H265" s="325" t="s">
        <v>1534</v>
      </c>
      <c r="I265" s="325" t="s">
        <v>547</v>
      </c>
      <c r="J265" s="321">
        <v>2.0</v>
      </c>
      <c r="K265" s="321" t="s">
        <v>156</v>
      </c>
      <c r="L265" s="326">
        <v>53.0</v>
      </c>
      <c r="M265" s="105">
        <f t="shared" si="1"/>
        <v>106</v>
      </c>
      <c r="N265" s="327" t="s">
        <v>1532</v>
      </c>
      <c r="O265" s="325" t="s">
        <v>1533</v>
      </c>
      <c r="P265" s="300"/>
      <c r="Q265" s="300"/>
      <c r="R265" s="300"/>
      <c r="S265" s="300"/>
      <c r="T265" s="300"/>
      <c r="U265" s="300"/>
      <c r="V265" s="300"/>
      <c r="W265" s="300"/>
      <c r="X265" s="300"/>
      <c r="Y265" s="300"/>
      <c r="Z265" s="300"/>
      <c r="AA265" s="300"/>
      <c r="AB265" s="300"/>
      <c r="AC265" s="300"/>
    </row>
    <row r="266">
      <c r="A266" s="312"/>
      <c r="B266" s="321" t="s">
        <v>1535</v>
      </c>
      <c r="C266" s="322">
        <v>45880.0</v>
      </c>
      <c r="D266" s="321" t="s">
        <v>1536</v>
      </c>
      <c r="E266" s="323">
        <v>45938.0</v>
      </c>
      <c r="F266" s="321">
        <v>846.0</v>
      </c>
      <c r="G266" s="324">
        <v>45915.0</v>
      </c>
      <c r="H266" s="325" t="s">
        <v>902</v>
      </c>
      <c r="I266" s="325" t="s">
        <v>547</v>
      </c>
      <c r="J266" s="321">
        <v>10.0</v>
      </c>
      <c r="K266" s="321" t="s">
        <v>156</v>
      </c>
      <c r="L266" s="326">
        <v>198.0</v>
      </c>
      <c r="M266" s="105">
        <f t="shared" si="1"/>
        <v>1980</v>
      </c>
      <c r="N266" s="327" t="s">
        <v>1537</v>
      </c>
      <c r="O266" s="325" t="s">
        <v>1533</v>
      </c>
      <c r="P266" s="300"/>
      <c r="Q266" s="300"/>
      <c r="R266" s="300"/>
      <c r="S266" s="300"/>
      <c r="T266" s="300"/>
      <c r="U266" s="300"/>
      <c r="V266" s="300"/>
      <c r="W266" s="300"/>
      <c r="X266" s="300"/>
      <c r="Y266" s="300"/>
      <c r="Z266" s="300"/>
      <c r="AA266" s="300"/>
      <c r="AB266" s="300"/>
      <c r="AC266" s="300"/>
    </row>
    <row r="267">
      <c r="A267" s="312"/>
      <c r="B267" s="330" t="s">
        <v>1538</v>
      </c>
      <c r="C267" s="331">
        <v>45923.0</v>
      </c>
      <c r="D267" s="330" t="s">
        <v>1536</v>
      </c>
      <c r="E267" s="332">
        <v>45938.0</v>
      </c>
      <c r="F267" s="330">
        <v>848.0</v>
      </c>
      <c r="G267" s="334">
        <v>45924.0</v>
      </c>
      <c r="H267" s="325" t="s">
        <v>1539</v>
      </c>
      <c r="I267" s="325" t="s">
        <v>547</v>
      </c>
      <c r="J267" s="321">
        <v>7.0</v>
      </c>
      <c r="K267" s="321" t="s">
        <v>156</v>
      </c>
      <c r="L267" s="326">
        <v>120.0</v>
      </c>
      <c r="M267" s="105">
        <f t="shared" si="1"/>
        <v>840</v>
      </c>
      <c r="N267" s="327" t="s">
        <v>1537</v>
      </c>
      <c r="O267" s="325" t="s">
        <v>1533</v>
      </c>
      <c r="P267" s="300"/>
      <c r="Q267" s="300"/>
      <c r="R267" s="300"/>
      <c r="S267" s="300"/>
      <c r="T267" s="300"/>
      <c r="U267" s="300"/>
      <c r="V267" s="300"/>
      <c r="W267" s="300"/>
      <c r="X267" s="300"/>
      <c r="Y267" s="300"/>
      <c r="Z267" s="300"/>
      <c r="AA267" s="300"/>
      <c r="AB267" s="300"/>
      <c r="AC267" s="300"/>
    </row>
    <row r="268">
      <c r="A268" s="312"/>
      <c r="B268" s="48"/>
      <c r="C268" s="48"/>
      <c r="D268" s="48"/>
      <c r="E268" s="48"/>
      <c r="F268" s="48"/>
      <c r="G268" s="48"/>
      <c r="H268" s="325" t="s">
        <v>1540</v>
      </c>
      <c r="I268" s="325" t="s">
        <v>547</v>
      </c>
      <c r="J268" s="321">
        <v>1.0</v>
      </c>
      <c r="K268" s="321" t="s">
        <v>156</v>
      </c>
      <c r="L268" s="326">
        <v>25.0</v>
      </c>
      <c r="M268" s="105">
        <f t="shared" si="1"/>
        <v>25</v>
      </c>
      <c r="N268" s="327" t="s">
        <v>1537</v>
      </c>
      <c r="O268" s="325" t="s">
        <v>1533</v>
      </c>
      <c r="P268" s="300"/>
      <c r="Q268" s="300"/>
      <c r="R268" s="300"/>
      <c r="S268" s="300"/>
      <c r="T268" s="300"/>
      <c r="U268" s="300"/>
      <c r="V268" s="300"/>
      <c r="W268" s="300"/>
      <c r="X268" s="300"/>
      <c r="Y268" s="300"/>
      <c r="Z268" s="300"/>
      <c r="AA268" s="300"/>
      <c r="AB268" s="300"/>
      <c r="AC268" s="300"/>
    </row>
    <row r="269">
      <c r="A269" s="312"/>
      <c r="B269" s="321">
        <v>18.0</v>
      </c>
      <c r="C269" s="322">
        <v>45921.0</v>
      </c>
      <c r="D269" s="321" t="s">
        <v>1541</v>
      </c>
      <c r="E269" s="323">
        <v>45938.0</v>
      </c>
      <c r="F269" s="321">
        <v>854.0</v>
      </c>
      <c r="G269" s="324">
        <v>45936.0</v>
      </c>
      <c r="H269" s="325" t="s">
        <v>1542</v>
      </c>
      <c r="I269" s="336" t="s">
        <v>122</v>
      </c>
      <c r="J269" s="321">
        <v>70.0</v>
      </c>
      <c r="K269" s="321" t="s">
        <v>391</v>
      </c>
      <c r="L269" s="326">
        <v>430.0</v>
      </c>
      <c r="M269" s="105">
        <f t="shared" si="1"/>
        <v>30100</v>
      </c>
      <c r="N269" s="327" t="s">
        <v>208</v>
      </c>
      <c r="O269" s="325" t="s">
        <v>1397</v>
      </c>
      <c r="P269" s="300"/>
      <c r="Q269" s="300"/>
      <c r="R269" s="300"/>
      <c r="S269" s="300"/>
      <c r="T269" s="300"/>
      <c r="U269" s="300"/>
      <c r="V269" s="300"/>
      <c r="W269" s="300"/>
      <c r="X269" s="300"/>
      <c r="Y269" s="300"/>
      <c r="Z269" s="300"/>
      <c r="AA269" s="300"/>
      <c r="AB269" s="300"/>
      <c r="AC269" s="300"/>
    </row>
    <row r="270">
      <c r="A270" s="312"/>
      <c r="B270" s="321">
        <v>20.0</v>
      </c>
      <c r="C270" s="322">
        <v>45927.0</v>
      </c>
      <c r="D270" s="321" t="s">
        <v>1541</v>
      </c>
      <c r="E270" s="323">
        <v>45938.0</v>
      </c>
      <c r="F270" s="321">
        <v>854.0</v>
      </c>
      <c r="G270" s="324">
        <v>45936.0</v>
      </c>
      <c r="H270" s="325" t="s">
        <v>1542</v>
      </c>
      <c r="I270" s="336" t="s">
        <v>122</v>
      </c>
      <c r="J270" s="321">
        <v>360.0</v>
      </c>
      <c r="K270" s="321" t="s">
        <v>391</v>
      </c>
      <c r="L270" s="326">
        <v>430.0</v>
      </c>
      <c r="M270" s="105">
        <f t="shared" si="1"/>
        <v>154800</v>
      </c>
      <c r="N270" s="327" t="s">
        <v>208</v>
      </c>
      <c r="O270" s="325" t="s">
        <v>1397</v>
      </c>
      <c r="P270" s="300"/>
      <c r="Q270" s="300"/>
      <c r="R270" s="300"/>
      <c r="S270" s="300"/>
      <c r="T270" s="300"/>
      <c r="U270" s="300"/>
      <c r="V270" s="300"/>
      <c r="W270" s="300"/>
      <c r="X270" s="300"/>
      <c r="Y270" s="300"/>
      <c r="Z270" s="300"/>
      <c r="AA270" s="300"/>
      <c r="AB270" s="300"/>
      <c r="AC270" s="300"/>
    </row>
    <row r="271">
      <c r="A271" s="312"/>
      <c r="B271" s="321">
        <v>24.0</v>
      </c>
      <c r="C271" s="322">
        <v>45931.0</v>
      </c>
      <c r="D271" s="321" t="s">
        <v>1541</v>
      </c>
      <c r="E271" s="323">
        <v>45938.0</v>
      </c>
      <c r="F271" s="321">
        <v>854.0</v>
      </c>
      <c r="G271" s="324">
        <v>45936.0</v>
      </c>
      <c r="H271" s="325" t="s">
        <v>1542</v>
      </c>
      <c r="I271" s="336" t="s">
        <v>122</v>
      </c>
      <c r="J271" s="321">
        <v>360.0</v>
      </c>
      <c r="K271" s="321" t="s">
        <v>391</v>
      </c>
      <c r="L271" s="326">
        <v>430.0</v>
      </c>
      <c r="M271" s="105">
        <f t="shared" si="1"/>
        <v>154800</v>
      </c>
      <c r="N271" s="327" t="s">
        <v>208</v>
      </c>
      <c r="O271" s="325" t="s">
        <v>1397</v>
      </c>
      <c r="P271" s="300"/>
      <c r="Q271" s="300"/>
      <c r="R271" s="300"/>
      <c r="S271" s="300"/>
      <c r="T271" s="300"/>
      <c r="U271" s="300"/>
      <c r="V271" s="300"/>
      <c r="W271" s="300"/>
      <c r="X271" s="300"/>
      <c r="Y271" s="300"/>
      <c r="Z271" s="300"/>
      <c r="AA271" s="300"/>
      <c r="AB271" s="300"/>
      <c r="AC271" s="300"/>
    </row>
    <row r="272">
      <c r="A272" s="312"/>
      <c r="B272" s="321">
        <v>1869209.0</v>
      </c>
      <c r="C272" s="322">
        <v>45940.0</v>
      </c>
      <c r="D272" s="321" t="s">
        <v>1543</v>
      </c>
      <c r="E272" s="323">
        <v>45943.0</v>
      </c>
      <c r="F272" s="321">
        <v>858.0</v>
      </c>
      <c r="G272" s="324">
        <v>45940.0</v>
      </c>
      <c r="H272" s="325" t="s">
        <v>23</v>
      </c>
      <c r="I272" s="325" t="s">
        <v>1544</v>
      </c>
      <c r="J272" s="321">
        <v>2860.0</v>
      </c>
      <c r="K272" s="321" t="s">
        <v>25</v>
      </c>
      <c r="L272" s="326">
        <v>68.4</v>
      </c>
      <c r="M272" s="105">
        <f t="shared" si="1"/>
        <v>195624</v>
      </c>
      <c r="N272" s="327" t="s">
        <v>91</v>
      </c>
      <c r="O272" s="325" t="s">
        <v>1545</v>
      </c>
      <c r="P272" s="300"/>
      <c r="Q272" s="300"/>
      <c r="R272" s="300"/>
      <c r="S272" s="300"/>
      <c r="T272" s="300"/>
      <c r="U272" s="300"/>
      <c r="V272" s="300"/>
      <c r="W272" s="300"/>
      <c r="X272" s="300"/>
      <c r="Y272" s="300"/>
      <c r="Z272" s="300"/>
      <c r="AA272" s="300"/>
      <c r="AB272" s="300"/>
      <c r="AC272" s="300"/>
    </row>
    <row r="273">
      <c r="A273" s="312"/>
      <c r="B273" s="321">
        <v>1869185.0</v>
      </c>
      <c r="C273" s="322">
        <v>45940.0</v>
      </c>
      <c r="D273" s="321" t="s">
        <v>1543</v>
      </c>
      <c r="E273" s="323">
        <v>45943.0</v>
      </c>
      <c r="F273" s="321">
        <v>858.0</v>
      </c>
      <c r="G273" s="324">
        <v>45940.0</v>
      </c>
      <c r="H273" s="325" t="s">
        <v>36</v>
      </c>
      <c r="I273" s="325" t="s">
        <v>1544</v>
      </c>
      <c r="J273" s="321">
        <v>220.0</v>
      </c>
      <c r="K273" s="321" t="s">
        <v>25</v>
      </c>
      <c r="L273" s="326">
        <v>65.52</v>
      </c>
      <c r="M273" s="105">
        <f t="shared" si="1"/>
        <v>14414.4</v>
      </c>
      <c r="N273" s="327" t="s">
        <v>91</v>
      </c>
      <c r="O273" s="325" t="s">
        <v>1545</v>
      </c>
      <c r="P273" s="300"/>
      <c r="Q273" s="300"/>
      <c r="R273" s="300"/>
      <c r="S273" s="300"/>
      <c r="T273" s="300"/>
      <c r="U273" s="300"/>
      <c r="V273" s="300"/>
      <c r="W273" s="300"/>
      <c r="X273" s="300"/>
      <c r="Y273" s="300"/>
      <c r="Z273" s="300"/>
      <c r="AA273" s="300"/>
      <c r="AB273" s="300"/>
      <c r="AC273" s="300"/>
    </row>
    <row r="274">
      <c r="A274" s="312"/>
      <c r="B274" s="321">
        <v>168151.0</v>
      </c>
      <c r="C274" s="322">
        <v>45940.0</v>
      </c>
      <c r="D274" s="321" t="s">
        <v>1543</v>
      </c>
      <c r="E274" s="323">
        <v>45943.0</v>
      </c>
      <c r="F274" s="321">
        <v>858.0</v>
      </c>
      <c r="G274" s="324">
        <v>45940.0</v>
      </c>
      <c r="H274" s="325" t="s">
        <v>38</v>
      </c>
      <c r="I274" s="325" t="s">
        <v>1544</v>
      </c>
      <c r="J274" s="321">
        <v>240.0</v>
      </c>
      <c r="K274" s="321" t="s">
        <v>39</v>
      </c>
      <c r="L274" s="326">
        <v>20.0</v>
      </c>
      <c r="M274" s="105">
        <f t="shared" si="1"/>
        <v>4800</v>
      </c>
      <c r="N274" s="327" t="s">
        <v>1546</v>
      </c>
      <c r="O274" s="325" t="s">
        <v>1547</v>
      </c>
      <c r="P274" s="300"/>
      <c r="Q274" s="300"/>
      <c r="R274" s="300"/>
      <c r="S274" s="300"/>
      <c r="T274" s="300"/>
      <c r="U274" s="300"/>
      <c r="V274" s="300"/>
      <c r="W274" s="300"/>
      <c r="X274" s="300"/>
      <c r="Y274" s="300"/>
      <c r="Z274" s="300"/>
      <c r="AA274" s="300"/>
      <c r="AB274" s="300"/>
      <c r="AC274" s="300"/>
    </row>
    <row r="275">
      <c r="A275" s="312"/>
      <c r="B275" s="321">
        <v>271678.0</v>
      </c>
      <c r="C275" s="322">
        <v>45944.0</v>
      </c>
      <c r="D275" s="321" t="s">
        <v>1548</v>
      </c>
      <c r="E275" s="323">
        <v>45947.0</v>
      </c>
      <c r="F275" s="321">
        <v>859.0</v>
      </c>
      <c r="G275" s="324">
        <v>45944.0</v>
      </c>
      <c r="H275" s="325" t="s">
        <v>36</v>
      </c>
      <c r="I275" s="325" t="s">
        <v>1544</v>
      </c>
      <c r="J275" s="321">
        <v>220.0</v>
      </c>
      <c r="K275" s="321" t="s">
        <v>25</v>
      </c>
      <c r="L275" s="326">
        <v>65.52</v>
      </c>
      <c r="M275" s="105">
        <f t="shared" si="1"/>
        <v>14414.4</v>
      </c>
      <c r="N275" s="327" t="s">
        <v>91</v>
      </c>
      <c r="O275" s="336" t="s">
        <v>1549</v>
      </c>
      <c r="P275" s="300"/>
      <c r="Q275" s="300"/>
      <c r="R275" s="300"/>
      <c r="S275" s="300"/>
      <c r="T275" s="300"/>
      <c r="U275" s="300"/>
      <c r="V275" s="300"/>
      <c r="W275" s="300"/>
      <c r="X275" s="300"/>
      <c r="Y275" s="300"/>
      <c r="Z275" s="300"/>
      <c r="AA275" s="300"/>
      <c r="AB275" s="300"/>
      <c r="AC275" s="300"/>
    </row>
    <row r="276">
      <c r="A276" s="312"/>
      <c r="B276" s="321">
        <v>1882524.0</v>
      </c>
      <c r="C276" s="322">
        <v>45944.0</v>
      </c>
      <c r="D276" s="321" t="s">
        <v>1548</v>
      </c>
      <c r="E276" s="323">
        <v>45947.0</v>
      </c>
      <c r="F276" s="321">
        <v>859.0</v>
      </c>
      <c r="G276" s="324">
        <v>45944.0</v>
      </c>
      <c r="H276" s="325" t="s">
        <v>23</v>
      </c>
      <c r="I276" s="325" t="s">
        <v>1544</v>
      </c>
      <c r="J276" s="321">
        <v>2178.0</v>
      </c>
      <c r="K276" s="321" t="s">
        <v>25</v>
      </c>
      <c r="L276" s="326">
        <v>68.4</v>
      </c>
      <c r="M276" s="105">
        <f t="shared" si="1"/>
        <v>148975.2</v>
      </c>
      <c r="N276" s="327" t="s">
        <v>91</v>
      </c>
      <c r="O276" s="325" t="s">
        <v>1550</v>
      </c>
      <c r="P276" s="300"/>
      <c r="Q276" s="300"/>
      <c r="R276" s="300"/>
      <c r="S276" s="300"/>
      <c r="T276" s="300"/>
      <c r="U276" s="300"/>
      <c r="V276" s="300"/>
      <c r="W276" s="300"/>
      <c r="X276" s="300"/>
      <c r="Y276" s="300"/>
      <c r="Z276" s="300"/>
      <c r="AA276" s="300"/>
      <c r="AB276" s="300"/>
      <c r="AC276" s="300"/>
    </row>
    <row r="277">
      <c r="A277" s="312"/>
      <c r="B277" s="321">
        <v>271677.0</v>
      </c>
      <c r="C277" s="322">
        <v>45944.0</v>
      </c>
      <c r="D277" s="321" t="s">
        <v>1548</v>
      </c>
      <c r="E277" s="323">
        <v>45947.0</v>
      </c>
      <c r="F277" s="321">
        <v>859.0</v>
      </c>
      <c r="G277" s="324">
        <v>45944.0</v>
      </c>
      <c r="H277" s="325" t="s">
        <v>23</v>
      </c>
      <c r="I277" s="325" t="s">
        <v>1544</v>
      </c>
      <c r="J277" s="321">
        <v>1122.0</v>
      </c>
      <c r="K277" s="321" t="s">
        <v>1462</v>
      </c>
      <c r="L277" s="326">
        <v>68.4</v>
      </c>
      <c r="M277" s="105">
        <f t="shared" si="1"/>
        <v>76744.8</v>
      </c>
      <c r="N277" s="327" t="s">
        <v>91</v>
      </c>
      <c r="O277" s="325" t="s">
        <v>1550</v>
      </c>
      <c r="P277" s="300"/>
      <c r="Q277" s="300"/>
      <c r="R277" s="300"/>
      <c r="S277" s="300"/>
      <c r="T277" s="300"/>
      <c r="U277" s="300"/>
      <c r="V277" s="300"/>
      <c r="W277" s="300"/>
      <c r="X277" s="300"/>
      <c r="Y277" s="300"/>
      <c r="Z277" s="300"/>
      <c r="AA277" s="300"/>
      <c r="AB277" s="300"/>
      <c r="AC277" s="300"/>
    </row>
    <row r="278">
      <c r="A278" s="312"/>
      <c r="B278" s="321">
        <v>1899670.0</v>
      </c>
      <c r="C278" s="322">
        <v>45949.0</v>
      </c>
      <c r="D278" s="321" t="s">
        <v>1551</v>
      </c>
      <c r="E278" s="323">
        <v>45952.0</v>
      </c>
      <c r="F278" s="321">
        <v>860.0</v>
      </c>
      <c r="G278" s="324">
        <v>45949.0</v>
      </c>
      <c r="H278" s="325" t="s">
        <v>23</v>
      </c>
      <c r="I278" s="325" t="s">
        <v>1544</v>
      </c>
      <c r="J278" s="321">
        <v>1980.0</v>
      </c>
      <c r="K278" s="321" t="s">
        <v>1462</v>
      </c>
      <c r="L278" s="326">
        <v>68.24</v>
      </c>
      <c r="M278" s="105">
        <f t="shared" si="1"/>
        <v>135115.2</v>
      </c>
      <c r="N278" s="327" t="s">
        <v>91</v>
      </c>
      <c r="O278" s="325" t="s">
        <v>1552</v>
      </c>
      <c r="P278" s="300"/>
      <c r="Q278" s="300"/>
      <c r="R278" s="300"/>
      <c r="S278" s="300"/>
      <c r="T278" s="300"/>
      <c r="U278" s="300"/>
      <c r="V278" s="300"/>
      <c r="W278" s="300"/>
      <c r="X278" s="300"/>
      <c r="Y278" s="300"/>
      <c r="Z278" s="300"/>
      <c r="AA278" s="300"/>
      <c r="AB278" s="300"/>
      <c r="AC278" s="300"/>
    </row>
    <row r="279">
      <c r="A279" s="312"/>
      <c r="B279" s="321">
        <v>1899676.0</v>
      </c>
      <c r="C279" s="322">
        <v>45949.0</v>
      </c>
      <c r="D279" s="321" t="s">
        <v>1551</v>
      </c>
      <c r="E279" s="323">
        <v>45952.0</v>
      </c>
      <c r="F279" s="321">
        <v>860.0</v>
      </c>
      <c r="G279" s="324">
        <v>45949.0</v>
      </c>
      <c r="H279" s="325" t="s">
        <v>36</v>
      </c>
      <c r="I279" s="325" t="s">
        <v>1544</v>
      </c>
      <c r="J279" s="321">
        <v>220.0</v>
      </c>
      <c r="K279" s="321" t="s">
        <v>1462</v>
      </c>
      <c r="L279" s="326">
        <v>63.75</v>
      </c>
      <c r="M279" s="105">
        <f t="shared" si="1"/>
        <v>14025</v>
      </c>
      <c r="N279" s="327" t="s">
        <v>91</v>
      </c>
      <c r="O279" s="325" t="s">
        <v>1552</v>
      </c>
      <c r="P279" s="300"/>
      <c r="Q279" s="300"/>
      <c r="R279" s="300"/>
      <c r="S279" s="300"/>
      <c r="T279" s="300"/>
      <c r="U279" s="300"/>
      <c r="V279" s="300"/>
      <c r="W279" s="300"/>
      <c r="X279" s="300"/>
      <c r="Y279" s="300"/>
      <c r="Z279" s="300"/>
      <c r="AA279" s="300"/>
      <c r="AB279" s="300"/>
      <c r="AC279" s="300"/>
    </row>
    <row r="280">
      <c r="A280" s="312"/>
      <c r="B280" s="321">
        <v>130915.0</v>
      </c>
      <c r="C280" s="322">
        <v>45949.0</v>
      </c>
      <c r="D280" s="321" t="s">
        <v>1551</v>
      </c>
      <c r="E280" s="323">
        <v>45952.0</v>
      </c>
      <c r="F280" s="321">
        <v>860.0</v>
      </c>
      <c r="G280" s="324">
        <v>45949.0</v>
      </c>
      <c r="H280" s="325" t="s">
        <v>38</v>
      </c>
      <c r="I280" s="325" t="s">
        <v>1544</v>
      </c>
      <c r="J280" s="321">
        <v>480.0</v>
      </c>
      <c r="K280" s="321" t="s">
        <v>39</v>
      </c>
      <c r="L280" s="326">
        <v>20.0</v>
      </c>
      <c r="M280" s="105">
        <f t="shared" si="1"/>
        <v>9600</v>
      </c>
      <c r="N280" s="327" t="s">
        <v>1546</v>
      </c>
      <c r="O280" s="325" t="s">
        <v>1552</v>
      </c>
      <c r="P280" s="300"/>
      <c r="Q280" s="300"/>
      <c r="R280" s="300"/>
      <c r="S280" s="300"/>
      <c r="T280" s="300"/>
      <c r="U280" s="300"/>
      <c r="V280" s="300"/>
      <c r="W280" s="300"/>
      <c r="X280" s="300"/>
      <c r="Y280" s="300"/>
      <c r="Z280" s="300"/>
      <c r="AA280" s="300"/>
      <c r="AB280" s="300"/>
      <c r="AC280" s="300"/>
    </row>
    <row r="281">
      <c r="A281" s="312"/>
      <c r="B281" s="321">
        <v>6796.0</v>
      </c>
      <c r="C281" s="322">
        <v>45948.0</v>
      </c>
      <c r="D281" s="321" t="s">
        <v>1551</v>
      </c>
      <c r="E281" s="323">
        <v>45952.0</v>
      </c>
      <c r="F281" s="321">
        <v>860.0</v>
      </c>
      <c r="G281" s="324">
        <v>45949.0</v>
      </c>
      <c r="H281" s="325" t="s">
        <v>1553</v>
      </c>
      <c r="I281" s="325" t="s">
        <v>1544</v>
      </c>
      <c r="J281" s="321">
        <v>400.0</v>
      </c>
      <c r="K281" s="321" t="s">
        <v>1462</v>
      </c>
      <c r="L281" s="326">
        <v>47.0</v>
      </c>
      <c r="M281" s="105">
        <f t="shared" si="1"/>
        <v>18800</v>
      </c>
      <c r="N281" s="327" t="s">
        <v>1554</v>
      </c>
      <c r="O281" s="325" t="s">
        <v>1552</v>
      </c>
      <c r="P281" s="300"/>
      <c r="Q281" s="300"/>
      <c r="R281" s="300"/>
      <c r="S281" s="300"/>
      <c r="T281" s="300"/>
      <c r="U281" s="300"/>
      <c r="V281" s="300"/>
      <c r="W281" s="300"/>
      <c r="X281" s="300"/>
      <c r="Y281" s="300"/>
      <c r="Z281" s="300"/>
      <c r="AA281" s="300"/>
      <c r="AB281" s="300"/>
      <c r="AC281" s="300"/>
    </row>
    <row r="282">
      <c r="A282" s="312"/>
      <c r="B282" s="321">
        <v>130913.0</v>
      </c>
      <c r="C282" s="322">
        <v>45949.0</v>
      </c>
      <c r="D282" s="321" t="s">
        <v>1551</v>
      </c>
      <c r="E282" s="323">
        <v>45952.0</v>
      </c>
      <c r="F282" s="321">
        <v>860.0</v>
      </c>
      <c r="G282" s="324">
        <v>45949.0</v>
      </c>
      <c r="H282" s="325" t="s">
        <v>1555</v>
      </c>
      <c r="I282" s="336" t="s">
        <v>268</v>
      </c>
      <c r="J282" s="321">
        <v>1.0</v>
      </c>
      <c r="K282" s="321" t="s">
        <v>156</v>
      </c>
      <c r="L282" s="326">
        <v>2200.0</v>
      </c>
      <c r="M282" s="105">
        <f t="shared" si="1"/>
        <v>2200</v>
      </c>
      <c r="N282" s="327" t="s">
        <v>1546</v>
      </c>
      <c r="O282" s="312"/>
      <c r="P282" s="300"/>
      <c r="Q282" s="300"/>
      <c r="R282" s="300"/>
      <c r="S282" s="300"/>
      <c r="T282" s="300"/>
      <c r="U282" s="300"/>
      <c r="V282" s="300"/>
      <c r="W282" s="300"/>
      <c r="X282" s="300"/>
      <c r="Y282" s="300"/>
      <c r="Z282" s="300"/>
      <c r="AA282" s="300"/>
      <c r="AB282" s="300"/>
      <c r="AC282" s="300"/>
    </row>
    <row r="283">
      <c r="A283" s="312"/>
      <c r="B283" s="321">
        <v>1016.0</v>
      </c>
      <c r="C283" s="322">
        <v>45947.0</v>
      </c>
      <c r="D283" s="321" t="s">
        <v>1551</v>
      </c>
      <c r="E283" s="323">
        <v>45952.0</v>
      </c>
      <c r="F283" s="321">
        <v>860.0</v>
      </c>
      <c r="G283" s="324">
        <v>45949.0</v>
      </c>
      <c r="H283" s="325" t="s">
        <v>1556</v>
      </c>
      <c r="I283" s="336" t="s">
        <v>268</v>
      </c>
      <c r="J283" s="321">
        <v>3.0</v>
      </c>
      <c r="K283" s="321" t="s">
        <v>156</v>
      </c>
      <c r="L283" s="326">
        <v>2200.0</v>
      </c>
      <c r="M283" s="105">
        <f t="shared" si="1"/>
        <v>6600</v>
      </c>
      <c r="N283" s="327" t="s">
        <v>1557</v>
      </c>
      <c r="O283" s="312"/>
      <c r="P283" s="300"/>
      <c r="Q283" s="300"/>
      <c r="R283" s="300"/>
      <c r="S283" s="300"/>
      <c r="T283" s="300"/>
      <c r="U283" s="300"/>
      <c r="V283" s="300"/>
      <c r="W283" s="300"/>
      <c r="X283" s="300"/>
      <c r="Y283" s="300"/>
      <c r="Z283" s="300"/>
      <c r="AA283" s="300"/>
      <c r="AB283" s="300"/>
      <c r="AC283" s="300"/>
    </row>
    <row r="284">
      <c r="A284" s="312"/>
      <c r="B284" s="330">
        <v>261.0</v>
      </c>
      <c r="C284" s="331">
        <v>45931.0</v>
      </c>
      <c r="D284" s="330" t="s">
        <v>1558</v>
      </c>
      <c r="E284" s="332">
        <v>45952.0</v>
      </c>
      <c r="F284" s="330">
        <v>853.0</v>
      </c>
      <c r="G284" s="334">
        <v>45936.0</v>
      </c>
      <c r="H284" s="325" t="s">
        <v>1559</v>
      </c>
      <c r="I284" s="325" t="s">
        <v>1516</v>
      </c>
      <c r="J284" s="321">
        <v>14.0</v>
      </c>
      <c r="K284" s="321" t="s">
        <v>981</v>
      </c>
      <c r="L284" s="326">
        <v>2806.0</v>
      </c>
      <c r="M284" s="105">
        <f t="shared" si="1"/>
        <v>39284</v>
      </c>
      <c r="N284" s="327" t="s">
        <v>1560</v>
      </c>
      <c r="O284" s="325" t="s">
        <v>1561</v>
      </c>
      <c r="P284" s="300"/>
      <c r="Q284" s="300"/>
      <c r="R284" s="300"/>
      <c r="S284" s="300"/>
      <c r="T284" s="300"/>
      <c r="U284" s="300"/>
      <c r="V284" s="300"/>
      <c r="W284" s="300"/>
      <c r="X284" s="300"/>
      <c r="Y284" s="300"/>
      <c r="Z284" s="300"/>
      <c r="AA284" s="300"/>
      <c r="AB284" s="300"/>
      <c r="AC284" s="300"/>
    </row>
    <row r="285">
      <c r="A285" s="312"/>
      <c r="B285" s="47"/>
      <c r="C285" s="47"/>
      <c r="D285" s="47"/>
      <c r="E285" s="47"/>
      <c r="F285" s="47"/>
      <c r="G285" s="47"/>
      <c r="H285" s="325" t="s">
        <v>1562</v>
      </c>
      <c r="I285" s="325" t="s">
        <v>1516</v>
      </c>
      <c r="J285" s="321">
        <v>10.0</v>
      </c>
      <c r="K285" s="321" t="s">
        <v>981</v>
      </c>
      <c r="L285" s="326">
        <v>3669.0</v>
      </c>
      <c r="M285" s="105">
        <f t="shared" si="1"/>
        <v>36690</v>
      </c>
      <c r="N285" s="327" t="s">
        <v>1560</v>
      </c>
      <c r="O285" s="325" t="s">
        <v>1561</v>
      </c>
      <c r="P285" s="300"/>
      <c r="Q285" s="300"/>
      <c r="R285" s="300"/>
      <c r="S285" s="300"/>
      <c r="T285" s="300"/>
      <c r="U285" s="300"/>
      <c r="V285" s="300"/>
      <c r="W285" s="300"/>
      <c r="X285" s="300"/>
      <c r="Y285" s="300"/>
      <c r="Z285" s="300"/>
      <c r="AA285" s="300"/>
      <c r="AB285" s="300"/>
      <c r="AC285" s="300"/>
    </row>
    <row r="286">
      <c r="A286" s="312"/>
      <c r="B286" s="48"/>
      <c r="C286" s="48"/>
      <c r="D286" s="48"/>
      <c r="E286" s="48"/>
      <c r="F286" s="48"/>
      <c r="G286" s="48"/>
      <c r="H286" s="325" t="s">
        <v>1563</v>
      </c>
      <c r="I286" s="325" t="s">
        <v>1516</v>
      </c>
      <c r="J286" s="321">
        <v>1.0</v>
      </c>
      <c r="K286" s="321" t="s">
        <v>98</v>
      </c>
      <c r="L286" s="326">
        <v>15107.0</v>
      </c>
      <c r="M286" s="105">
        <f t="shared" si="1"/>
        <v>15107</v>
      </c>
      <c r="N286" s="327" t="s">
        <v>1560</v>
      </c>
      <c r="O286" s="325" t="s">
        <v>1561</v>
      </c>
      <c r="P286" s="300"/>
      <c r="Q286" s="300"/>
      <c r="R286" s="300"/>
      <c r="S286" s="300"/>
      <c r="T286" s="300"/>
      <c r="U286" s="300"/>
      <c r="V286" s="300"/>
      <c r="W286" s="300"/>
      <c r="X286" s="300"/>
      <c r="Y286" s="300"/>
      <c r="Z286" s="300"/>
      <c r="AA286" s="300"/>
      <c r="AB286" s="300"/>
      <c r="AC286" s="300"/>
    </row>
    <row r="287">
      <c r="A287" s="312"/>
      <c r="B287" s="321" t="s">
        <v>1564</v>
      </c>
      <c r="C287" s="322">
        <v>45929.0</v>
      </c>
      <c r="D287" s="321" t="s">
        <v>1565</v>
      </c>
      <c r="E287" s="323">
        <v>45953.0</v>
      </c>
      <c r="F287" s="321">
        <v>852.0</v>
      </c>
      <c r="G287" s="324">
        <v>45930.0</v>
      </c>
      <c r="H287" s="325" t="s">
        <v>1566</v>
      </c>
      <c r="I287" s="325" t="s">
        <v>29</v>
      </c>
      <c r="J287" s="321">
        <v>50.0</v>
      </c>
      <c r="K287" s="321" t="s">
        <v>156</v>
      </c>
      <c r="L287" s="326">
        <v>430.0</v>
      </c>
      <c r="M287" s="105">
        <f t="shared" si="1"/>
        <v>21500</v>
      </c>
      <c r="N287" s="327" t="s">
        <v>1495</v>
      </c>
      <c r="O287" s="325" t="s">
        <v>1561</v>
      </c>
      <c r="P287" s="300"/>
      <c r="Q287" s="300"/>
      <c r="R287" s="300"/>
      <c r="S287" s="300"/>
      <c r="T287" s="300"/>
      <c r="U287" s="300"/>
      <c r="V287" s="300"/>
      <c r="W287" s="300"/>
      <c r="X287" s="300"/>
      <c r="Y287" s="300"/>
      <c r="Z287" s="300"/>
      <c r="AA287" s="300"/>
      <c r="AB287" s="300"/>
      <c r="AC287" s="300"/>
    </row>
    <row r="288">
      <c r="A288" s="312"/>
      <c r="B288" s="330" t="s">
        <v>1567</v>
      </c>
      <c r="C288" s="331">
        <v>45940.0</v>
      </c>
      <c r="D288" s="330" t="s">
        <v>1565</v>
      </c>
      <c r="E288" s="332">
        <v>45953.0</v>
      </c>
      <c r="F288" s="330">
        <v>858.0</v>
      </c>
      <c r="G288" s="324">
        <v>45940.0</v>
      </c>
      <c r="H288" s="325" t="s">
        <v>1568</v>
      </c>
      <c r="I288" s="325" t="s">
        <v>1499</v>
      </c>
      <c r="J288" s="321">
        <v>1.0</v>
      </c>
      <c r="K288" s="321" t="s">
        <v>1486</v>
      </c>
      <c r="L288" s="326">
        <v>10275.0</v>
      </c>
      <c r="M288" s="105">
        <f t="shared" si="1"/>
        <v>10275</v>
      </c>
      <c r="N288" s="327" t="s">
        <v>1495</v>
      </c>
      <c r="O288" s="325" t="s">
        <v>1569</v>
      </c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300"/>
      <c r="AA288" s="300"/>
      <c r="AB288" s="300"/>
      <c r="AC288" s="300"/>
    </row>
    <row r="289">
      <c r="A289" s="312"/>
      <c r="B289" s="48"/>
      <c r="C289" s="48"/>
      <c r="D289" s="48"/>
      <c r="E289" s="48"/>
      <c r="F289" s="48"/>
      <c r="G289" s="324">
        <v>45940.0</v>
      </c>
      <c r="H289" s="325" t="s">
        <v>1570</v>
      </c>
      <c r="I289" s="325" t="s">
        <v>1571</v>
      </c>
      <c r="J289" s="321">
        <v>3.0</v>
      </c>
      <c r="K289" s="321" t="s">
        <v>156</v>
      </c>
      <c r="L289" s="326">
        <v>195.0</v>
      </c>
      <c r="M289" s="105">
        <f t="shared" si="1"/>
        <v>585</v>
      </c>
      <c r="N289" s="327" t="s">
        <v>1495</v>
      </c>
      <c r="O289" s="325" t="s">
        <v>1572</v>
      </c>
      <c r="P289" s="300"/>
      <c r="Q289" s="300"/>
      <c r="R289" s="300"/>
      <c r="S289" s="300"/>
      <c r="T289" s="300"/>
      <c r="U289" s="300"/>
      <c r="V289" s="300"/>
      <c r="W289" s="300"/>
      <c r="X289" s="300"/>
      <c r="Y289" s="300"/>
      <c r="Z289" s="300"/>
      <c r="AA289" s="300"/>
      <c r="AB289" s="300"/>
      <c r="AC289" s="300"/>
    </row>
    <row r="290">
      <c r="A290" s="312"/>
      <c r="B290" s="328">
        <v>66.0</v>
      </c>
      <c r="C290" s="322">
        <v>45940.0</v>
      </c>
      <c r="D290" s="321" t="s">
        <v>1573</v>
      </c>
      <c r="E290" s="323">
        <v>45953.0</v>
      </c>
      <c r="F290" s="321">
        <v>857.0</v>
      </c>
      <c r="G290" s="324">
        <v>45940.0</v>
      </c>
      <c r="H290" s="325" t="s">
        <v>1273</v>
      </c>
      <c r="I290" s="325" t="s">
        <v>55</v>
      </c>
      <c r="J290" s="321">
        <v>60.0</v>
      </c>
      <c r="K290" s="321" t="s">
        <v>165</v>
      </c>
      <c r="L290" s="326">
        <v>100.0</v>
      </c>
      <c r="M290" s="105">
        <f t="shared" si="1"/>
        <v>6000</v>
      </c>
      <c r="N290" s="327" t="s">
        <v>1368</v>
      </c>
      <c r="O290" s="325" t="s">
        <v>1574</v>
      </c>
      <c r="P290" s="300"/>
      <c r="Q290" s="300"/>
      <c r="R290" s="300"/>
      <c r="S290" s="300"/>
      <c r="T290" s="300"/>
      <c r="U290" s="300"/>
      <c r="V290" s="300"/>
      <c r="W290" s="300"/>
      <c r="X290" s="300"/>
      <c r="Y290" s="300"/>
      <c r="Z290" s="300"/>
      <c r="AA290" s="300"/>
      <c r="AB290" s="300"/>
      <c r="AC290" s="300"/>
    </row>
    <row r="291">
      <c r="A291" s="312"/>
      <c r="B291" s="330">
        <v>1143.0</v>
      </c>
      <c r="C291" s="331">
        <v>45940.0</v>
      </c>
      <c r="D291" s="330" t="s">
        <v>1575</v>
      </c>
      <c r="E291" s="332">
        <v>45953.0</v>
      </c>
      <c r="F291" s="335">
        <v>857.0</v>
      </c>
      <c r="G291" s="334">
        <v>45940.0</v>
      </c>
      <c r="H291" s="325" t="s">
        <v>1189</v>
      </c>
      <c r="I291" s="325" t="s">
        <v>1499</v>
      </c>
      <c r="J291" s="321">
        <v>30.0</v>
      </c>
      <c r="K291" s="321" t="s">
        <v>981</v>
      </c>
      <c r="L291" s="326">
        <v>12.0</v>
      </c>
      <c r="M291" s="105">
        <f t="shared" si="1"/>
        <v>360</v>
      </c>
      <c r="N291" s="327" t="s">
        <v>99</v>
      </c>
      <c r="O291" s="325" t="s">
        <v>1576</v>
      </c>
      <c r="P291" s="300"/>
      <c r="Q291" s="300"/>
      <c r="R291" s="300"/>
      <c r="S291" s="300"/>
      <c r="T291" s="300"/>
      <c r="U291" s="300"/>
      <c r="V291" s="300"/>
      <c r="W291" s="300"/>
      <c r="X291" s="300"/>
      <c r="Y291" s="300"/>
      <c r="Z291" s="300"/>
      <c r="AA291" s="300"/>
      <c r="AB291" s="300"/>
      <c r="AC291" s="300"/>
    </row>
    <row r="292">
      <c r="A292" s="312"/>
      <c r="B292" s="47"/>
      <c r="C292" s="47"/>
      <c r="D292" s="47"/>
      <c r="E292" s="47"/>
      <c r="F292" s="47"/>
      <c r="G292" s="47"/>
      <c r="H292" s="325" t="s">
        <v>1577</v>
      </c>
      <c r="I292" s="325" t="s">
        <v>29</v>
      </c>
      <c r="J292" s="321">
        <v>2.0</v>
      </c>
      <c r="K292" s="321" t="s">
        <v>1004</v>
      </c>
      <c r="L292" s="326">
        <v>210.0</v>
      </c>
      <c r="M292" s="105">
        <f t="shared" si="1"/>
        <v>420</v>
      </c>
      <c r="N292" s="327" t="s">
        <v>99</v>
      </c>
      <c r="O292" s="325" t="s">
        <v>1576</v>
      </c>
      <c r="P292" s="300"/>
      <c r="Q292" s="300"/>
      <c r="R292" s="300"/>
      <c r="S292" s="300"/>
      <c r="T292" s="300"/>
      <c r="U292" s="300"/>
      <c r="V292" s="300"/>
      <c r="W292" s="300"/>
      <c r="X292" s="300"/>
      <c r="Y292" s="300"/>
      <c r="Z292" s="300"/>
      <c r="AA292" s="300"/>
      <c r="AB292" s="300"/>
      <c r="AC292" s="300"/>
    </row>
    <row r="293">
      <c r="A293" s="312"/>
      <c r="B293" s="47"/>
      <c r="C293" s="47"/>
      <c r="D293" s="47"/>
      <c r="E293" s="47"/>
      <c r="F293" s="47"/>
      <c r="G293" s="47"/>
      <c r="H293" s="325" t="s">
        <v>1578</v>
      </c>
      <c r="I293" s="325" t="s">
        <v>29</v>
      </c>
      <c r="J293" s="321">
        <v>2.0</v>
      </c>
      <c r="K293" s="321" t="s">
        <v>156</v>
      </c>
      <c r="L293" s="326">
        <v>250.0</v>
      </c>
      <c r="M293" s="105">
        <f t="shared" si="1"/>
        <v>500</v>
      </c>
      <c r="N293" s="327" t="s">
        <v>99</v>
      </c>
      <c r="O293" s="325" t="s">
        <v>1576</v>
      </c>
      <c r="P293" s="300"/>
      <c r="Q293" s="300"/>
      <c r="R293" s="300"/>
      <c r="S293" s="300"/>
      <c r="T293" s="300"/>
      <c r="U293" s="300"/>
      <c r="V293" s="300"/>
      <c r="W293" s="300"/>
      <c r="X293" s="300"/>
      <c r="Y293" s="300"/>
      <c r="Z293" s="300"/>
      <c r="AA293" s="300"/>
      <c r="AB293" s="300"/>
      <c r="AC293" s="300"/>
    </row>
    <row r="294">
      <c r="A294" s="312"/>
      <c r="B294" s="47"/>
      <c r="C294" s="47"/>
      <c r="D294" s="47"/>
      <c r="E294" s="47"/>
      <c r="F294" s="47"/>
      <c r="G294" s="47"/>
      <c r="H294" s="325" t="s">
        <v>1579</v>
      </c>
      <c r="I294" s="325" t="s">
        <v>294</v>
      </c>
      <c r="J294" s="321">
        <v>3.0</v>
      </c>
      <c r="K294" s="321" t="s">
        <v>39</v>
      </c>
      <c r="L294" s="326">
        <v>600.0</v>
      </c>
      <c r="M294" s="105">
        <f t="shared" si="1"/>
        <v>1800</v>
      </c>
      <c r="N294" s="327" t="s">
        <v>99</v>
      </c>
      <c r="O294" s="325" t="s">
        <v>1580</v>
      </c>
      <c r="P294" s="300"/>
      <c r="Q294" s="300"/>
      <c r="R294" s="300"/>
      <c r="S294" s="300"/>
      <c r="T294" s="300"/>
      <c r="U294" s="300"/>
      <c r="V294" s="300"/>
      <c r="W294" s="300"/>
      <c r="X294" s="300"/>
      <c r="Y294" s="300"/>
      <c r="Z294" s="300"/>
      <c r="AA294" s="300"/>
      <c r="AB294" s="300"/>
      <c r="AC294" s="300"/>
    </row>
    <row r="295">
      <c r="A295" s="312"/>
      <c r="B295" s="47"/>
      <c r="C295" s="47"/>
      <c r="D295" s="47"/>
      <c r="E295" s="47"/>
      <c r="F295" s="48"/>
      <c r="G295" s="48"/>
      <c r="H295" s="325" t="s">
        <v>1581</v>
      </c>
      <c r="I295" s="325" t="s">
        <v>294</v>
      </c>
      <c r="J295" s="321">
        <v>3.0</v>
      </c>
      <c r="K295" s="321" t="s">
        <v>39</v>
      </c>
      <c r="L295" s="326">
        <v>600.0</v>
      </c>
      <c r="M295" s="105">
        <f t="shared" si="1"/>
        <v>1800</v>
      </c>
      <c r="N295" s="327" t="s">
        <v>99</v>
      </c>
      <c r="O295" s="325" t="s">
        <v>1580</v>
      </c>
      <c r="P295" s="300"/>
      <c r="Q295" s="300"/>
      <c r="R295" s="300"/>
      <c r="S295" s="300"/>
      <c r="T295" s="300"/>
      <c r="U295" s="300"/>
      <c r="V295" s="300"/>
      <c r="W295" s="300"/>
      <c r="X295" s="300"/>
      <c r="Y295" s="300"/>
      <c r="Z295" s="300"/>
      <c r="AA295" s="300"/>
      <c r="AB295" s="300"/>
      <c r="AC295" s="300"/>
    </row>
    <row r="296">
      <c r="A296" s="312"/>
      <c r="B296" s="48"/>
      <c r="C296" s="48"/>
      <c r="D296" s="48"/>
      <c r="E296" s="48"/>
      <c r="F296" s="337">
        <v>858.0</v>
      </c>
      <c r="G296" s="324">
        <v>45940.0</v>
      </c>
      <c r="H296" s="325" t="s">
        <v>1582</v>
      </c>
      <c r="I296" s="325" t="s">
        <v>1499</v>
      </c>
      <c r="J296" s="321">
        <v>20.0</v>
      </c>
      <c r="K296" s="321" t="s">
        <v>156</v>
      </c>
      <c r="L296" s="326">
        <v>165.0</v>
      </c>
      <c r="M296" s="105">
        <f t="shared" si="1"/>
        <v>3300</v>
      </c>
      <c r="N296" s="327" t="s">
        <v>99</v>
      </c>
      <c r="O296" s="325" t="s">
        <v>1576</v>
      </c>
      <c r="P296" s="300"/>
      <c r="Q296" s="300"/>
      <c r="R296" s="300"/>
      <c r="S296" s="300"/>
      <c r="T296" s="300"/>
      <c r="U296" s="300"/>
      <c r="V296" s="300"/>
      <c r="W296" s="300"/>
      <c r="X296" s="300"/>
      <c r="Y296" s="300"/>
      <c r="Z296" s="300"/>
      <c r="AA296" s="300"/>
      <c r="AB296" s="300"/>
      <c r="AC296" s="300"/>
    </row>
    <row r="297">
      <c r="A297" s="312"/>
      <c r="B297" s="321">
        <v>13.0</v>
      </c>
      <c r="C297" s="322">
        <v>45943.0</v>
      </c>
      <c r="D297" s="321" t="s">
        <v>1583</v>
      </c>
      <c r="E297" s="323">
        <v>45952.0</v>
      </c>
      <c r="F297" s="321">
        <v>859.0</v>
      </c>
      <c r="G297" s="324">
        <v>45944.0</v>
      </c>
      <c r="H297" s="325" t="s">
        <v>1584</v>
      </c>
      <c r="I297" s="325" t="s">
        <v>547</v>
      </c>
      <c r="J297" s="321">
        <v>30.0</v>
      </c>
      <c r="K297" s="321" t="s">
        <v>156</v>
      </c>
      <c r="L297" s="326">
        <v>79.0</v>
      </c>
      <c r="M297" s="105">
        <f t="shared" si="1"/>
        <v>2370</v>
      </c>
      <c r="N297" s="327" t="s">
        <v>1532</v>
      </c>
      <c r="O297" s="325" t="s">
        <v>1533</v>
      </c>
      <c r="P297" s="300"/>
      <c r="Q297" s="300"/>
      <c r="R297" s="300"/>
      <c r="S297" s="300"/>
      <c r="T297" s="300"/>
      <c r="U297" s="300"/>
      <c r="V297" s="300"/>
      <c r="W297" s="300"/>
      <c r="X297" s="300"/>
      <c r="Y297" s="300"/>
      <c r="Z297" s="300"/>
      <c r="AA297" s="300"/>
      <c r="AB297" s="300"/>
      <c r="AC297" s="300"/>
    </row>
    <row r="298">
      <c r="A298" s="312"/>
      <c r="B298" s="321">
        <v>25.0</v>
      </c>
      <c r="C298" s="322">
        <v>45939.0</v>
      </c>
      <c r="D298" s="321" t="s">
        <v>1585</v>
      </c>
      <c r="E298" s="323">
        <v>45953.0</v>
      </c>
      <c r="F298" s="321">
        <v>860.0</v>
      </c>
      <c r="G298" s="324">
        <v>45949.0</v>
      </c>
      <c r="H298" s="325" t="s">
        <v>1542</v>
      </c>
      <c r="I298" s="336" t="s">
        <v>122</v>
      </c>
      <c r="J298" s="321">
        <v>360.0</v>
      </c>
      <c r="K298" s="321" t="s">
        <v>391</v>
      </c>
      <c r="L298" s="326">
        <v>430.0</v>
      </c>
      <c r="M298" s="105">
        <f t="shared" si="1"/>
        <v>154800</v>
      </c>
      <c r="N298" s="327" t="s">
        <v>208</v>
      </c>
      <c r="O298" s="325" t="s">
        <v>1438</v>
      </c>
      <c r="P298" s="300"/>
      <c r="Q298" s="300"/>
      <c r="R298" s="300"/>
      <c r="S298" s="300"/>
      <c r="T298" s="300"/>
      <c r="U298" s="300"/>
      <c r="V298" s="300"/>
      <c r="W298" s="300"/>
      <c r="X298" s="300"/>
      <c r="Y298" s="300"/>
      <c r="Z298" s="300"/>
      <c r="AA298" s="300"/>
      <c r="AB298" s="300"/>
      <c r="AC298" s="300"/>
    </row>
    <row r="299">
      <c r="A299" s="312"/>
      <c r="B299" s="321">
        <v>499.0</v>
      </c>
      <c r="C299" s="322">
        <v>45924.0</v>
      </c>
      <c r="D299" s="321" t="s">
        <v>1586</v>
      </c>
      <c r="E299" s="323">
        <v>45953.0</v>
      </c>
      <c r="F299" s="321">
        <v>857.0</v>
      </c>
      <c r="G299" s="324">
        <v>45940.0</v>
      </c>
      <c r="H299" s="325" t="s">
        <v>1587</v>
      </c>
      <c r="I299" s="325" t="s">
        <v>76</v>
      </c>
      <c r="J299" s="321">
        <v>9.0</v>
      </c>
      <c r="K299" s="321" t="s">
        <v>586</v>
      </c>
      <c r="L299" s="326">
        <v>16000.0</v>
      </c>
      <c r="M299" s="105">
        <f t="shared" si="1"/>
        <v>144000</v>
      </c>
      <c r="N299" s="327" t="s">
        <v>208</v>
      </c>
      <c r="O299" s="325" t="s">
        <v>1561</v>
      </c>
      <c r="P299" s="300"/>
      <c r="Q299" s="300"/>
      <c r="R299" s="300"/>
      <c r="S299" s="300"/>
      <c r="T299" s="300"/>
      <c r="U299" s="300"/>
      <c r="V299" s="300"/>
      <c r="W299" s="300"/>
      <c r="X299" s="300"/>
      <c r="Y299" s="300"/>
      <c r="Z299" s="300"/>
      <c r="AA299" s="300"/>
      <c r="AB299" s="300"/>
      <c r="AC299" s="300"/>
    </row>
    <row r="300">
      <c r="A300" s="312"/>
      <c r="B300" s="321">
        <v>450.0</v>
      </c>
      <c r="C300" s="322">
        <v>45925.0</v>
      </c>
      <c r="D300" s="321" t="s">
        <v>1586</v>
      </c>
      <c r="E300" s="323">
        <v>45953.0</v>
      </c>
      <c r="F300" s="321">
        <v>857.0</v>
      </c>
      <c r="G300" s="324">
        <v>45940.0</v>
      </c>
      <c r="H300" s="325" t="s">
        <v>1587</v>
      </c>
      <c r="I300" s="325" t="s">
        <v>76</v>
      </c>
      <c r="J300" s="321">
        <v>7.0</v>
      </c>
      <c r="K300" s="321" t="s">
        <v>967</v>
      </c>
      <c r="L300" s="326">
        <v>16000.0</v>
      </c>
      <c r="M300" s="105">
        <f t="shared" si="1"/>
        <v>112000</v>
      </c>
      <c r="N300" s="327" t="s">
        <v>208</v>
      </c>
      <c r="O300" s="325" t="s">
        <v>1561</v>
      </c>
      <c r="P300" s="300"/>
      <c r="Q300" s="300"/>
      <c r="R300" s="300"/>
      <c r="S300" s="300"/>
      <c r="T300" s="300"/>
      <c r="U300" s="300"/>
      <c r="V300" s="300"/>
      <c r="W300" s="300"/>
      <c r="X300" s="300"/>
      <c r="Y300" s="300"/>
      <c r="Z300" s="300"/>
      <c r="AA300" s="300"/>
      <c r="AB300" s="300"/>
      <c r="AC300" s="300"/>
    </row>
    <row r="301">
      <c r="A301" s="312"/>
      <c r="B301" s="328">
        <v>451.0</v>
      </c>
      <c r="C301" s="322">
        <v>45926.0</v>
      </c>
      <c r="D301" s="321" t="s">
        <v>1586</v>
      </c>
      <c r="E301" s="323">
        <v>45953.0</v>
      </c>
      <c r="F301" s="321">
        <v>857.0</v>
      </c>
      <c r="G301" s="324">
        <v>45940.0</v>
      </c>
      <c r="H301" s="325" t="s">
        <v>1588</v>
      </c>
      <c r="I301" s="325" t="s">
        <v>76</v>
      </c>
      <c r="J301" s="321">
        <v>8.0</v>
      </c>
      <c r="K301" s="321" t="s">
        <v>967</v>
      </c>
      <c r="L301" s="326">
        <v>16000.0</v>
      </c>
      <c r="M301" s="105">
        <f t="shared" si="1"/>
        <v>128000</v>
      </c>
      <c r="N301" s="327" t="s">
        <v>1394</v>
      </c>
      <c r="O301" s="325" t="s">
        <v>1561</v>
      </c>
      <c r="P301" s="300"/>
      <c r="Q301" s="300"/>
      <c r="R301" s="300"/>
      <c r="S301" s="300"/>
      <c r="T301" s="300"/>
      <c r="U301" s="300"/>
      <c r="V301" s="300"/>
      <c r="W301" s="300"/>
      <c r="X301" s="300"/>
      <c r="Y301" s="300"/>
      <c r="Z301" s="300"/>
      <c r="AA301" s="300"/>
      <c r="AB301" s="300"/>
      <c r="AC301" s="300"/>
    </row>
    <row r="302">
      <c r="A302" s="312"/>
      <c r="B302" s="321">
        <v>452.0</v>
      </c>
      <c r="C302" s="322">
        <v>45927.0</v>
      </c>
      <c r="D302" s="321" t="s">
        <v>1586</v>
      </c>
      <c r="E302" s="323">
        <v>45953.0</v>
      </c>
      <c r="F302" s="321">
        <v>857.0</v>
      </c>
      <c r="G302" s="324">
        <v>45940.0</v>
      </c>
      <c r="H302" s="325" t="s">
        <v>1589</v>
      </c>
      <c r="I302" s="325" t="s">
        <v>76</v>
      </c>
      <c r="J302" s="321">
        <v>6.0</v>
      </c>
      <c r="K302" s="321" t="s">
        <v>967</v>
      </c>
      <c r="L302" s="326">
        <v>16000.0</v>
      </c>
      <c r="M302" s="105">
        <f t="shared" si="1"/>
        <v>96000</v>
      </c>
      <c r="N302" s="327" t="s">
        <v>208</v>
      </c>
      <c r="O302" s="325" t="s">
        <v>1561</v>
      </c>
      <c r="P302" s="300"/>
      <c r="Q302" s="300"/>
      <c r="R302" s="300"/>
      <c r="S302" s="300"/>
      <c r="T302" s="300"/>
      <c r="U302" s="300"/>
      <c r="V302" s="300"/>
      <c r="W302" s="300"/>
      <c r="X302" s="300"/>
      <c r="Y302" s="300"/>
      <c r="Z302" s="300"/>
      <c r="AA302" s="300"/>
      <c r="AB302" s="300"/>
      <c r="AC302" s="300"/>
    </row>
    <row r="303">
      <c r="A303" s="312"/>
      <c r="B303" s="321">
        <v>453.0</v>
      </c>
      <c r="C303" s="322">
        <v>45928.0</v>
      </c>
      <c r="D303" s="321" t="s">
        <v>1586</v>
      </c>
      <c r="E303" s="323">
        <v>45953.0</v>
      </c>
      <c r="F303" s="321">
        <v>857.0</v>
      </c>
      <c r="G303" s="324">
        <v>45940.0</v>
      </c>
      <c r="H303" s="325" t="s">
        <v>1390</v>
      </c>
      <c r="I303" s="325" t="s">
        <v>76</v>
      </c>
      <c r="J303" s="321">
        <v>7.0</v>
      </c>
      <c r="K303" s="321" t="s">
        <v>967</v>
      </c>
      <c r="L303" s="326">
        <v>16000.0</v>
      </c>
      <c r="M303" s="105">
        <f t="shared" si="1"/>
        <v>112000</v>
      </c>
      <c r="N303" s="327" t="s">
        <v>208</v>
      </c>
      <c r="O303" s="325" t="s">
        <v>1561</v>
      </c>
      <c r="P303" s="300"/>
      <c r="Q303" s="300"/>
      <c r="R303" s="300"/>
      <c r="S303" s="300"/>
      <c r="T303" s="300"/>
      <c r="U303" s="300"/>
      <c r="V303" s="300"/>
      <c r="W303" s="300"/>
      <c r="X303" s="300"/>
      <c r="Y303" s="300"/>
      <c r="Z303" s="300"/>
      <c r="AA303" s="300"/>
      <c r="AB303" s="300"/>
      <c r="AC303" s="300"/>
    </row>
    <row r="304">
      <c r="A304" s="312"/>
      <c r="B304" s="321">
        <v>454.0</v>
      </c>
      <c r="C304" s="322">
        <v>45929.0</v>
      </c>
      <c r="D304" s="321" t="s">
        <v>1586</v>
      </c>
      <c r="E304" s="323">
        <v>45953.0</v>
      </c>
      <c r="F304" s="321">
        <v>857.0</v>
      </c>
      <c r="G304" s="324">
        <v>45940.0</v>
      </c>
      <c r="H304" s="325" t="s">
        <v>1390</v>
      </c>
      <c r="I304" s="325" t="s">
        <v>76</v>
      </c>
      <c r="J304" s="321">
        <v>6.0</v>
      </c>
      <c r="K304" s="321" t="s">
        <v>967</v>
      </c>
      <c r="L304" s="326">
        <v>16000.0</v>
      </c>
      <c r="M304" s="105">
        <f t="shared" si="1"/>
        <v>96000</v>
      </c>
      <c r="N304" s="327" t="s">
        <v>208</v>
      </c>
      <c r="O304" s="325" t="s">
        <v>1561</v>
      </c>
      <c r="P304" s="300"/>
      <c r="Q304" s="300"/>
      <c r="R304" s="300"/>
      <c r="S304" s="300"/>
      <c r="T304" s="300"/>
      <c r="U304" s="300"/>
      <c r="V304" s="300"/>
      <c r="W304" s="300"/>
      <c r="X304" s="300"/>
      <c r="Y304" s="300"/>
      <c r="Z304" s="300"/>
      <c r="AA304" s="300"/>
      <c r="AB304" s="300"/>
      <c r="AC304" s="300"/>
    </row>
    <row r="305">
      <c r="A305" s="312"/>
      <c r="B305" s="321">
        <v>455.0</v>
      </c>
      <c r="C305" s="322">
        <v>45930.0</v>
      </c>
      <c r="D305" s="321" t="s">
        <v>1586</v>
      </c>
      <c r="E305" s="323">
        <v>45953.0</v>
      </c>
      <c r="F305" s="321">
        <v>857.0</v>
      </c>
      <c r="G305" s="324">
        <v>45940.0</v>
      </c>
      <c r="H305" s="325" t="s">
        <v>1390</v>
      </c>
      <c r="I305" s="325" t="s">
        <v>76</v>
      </c>
      <c r="J305" s="321">
        <v>6.0</v>
      </c>
      <c r="K305" s="321" t="s">
        <v>967</v>
      </c>
      <c r="L305" s="326">
        <v>16000.0</v>
      </c>
      <c r="M305" s="105">
        <f t="shared" si="1"/>
        <v>96000</v>
      </c>
      <c r="N305" s="327" t="s">
        <v>1394</v>
      </c>
      <c r="O305" s="325" t="s">
        <v>1561</v>
      </c>
      <c r="P305" s="300"/>
      <c r="Q305" s="300"/>
      <c r="R305" s="300"/>
      <c r="S305" s="300"/>
      <c r="T305" s="300"/>
      <c r="U305" s="300"/>
      <c r="V305" s="300"/>
      <c r="W305" s="300"/>
      <c r="X305" s="300"/>
      <c r="Y305" s="300"/>
      <c r="Z305" s="300"/>
      <c r="AA305" s="300"/>
      <c r="AB305" s="300"/>
      <c r="AC305" s="300"/>
    </row>
    <row r="306">
      <c r="A306" s="312"/>
      <c r="B306" s="321">
        <v>456.0</v>
      </c>
      <c r="C306" s="322">
        <v>45931.0</v>
      </c>
      <c r="D306" s="321" t="s">
        <v>1586</v>
      </c>
      <c r="E306" s="323">
        <v>45953.0</v>
      </c>
      <c r="F306" s="321">
        <v>857.0</v>
      </c>
      <c r="G306" s="324">
        <v>45940.0</v>
      </c>
      <c r="H306" s="325" t="s">
        <v>1390</v>
      </c>
      <c r="I306" s="325" t="s">
        <v>76</v>
      </c>
      <c r="J306" s="321">
        <v>1.0</v>
      </c>
      <c r="K306" s="321" t="s">
        <v>586</v>
      </c>
      <c r="L306" s="326">
        <v>16000.0</v>
      </c>
      <c r="M306" s="105">
        <f t="shared" si="1"/>
        <v>16000</v>
      </c>
      <c r="N306" s="327" t="s">
        <v>208</v>
      </c>
      <c r="O306" s="325" t="s">
        <v>1561</v>
      </c>
      <c r="P306" s="300"/>
      <c r="Q306" s="300"/>
      <c r="R306" s="300"/>
      <c r="S306" s="300"/>
      <c r="T306" s="300"/>
      <c r="U306" s="300"/>
      <c r="V306" s="300"/>
      <c r="W306" s="300"/>
      <c r="X306" s="300"/>
      <c r="Y306" s="300"/>
      <c r="Z306" s="300"/>
      <c r="AA306" s="300"/>
      <c r="AB306" s="300"/>
      <c r="AC306" s="300"/>
    </row>
    <row r="307">
      <c r="A307" s="312"/>
      <c r="B307" s="321">
        <v>3.2572841E7</v>
      </c>
      <c r="C307" s="322">
        <v>45939.0</v>
      </c>
      <c r="D307" s="321" t="s">
        <v>1590</v>
      </c>
      <c r="E307" s="323">
        <v>45952.0</v>
      </c>
      <c r="F307" s="321" t="s">
        <v>22</v>
      </c>
      <c r="G307" s="333"/>
      <c r="H307" s="325" t="s">
        <v>1591</v>
      </c>
      <c r="I307" s="325" t="s">
        <v>1592</v>
      </c>
      <c r="J307" s="321">
        <v>1.0</v>
      </c>
      <c r="K307" s="321" t="s">
        <v>838</v>
      </c>
      <c r="L307" s="326">
        <v>41230.0</v>
      </c>
      <c r="M307" s="105">
        <f t="shared" si="1"/>
        <v>41230</v>
      </c>
      <c r="N307" s="327" t="s">
        <v>842</v>
      </c>
      <c r="O307" s="325" t="s">
        <v>1593</v>
      </c>
      <c r="P307" s="300"/>
      <c r="Q307" s="300"/>
      <c r="R307" s="300"/>
      <c r="S307" s="300"/>
      <c r="T307" s="300"/>
      <c r="U307" s="300"/>
      <c r="V307" s="300"/>
      <c r="W307" s="300"/>
      <c r="X307" s="300"/>
      <c r="Y307" s="300"/>
      <c r="Z307" s="300"/>
      <c r="AA307" s="300"/>
      <c r="AB307" s="300"/>
      <c r="AC307" s="300"/>
    </row>
    <row r="308">
      <c r="A308" s="312"/>
      <c r="B308" s="321">
        <v>42933.0</v>
      </c>
      <c r="C308" s="322">
        <v>45869.0</v>
      </c>
      <c r="D308" s="321" t="s">
        <v>1594</v>
      </c>
      <c r="E308" s="323">
        <v>45919.0</v>
      </c>
      <c r="F308" s="321" t="s">
        <v>22</v>
      </c>
      <c r="G308" s="333"/>
      <c r="H308" s="325" t="s">
        <v>1595</v>
      </c>
      <c r="I308" s="325" t="s">
        <v>46</v>
      </c>
      <c r="J308" s="321">
        <v>1.0</v>
      </c>
      <c r="K308" s="321" t="s">
        <v>47</v>
      </c>
      <c r="L308" s="326">
        <v>97500.0</v>
      </c>
      <c r="M308" s="105">
        <f t="shared" si="1"/>
        <v>97500</v>
      </c>
      <c r="N308" s="327" t="s">
        <v>48</v>
      </c>
      <c r="O308" s="325" t="s">
        <v>1596</v>
      </c>
      <c r="P308" s="300"/>
      <c r="Q308" s="300"/>
      <c r="R308" s="300"/>
      <c r="S308" s="300"/>
      <c r="T308" s="300"/>
      <c r="U308" s="300"/>
      <c r="V308" s="300"/>
      <c r="W308" s="300"/>
      <c r="X308" s="300"/>
      <c r="Y308" s="300"/>
      <c r="Z308" s="300"/>
      <c r="AA308" s="300"/>
      <c r="AB308" s="300"/>
      <c r="AC308" s="300"/>
    </row>
    <row r="309">
      <c r="A309" s="312"/>
      <c r="B309" s="321">
        <v>42932.0</v>
      </c>
      <c r="C309" s="322">
        <v>45869.0</v>
      </c>
      <c r="D309" s="321" t="s">
        <v>1594</v>
      </c>
      <c r="E309" s="323">
        <v>45919.0</v>
      </c>
      <c r="F309" s="321" t="s">
        <v>22</v>
      </c>
      <c r="G309" s="333"/>
      <c r="H309" s="325" t="s">
        <v>1595</v>
      </c>
      <c r="I309" s="325" t="s">
        <v>1597</v>
      </c>
      <c r="J309" s="321">
        <v>1.0</v>
      </c>
      <c r="K309" s="321" t="s">
        <v>47</v>
      </c>
      <c r="L309" s="326">
        <v>97500.0</v>
      </c>
      <c r="M309" s="105">
        <f t="shared" si="1"/>
        <v>97500</v>
      </c>
      <c r="N309" s="327" t="s">
        <v>48</v>
      </c>
      <c r="O309" s="325" t="s">
        <v>1596</v>
      </c>
      <c r="P309" s="300"/>
      <c r="Q309" s="300"/>
      <c r="R309" s="300"/>
      <c r="S309" s="300"/>
      <c r="T309" s="300"/>
      <c r="U309" s="300"/>
      <c r="V309" s="300"/>
      <c r="W309" s="300"/>
      <c r="X309" s="300"/>
      <c r="Y309" s="300"/>
      <c r="Z309" s="300"/>
      <c r="AA309" s="300"/>
      <c r="AB309" s="300"/>
      <c r="AC309" s="300"/>
    </row>
    <row r="310">
      <c r="A310" s="312"/>
      <c r="B310" s="321">
        <v>42930.0</v>
      </c>
      <c r="C310" s="322">
        <v>45869.0</v>
      </c>
      <c r="D310" s="321" t="s">
        <v>1594</v>
      </c>
      <c r="E310" s="323">
        <v>45919.0</v>
      </c>
      <c r="F310" s="321" t="s">
        <v>22</v>
      </c>
      <c r="G310" s="333"/>
      <c r="H310" s="325" t="s">
        <v>1598</v>
      </c>
      <c r="I310" s="325" t="s">
        <v>46</v>
      </c>
      <c r="J310" s="321">
        <v>1.0</v>
      </c>
      <c r="K310" s="321" t="s">
        <v>47</v>
      </c>
      <c r="L310" s="326">
        <v>183000.0</v>
      </c>
      <c r="M310" s="105">
        <f t="shared" si="1"/>
        <v>183000</v>
      </c>
      <c r="N310" s="327" t="s">
        <v>48</v>
      </c>
      <c r="O310" s="325" t="s">
        <v>1596</v>
      </c>
      <c r="P310" s="300"/>
      <c r="Q310" s="300"/>
      <c r="R310" s="300"/>
      <c r="S310" s="300"/>
      <c r="T310" s="300"/>
      <c r="U310" s="300"/>
      <c r="V310" s="300"/>
      <c r="W310" s="300"/>
      <c r="X310" s="300"/>
      <c r="Y310" s="300"/>
      <c r="Z310" s="300"/>
      <c r="AA310" s="300"/>
      <c r="AB310" s="300"/>
      <c r="AC310" s="300"/>
    </row>
    <row r="311">
      <c r="A311" s="312"/>
      <c r="B311" s="321">
        <v>42929.0</v>
      </c>
      <c r="C311" s="322">
        <v>45855.0</v>
      </c>
      <c r="D311" s="321" t="s">
        <v>1594</v>
      </c>
      <c r="E311" s="323">
        <v>45919.0</v>
      </c>
      <c r="F311" s="321" t="s">
        <v>22</v>
      </c>
      <c r="G311" s="333"/>
      <c r="H311" s="325" t="s">
        <v>1599</v>
      </c>
      <c r="I311" s="325" t="s">
        <v>46</v>
      </c>
      <c r="J311" s="321">
        <v>1.0</v>
      </c>
      <c r="K311" s="321" t="s">
        <v>838</v>
      </c>
      <c r="L311" s="326">
        <v>113000.0</v>
      </c>
      <c r="M311" s="105">
        <f t="shared" si="1"/>
        <v>113000</v>
      </c>
      <c r="N311" s="327" t="s">
        <v>48</v>
      </c>
      <c r="O311" s="325" t="s">
        <v>1596</v>
      </c>
      <c r="P311" s="300"/>
      <c r="Q311" s="300"/>
      <c r="R311" s="300"/>
      <c r="S311" s="300"/>
      <c r="T311" s="300"/>
      <c r="U311" s="300"/>
      <c r="V311" s="300"/>
      <c r="W311" s="300"/>
      <c r="X311" s="300"/>
      <c r="Y311" s="300"/>
      <c r="Z311" s="300"/>
      <c r="AA311" s="300"/>
      <c r="AB311" s="300"/>
      <c r="AC311" s="300"/>
    </row>
    <row r="312">
      <c r="A312" s="312"/>
      <c r="B312" s="321">
        <v>42931.0</v>
      </c>
      <c r="C312" s="322">
        <v>45869.0</v>
      </c>
      <c r="D312" s="321" t="s">
        <v>1594</v>
      </c>
      <c r="E312" s="323">
        <v>45919.0</v>
      </c>
      <c r="F312" s="321" t="s">
        <v>22</v>
      </c>
      <c r="G312" s="333"/>
      <c r="H312" s="325" t="s">
        <v>1599</v>
      </c>
      <c r="I312" s="325" t="s">
        <v>46</v>
      </c>
      <c r="J312" s="321">
        <v>1.0</v>
      </c>
      <c r="K312" s="321" t="s">
        <v>47</v>
      </c>
      <c r="L312" s="326">
        <v>183000.0</v>
      </c>
      <c r="M312" s="105">
        <f t="shared" si="1"/>
        <v>183000</v>
      </c>
      <c r="N312" s="327" t="s">
        <v>48</v>
      </c>
      <c r="O312" s="325" t="s">
        <v>1596</v>
      </c>
      <c r="P312" s="300"/>
      <c r="Q312" s="300"/>
      <c r="R312" s="300"/>
      <c r="S312" s="300"/>
      <c r="T312" s="300"/>
      <c r="U312" s="300"/>
      <c r="V312" s="300"/>
      <c r="W312" s="300"/>
      <c r="X312" s="300"/>
      <c r="Y312" s="300"/>
      <c r="Z312" s="300"/>
      <c r="AA312" s="300"/>
      <c r="AB312" s="300"/>
      <c r="AC312" s="300"/>
    </row>
    <row r="313">
      <c r="A313" s="312"/>
      <c r="B313" s="321">
        <v>42924.0</v>
      </c>
      <c r="C313" s="322">
        <v>45838.0</v>
      </c>
      <c r="D313" s="321" t="s">
        <v>1600</v>
      </c>
      <c r="E313" s="323">
        <v>45950.0</v>
      </c>
      <c r="F313" s="321" t="s">
        <v>22</v>
      </c>
      <c r="G313" s="333"/>
      <c r="H313" s="325" t="s">
        <v>1601</v>
      </c>
      <c r="I313" s="325" t="s">
        <v>46</v>
      </c>
      <c r="J313" s="321">
        <v>16.0</v>
      </c>
      <c r="K313" s="321" t="s">
        <v>174</v>
      </c>
      <c r="L313" s="326">
        <v>7038.44</v>
      </c>
      <c r="M313" s="105">
        <f t="shared" si="1"/>
        <v>112615.04</v>
      </c>
      <c r="N313" s="327" t="s">
        <v>48</v>
      </c>
      <c r="O313" s="325" t="s">
        <v>1596</v>
      </c>
      <c r="P313" s="300"/>
      <c r="Q313" s="300"/>
      <c r="R313" s="300"/>
      <c r="S313" s="300"/>
      <c r="T313" s="300"/>
      <c r="U313" s="300"/>
      <c r="V313" s="300"/>
      <c r="W313" s="300"/>
      <c r="X313" s="300"/>
      <c r="Y313" s="300"/>
      <c r="Z313" s="300"/>
      <c r="AA313" s="300"/>
      <c r="AB313" s="300"/>
      <c r="AC313" s="300"/>
    </row>
    <row r="314">
      <c r="A314" s="312"/>
      <c r="B314" s="321">
        <v>42925.0</v>
      </c>
      <c r="C314" s="322">
        <v>45838.0</v>
      </c>
      <c r="D314" s="321" t="s">
        <v>1600</v>
      </c>
      <c r="E314" s="323">
        <v>45950.0</v>
      </c>
      <c r="F314" s="321" t="s">
        <v>22</v>
      </c>
      <c r="G314" s="333"/>
      <c r="H314" s="325" t="s">
        <v>1602</v>
      </c>
      <c r="I314" s="325" t="s">
        <v>46</v>
      </c>
      <c r="J314" s="321">
        <v>18.0</v>
      </c>
      <c r="K314" s="321" t="s">
        <v>1603</v>
      </c>
      <c r="L314" s="326">
        <v>7038.46</v>
      </c>
      <c r="M314" s="105">
        <f t="shared" si="1"/>
        <v>126692.28</v>
      </c>
      <c r="N314" s="327" t="s">
        <v>48</v>
      </c>
      <c r="O314" s="325" t="s">
        <v>1596</v>
      </c>
      <c r="P314" s="300"/>
      <c r="Q314" s="300"/>
      <c r="R314" s="300"/>
      <c r="S314" s="300"/>
      <c r="T314" s="300"/>
      <c r="U314" s="300"/>
      <c r="V314" s="300"/>
      <c r="W314" s="300"/>
      <c r="X314" s="300"/>
      <c r="Y314" s="300"/>
      <c r="Z314" s="300"/>
      <c r="AA314" s="300"/>
      <c r="AB314" s="300"/>
      <c r="AC314" s="300"/>
    </row>
    <row r="315">
      <c r="A315" s="312"/>
      <c r="B315" s="321">
        <v>42923.0</v>
      </c>
      <c r="C315" s="322">
        <v>45838.0</v>
      </c>
      <c r="D315" s="321" t="s">
        <v>1600</v>
      </c>
      <c r="E315" s="323">
        <v>45950.0</v>
      </c>
      <c r="F315" s="321" t="s">
        <v>22</v>
      </c>
      <c r="G315" s="333"/>
      <c r="H315" s="325" t="s">
        <v>1602</v>
      </c>
      <c r="I315" s="325" t="s">
        <v>1597</v>
      </c>
      <c r="J315" s="321">
        <v>1.0</v>
      </c>
      <c r="K315" s="321" t="s">
        <v>47</v>
      </c>
      <c r="L315" s="326">
        <v>226000.0</v>
      </c>
      <c r="M315" s="105">
        <f t="shared" si="1"/>
        <v>226000</v>
      </c>
      <c r="N315" s="327" t="s">
        <v>48</v>
      </c>
      <c r="O315" s="325" t="s">
        <v>1596</v>
      </c>
      <c r="P315" s="300"/>
      <c r="Q315" s="300"/>
      <c r="R315" s="300"/>
      <c r="S315" s="300"/>
      <c r="T315" s="300"/>
      <c r="U315" s="300"/>
      <c r="V315" s="300"/>
      <c r="W315" s="300"/>
      <c r="X315" s="300"/>
      <c r="Y315" s="300"/>
      <c r="Z315" s="300"/>
      <c r="AA315" s="300"/>
      <c r="AB315" s="300"/>
      <c r="AC315" s="300"/>
    </row>
    <row r="316">
      <c r="A316" s="312"/>
      <c r="B316" s="321">
        <v>43416.0</v>
      </c>
      <c r="C316" s="322">
        <v>45838.0</v>
      </c>
      <c r="D316" s="321" t="s">
        <v>1600</v>
      </c>
      <c r="E316" s="323">
        <v>45950.0</v>
      </c>
      <c r="F316" s="321" t="s">
        <v>22</v>
      </c>
      <c r="G316" s="333"/>
      <c r="H316" s="325" t="s">
        <v>1604</v>
      </c>
      <c r="I316" s="325" t="s">
        <v>1597</v>
      </c>
      <c r="J316" s="321">
        <v>20.0</v>
      </c>
      <c r="K316" s="321" t="s">
        <v>174</v>
      </c>
      <c r="L316" s="326">
        <v>5000.0</v>
      </c>
      <c r="M316" s="105">
        <f t="shared" si="1"/>
        <v>100000</v>
      </c>
      <c r="N316" s="327" t="s">
        <v>48</v>
      </c>
      <c r="O316" s="325" t="s">
        <v>1596</v>
      </c>
      <c r="P316" s="300"/>
      <c r="Q316" s="300"/>
      <c r="R316" s="300"/>
      <c r="S316" s="300"/>
      <c r="T316" s="300"/>
      <c r="U316" s="300"/>
      <c r="V316" s="300"/>
      <c r="W316" s="300"/>
      <c r="X316" s="300"/>
      <c r="Y316" s="300"/>
      <c r="Z316" s="300"/>
      <c r="AA316" s="300"/>
      <c r="AB316" s="300"/>
      <c r="AC316" s="300"/>
    </row>
    <row r="317">
      <c r="A317" s="312"/>
      <c r="B317" s="321">
        <v>43417.0</v>
      </c>
      <c r="C317" s="322">
        <v>45838.0</v>
      </c>
      <c r="D317" s="321" t="s">
        <v>1600</v>
      </c>
      <c r="E317" s="323">
        <v>45950.0</v>
      </c>
      <c r="F317" s="321" t="s">
        <v>22</v>
      </c>
      <c r="G317" s="333"/>
      <c r="H317" s="325" t="s">
        <v>1605</v>
      </c>
      <c r="I317" s="325" t="s">
        <v>1597</v>
      </c>
      <c r="J317" s="321">
        <v>21.0</v>
      </c>
      <c r="K317" s="321" t="s">
        <v>174</v>
      </c>
      <c r="L317" s="326">
        <v>2350.0</v>
      </c>
      <c r="M317" s="105">
        <f t="shared" si="1"/>
        <v>49350</v>
      </c>
      <c r="N317" s="327" t="s">
        <v>48</v>
      </c>
      <c r="O317" s="325" t="s">
        <v>1596</v>
      </c>
      <c r="P317" s="300"/>
      <c r="Q317" s="300"/>
      <c r="R317" s="300"/>
      <c r="S317" s="300"/>
      <c r="T317" s="300"/>
      <c r="U317" s="300"/>
      <c r="V317" s="300"/>
      <c r="W317" s="300"/>
      <c r="X317" s="300"/>
      <c r="Y317" s="300"/>
      <c r="Z317" s="300"/>
      <c r="AA317" s="300"/>
      <c r="AB317" s="300"/>
      <c r="AC317" s="300"/>
    </row>
    <row r="318">
      <c r="A318" s="312"/>
      <c r="B318" s="321">
        <v>43418.0</v>
      </c>
      <c r="C318" s="322">
        <v>45838.0</v>
      </c>
      <c r="D318" s="321" t="s">
        <v>1600</v>
      </c>
      <c r="E318" s="323">
        <v>45950.0</v>
      </c>
      <c r="F318" s="321" t="s">
        <v>22</v>
      </c>
      <c r="G318" s="333"/>
      <c r="H318" s="325" t="s">
        <v>1605</v>
      </c>
      <c r="I318" s="325" t="s">
        <v>46</v>
      </c>
      <c r="J318" s="321">
        <v>17.0</v>
      </c>
      <c r="K318" s="321" t="s">
        <v>174</v>
      </c>
      <c r="L318" s="326">
        <v>2350.0</v>
      </c>
      <c r="M318" s="105">
        <f t="shared" si="1"/>
        <v>39950</v>
      </c>
      <c r="N318" s="327" t="s">
        <v>48</v>
      </c>
      <c r="O318" s="325" t="s">
        <v>1596</v>
      </c>
      <c r="P318" s="300"/>
      <c r="Q318" s="300"/>
      <c r="R318" s="300"/>
      <c r="S318" s="300"/>
      <c r="T318" s="300"/>
      <c r="U318" s="300"/>
      <c r="V318" s="300"/>
      <c r="W318" s="300"/>
      <c r="X318" s="300"/>
      <c r="Y318" s="300"/>
      <c r="Z318" s="300"/>
      <c r="AA318" s="300"/>
      <c r="AB318" s="300"/>
      <c r="AC318" s="300"/>
    </row>
    <row r="319">
      <c r="A319" s="312"/>
      <c r="B319" s="321">
        <v>42950.0</v>
      </c>
      <c r="C319" s="322">
        <v>45930.0</v>
      </c>
      <c r="D319" s="321" t="s">
        <v>1606</v>
      </c>
      <c r="E319" s="323">
        <v>45950.0</v>
      </c>
      <c r="F319" s="321" t="s">
        <v>22</v>
      </c>
      <c r="G319" s="333"/>
      <c r="H319" s="325" t="s">
        <v>1607</v>
      </c>
      <c r="I319" s="325" t="s">
        <v>46</v>
      </c>
      <c r="J319" s="321">
        <v>23.0</v>
      </c>
      <c r="K319" s="321" t="s">
        <v>174</v>
      </c>
      <c r="L319" s="326">
        <v>7038.0</v>
      </c>
      <c r="M319" s="105">
        <f t="shared" si="1"/>
        <v>161874</v>
      </c>
      <c r="N319" s="327" t="s">
        <v>48</v>
      </c>
      <c r="O319" s="325" t="s">
        <v>1596</v>
      </c>
      <c r="P319" s="300"/>
      <c r="Q319" s="300"/>
      <c r="R319" s="300"/>
      <c r="S319" s="300"/>
      <c r="T319" s="300"/>
      <c r="U319" s="300"/>
      <c r="V319" s="300"/>
      <c r="W319" s="300"/>
      <c r="X319" s="300"/>
      <c r="Y319" s="300"/>
      <c r="Z319" s="300"/>
      <c r="AA319" s="300"/>
      <c r="AB319" s="300"/>
      <c r="AC319" s="300"/>
    </row>
    <row r="320">
      <c r="A320" s="312"/>
      <c r="B320" s="321">
        <v>42951.0</v>
      </c>
      <c r="C320" s="322">
        <v>45930.0</v>
      </c>
      <c r="D320" s="321" t="s">
        <v>1606</v>
      </c>
      <c r="E320" s="323">
        <v>45950.0</v>
      </c>
      <c r="F320" s="321" t="s">
        <v>22</v>
      </c>
      <c r="G320" s="333"/>
      <c r="H320" s="325" t="s">
        <v>1608</v>
      </c>
      <c r="I320" s="325" t="s">
        <v>46</v>
      </c>
      <c r="J320" s="321">
        <v>22.0</v>
      </c>
      <c r="K320" s="321" t="s">
        <v>174</v>
      </c>
      <c r="L320" s="326">
        <v>7038.0</v>
      </c>
      <c r="M320" s="105">
        <f t="shared" si="1"/>
        <v>154836</v>
      </c>
      <c r="N320" s="327" t="s">
        <v>48</v>
      </c>
      <c r="O320" s="325" t="s">
        <v>1596</v>
      </c>
      <c r="P320" s="300"/>
      <c r="Q320" s="300"/>
      <c r="R320" s="300"/>
      <c r="S320" s="300"/>
      <c r="T320" s="300"/>
      <c r="U320" s="300"/>
      <c r="V320" s="300"/>
      <c r="W320" s="300"/>
      <c r="X320" s="300"/>
      <c r="Y320" s="300"/>
      <c r="Z320" s="300"/>
      <c r="AA320" s="300"/>
      <c r="AB320" s="300"/>
      <c r="AC320" s="300"/>
    </row>
    <row r="321">
      <c r="A321" s="312"/>
      <c r="B321" s="321">
        <v>42952.0</v>
      </c>
      <c r="C321" s="322">
        <v>45930.0</v>
      </c>
      <c r="D321" s="321" t="s">
        <v>1606</v>
      </c>
      <c r="E321" s="323">
        <v>45950.0</v>
      </c>
      <c r="F321" s="321" t="s">
        <v>22</v>
      </c>
      <c r="G321" s="333"/>
      <c r="H321" s="325" t="s">
        <v>1609</v>
      </c>
      <c r="I321" s="325" t="s">
        <v>46</v>
      </c>
      <c r="J321" s="321">
        <v>24.0</v>
      </c>
      <c r="K321" s="321" t="s">
        <v>1610</v>
      </c>
      <c r="L321" s="326">
        <v>5923.0</v>
      </c>
      <c r="M321" s="105">
        <f t="shared" si="1"/>
        <v>142152</v>
      </c>
      <c r="N321" s="327" t="s">
        <v>48</v>
      </c>
      <c r="O321" s="325" t="s">
        <v>1596</v>
      </c>
      <c r="P321" s="300"/>
      <c r="Q321" s="300"/>
      <c r="R321" s="300"/>
      <c r="S321" s="300"/>
      <c r="T321" s="300"/>
      <c r="U321" s="300"/>
      <c r="V321" s="300"/>
      <c r="W321" s="300"/>
      <c r="X321" s="300"/>
      <c r="Y321" s="300"/>
      <c r="Z321" s="300"/>
      <c r="AA321" s="300"/>
      <c r="AB321" s="300"/>
      <c r="AC321" s="300"/>
    </row>
    <row r="322">
      <c r="A322" s="312"/>
      <c r="B322" s="321">
        <v>42953.0</v>
      </c>
      <c r="C322" s="322">
        <v>45930.0</v>
      </c>
      <c r="D322" s="321" t="s">
        <v>1606</v>
      </c>
      <c r="E322" s="323">
        <v>45950.0</v>
      </c>
      <c r="F322" s="321" t="s">
        <v>22</v>
      </c>
      <c r="G322" s="333"/>
      <c r="H322" s="325" t="s">
        <v>1611</v>
      </c>
      <c r="I322" s="325" t="s">
        <v>46</v>
      </c>
      <c r="J322" s="321">
        <v>20.0</v>
      </c>
      <c r="K322" s="321" t="s">
        <v>174</v>
      </c>
      <c r="L322" s="326">
        <v>7038.0</v>
      </c>
      <c r="M322" s="105">
        <f t="shared" si="1"/>
        <v>140760</v>
      </c>
      <c r="N322" s="327" t="s">
        <v>48</v>
      </c>
      <c r="O322" s="325" t="s">
        <v>1596</v>
      </c>
      <c r="P322" s="300"/>
      <c r="Q322" s="300"/>
      <c r="R322" s="300"/>
      <c r="S322" s="300"/>
      <c r="T322" s="300"/>
      <c r="U322" s="300"/>
      <c r="V322" s="300"/>
      <c r="W322" s="300"/>
      <c r="X322" s="300"/>
      <c r="Y322" s="300"/>
      <c r="Z322" s="300"/>
      <c r="AA322" s="300"/>
      <c r="AB322" s="300"/>
      <c r="AC322" s="300"/>
    </row>
    <row r="323">
      <c r="A323" s="312"/>
      <c r="B323" s="321">
        <v>42954.0</v>
      </c>
      <c r="C323" s="322">
        <v>45930.0</v>
      </c>
      <c r="D323" s="321" t="s">
        <v>1606</v>
      </c>
      <c r="E323" s="323">
        <v>45950.0</v>
      </c>
      <c r="F323" s="321" t="s">
        <v>22</v>
      </c>
      <c r="G323" s="333"/>
      <c r="H323" s="325" t="s">
        <v>1608</v>
      </c>
      <c r="I323" s="325" t="s">
        <v>46</v>
      </c>
      <c r="J323" s="321">
        <v>11.0</v>
      </c>
      <c r="K323" s="321" t="s">
        <v>174</v>
      </c>
      <c r="L323" s="326">
        <v>7038.0</v>
      </c>
      <c r="M323" s="105">
        <f t="shared" si="1"/>
        <v>77418</v>
      </c>
      <c r="N323" s="327" t="s">
        <v>48</v>
      </c>
      <c r="O323" s="325" t="s">
        <v>1596</v>
      </c>
      <c r="P323" s="300"/>
      <c r="Q323" s="300"/>
      <c r="R323" s="300"/>
      <c r="S323" s="300"/>
      <c r="T323" s="300"/>
      <c r="U323" s="300"/>
      <c r="V323" s="300"/>
      <c r="W323" s="300"/>
      <c r="X323" s="300"/>
      <c r="Y323" s="300"/>
      <c r="Z323" s="300"/>
      <c r="AA323" s="300"/>
      <c r="AB323" s="300"/>
      <c r="AC323" s="300"/>
    </row>
    <row r="324">
      <c r="A324" s="312"/>
      <c r="B324" s="321">
        <v>7244.0</v>
      </c>
      <c r="C324" s="322">
        <v>45898.0</v>
      </c>
      <c r="D324" s="321" t="s">
        <v>1612</v>
      </c>
      <c r="E324" s="323">
        <v>45946.0</v>
      </c>
      <c r="F324" s="321" t="s">
        <v>22</v>
      </c>
      <c r="G324" s="333"/>
      <c r="H324" s="325" t="s">
        <v>1613</v>
      </c>
      <c r="I324" s="325" t="s">
        <v>46</v>
      </c>
      <c r="J324" s="321">
        <v>19.0</v>
      </c>
      <c r="K324" s="321" t="s">
        <v>174</v>
      </c>
      <c r="L324" s="326">
        <v>4930.0</v>
      </c>
      <c r="M324" s="105">
        <f t="shared" si="1"/>
        <v>93670</v>
      </c>
      <c r="N324" s="327" t="s">
        <v>48</v>
      </c>
      <c r="O324" s="325" t="s">
        <v>1596</v>
      </c>
      <c r="P324" s="300"/>
      <c r="Q324" s="300"/>
      <c r="R324" s="300"/>
      <c r="S324" s="300"/>
      <c r="T324" s="300"/>
      <c r="U324" s="300"/>
      <c r="V324" s="300"/>
      <c r="W324" s="300"/>
      <c r="X324" s="300"/>
      <c r="Y324" s="300"/>
      <c r="Z324" s="300"/>
      <c r="AA324" s="300"/>
      <c r="AB324" s="300"/>
      <c r="AC324" s="300"/>
    </row>
    <row r="325">
      <c r="A325" s="312"/>
      <c r="B325" s="321">
        <v>7004.0</v>
      </c>
      <c r="C325" s="322">
        <v>45808.0</v>
      </c>
      <c r="D325" s="321" t="s">
        <v>1612</v>
      </c>
      <c r="E325" s="323">
        <v>45946.0</v>
      </c>
      <c r="F325" s="321" t="s">
        <v>22</v>
      </c>
      <c r="G325" s="333"/>
      <c r="H325" s="325" t="s">
        <v>1614</v>
      </c>
      <c r="I325" s="325" t="s">
        <v>46</v>
      </c>
      <c r="J325" s="321">
        <v>25.0</v>
      </c>
      <c r="K325" s="321" t="s">
        <v>174</v>
      </c>
      <c r="L325" s="326">
        <v>4930.0</v>
      </c>
      <c r="M325" s="105">
        <f t="shared" si="1"/>
        <v>123250</v>
      </c>
      <c r="N325" s="327" t="s">
        <v>48</v>
      </c>
      <c r="O325" s="325" t="s">
        <v>1596</v>
      </c>
      <c r="P325" s="300"/>
      <c r="Q325" s="300"/>
      <c r="R325" s="300"/>
      <c r="S325" s="300"/>
      <c r="T325" s="300"/>
      <c r="U325" s="300"/>
      <c r="V325" s="300"/>
      <c r="W325" s="300"/>
      <c r="X325" s="300"/>
      <c r="Y325" s="300"/>
      <c r="Z325" s="300"/>
      <c r="AA325" s="300"/>
      <c r="AB325" s="300"/>
      <c r="AC325" s="300"/>
    </row>
    <row r="326">
      <c r="A326" s="312"/>
      <c r="B326" s="330">
        <v>387.0</v>
      </c>
      <c r="C326" s="331">
        <v>45951.0</v>
      </c>
      <c r="D326" s="330" t="s">
        <v>1615</v>
      </c>
      <c r="E326" s="332">
        <v>45960.0</v>
      </c>
      <c r="F326" s="330">
        <v>864.0</v>
      </c>
      <c r="G326" s="334">
        <v>45961.0</v>
      </c>
      <c r="H326" s="325" t="s">
        <v>1616</v>
      </c>
      <c r="I326" s="325" t="s">
        <v>1617</v>
      </c>
      <c r="J326" s="321">
        <v>2.0</v>
      </c>
      <c r="K326" s="321" t="s">
        <v>30</v>
      </c>
      <c r="L326" s="326">
        <v>2300.0</v>
      </c>
      <c r="M326" s="105">
        <f t="shared" si="1"/>
        <v>4600</v>
      </c>
      <c r="N326" s="327" t="s">
        <v>1618</v>
      </c>
      <c r="O326" s="325" t="s">
        <v>1619</v>
      </c>
      <c r="P326" s="300"/>
      <c r="Q326" s="300"/>
      <c r="R326" s="300"/>
      <c r="S326" s="300"/>
      <c r="T326" s="300"/>
      <c r="U326" s="300"/>
      <c r="V326" s="300"/>
      <c r="W326" s="300"/>
      <c r="X326" s="300"/>
      <c r="Y326" s="300"/>
      <c r="Z326" s="300"/>
      <c r="AA326" s="300"/>
      <c r="AB326" s="300"/>
      <c r="AC326" s="300"/>
    </row>
    <row r="327">
      <c r="A327" s="312"/>
      <c r="B327" s="47"/>
      <c r="C327" s="47"/>
      <c r="D327" s="47"/>
      <c r="E327" s="47"/>
      <c r="F327" s="47"/>
      <c r="G327" s="47"/>
      <c r="H327" s="325" t="s">
        <v>1620</v>
      </c>
      <c r="I327" s="325" t="s">
        <v>1621</v>
      </c>
      <c r="J327" s="321">
        <v>2.0</v>
      </c>
      <c r="K327" s="321" t="s">
        <v>1622</v>
      </c>
      <c r="L327" s="326">
        <v>2100.0</v>
      </c>
      <c r="M327" s="105">
        <f t="shared" si="1"/>
        <v>4200</v>
      </c>
      <c r="N327" s="327" t="s">
        <v>1618</v>
      </c>
      <c r="O327" s="325" t="s">
        <v>1619</v>
      </c>
      <c r="P327" s="300"/>
      <c r="Q327" s="300"/>
      <c r="R327" s="300"/>
      <c r="S327" s="300"/>
      <c r="T327" s="300"/>
      <c r="U327" s="300"/>
      <c r="V327" s="300"/>
      <c r="W327" s="300"/>
      <c r="X327" s="300"/>
      <c r="Y327" s="300"/>
      <c r="Z327" s="300"/>
      <c r="AA327" s="300"/>
      <c r="AB327" s="300"/>
      <c r="AC327" s="300"/>
    </row>
    <row r="328">
      <c r="A328" s="312"/>
      <c r="B328" s="47"/>
      <c r="C328" s="47"/>
      <c r="D328" s="47"/>
      <c r="E328" s="47"/>
      <c r="F328" s="47"/>
      <c r="G328" s="47"/>
      <c r="H328" s="325" t="s">
        <v>1623</v>
      </c>
      <c r="I328" s="325" t="s">
        <v>1621</v>
      </c>
      <c r="J328" s="321">
        <v>1.0</v>
      </c>
      <c r="K328" s="321" t="s">
        <v>30</v>
      </c>
      <c r="L328" s="326">
        <v>2500.0</v>
      </c>
      <c r="M328" s="105">
        <f t="shared" si="1"/>
        <v>2500</v>
      </c>
      <c r="N328" s="327" t="s">
        <v>1618</v>
      </c>
      <c r="O328" s="325" t="s">
        <v>1624</v>
      </c>
      <c r="P328" s="300"/>
      <c r="Q328" s="300"/>
      <c r="R328" s="300"/>
      <c r="S328" s="300"/>
      <c r="T328" s="300"/>
      <c r="U328" s="300"/>
      <c r="V328" s="300"/>
      <c r="W328" s="300"/>
      <c r="X328" s="300"/>
      <c r="Y328" s="300"/>
      <c r="Z328" s="300"/>
      <c r="AA328" s="300"/>
      <c r="AB328" s="300"/>
      <c r="AC328" s="300"/>
    </row>
    <row r="329">
      <c r="A329" s="312"/>
      <c r="B329" s="47"/>
      <c r="C329" s="47"/>
      <c r="D329" s="47"/>
      <c r="E329" s="47"/>
      <c r="F329" s="47"/>
      <c r="G329" s="47"/>
      <c r="H329" s="325" t="s">
        <v>1625</v>
      </c>
      <c r="I329" s="325" t="s">
        <v>1621</v>
      </c>
      <c r="J329" s="321">
        <v>1.0</v>
      </c>
      <c r="K329" s="321" t="s">
        <v>30</v>
      </c>
      <c r="L329" s="326">
        <v>2200.0</v>
      </c>
      <c r="M329" s="105">
        <f t="shared" si="1"/>
        <v>2200</v>
      </c>
      <c r="N329" s="327" t="s">
        <v>1618</v>
      </c>
      <c r="O329" s="325" t="s">
        <v>1624</v>
      </c>
      <c r="P329" s="300"/>
      <c r="Q329" s="300"/>
      <c r="R329" s="300"/>
      <c r="S329" s="300"/>
      <c r="T329" s="300"/>
      <c r="U329" s="300"/>
      <c r="V329" s="300"/>
      <c r="W329" s="300"/>
      <c r="X329" s="300"/>
      <c r="Y329" s="300"/>
      <c r="Z329" s="300"/>
      <c r="AA329" s="300"/>
      <c r="AB329" s="300"/>
      <c r="AC329" s="300"/>
    </row>
    <row r="330">
      <c r="A330" s="312"/>
      <c r="B330" s="47"/>
      <c r="C330" s="47"/>
      <c r="D330" s="47"/>
      <c r="E330" s="47"/>
      <c r="F330" s="47"/>
      <c r="G330" s="47"/>
      <c r="H330" s="325" t="s">
        <v>1626</v>
      </c>
      <c r="I330" s="325" t="s">
        <v>1621</v>
      </c>
      <c r="J330" s="321">
        <v>1.0</v>
      </c>
      <c r="K330" s="321" t="s">
        <v>30</v>
      </c>
      <c r="L330" s="326">
        <v>1200.0</v>
      </c>
      <c r="M330" s="105">
        <f t="shared" si="1"/>
        <v>1200</v>
      </c>
      <c r="N330" s="327" t="s">
        <v>1618</v>
      </c>
      <c r="O330" s="325" t="s">
        <v>1627</v>
      </c>
      <c r="P330" s="300"/>
      <c r="Q330" s="300"/>
      <c r="R330" s="300"/>
      <c r="S330" s="300"/>
      <c r="T330" s="300"/>
      <c r="U330" s="300"/>
      <c r="V330" s="300"/>
      <c r="W330" s="300"/>
      <c r="X330" s="300"/>
      <c r="Y330" s="300"/>
      <c r="Z330" s="300"/>
      <c r="AA330" s="300"/>
      <c r="AB330" s="300"/>
      <c r="AC330" s="300"/>
    </row>
    <row r="331">
      <c r="A331" s="312"/>
      <c r="B331" s="47"/>
      <c r="C331" s="47"/>
      <c r="D331" s="47"/>
      <c r="E331" s="47"/>
      <c r="F331" s="47"/>
      <c r="G331" s="47"/>
      <c r="H331" s="325" t="s">
        <v>609</v>
      </c>
      <c r="I331" s="325" t="s">
        <v>1621</v>
      </c>
      <c r="J331" s="321">
        <v>1.0</v>
      </c>
      <c r="K331" s="321" t="s">
        <v>89</v>
      </c>
      <c r="L331" s="326">
        <v>250.0</v>
      </c>
      <c r="M331" s="105">
        <f t="shared" si="1"/>
        <v>250</v>
      </c>
      <c r="N331" s="327" t="s">
        <v>1618</v>
      </c>
      <c r="O331" s="325" t="s">
        <v>1628</v>
      </c>
      <c r="P331" s="300"/>
      <c r="Q331" s="300"/>
      <c r="R331" s="300"/>
      <c r="S331" s="300"/>
      <c r="T331" s="300"/>
      <c r="U331" s="300"/>
      <c r="V331" s="300"/>
      <c r="W331" s="300"/>
      <c r="X331" s="300"/>
      <c r="Y331" s="300"/>
      <c r="Z331" s="300"/>
      <c r="AA331" s="300"/>
      <c r="AB331" s="300"/>
      <c r="AC331" s="300"/>
    </row>
    <row r="332">
      <c r="A332" s="312"/>
      <c r="B332" s="48"/>
      <c r="C332" s="48"/>
      <c r="D332" s="48"/>
      <c r="E332" s="48"/>
      <c r="F332" s="48"/>
      <c r="G332" s="48"/>
      <c r="H332" s="325" t="s">
        <v>1629</v>
      </c>
      <c r="I332" s="325" t="s">
        <v>1621</v>
      </c>
      <c r="J332" s="321">
        <v>1.0</v>
      </c>
      <c r="K332" s="321" t="s">
        <v>156</v>
      </c>
      <c r="L332" s="326">
        <v>300.0</v>
      </c>
      <c r="M332" s="105">
        <f t="shared" si="1"/>
        <v>300</v>
      </c>
      <c r="N332" s="327" t="s">
        <v>1618</v>
      </c>
      <c r="O332" s="325" t="s">
        <v>1628</v>
      </c>
      <c r="P332" s="300"/>
      <c r="Q332" s="300"/>
      <c r="R332" s="300"/>
      <c r="S332" s="300"/>
      <c r="T332" s="300"/>
      <c r="U332" s="300"/>
      <c r="V332" s="300"/>
      <c r="W332" s="300"/>
      <c r="X332" s="300"/>
      <c r="Y332" s="300"/>
      <c r="Z332" s="300"/>
      <c r="AA332" s="300"/>
      <c r="AB332" s="300"/>
      <c r="AC332" s="300"/>
    </row>
    <row r="333">
      <c r="A333" s="312"/>
      <c r="B333" s="321">
        <v>458.0</v>
      </c>
      <c r="C333" s="322">
        <v>45957.0</v>
      </c>
      <c r="D333" s="321" t="s">
        <v>254</v>
      </c>
      <c r="E333" s="323">
        <v>45960.0</v>
      </c>
      <c r="F333" s="337" t="s">
        <v>1630</v>
      </c>
      <c r="G333" s="324">
        <v>45961.0</v>
      </c>
      <c r="H333" s="325" t="s">
        <v>1631</v>
      </c>
      <c r="I333" s="325" t="s">
        <v>76</v>
      </c>
      <c r="J333" s="321">
        <v>5.0</v>
      </c>
      <c r="K333" s="321" t="s">
        <v>967</v>
      </c>
      <c r="L333" s="326">
        <v>16000.0</v>
      </c>
      <c r="M333" s="105">
        <f t="shared" si="1"/>
        <v>80000</v>
      </c>
      <c r="N333" s="327" t="s">
        <v>208</v>
      </c>
      <c r="O333" s="336" t="s">
        <v>1632</v>
      </c>
      <c r="P333" s="300"/>
      <c r="Q333" s="300"/>
      <c r="R333" s="300"/>
      <c r="S333" s="300"/>
      <c r="T333" s="300"/>
      <c r="U333" s="300"/>
      <c r="V333" s="300"/>
      <c r="W333" s="300"/>
      <c r="X333" s="300"/>
      <c r="Y333" s="300"/>
      <c r="Z333" s="300"/>
      <c r="AA333" s="300"/>
      <c r="AB333" s="300"/>
      <c r="AC333" s="300"/>
    </row>
    <row r="334">
      <c r="A334" s="312"/>
      <c r="B334" s="321">
        <v>1927127.0</v>
      </c>
      <c r="C334" s="322">
        <v>45957.0</v>
      </c>
      <c r="D334" s="321" t="s">
        <v>1633</v>
      </c>
      <c r="E334" s="323">
        <v>45960.0</v>
      </c>
      <c r="F334" s="321">
        <v>863.0</v>
      </c>
      <c r="G334" s="324">
        <v>45957.0</v>
      </c>
      <c r="H334" s="325" t="s">
        <v>23</v>
      </c>
      <c r="I334" s="325" t="s">
        <v>1544</v>
      </c>
      <c r="J334" s="321">
        <v>2200.0</v>
      </c>
      <c r="K334" s="321" t="s">
        <v>1462</v>
      </c>
      <c r="L334" s="326">
        <v>68.24</v>
      </c>
      <c r="M334" s="105">
        <f t="shared" si="1"/>
        <v>150128</v>
      </c>
      <c r="N334" s="327" t="s">
        <v>91</v>
      </c>
      <c r="O334" s="325" t="s">
        <v>1547</v>
      </c>
      <c r="P334" s="300"/>
      <c r="Q334" s="300"/>
      <c r="R334" s="300"/>
      <c r="S334" s="300"/>
      <c r="T334" s="300"/>
      <c r="U334" s="300"/>
      <c r="V334" s="300"/>
      <c r="W334" s="300"/>
      <c r="X334" s="300"/>
      <c r="Y334" s="300"/>
      <c r="Z334" s="300"/>
      <c r="AA334" s="300"/>
      <c r="AB334" s="300"/>
      <c r="AC334" s="300"/>
    </row>
    <row r="335">
      <c r="A335" s="312"/>
      <c r="B335" s="321">
        <v>130909.0</v>
      </c>
      <c r="C335" s="322">
        <v>45957.0</v>
      </c>
      <c r="D335" s="321" t="s">
        <v>1633</v>
      </c>
      <c r="E335" s="323">
        <v>45960.0</v>
      </c>
      <c r="F335" s="321">
        <v>863.0</v>
      </c>
      <c r="G335" s="324">
        <v>45957.0</v>
      </c>
      <c r="H335" s="325" t="s">
        <v>1634</v>
      </c>
      <c r="I335" s="336" t="s">
        <v>1635</v>
      </c>
      <c r="J335" s="321">
        <v>1.0</v>
      </c>
      <c r="K335" s="321" t="s">
        <v>30</v>
      </c>
      <c r="L335" s="326">
        <v>2200.0</v>
      </c>
      <c r="M335" s="105">
        <f t="shared" si="1"/>
        <v>2200</v>
      </c>
      <c r="N335" s="327" t="s">
        <v>1546</v>
      </c>
      <c r="O335" s="325" t="s">
        <v>1547</v>
      </c>
      <c r="P335" s="300"/>
      <c r="Q335" s="300"/>
      <c r="R335" s="300"/>
      <c r="S335" s="300"/>
      <c r="T335" s="300"/>
      <c r="U335" s="300"/>
      <c r="V335" s="300"/>
      <c r="W335" s="300"/>
      <c r="X335" s="300"/>
      <c r="Y335" s="300"/>
      <c r="Z335" s="300"/>
      <c r="AA335" s="300"/>
      <c r="AB335" s="300"/>
      <c r="AC335" s="300"/>
    </row>
    <row r="336">
      <c r="A336" s="312"/>
      <c r="B336" s="321">
        <v>41517.0</v>
      </c>
      <c r="C336" s="322">
        <v>45933.0</v>
      </c>
      <c r="D336" s="321" t="s">
        <v>1636</v>
      </c>
      <c r="E336" s="323">
        <v>45952.0</v>
      </c>
      <c r="F336" s="321" t="s">
        <v>1637</v>
      </c>
      <c r="G336" s="333"/>
      <c r="H336" s="325" t="s">
        <v>1638</v>
      </c>
      <c r="I336" s="325" t="s">
        <v>1597</v>
      </c>
      <c r="J336" s="321">
        <v>15.0</v>
      </c>
      <c r="K336" s="321" t="s">
        <v>838</v>
      </c>
      <c r="L336" s="326">
        <v>226000.0</v>
      </c>
      <c r="M336" s="105">
        <v>226000.0</v>
      </c>
      <c r="N336" s="327" t="s">
        <v>48</v>
      </c>
      <c r="O336" s="325" t="s">
        <v>1438</v>
      </c>
      <c r="P336" s="300"/>
      <c r="Q336" s="300"/>
      <c r="R336" s="300"/>
      <c r="S336" s="300"/>
      <c r="T336" s="300"/>
      <c r="U336" s="300"/>
      <c r="V336" s="300"/>
      <c r="W336" s="300"/>
      <c r="X336" s="300"/>
      <c r="Y336" s="300"/>
      <c r="Z336" s="300"/>
      <c r="AA336" s="300"/>
      <c r="AB336" s="300"/>
      <c r="AC336" s="300"/>
    </row>
    <row r="337">
      <c r="A337" s="312"/>
      <c r="B337" s="321">
        <v>253.0</v>
      </c>
      <c r="C337" s="322">
        <v>45896.0</v>
      </c>
      <c r="D337" s="321" t="s">
        <v>1639</v>
      </c>
      <c r="E337" s="323">
        <v>45938.0</v>
      </c>
      <c r="F337" s="321">
        <v>840.0</v>
      </c>
      <c r="G337" s="324">
        <v>45906.0</v>
      </c>
      <c r="H337" s="325" t="s">
        <v>1634</v>
      </c>
      <c r="I337" s="336" t="s">
        <v>268</v>
      </c>
      <c r="J337" s="321">
        <v>3.0</v>
      </c>
      <c r="K337" s="321" t="s">
        <v>1622</v>
      </c>
      <c r="L337" s="326">
        <v>2200.0</v>
      </c>
      <c r="M337" s="105">
        <f t="shared" ref="M337:M358" si="2">L337*J337</f>
        <v>6600</v>
      </c>
      <c r="N337" s="327" t="s">
        <v>1640</v>
      </c>
      <c r="O337" s="325" t="s">
        <v>1641</v>
      </c>
      <c r="P337" s="300"/>
      <c r="Q337" s="300"/>
      <c r="R337" s="300"/>
      <c r="S337" s="300"/>
      <c r="T337" s="300"/>
      <c r="U337" s="300"/>
      <c r="V337" s="300"/>
      <c r="W337" s="300"/>
      <c r="X337" s="300"/>
      <c r="Y337" s="300"/>
      <c r="Z337" s="300"/>
      <c r="AA337" s="300"/>
      <c r="AB337" s="300"/>
      <c r="AC337" s="300"/>
    </row>
    <row r="338">
      <c r="A338" s="312"/>
      <c r="B338" s="321">
        <v>1006.0</v>
      </c>
      <c r="C338" s="322">
        <v>45896.0</v>
      </c>
      <c r="D338" s="321" t="s">
        <v>1639</v>
      </c>
      <c r="E338" s="323">
        <v>45938.0</v>
      </c>
      <c r="F338" s="321">
        <v>840.0</v>
      </c>
      <c r="G338" s="324">
        <v>45906.0</v>
      </c>
      <c r="H338" s="325" t="s">
        <v>1642</v>
      </c>
      <c r="I338" s="336" t="s">
        <v>268</v>
      </c>
      <c r="J338" s="321">
        <v>4.0</v>
      </c>
      <c r="K338" s="321" t="s">
        <v>156</v>
      </c>
      <c r="L338" s="326">
        <v>2200.0</v>
      </c>
      <c r="M338" s="105">
        <f t="shared" si="2"/>
        <v>8800</v>
      </c>
      <c r="N338" s="327" t="s">
        <v>1557</v>
      </c>
      <c r="O338" s="325" t="s">
        <v>1641</v>
      </c>
      <c r="P338" s="300"/>
      <c r="Q338" s="300"/>
      <c r="R338" s="300"/>
      <c r="S338" s="300"/>
      <c r="T338" s="300"/>
      <c r="U338" s="300"/>
      <c r="V338" s="300"/>
      <c r="W338" s="300"/>
      <c r="X338" s="300"/>
      <c r="Y338" s="300"/>
      <c r="Z338" s="300"/>
      <c r="AA338" s="300"/>
      <c r="AB338" s="300"/>
      <c r="AC338" s="300"/>
    </row>
    <row r="339">
      <c r="A339" s="312"/>
      <c r="B339" s="321">
        <v>1996.0</v>
      </c>
      <c r="C339" s="322">
        <v>45929.0</v>
      </c>
      <c r="D339" s="321" t="s">
        <v>1643</v>
      </c>
      <c r="E339" s="323">
        <v>45938.0</v>
      </c>
      <c r="F339" s="321">
        <v>852.0</v>
      </c>
      <c r="G339" s="324">
        <v>45930.0</v>
      </c>
      <c r="H339" s="325" t="s">
        <v>1644</v>
      </c>
      <c r="I339" s="325" t="s">
        <v>547</v>
      </c>
      <c r="J339" s="321">
        <v>1.0</v>
      </c>
      <c r="K339" s="321" t="s">
        <v>30</v>
      </c>
      <c r="L339" s="326">
        <v>16490.0</v>
      </c>
      <c r="M339" s="105">
        <f t="shared" si="2"/>
        <v>16490</v>
      </c>
      <c r="N339" s="327" t="s">
        <v>1645</v>
      </c>
      <c r="O339" s="325" t="s">
        <v>1646</v>
      </c>
      <c r="P339" s="300"/>
      <c r="Q339" s="300"/>
      <c r="R339" s="300"/>
      <c r="S339" s="300"/>
      <c r="T339" s="300"/>
      <c r="U339" s="300"/>
      <c r="V339" s="300"/>
      <c r="W339" s="300"/>
      <c r="X339" s="300"/>
      <c r="Y339" s="300"/>
      <c r="Z339" s="300"/>
      <c r="AA339" s="300"/>
      <c r="AB339" s="300"/>
      <c r="AC339" s="300"/>
    </row>
    <row r="340">
      <c r="A340" s="312"/>
      <c r="B340" s="321">
        <v>8.0</v>
      </c>
      <c r="C340" s="322">
        <v>45925.0</v>
      </c>
      <c r="D340" s="321" t="s">
        <v>1647</v>
      </c>
      <c r="E340" s="323">
        <v>45933.0</v>
      </c>
      <c r="F340" s="321">
        <v>852.0</v>
      </c>
      <c r="G340" s="324">
        <v>45930.0</v>
      </c>
      <c r="H340" s="325" t="s">
        <v>1648</v>
      </c>
      <c r="I340" s="325" t="s">
        <v>547</v>
      </c>
      <c r="J340" s="321">
        <v>1.0</v>
      </c>
      <c r="K340" s="321" t="s">
        <v>30</v>
      </c>
      <c r="L340" s="326">
        <v>60750.0</v>
      </c>
      <c r="M340" s="105">
        <f t="shared" si="2"/>
        <v>60750</v>
      </c>
      <c r="N340" s="327" t="s">
        <v>1649</v>
      </c>
      <c r="O340" s="325" t="s">
        <v>1429</v>
      </c>
      <c r="P340" s="300"/>
      <c r="Q340" s="300"/>
      <c r="R340" s="300"/>
      <c r="S340" s="300"/>
      <c r="T340" s="300"/>
      <c r="U340" s="300"/>
      <c r="V340" s="300"/>
      <c r="W340" s="300"/>
      <c r="X340" s="300"/>
      <c r="Y340" s="300"/>
      <c r="Z340" s="300"/>
      <c r="AA340" s="300"/>
      <c r="AB340" s="300"/>
      <c r="AC340" s="300"/>
    </row>
    <row r="341">
      <c r="A341" s="312"/>
      <c r="B341" s="330">
        <v>1337.0</v>
      </c>
      <c r="C341" s="331">
        <v>45924.0</v>
      </c>
      <c r="D341" s="330" t="s">
        <v>1650</v>
      </c>
      <c r="E341" s="332">
        <v>45938.0</v>
      </c>
      <c r="F341" s="330">
        <v>848.0</v>
      </c>
      <c r="G341" s="334">
        <v>45924.0</v>
      </c>
      <c r="H341" s="325" t="s">
        <v>1651</v>
      </c>
      <c r="I341" s="325" t="s">
        <v>1516</v>
      </c>
      <c r="J341" s="321">
        <v>7.0</v>
      </c>
      <c r="K341" s="337" t="s">
        <v>981</v>
      </c>
      <c r="L341" s="326">
        <v>3150.0</v>
      </c>
      <c r="M341" s="105">
        <f t="shared" si="2"/>
        <v>22050</v>
      </c>
      <c r="N341" s="327" t="s">
        <v>1652</v>
      </c>
      <c r="O341" s="325" t="s">
        <v>1653</v>
      </c>
      <c r="P341" s="300"/>
      <c r="Q341" s="300"/>
      <c r="R341" s="300"/>
      <c r="S341" s="300"/>
      <c r="T341" s="300"/>
      <c r="U341" s="300"/>
      <c r="V341" s="300"/>
      <c r="W341" s="300"/>
      <c r="X341" s="300"/>
      <c r="Y341" s="300"/>
      <c r="Z341" s="300"/>
      <c r="AA341" s="300"/>
      <c r="AB341" s="300"/>
      <c r="AC341" s="300"/>
    </row>
    <row r="342">
      <c r="A342" s="312"/>
      <c r="B342" s="48"/>
      <c r="C342" s="48"/>
      <c r="D342" s="48"/>
      <c r="E342" s="48"/>
      <c r="F342" s="48"/>
      <c r="G342" s="48"/>
      <c r="H342" s="325" t="s">
        <v>1654</v>
      </c>
      <c r="I342" s="325" t="s">
        <v>1516</v>
      </c>
      <c r="J342" s="321">
        <v>5.0</v>
      </c>
      <c r="K342" s="337" t="s">
        <v>981</v>
      </c>
      <c r="L342" s="326">
        <v>2200.0</v>
      </c>
      <c r="M342" s="105">
        <f t="shared" si="2"/>
        <v>11000</v>
      </c>
      <c r="N342" s="327" t="s">
        <v>1652</v>
      </c>
      <c r="O342" s="325" t="s">
        <v>1653</v>
      </c>
      <c r="P342" s="300"/>
      <c r="Q342" s="300"/>
      <c r="R342" s="300"/>
      <c r="S342" s="300"/>
      <c r="T342" s="300"/>
      <c r="U342" s="300"/>
      <c r="V342" s="300"/>
      <c r="W342" s="300"/>
      <c r="X342" s="300"/>
      <c r="Y342" s="300"/>
      <c r="Z342" s="300"/>
      <c r="AA342" s="300"/>
      <c r="AB342" s="300"/>
      <c r="AC342" s="300"/>
    </row>
    <row r="343">
      <c r="A343" s="312"/>
      <c r="B343" s="321">
        <v>1600.0</v>
      </c>
      <c r="C343" s="322">
        <v>45929.0</v>
      </c>
      <c r="D343" s="321" t="s">
        <v>1650</v>
      </c>
      <c r="E343" s="323">
        <v>45938.0</v>
      </c>
      <c r="F343" s="321">
        <v>852.0</v>
      </c>
      <c r="G343" s="324">
        <v>45930.0</v>
      </c>
      <c r="H343" s="325" t="s">
        <v>1655</v>
      </c>
      <c r="I343" s="325" t="s">
        <v>1516</v>
      </c>
      <c r="J343" s="321">
        <v>1.0</v>
      </c>
      <c r="K343" s="337" t="s">
        <v>981</v>
      </c>
      <c r="L343" s="326">
        <v>605.0</v>
      </c>
      <c r="M343" s="105">
        <f t="shared" si="2"/>
        <v>605</v>
      </c>
      <c r="N343" s="327" t="s">
        <v>1652</v>
      </c>
      <c r="O343" s="325" t="s">
        <v>1656</v>
      </c>
      <c r="P343" s="300"/>
      <c r="Q343" s="300"/>
      <c r="R343" s="300"/>
      <c r="S343" s="300"/>
      <c r="T343" s="300"/>
      <c r="U343" s="300"/>
      <c r="V343" s="300"/>
      <c r="W343" s="300"/>
      <c r="X343" s="300"/>
      <c r="Y343" s="300"/>
      <c r="Z343" s="300"/>
      <c r="AA343" s="300"/>
      <c r="AB343" s="300"/>
      <c r="AC343" s="300"/>
    </row>
    <row r="344">
      <c r="A344" s="312"/>
      <c r="B344" s="330">
        <v>2233.0</v>
      </c>
      <c r="C344" s="331">
        <v>45951.0</v>
      </c>
      <c r="D344" s="330" t="s">
        <v>1657</v>
      </c>
      <c r="E344" s="332">
        <v>45958.0</v>
      </c>
      <c r="F344" s="330">
        <v>861.0</v>
      </c>
      <c r="G344" s="334">
        <v>45953.0</v>
      </c>
      <c r="H344" s="325" t="s">
        <v>1658</v>
      </c>
      <c r="I344" s="325" t="s">
        <v>547</v>
      </c>
      <c r="J344" s="321">
        <v>3.0</v>
      </c>
      <c r="K344" s="321" t="s">
        <v>981</v>
      </c>
      <c r="L344" s="326">
        <v>27.0</v>
      </c>
      <c r="M344" s="105">
        <f t="shared" si="2"/>
        <v>81</v>
      </c>
      <c r="N344" s="327" t="s">
        <v>1659</v>
      </c>
      <c r="O344" s="325" t="s">
        <v>1660</v>
      </c>
      <c r="P344" s="300"/>
      <c r="Q344" s="300"/>
      <c r="R344" s="300"/>
      <c r="S344" s="300"/>
      <c r="T344" s="300"/>
      <c r="U344" s="300"/>
      <c r="V344" s="300"/>
      <c r="W344" s="300"/>
      <c r="X344" s="300"/>
      <c r="Y344" s="300"/>
      <c r="Z344" s="300"/>
      <c r="AA344" s="300"/>
      <c r="AB344" s="300"/>
      <c r="AC344" s="300"/>
    </row>
    <row r="345">
      <c r="A345" s="312"/>
      <c r="B345" s="47"/>
      <c r="C345" s="47"/>
      <c r="D345" s="47"/>
      <c r="E345" s="47"/>
      <c r="F345" s="47"/>
      <c r="G345" s="47"/>
      <c r="H345" s="325" t="s">
        <v>1661</v>
      </c>
      <c r="I345" s="325" t="s">
        <v>547</v>
      </c>
      <c r="J345" s="321">
        <v>10.0</v>
      </c>
      <c r="K345" s="321" t="s">
        <v>1662</v>
      </c>
      <c r="L345" s="326">
        <v>218.0</v>
      </c>
      <c r="M345" s="105">
        <f t="shared" si="2"/>
        <v>2180</v>
      </c>
      <c r="N345" s="327" t="s">
        <v>1659</v>
      </c>
      <c r="O345" s="325" t="s">
        <v>1660</v>
      </c>
      <c r="P345" s="300"/>
      <c r="Q345" s="300"/>
      <c r="R345" s="300"/>
      <c r="S345" s="300"/>
      <c r="T345" s="300"/>
      <c r="U345" s="300"/>
      <c r="V345" s="300"/>
      <c r="W345" s="300"/>
      <c r="X345" s="300"/>
      <c r="Y345" s="300"/>
      <c r="Z345" s="300"/>
      <c r="AA345" s="300"/>
      <c r="AB345" s="300"/>
      <c r="AC345" s="300"/>
    </row>
    <row r="346">
      <c r="A346" s="312"/>
      <c r="B346" s="47"/>
      <c r="C346" s="47"/>
      <c r="D346" s="47"/>
      <c r="E346" s="47"/>
      <c r="F346" s="47"/>
      <c r="G346" s="47"/>
      <c r="H346" s="325" t="s">
        <v>1663</v>
      </c>
      <c r="I346" s="325" t="s">
        <v>547</v>
      </c>
      <c r="J346" s="321">
        <v>12.0</v>
      </c>
      <c r="K346" s="321" t="s">
        <v>156</v>
      </c>
      <c r="L346" s="326">
        <v>13.0</v>
      </c>
      <c r="M346" s="105">
        <f t="shared" si="2"/>
        <v>156</v>
      </c>
      <c r="N346" s="327" t="s">
        <v>1659</v>
      </c>
      <c r="O346" s="325" t="s">
        <v>1660</v>
      </c>
      <c r="P346" s="300"/>
      <c r="Q346" s="300"/>
      <c r="R346" s="300"/>
      <c r="S346" s="300"/>
      <c r="T346" s="300"/>
      <c r="U346" s="300"/>
      <c r="V346" s="300"/>
      <c r="W346" s="300"/>
      <c r="X346" s="300"/>
      <c r="Y346" s="300"/>
      <c r="Z346" s="300"/>
      <c r="AA346" s="300"/>
      <c r="AB346" s="300"/>
      <c r="AC346" s="300"/>
    </row>
    <row r="347">
      <c r="A347" s="312"/>
      <c r="B347" s="47"/>
      <c r="C347" s="47"/>
      <c r="D347" s="47"/>
      <c r="E347" s="47"/>
      <c r="F347" s="47"/>
      <c r="G347" s="47"/>
      <c r="H347" s="325" t="s">
        <v>1664</v>
      </c>
      <c r="I347" s="325" t="s">
        <v>547</v>
      </c>
      <c r="J347" s="321">
        <v>3.0</v>
      </c>
      <c r="K347" s="321" t="s">
        <v>156</v>
      </c>
      <c r="L347" s="326">
        <v>300.0</v>
      </c>
      <c r="M347" s="105">
        <f t="shared" si="2"/>
        <v>900</v>
      </c>
      <c r="N347" s="327" t="s">
        <v>1659</v>
      </c>
      <c r="O347" s="325" t="s">
        <v>1660</v>
      </c>
      <c r="P347" s="300"/>
      <c r="Q347" s="300"/>
      <c r="R347" s="300"/>
      <c r="S347" s="300"/>
      <c r="T347" s="300"/>
      <c r="U347" s="300"/>
      <c r="V347" s="300"/>
      <c r="W347" s="300"/>
      <c r="X347" s="300"/>
      <c r="Y347" s="300"/>
      <c r="Z347" s="300"/>
      <c r="AA347" s="300"/>
      <c r="AB347" s="300"/>
      <c r="AC347" s="300"/>
    </row>
    <row r="348">
      <c r="A348" s="312"/>
      <c r="B348" s="47"/>
      <c r="C348" s="47"/>
      <c r="D348" s="47"/>
      <c r="E348" s="47"/>
      <c r="F348" s="47"/>
      <c r="G348" s="47"/>
      <c r="H348" s="325" t="s">
        <v>1361</v>
      </c>
      <c r="I348" s="325" t="s">
        <v>547</v>
      </c>
      <c r="J348" s="321">
        <v>10.0</v>
      </c>
      <c r="K348" s="321" t="s">
        <v>39</v>
      </c>
      <c r="L348" s="326">
        <v>15.0</v>
      </c>
      <c r="M348" s="105">
        <f t="shared" si="2"/>
        <v>150</v>
      </c>
      <c r="N348" s="327" t="s">
        <v>1659</v>
      </c>
      <c r="O348" s="325" t="s">
        <v>1660</v>
      </c>
      <c r="P348" s="300"/>
      <c r="Q348" s="300"/>
      <c r="R348" s="300"/>
      <c r="S348" s="300"/>
      <c r="T348" s="300"/>
      <c r="U348" s="300"/>
      <c r="V348" s="300"/>
      <c r="W348" s="300"/>
      <c r="X348" s="300"/>
      <c r="Y348" s="300"/>
      <c r="Z348" s="300"/>
      <c r="AA348" s="300"/>
      <c r="AB348" s="300"/>
      <c r="AC348" s="300"/>
    </row>
    <row r="349">
      <c r="A349" s="312"/>
      <c r="B349" s="48"/>
      <c r="C349" s="48"/>
      <c r="D349" s="48"/>
      <c r="E349" s="48"/>
      <c r="F349" s="48"/>
      <c r="G349" s="48"/>
      <c r="H349" s="325" t="s">
        <v>997</v>
      </c>
      <c r="I349" s="325" t="s">
        <v>547</v>
      </c>
      <c r="J349" s="321">
        <v>6.0</v>
      </c>
      <c r="K349" s="321" t="s">
        <v>1665</v>
      </c>
      <c r="L349" s="326">
        <v>38.0</v>
      </c>
      <c r="M349" s="105">
        <f t="shared" si="2"/>
        <v>228</v>
      </c>
      <c r="N349" s="327" t="s">
        <v>1659</v>
      </c>
      <c r="O349" s="325" t="s">
        <v>1666</v>
      </c>
      <c r="P349" s="300"/>
      <c r="Q349" s="300"/>
      <c r="R349" s="300"/>
      <c r="S349" s="300"/>
      <c r="T349" s="300"/>
      <c r="U349" s="300"/>
      <c r="V349" s="300"/>
      <c r="W349" s="300"/>
      <c r="X349" s="300"/>
      <c r="Y349" s="300"/>
      <c r="Z349" s="300"/>
      <c r="AA349" s="300"/>
      <c r="AB349" s="300"/>
      <c r="AC349" s="300"/>
    </row>
    <row r="350">
      <c r="A350" s="312"/>
      <c r="B350" s="321">
        <v>2919.0</v>
      </c>
      <c r="C350" s="322">
        <v>45954.0</v>
      </c>
      <c r="D350" s="321" t="s">
        <v>1667</v>
      </c>
      <c r="E350" s="323">
        <v>45958.0</v>
      </c>
      <c r="F350" s="321" t="s">
        <v>22</v>
      </c>
      <c r="G350" s="333"/>
      <c r="H350" s="325" t="s">
        <v>23</v>
      </c>
      <c r="I350" s="325" t="s">
        <v>1544</v>
      </c>
      <c r="J350" s="321">
        <v>55.0</v>
      </c>
      <c r="K350" s="321" t="s">
        <v>25</v>
      </c>
      <c r="L350" s="326">
        <v>68.24</v>
      </c>
      <c r="M350" s="105">
        <f t="shared" si="2"/>
        <v>3753.2</v>
      </c>
      <c r="N350" s="327" t="s">
        <v>91</v>
      </c>
      <c r="O350" s="325" t="s">
        <v>1668</v>
      </c>
      <c r="P350" s="300"/>
      <c r="Q350" s="300"/>
      <c r="R350" s="300"/>
      <c r="S350" s="300"/>
      <c r="T350" s="300"/>
      <c r="U350" s="300"/>
      <c r="V350" s="300"/>
      <c r="W350" s="300"/>
      <c r="X350" s="300"/>
      <c r="Y350" s="300"/>
      <c r="Z350" s="300"/>
      <c r="AA350" s="300"/>
      <c r="AB350" s="300"/>
      <c r="AC350" s="300"/>
    </row>
    <row r="351">
      <c r="A351" s="312"/>
      <c r="B351" s="321">
        <v>33503.0</v>
      </c>
      <c r="C351" s="322">
        <v>45940.0</v>
      </c>
      <c r="D351" s="321" t="s">
        <v>1667</v>
      </c>
      <c r="E351" s="323">
        <v>45958.0</v>
      </c>
      <c r="F351" s="321" t="s">
        <v>22</v>
      </c>
      <c r="G351" s="333"/>
      <c r="H351" s="325" t="s">
        <v>23</v>
      </c>
      <c r="I351" s="325" t="s">
        <v>1544</v>
      </c>
      <c r="J351" s="321">
        <v>56.0</v>
      </c>
      <c r="K351" s="321" t="s">
        <v>25</v>
      </c>
      <c r="L351" s="326">
        <v>68.4</v>
      </c>
      <c r="M351" s="105">
        <f t="shared" si="2"/>
        <v>3830.4</v>
      </c>
      <c r="N351" s="327" t="s">
        <v>91</v>
      </c>
      <c r="O351" s="325" t="s">
        <v>1668</v>
      </c>
      <c r="P351" s="300"/>
      <c r="Q351" s="300"/>
      <c r="R351" s="300"/>
      <c r="S351" s="300"/>
      <c r="T351" s="300"/>
      <c r="U351" s="300"/>
      <c r="V351" s="300"/>
      <c r="W351" s="300"/>
      <c r="X351" s="300"/>
      <c r="Y351" s="300"/>
      <c r="Z351" s="300"/>
      <c r="AA351" s="300"/>
      <c r="AB351" s="300"/>
      <c r="AC351" s="300"/>
    </row>
    <row r="352">
      <c r="A352" s="312"/>
      <c r="B352" s="321">
        <v>1178.0</v>
      </c>
      <c r="C352" s="322">
        <v>45946.0</v>
      </c>
      <c r="D352" s="321" t="s">
        <v>1669</v>
      </c>
      <c r="E352" s="323">
        <v>45958.0</v>
      </c>
      <c r="F352" s="321">
        <v>860.0</v>
      </c>
      <c r="G352" s="324">
        <v>45949.0</v>
      </c>
      <c r="H352" s="325" t="s">
        <v>1670</v>
      </c>
      <c r="I352" s="325" t="s">
        <v>55</v>
      </c>
      <c r="J352" s="321">
        <v>2.0</v>
      </c>
      <c r="K352" s="321" t="s">
        <v>156</v>
      </c>
      <c r="L352" s="326">
        <v>2700.0</v>
      </c>
      <c r="M352" s="105">
        <f t="shared" si="2"/>
        <v>5400</v>
      </c>
      <c r="N352" s="327" t="s">
        <v>99</v>
      </c>
      <c r="O352" s="325" t="s">
        <v>1671</v>
      </c>
      <c r="P352" s="300"/>
      <c r="Q352" s="300"/>
      <c r="R352" s="300"/>
      <c r="S352" s="300"/>
      <c r="T352" s="300"/>
      <c r="U352" s="300"/>
      <c r="V352" s="300"/>
      <c r="W352" s="300"/>
      <c r="X352" s="300"/>
      <c r="Y352" s="300"/>
      <c r="Z352" s="300"/>
      <c r="AA352" s="300"/>
      <c r="AB352" s="300"/>
      <c r="AC352" s="300"/>
    </row>
    <row r="353">
      <c r="A353" s="312"/>
      <c r="B353" s="330">
        <v>1179.0</v>
      </c>
      <c r="C353" s="331">
        <v>45950.0</v>
      </c>
      <c r="D353" s="330" t="s">
        <v>1669</v>
      </c>
      <c r="E353" s="332">
        <v>45958.0</v>
      </c>
      <c r="F353" s="330">
        <v>861.0</v>
      </c>
      <c r="G353" s="334">
        <v>45953.0</v>
      </c>
      <c r="H353" s="325" t="s">
        <v>350</v>
      </c>
      <c r="I353" s="325" t="s">
        <v>55</v>
      </c>
      <c r="J353" s="321">
        <v>50.0</v>
      </c>
      <c r="K353" s="321" t="s">
        <v>34</v>
      </c>
      <c r="L353" s="326">
        <v>72.0</v>
      </c>
      <c r="M353" s="105">
        <f t="shared" si="2"/>
        <v>3600</v>
      </c>
      <c r="N353" s="327" t="s">
        <v>99</v>
      </c>
      <c r="O353" s="325" t="s">
        <v>1672</v>
      </c>
      <c r="P353" s="300"/>
      <c r="Q353" s="300"/>
      <c r="R353" s="300"/>
      <c r="S353" s="300"/>
      <c r="T353" s="300"/>
      <c r="U353" s="300"/>
      <c r="V353" s="300"/>
      <c r="W353" s="300"/>
      <c r="X353" s="300"/>
      <c r="Y353" s="300"/>
      <c r="Z353" s="300"/>
      <c r="AA353" s="300"/>
      <c r="AB353" s="300"/>
      <c r="AC353" s="300"/>
    </row>
    <row r="354">
      <c r="A354" s="312"/>
      <c r="B354" s="48"/>
      <c r="C354" s="48"/>
      <c r="D354" s="48"/>
      <c r="E354" s="48"/>
      <c r="F354" s="48"/>
      <c r="G354" s="48"/>
      <c r="H354" s="325" t="s">
        <v>351</v>
      </c>
      <c r="I354" s="325" t="s">
        <v>55</v>
      </c>
      <c r="J354" s="321">
        <v>25.0</v>
      </c>
      <c r="K354" s="321" t="s">
        <v>1673</v>
      </c>
      <c r="L354" s="326">
        <v>72.0</v>
      </c>
      <c r="M354" s="105">
        <f t="shared" si="2"/>
        <v>1800</v>
      </c>
      <c r="N354" s="327" t="s">
        <v>99</v>
      </c>
      <c r="O354" s="325" t="s">
        <v>1672</v>
      </c>
      <c r="P354" s="300"/>
      <c r="Q354" s="300"/>
      <c r="R354" s="300"/>
      <c r="S354" s="300"/>
      <c r="T354" s="300"/>
      <c r="U354" s="300"/>
      <c r="V354" s="300"/>
      <c r="W354" s="300"/>
      <c r="X354" s="300"/>
      <c r="Y354" s="300"/>
      <c r="Z354" s="300"/>
      <c r="AA354" s="300"/>
      <c r="AB354" s="300"/>
      <c r="AC354" s="300"/>
    </row>
    <row r="355">
      <c r="A355" s="312"/>
      <c r="B355" s="330">
        <v>49.0</v>
      </c>
      <c r="C355" s="331">
        <v>45831.0</v>
      </c>
      <c r="D355" s="330" t="s">
        <v>1674</v>
      </c>
      <c r="E355" s="332">
        <v>45958.0</v>
      </c>
      <c r="F355" s="330" t="s">
        <v>22</v>
      </c>
      <c r="G355" s="333"/>
      <c r="H355" s="325" t="s">
        <v>1675</v>
      </c>
      <c r="I355" s="325" t="s">
        <v>29</v>
      </c>
      <c r="J355" s="321">
        <v>1.0</v>
      </c>
      <c r="K355" s="321" t="s">
        <v>89</v>
      </c>
      <c r="L355" s="326">
        <v>2500.0</v>
      </c>
      <c r="M355" s="105">
        <f t="shared" si="2"/>
        <v>2500</v>
      </c>
      <c r="N355" s="327" t="s">
        <v>1676</v>
      </c>
      <c r="O355" s="325" t="s">
        <v>1677</v>
      </c>
      <c r="P355" s="300"/>
      <c r="Q355" s="300"/>
      <c r="R355" s="300"/>
      <c r="S355" s="300"/>
      <c r="T355" s="300"/>
      <c r="U355" s="300"/>
      <c r="V355" s="300"/>
      <c r="W355" s="300"/>
      <c r="X355" s="300"/>
      <c r="Y355" s="300"/>
      <c r="Z355" s="300"/>
      <c r="AA355" s="300"/>
      <c r="AB355" s="300"/>
      <c r="AC355" s="300"/>
    </row>
    <row r="356">
      <c r="A356" s="312"/>
      <c r="B356" s="47"/>
      <c r="C356" s="47"/>
      <c r="D356" s="47"/>
      <c r="E356" s="47"/>
      <c r="F356" s="47"/>
      <c r="G356" s="333"/>
      <c r="H356" s="325" t="s">
        <v>1678</v>
      </c>
      <c r="I356" s="325" t="s">
        <v>29</v>
      </c>
      <c r="J356" s="321">
        <v>1.0</v>
      </c>
      <c r="K356" s="321" t="s">
        <v>89</v>
      </c>
      <c r="L356" s="326">
        <v>5500.0</v>
      </c>
      <c r="M356" s="105">
        <f t="shared" si="2"/>
        <v>5500</v>
      </c>
      <c r="N356" s="327" t="s">
        <v>1676</v>
      </c>
      <c r="O356" s="325" t="s">
        <v>1677</v>
      </c>
      <c r="P356" s="300"/>
      <c r="Q356" s="300"/>
      <c r="R356" s="300"/>
      <c r="S356" s="300"/>
      <c r="T356" s="300"/>
      <c r="U356" s="300"/>
      <c r="V356" s="300"/>
      <c r="W356" s="300"/>
      <c r="X356" s="300"/>
      <c r="Y356" s="300"/>
      <c r="Z356" s="300"/>
      <c r="AA356" s="300"/>
      <c r="AB356" s="300"/>
      <c r="AC356" s="300"/>
    </row>
    <row r="357">
      <c r="A357" s="312"/>
      <c r="B357" s="47"/>
      <c r="C357" s="47"/>
      <c r="D357" s="47"/>
      <c r="E357" s="47"/>
      <c r="F357" s="47"/>
      <c r="G357" s="333"/>
      <c r="H357" s="325" t="s">
        <v>1679</v>
      </c>
      <c r="I357" s="325" t="s">
        <v>29</v>
      </c>
      <c r="J357" s="321">
        <v>2.0</v>
      </c>
      <c r="K357" s="321" t="s">
        <v>156</v>
      </c>
      <c r="L357" s="326">
        <v>150.0</v>
      </c>
      <c r="M357" s="105">
        <f t="shared" si="2"/>
        <v>300</v>
      </c>
      <c r="N357" s="327" t="s">
        <v>1676</v>
      </c>
      <c r="O357" s="325" t="s">
        <v>1677</v>
      </c>
      <c r="P357" s="300"/>
      <c r="Q357" s="300"/>
      <c r="R357" s="300"/>
      <c r="S357" s="300"/>
      <c r="T357" s="300"/>
      <c r="U357" s="300"/>
      <c r="V357" s="300"/>
      <c r="W357" s="300"/>
      <c r="X357" s="300"/>
      <c r="Y357" s="300"/>
      <c r="Z357" s="300"/>
      <c r="AA357" s="300"/>
      <c r="AB357" s="300"/>
      <c r="AC357" s="300"/>
    </row>
    <row r="358">
      <c r="A358" s="312"/>
      <c r="B358" s="47"/>
      <c r="C358" s="47"/>
      <c r="D358" s="47"/>
      <c r="E358" s="47"/>
      <c r="F358" s="47"/>
      <c r="G358" s="333"/>
      <c r="H358" s="325" t="s">
        <v>1679</v>
      </c>
      <c r="I358" s="325" t="s">
        <v>29</v>
      </c>
      <c r="J358" s="321">
        <v>1.0</v>
      </c>
      <c r="K358" s="321" t="s">
        <v>89</v>
      </c>
      <c r="L358" s="326">
        <v>200.0</v>
      </c>
      <c r="M358" s="105">
        <f t="shared" si="2"/>
        <v>200</v>
      </c>
      <c r="N358" s="327" t="s">
        <v>1676</v>
      </c>
      <c r="O358" s="325" t="s">
        <v>1677</v>
      </c>
      <c r="P358" s="300"/>
      <c r="Q358" s="300"/>
      <c r="R358" s="300"/>
      <c r="S358" s="300"/>
      <c r="T358" s="300"/>
      <c r="U358" s="300"/>
      <c r="V358" s="300"/>
      <c r="W358" s="300"/>
      <c r="X358" s="300"/>
      <c r="Y358" s="300"/>
      <c r="Z358" s="300"/>
      <c r="AA358" s="300"/>
      <c r="AB358" s="300"/>
      <c r="AC358" s="300"/>
    </row>
    <row r="359">
      <c r="A359" s="312"/>
      <c r="B359" s="48"/>
      <c r="C359" s="48"/>
      <c r="D359" s="48"/>
      <c r="E359" s="48"/>
      <c r="F359" s="48"/>
      <c r="G359" s="333"/>
      <c r="H359" s="325" t="s">
        <v>1680</v>
      </c>
      <c r="I359" s="339" t="s">
        <v>29</v>
      </c>
      <c r="J359" s="342">
        <v>1.0</v>
      </c>
      <c r="K359" s="321" t="s">
        <v>838</v>
      </c>
      <c r="L359" s="326">
        <v>250.0</v>
      </c>
      <c r="M359" s="105">
        <v>250.0</v>
      </c>
      <c r="N359" s="327" t="s">
        <v>1676</v>
      </c>
      <c r="O359" s="325" t="s">
        <v>1677</v>
      </c>
      <c r="P359" s="300"/>
      <c r="Q359" s="300"/>
      <c r="R359" s="300"/>
      <c r="S359" s="300"/>
      <c r="T359" s="300"/>
      <c r="U359" s="300"/>
      <c r="V359" s="300"/>
      <c r="W359" s="300"/>
      <c r="X359" s="300"/>
      <c r="Y359" s="300"/>
      <c r="Z359" s="300"/>
      <c r="AA359" s="300"/>
      <c r="AB359" s="300"/>
      <c r="AC359" s="300"/>
    </row>
    <row r="360">
      <c r="A360" s="312"/>
      <c r="B360" s="321">
        <v>14142.0</v>
      </c>
      <c r="C360" s="322">
        <v>45831.0</v>
      </c>
      <c r="D360" s="321" t="s">
        <v>1674</v>
      </c>
      <c r="E360" s="323">
        <v>45958.0</v>
      </c>
      <c r="F360" s="321" t="s">
        <v>160</v>
      </c>
      <c r="G360" s="333"/>
      <c r="H360" s="325" t="s">
        <v>1681</v>
      </c>
      <c r="I360" s="325" t="s">
        <v>29</v>
      </c>
      <c r="J360" s="342">
        <v>1.0</v>
      </c>
      <c r="K360" s="321" t="s">
        <v>838</v>
      </c>
      <c r="L360" s="326">
        <v>800.0</v>
      </c>
      <c r="M360" s="105">
        <v>800.0</v>
      </c>
      <c r="N360" s="327" t="s">
        <v>1676</v>
      </c>
      <c r="O360" s="325" t="s">
        <v>1677</v>
      </c>
      <c r="P360" s="300"/>
      <c r="Q360" s="300"/>
      <c r="R360" s="300"/>
      <c r="S360" s="300"/>
      <c r="T360" s="300"/>
      <c r="U360" s="300"/>
      <c r="V360" s="300"/>
      <c r="W360" s="300"/>
      <c r="X360" s="300"/>
      <c r="Y360" s="300"/>
      <c r="Z360" s="300"/>
      <c r="AA360" s="300"/>
      <c r="AB360" s="300"/>
      <c r="AC360" s="300"/>
    </row>
    <row r="361">
      <c r="A361" s="312"/>
      <c r="B361" s="321">
        <v>1967.0</v>
      </c>
      <c r="C361" s="322">
        <v>45929.0</v>
      </c>
      <c r="D361" s="321" t="s">
        <v>1682</v>
      </c>
      <c r="E361" s="323">
        <v>45947.0</v>
      </c>
      <c r="F361" s="321" t="s">
        <v>22</v>
      </c>
      <c r="G361" s="333"/>
      <c r="H361" s="325" t="s">
        <v>1683</v>
      </c>
      <c r="I361" s="325" t="s">
        <v>837</v>
      </c>
      <c r="J361" s="321">
        <v>1.0</v>
      </c>
      <c r="K361" s="343" t="s">
        <v>838</v>
      </c>
      <c r="L361" s="326">
        <v>10075.0</v>
      </c>
      <c r="M361" s="105">
        <f t="shared" ref="M361:M367" si="3">L361*J361</f>
        <v>10075</v>
      </c>
      <c r="N361" s="327" t="s">
        <v>839</v>
      </c>
      <c r="O361" s="325" t="s">
        <v>837</v>
      </c>
      <c r="P361" s="300"/>
      <c r="Q361" s="300"/>
      <c r="R361" s="300"/>
      <c r="S361" s="300"/>
      <c r="T361" s="300"/>
      <c r="U361" s="300"/>
      <c r="V361" s="300"/>
      <c r="W361" s="300"/>
      <c r="X361" s="300"/>
      <c r="Y361" s="300"/>
      <c r="Z361" s="300"/>
      <c r="AA361" s="300"/>
      <c r="AB361" s="300"/>
      <c r="AC361" s="300"/>
    </row>
    <row r="362">
      <c r="A362" s="312"/>
      <c r="B362" s="321" t="s">
        <v>1684</v>
      </c>
      <c r="C362" s="322">
        <v>45945.0</v>
      </c>
      <c r="D362" s="321" t="s">
        <v>1685</v>
      </c>
      <c r="E362" s="323">
        <v>45952.0</v>
      </c>
      <c r="F362" s="321" t="s">
        <v>22</v>
      </c>
      <c r="G362" s="333"/>
      <c r="H362" s="325" t="s">
        <v>1686</v>
      </c>
      <c r="I362" s="325" t="s">
        <v>837</v>
      </c>
      <c r="J362" s="321">
        <v>1.0</v>
      </c>
      <c r="K362" s="321" t="s">
        <v>838</v>
      </c>
      <c r="L362" s="326">
        <v>2500.0</v>
      </c>
      <c r="M362" s="105">
        <f t="shared" si="3"/>
        <v>2500</v>
      </c>
      <c r="N362" s="327" t="s">
        <v>1687</v>
      </c>
      <c r="O362" s="325" t="s">
        <v>837</v>
      </c>
      <c r="P362" s="300"/>
      <c r="Q362" s="300"/>
      <c r="R362" s="300"/>
      <c r="S362" s="300"/>
      <c r="T362" s="300"/>
      <c r="U362" s="300"/>
      <c r="V362" s="300"/>
      <c r="W362" s="300"/>
      <c r="X362" s="300"/>
      <c r="Y362" s="300"/>
      <c r="Z362" s="300"/>
      <c r="AA362" s="300"/>
      <c r="AB362" s="300"/>
      <c r="AC362" s="300"/>
    </row>
    <row r="363">
      <c r="A363" s="312"/>
      <c r="B363" s="339">
        <v>779599.0</v>
      </c>
      <c r="C363" s="344">
        <v>45953.0</v>
      </c>
      <c r="D363" s="339" t="s">
        <v>1688</v>
      </c>
      <c r="E363" s="345">
        <v>45954.0</v>
      </c>
      <c r="F363" s="342">
        <v>862.0</v>
      </c>
      <c r="G363" s="344">
        <v>45953.0</v>
      </c>
      <c r="H363" s="339" t="s">
        <v>23</v>
      </c>
      <c r="I363" s="339" t="s">
        <v>24</v>
      </c>
      <c r="J363" s="339">
        <v>2640.0</v>
      </c>
      <c r="K363" s="339" t="s">
        <v>25</v>
      </c>
      <c r="L363" s="346">
        <v>68.13</v>
      </c>
      <c r="M363" s="105">
        <f t="shared" si="3"/>
        <v>179863.2</v>
      </c>
      <c r="N363" s="347" t="s">
        <v>1689</v>
      </c>
      <c r="O363" s="339" t="s">
        <v>1547</v>
      </c>
      <c r="P363" s="300"/>
      <c r="Q363" s="300"/>
      <c r="R363" s="300"/>
      <c r="S363" s="300"/>
      <c r="T363" s="300"/>
      <c r="U363" s="300"/>
      <c r="V363" s="300"/>
      <c r="W363" s="300"/>
      <c r="X363" s="300"/>
      <c r="Y363" s="300"/>
      <c r="Z363" s="300"/>
      <c r="AA363" s="300"/>
      <c r="AB363" s="300"/>
      <c r="AC363" s="300"/>
    </row>
    <row r="364">
      <c r="A364" s="312"/>
      <c r="B364" s="339">
        <v>786600.0</v>
      </c>
      <c r="C364" s="344">
        <v>45953.0</v>
      </c>
      <c r="D364" s="339" t="s">
        <v>1688</v>
      </c>
      <c r="E364" s="345">
        <v>45954.0</v>
      </c>
      <c r="F364" s="342">
        <v>862.0</v>
      </c>
      <c r="G364" s="344">
        <v>45953.0</v>
      </c>
      <c r="H364" s="339" t="s">
        <v>36</v>
      </c>
      <c r="I364" s="339" t="s">
        <v>24</v>
      </c>
      <c r="J364" s="339">
        <v>440.0</v>
      </c>
      <c r="K364" s="339" t="s">
        <v>25</v>
      </c>
      <c r="L364" s="346">
        <v>63.64</v>
      </c>
      <c r="M364" s="105">
        <f t="shared" si="3"/>
        <v>28001.6</v>
      </c>
      <c r="N364" s="347" t="s">
        <v>1689</v>
      </c>
      <c r="O364" s="339" t="s">
        <v>1547</v>
      </c>
      <c r="P364" s="300"/>
      <c r="Q364" s="300"/>
      <c r="R364" s="300"/>
      <c r="S364" s="300"/>
      <c r="T364" s="300"/>
      <c r="U364" s="300"/>
      <c r="V364" s="300"/>
      <c r="W364" s="300"/>
      <c r="X364" s="300"/>
      <c r="Y364" s="300"/>
      <c r="Z364" s="300"/>
      <c r="AA364" s="300"/>
      <c r="AB364" s="300"/>
      <c r="AC364" s="300"/>
    </row>
    <row r="365">
      <c r="A365" s="312"/>
      <c r="B365" s="348">
        <v>643.0</v>
      </c>
      <c r="C365" s="349">
        <v>45931.0</v>
      </c>
      <c r="D365" s="348" t="s">
        <v>1690</v>
      </c>
      <c r="E365" s="350">
        <v>45966.0</v>
      </c>
      <c r="F365" s="351">
        <v>857.0</v>
      </c>
      <c r="G365" s="349">
        <v>45940.0</v>
      </c>
      <c r="H365" s="339" t="s">
        <v>1691</v>
      </c>
      <c r="I365" s="339" t="s">
        <v>55</v>
      </c>
      <c r="J365" s="339">
        <v>1.0</v>
      </c>
      <c r="K365" s="339" t="s">
        <v>156</v>
      </c>
      <c r="L365" s="346">
        <v>33500.0</v>
      </c>
      <c r="M365" s="105">
        <f t="shared" si="3"/>
        <v>33500</v>
      </c>
      <c r="N365" s="347" t="s">
        <v>1692</v>
      </c>
      <c r="O365" s="339" t="s">
        <v>1671</v>
      </c>
      <c r="P365" s="300"/>
      <c r="Q365" s="300"/>
      <c r="R365" s="300"/>
      <c r="S365" s="300"/>
      <c r="T365" s="300"/>
      <c r="U365" s="300"/>
      <c r="V365" s="300"/>
      <c r="W365" s="300"/>
      <c r="X365" s="300"/>
      <c r="Y365" s="300"/>
      <c r="Z365" s="300"/>
      <c r="AA365" s="300"/>
      <c r="AB365" s="300"/>
      <c r="AC365" s="300"/>
    </row>
    <row r="366">
      <c r="A366" s="312"/>
      <c r="B366" s="47"/>
      <c r="C366" s="47"/>
      <c r="D366" s="47"/>
      <c r="E366" s="47"/>
      <c r="F366" s="47"/>
      <c r="G366" s="47"/>
      <c r="H366" s="339" t="s">
        <v>1670</v>
      </c>
      <c r="I366" s="339" t="s">
        <v>1401</v>
      </c>
      <c r="J366" s="339">
        <v>1.0</v>
      </c>
      <c r="K366" s="339" t="s">
        <v>89</v>
      </c>
      <c r="L366" s="346">
        <v>2700.0</v>
      </c>
      <c r="M366" s="105">
        <f t="shared" si="3"/>
        <v>2700</v>
      </c>
      <c r="N366" s="347" t="s">
        <v>1692</v>
      </c>
      <c r="O366" s="339" t="s">
        <v>1671</v>
      </c>
      <c r="P366" s="300"/>
      <c r="Q366" s="300"/>
      <c r="R366" s="300"/>
      <c r="S366" s="300"/>
      <c r="T366" s="300"/>
      <c r="U366" s="300"/>
      <c r="V366" s="300"/>
      <c r="W366" s="300"/>
      <c r="X366" s="300"/>
      <c r="Y366" s="300"/>
      <c r="Z366" s="300"/>
      <c r="AA366" s="300"/>
      <c r="AB366" s="300"/>
      <c r="AC366" s="300"/>
    </row>
    <row r="367">
      <c r="A367" s="312"/>
      <c r="B367" s="48"/>
      <c r="C367" s="48"/>
      <c r="D367" s="48"/>
      <c r="E367" s="48"/>
      <c r="F367" s="48"/>
      <c r="G367" s="48"/>
      <c r="H367" s="339" t="s">
        <v>1693</v>
      </c>
      <c r="I367" s="339" t="s">
        <v>1401</v>
      </c>
      <c r="J367" s="339">
        <v>5.0</v>
      </c>
      <c r="K367" s="339" t="s">
        <v>156</v>
      </c>
      <c r="L367" s="346">
        <v>450.0</v>
      </c>
      <c r="M367" s="105">
        <f t="shared" si="3"/>
        <v>2250</v>
      </c>
      <c r="N367" s="347" t="s">
        <v>1692</v>
      </c>
      <c r="O367" s="339" t="s">
        <v>1671</v>
      </c>
      <c r="P367" s="300"/>
      <c r="Q367" s="300"/>
      <c r="R367" s="300"/>
      <c r="S367" s="300"/>
      <c r="T367" s="300"/>
      <c r="U367" s="300"/>
      <c r="V367" s="300"/>
      <c r="W367" s="300"/>
      <c r="X367" s="300"/>
      <c r="Y367" s="300"/>
      <c r="Z367" s="300"/>
      <c r="AA367" s="300"/>
      <c r="AB367" s="300"/>
      <c r="AC367" s="300"/>
    </row>
    <row r="368">
      <c r="A368" s="312"/>
      <c r="B368" s="339">
        <v>7145.0</v>
      </c>
      <c r="C368" s="344">
        <v>45960.0</v>
      </c>
      <c r="D368" s="339" t="s">
        <v>1694</v>
      </c>
      <c r="E368" s="345">
        <v>45966.0</v>
      </c>
      <c r="F368" s="342" t="s">
        <v>22</v>
      </c>
      <c r="G368" s="344"/>
      <c r="H368" s="339" t="s">
        <v>1695</v>
      </c>
      <c r="I368" s="339" t="s">
        <v>1571</v>
      </c>
      <c r="J368" s="339">
        <v>1.0</v>
      </c>
      <c r="K368" s="339" t="s">
        <v>838</v>
      </c>
      <c r="L368" s="346">
        <v>1960.0</v>
      </c>
      <c r="M368" s="352">
        <v>1960.0</v>
      </c>
      <c r="N368" s="347" t="s">
        <v>221</v>
      </c>
      <c r="O368" s="339" t="s">
        <v>1696</v>
      </c>
      <c r="P368" s="300"/>
      <c r="Q368" s="300"/>
      <c r="R368" s="300"/>
      <c r="S368" s="300"/>
      <c r="T368" s="300"/>
      <c r="U368" s="300"/>
      <c r="V368" s="300"/>
      <c r="W368" s="300"/>
      <c r="X368" s="300"/>
      <c r="Y368" s="300"/>
      <c r="Z368" s="300"/>
      <c r="AA368" s="300"/>
      <c r="AB368" s="300"/>
      <c r="AC368" s="300"/>
    </row>
    <row r="369">
      <c r="A369" s="312"/>
      <c r="B369" s="348">
        <v>454.0</v>
      </c>
      <c r="C369" s="349">
        <v>45964.0</v>
      </c>
      <c r="D369" s="348" t="s">
        <v>1694</v>
      </c>
      <c r="E369" s="350">
        <v>45966.0</v>
      </c>
      <c r="F369" s="351">
        <v>867.0</v>
      </c>
      <c r="G369" s="349">
        <v>45964.0</v>
      </c>
      <c r="H369" s="339" t="s">
        <v>1697</v>
      </c>
      <c r="I369" s="339" t="s">
        <v>1571</v>
      </c>
      <c r="J369" s="339">
        <v>5.0</v>
      </c>
      <c r="K369" s="339" t="s">
        <v>1168</v>
      </c>
      <c r="L369" s="346">
        <v>340.0</v>
      </c>
      <c r="M369" s="105">
        <f t="shared" ref="M369:M373" si="4">L369*J369</f>
        <v>1700</v>
      </c>
      <c r="N369" s="347" t="s">
        <v>221</v>
      </c>
      <c r="O369" s="339" t="s">
        <v>1698</v>
      </c>
      <c r="P369" s="300"/>
      <c r="Q369" s="300"/>
      <c r="R369" s="300"/>
      <c r="S369" s="300"/>
      <c r="T369" s="300"/>
      <c r="U369" s="300"/>
      <c r="V369" s="300"/>
      <c r="W369" s="300"/>
      <c r="X369" s="300"/>
      <c r="Y369" s="300"/>
      <c r="Z369" s="300"/>
      <c r="AA369" s="300"/>
      <c r="AB369" s="300"/>
      <c r="AC369" s="300"/>
    </row>
    <row r="370">
      <c r="A370" s="312"/>
      <c r="B370" s="47"/>
      <c r="C370" s="47"/>
      <c r="D370" s="47"/>
      <c r="E370" s="47"/>
      <c r="F370" s="47"/>
      <c r="G370" s="47"/>
      <c r="H370" s="339" t="s">
        <v>1699</v>
      </c>
      <c r="I370" s="339" t="s">
        <v>1571</v>
      </c>
      <c r="J370" s="339">
        <v>3.0</v>
      </c>
      <c r="K370" s="339" t="s">
        <v>1168</v>
      </c>
      <c r="L370" s="346">
        <v>650.0</v>
      </c>
      <c r="M370" s="105">
        <f t="shared" si="4"/>
        <v>1950</v>
      </c>
      <c r="N370" s="347" t="s">
        <v>221</v>
      </c>
      <c r="O370" s="339" t="s">
        <v>1698</v>
      </c>
      <c r="P370" s="300"/>
      <c r="Q370" s="300"/>
      <c r="R370" s="300"/>
      <c r="S370" s="300"/>
      <c r="T370" s="300"/>
      <c r="U370" s="300"/>
      <c r="V370" s="300"/>
      <c r="W370" s="300"/>
      <c r="X370" s="300"/>
      <c r="Y370" s="300"/>
      <c r="Z370" s="300"/>
      <c r="AA370" s="300"/>
      <c r="AB370" s="300"/>
      <c r="AC370" s="300"/>
    </row>
    <row r="371">
      <c r="A371" s="312"/>
      <c r="B371" s="48"/>
      <c r="C371" s="48"/>
      <c r="D371" s="48"/>
      <c r="E371" s="48"/>
      <c r="F371" s="48"/>
      <c r="G371" s="48"/>
      <c r="H371" s="339" t="s">
        <v>1700</v>
      </c>
      <c r="I371" s="339" t="s">
        <v>1571</v>
      </c>
      <c r="J371" s="339">
        <v>1.0</v>
      </c>
      <c r="K371" s="339" t="s">
        <v>1168</v>
      </c>
      <c r="L371" s="346">
        <v>650.0</v>
      </c>
      <c r="M371" s="105">
        <f t="shared" si="4"/>
        <v>650</v>
      </c>
      <c r="N371" s="347" t="s">
        <v>221</v>
      </c>
      <c r="O371" s="339" t="s">
        <v>1701</v>
      </c>
      <c r="P371" s="300"/>
      <c r="Q371" s="300"/>
      <c r="R371" s="300"/>
      <c r="S371" s="300"/>
      <c r="T371" s="300"/>
      <c r="U371" s="300"/>
      <c r="V371" s="300"/>
      <c r="W371" s="300"/>
      <c r="X371" s="300"/>
      <c r="Y371" s="300"/>
      <c r="Z371" s="300"/>
      <c r="AA371" s="300"/>
      <c r="AB371" s="300"/>
      <c r="AC371" s="300"/>
    </row>
    <row r="372">
      <c r="A372" s="312"/>
      <c r="B372" s="348">
        <v>68.0</v>
      </c>
      <c r="C372" s="349">
        <v>45950.0</v>
      </c>
      <c r="D372" s="348" t="s">
        <v>1702</v>
      </c>
      <c r="E372" s="350">
        <v>45966.0</v>
      </c>
      <c r="F372" s="351">
        <v>863.0</v>
      </c>
      <c r="G372" s="349">
        <v>45957.0</v>
      </c>
      <c r="H372" s="339" t="s">
        <v>1703</v>
      </c>
      <c r="I372" s="339" t="s">
        <v>29</v>
      </c>
      <c r="J372" s="339">
        <v>5.0</v>
      </c>
      <c r="K372" s="339" t="s">
        <v>156</v>
      </c>
      <c r="L372" s="346">
        <v>1200.0</v>
      </c>
      <c r="M372" s="105">
        <f t="shared" si="4"/>
        <v>6000</v>
      </c>
      <c r="N372" s="347" t="s">
        <v>1368</v>
      </c>
      <c r="O372" s="339" t="s">
        <v>1704</v>
      </c>
      <c r="P372" s="300"/>
      <c r="Q372" s="300"/>
      <c r="R372" s="300"/>
      <c r="S372" s="300"/>
      <c r="T372" s="300"/>
      <c r="U372" s="300"/>
      <c r="V372" s="300"/>
      <c r="W372" s="300"/>
      <c r="X372" s="300"/>
      <c r="Y372" s="300"/>
      <c r="Z372" s="300"/>
      <c r="AA372" s="300"/>
      <c r="AB372" s="300"/>
      <c r="AC372" s="300"/>
    </row>
    <row r="373">
      <c r="A373" s="312"/>
      <c r="B373" s="48"/>
      <c r="C373" s="48"/>
      <c r="D373" s="48"/>
      <c r="E373" s="48"/>
      <c r="F373" s="48"/>
      <c r="G373" s="48"/>
      <c r="H373" s="339" t="s">
        <v>1705</v>
      </c>
      <c r="I373" s="339" t="s">
        <v>29</v>
      </c>
      <c r="J373" s="339">
        <v>5.0</v>
      </c>
      <c r="K373" s="339" t="s">
        <v>156</v>
      </c>
      <c r="L373" s="346">
        <v>1200.0</v>
      </c>
      <c r="M373" s="105">
        <f t="shared" si="4"/>
        <v>6000</v>
      </c>
      <c r="N373" s="347" t="s">
        <v>1368</v>
      </c>
      <c r="O373" s="339" t="s">
        <v>1704</v>
      </c>
      <c r="P373" s="300"/>
      <c r="Q373" s="300"/>
      <c r="R373" s="300"/>
      <c r="S373" s="300"/>
      <c r="T373" s="300"/>
      <c r="U373" s="300"/>
      <c r="V373" s="300"/>
      <c r="W373" s="300"/>
      <c r="X373" s="300"/>
      <c r="Y373" s="300"/>
      <c r="Z373" s="300"/>
      <c r="AA373" s="300"/>
      <c r="AB373" s="300"/>
      <c r="AC373" s="300"/>
    </row>
    <row r="374">
      <c r="A374" s="353"/>
      <c r="B374" s="68">
        <v>990.0</v>
      </c>
      <c r="C374" s="354">
        <v>45948.0</v>
      </c>
      <c r="D374" s="68" t="s">
        <v>1706</v>
      </c>
      <c r="E374" s="355">
        <v>45727.0</v>
      </c>
      <c r="F374" s="68">
        <v>865.0</v>
      </c>
      <c r="G374" s="356"/>
      <c r="H374" s="357" t="s">
        <v>1707</v>
      </c>
      <c r="I374" s="357" t="s">
        <v>1286</v>
      </c>
      <c r="J374" s="77">
        <v>9272.0</v>
      </c>
      <c r="K374" s="358" t="s">
        <v>654</v>
      </c>
      <c r="L374" s="226">
        <v>59.0</v>
      </c>
      <c r="M374" s="56">
        <v>547048.0</v>
      </c>
      <c r="N374" s="33" t="s">
        <v>1708</v>
      </c>
      <c r="O374" s="359" t="s">
        <v>1709</v>
      </c>
      <c r="P374" s="300"/>
      <c r="Q374" s="300"/>
      <c r="R374" s="300"/>
      <c r="S374" s="300"/>
      <c r="T374" s="300"/>
      <c r="U374" s="300"/>
      <c r="V374" s="300"/>
      <c r="W374" s="300"/>
      <c r="X374" s="300"/>
      <c r="Y374" s="300"/>
      <c r="Z374" s="300"/>
      <c r="AA374" s="300"/>
      <c r="AB374" s="300"/>
      <c r="AC374" s="300"/>
    </row>
    <row r="375">
      <c r="A375" s="353"/>
      <c r="B375" s="48"/>
      <c r="C375" s="48"/>
      <c r="D375" s="48"/>
      <c r="E375" s="48"/>
      <c r="F375" s="48"/>
      <c r="G375" s="356"/>
      <c r="H375" s="357" t="s">
        <v>1288</v>
      </c>
      <c r="I375" s="357" t="s">
        <v>1286</v>
      </c>
      <c r="J375" s="77">
        <v>15400.0</v>
      </c>
      <c r="K375" s="358" t="s">
        <v>654</v>
      </c>
      <c r="L375" s="226">
        <v>58.5</v>
      </c>
      <c r="M375" s="56">
        <v>900900.0</v>
      </c>
      <c r="N375" s="33" t="s">
        <v>1708</v>
      </c>
      <c r="O375" s="359" t="s">
        <v>1709</v>
      </c>
      <c r="P375" s="300"/>
      <c r="Q375" s="300"/>
      <c r="R375" s="300"/>
      <c r="S375" s="300"/>
      <c r="T375" s="300"/>
      <c r="U375" s="300"/>
      <c r="V375" s="300"/>
      <c r="W375" s="300"/>
      <c r="X375" s="300"/>
      <c r="Y375" s="300"/>
      <c r="Z375" s="300"/>
      <c r="AA375" s="300"/>
      <c r="AB375" s="300"/>
      <c r="AC375" s="300"/>
    </row>
    <row r="376">
      <c r="A376" s="360"/>
      <c r="B376" s="68" t="s">
        <v>1710</v>
      </c>
      <c r="C376" s="354">
        <v>45976.0</v>
      </c>
      <c r="D376" s="68" t="s">
        <v>1706</v>
      </c>
      <c r="E376" s="355">
        <v>45964.0</v>
      </c>
      <c r="F376" s="68">
        <v>872.0</v>
      </c>
      <c r="G376" s="361">
        <v>45980.0</v>
      </c>
      <c r="H376" s="357" t="s">
        <v>1711</v>
      </c>
      <c r="I376" s="357" t="s">
        <v>1286</v>
      </c>
      <c r="J376" s="31">
        <v>30.0</v>
      </c>
      <c r="K376" s="358" t="s">
        <v>654</v>
      </c>
      <c r="L376" s="226">
        <v>60.0</v>
      </c>
      <c r="M376" s="56">
        <v>1800.0</v>
      </c>
      <c r="N376" s="33" t="s">
        <v>1708</v>
      </c>
      <c r="O376" s="359" t="s">
        <v>1709</v>
      </c>
      <c r="P376" s="300"/>
      <c r="Q376" s="300"/>
      <c r="R376" s="300"/>
      <c r="S376" s="300"/>
      <c r="T376" s="300"/>
      <c r="U376" s="300"/>
      <c r="V376" s="300"/>
      <c r="W376" s="300"/>
      <c r="X376" s="300"/>
      <c r="Y376" s="300"/>
      <c r="Z376" s="300"/>
      <c r="AA376" s="300"/>
      <c r="AB376" s="300"/>
      <c r="AC376" s="300"/>
    </row>
    <row r="377">
      <c r="A377" s="360"/>
      <c r="B377" s="47"/>
      <c r="C377" s="47"/>
      <c r="D377" s="47"/>
      <c r="E377" s="47"/>
      <c r="F377" s="47"/>
      <c r="G377" s="47"/>
      <c r="H377" s="357" t="s">
        <v>1712</v>
      </c>
      <c r="I377" s="357" t="s">
        <v>1286</v>
      </c>
      <c r="J377" s="31">
        <v>257.0</v>
      </c>
      <c r="K377" s="358" t="s">
        <v>654</v>
      </c>
      <c r="L377" s="226">
        <v>59.0</v>
      </c>
      <c r="M377" s="56">
        <v>15163.0</v>
      </c>
      <c r="N377" s="33" t="s">
        <v>1708</v>
      </c>
      <c r="O377" s="359" t="s">
        <v>1709</v>
      </c>
      <c r="P377" s="300"/>
      <c r="Q377" s="300"/>
      <c r="R377" s="300"/>
      <c r="S377" s="300"/>
      <c r="T377" s="300"/>
      <c r="U377" s="300"/>
      <c r="V377" s="300"/>
      <c r="W377" s="300"/>
      <c r="X377" s="300"/>
      <c r="Y377" s="300"/>
      <c r="Z377" s="300"/>
      <c r="AA377" s="300"/>
      <c r="AB377" s="300"/>
      <c r="AC377" s="300"/>
    </row>
    <row r="378">
      <c r="A378" s="360"/>
      <c r="B378" s="47"/>
      <c r="C378" s="47"/>
      <c r="D378" s="47"/>
      <c r="E378" s="47"/>
      <c r="F378" s="47"/>
      <c r="G378" s="47"/>
      <c r="H378" s="357" t="s">
        <v>1713</v>
      </c>
      <c r="I378" s="357" t="s">
        <v>1286</v>
      </c>
      <c r="J378" s="31">
        <v>236.0</v>
      </c>
      <c r="K378" s="358" t="s">
        <v>654</v>
      </c>
      <c r="L378" s="226">
        <v>59.0</v>
      </c>
      <c r="M378" s="56">
        <v>13924.0</v>
      </c>
      <c r="N378" s="33" t="s">
        <v>1708</v>
      </c>
      <c r="O378" s="359" t="s">
        <v>1709</v>
      </c>
      <c r="P378" s="300"/>
      <c r="Q378" s="300"/>
      <c r="R378" s="300"/>
      <c r="S378" s="300"/>
      <c r="T378" s="300"/>
      <c r="U378" s="300"/>
      <c r="V378" s="300"/>
      <c r="W378" s="300"/>
      <c r="X378" s="300"/>
      <c r="Y378" s="300"/>
      <c r="Z378" s="300"/>
      <c r="AA378" s="300"/>
      <c r="AB378" s="300"/>
      <c r="AC378" s="300"/>
    </row>
    <row r="379">
      <c r="A379" s="360"/>
      <c r="B379" s="48"/>
      <c r="C379" s="48"/>
      <c r="D379" s="48"/>
      <c r="E379" s="48"/>
      <c r="F379" s="48"/>
      <c r="G379" s="48"/>
      <c r="H379" s="357" t="s">
        <v>1714</v>
      </c>
      <c r="I379" s="357" t="s">
        <v>1286</v>
      </c>
      <c r="J379" s="31">
        <v>57.0</v>
      </c>
      <c r="K379" s="358" t="s">
        <v>654</v>
      </c>
      <c r="L379" s="226">
        <v>58.5</v>
      </c>
      <c r="M379" s="56">
        <v>3334.5</v>
      </c>
      <c r="N379" s="33" t="s">
        <v>1708</v>
      </c>
      <c r="O379" s="359" t="s">
        <v>1709</v>
      </c>
      <c r="P379" s="300"/>
      <c r="Q379" s="300"/>
      <c r="R379" s="300"/>
      <c r="S379" s="300"/>
      <c r="T379" s="300"/>
      <c r="U379" s="300"/>
      <c r="V379" s="300"/>
      <c r="W379" s="300"/>
      <c r="X379" s="300"/>
      <c r="Y379" s="300"/>
      <c r="Z379" s="300"/>
      <c r="AA379" s="300"/>
      <c r="AB379" s="300"/>
      <c r="AC379" s="300"/>
    </row>
    <row r="380">
      <c r="A380" s="312"/>
      <c r="B380" s="339">
        <v>51.0</v>
      </c>
      <c r="C380" s="344">
        <v>45967.0</v>
      </c>
      <c r="D380" s="339" t="s">
        <v>1715</v>
      </c>
      <c r="E380" s="345">
        <v>45995.0</v>
      </c>
      <c r="F380" s="342">
        <v>870.0</v>
      </c>
      <c r="G380" s="344">
        <v>45975.0</v>
      </c>
      <c r="H380" s="339" t="s">
        <v>122</v>
      </c>
      <c r="I380" s="339" t="s">
        <v>122</v>
      </c>
      <c r="J380" s="342">
        <v>360.0</v>
      </c>
      <c r="K380" s="342" t="s">
        <v>391</v>
      </c>
      <c r="L380" s="346">
        <v>430.0</v>
      </c>
      <c r="M380" s="105">
        <f t="shared" ref="M380:M412" si="5">L380*J380</f>
        <v>154800</v>
      </c>
      <c r="N380" s="347" t="s">
        <v>208</v>
      </c>
      <c r="O380" s="339" t="s">
        <v>1709</v>
      </c>
      <c r="P380" s="300"/>
      <c r="Q380" s="300"/>
      <c r="R380" s="300"/>
      <c r="S380" s="300"/>
      <c r="T380" s="300"/>
      <c r="U380" s="300"/>
      <c r="V380" s="300"/>
      <c r="W380" s="300"/>
      <c r="X380" s="300"/>
      <c r="Y380" s="300"/>
      <c r="Z380" s="300"/>
      <c r="AA380" s="300"/>
      <c r="AB380" s="300"/>
      <c r="AC380" s="300"/>
    </row>
    <row r="381">
      <c r="A381" s="312"/>
      <c r="B381" s="339">
        <v>459.0</v>
      </c>
      <c r="C381" s="344">
        <v>45965.0</v>
      </c>
      <c r="D381" s="339" t="s">
        <v>1716</v>
      </c>
      <c r="E381" s="345">
        <v>45995.0</v>
      </c>
      <c r="F381" s="342">
        <v>870.0</v>
      </c>
      <c r="G381" s="344">
        <v>45975.0</v>
      </c>
      <c r="H381" s="339" t="s">
        <v>1717</v>
      </c>
      <c r="I381" s="339" t="s">
        <v>55</v>
      </c>
      <c r="J381" s="339">
        <v>10.0</v>
      </c>
      <c r="K381" s="339" t="s">
        <v>256</v>
      </c>
      <c r="L381" s="346">
        <v>11890.0</v>
      </c>
      <c r="M381" s="105">
        <f t="shared" si="5"/>
        <v>118900</v>
      </c>
      <c r="N381" s="347" t="s">
        <v>208</v>
      </c>
      <c r="O381" s="339" t="s">
        <v>1709</v>
      </c>
      <c r="P381" s="300"/>
      <c r="Q381" s="300"/>
      <c r="R381" s="300"/>
      <c r="S381" s="300"/>
      <c r="T381" s="300"/>
      <c r="U381" s="300"/>
      <c r="V381" s="300"/>
      <c r="W381" s="300"/>
      <c r="X381" s="300"/>
      <c r="Y381" s="300"/>
      <c r="Z381" s="300"/>
      <c r="AA381" s="300"/>
      <c r="AB381" s="300"/>
      <c r="AC381" s="300"/>
    </row>
    <row r="382">
      <c r="A382" s="312"/>
      <c r="B382" s="339">
        <v>460.0</v>
      </c>
      <c r="C382" s="344">
        <v>45967.0</v>
      </c>
      <c r="D382" s="339" t="s">
        <v>1716</v>
      </c>
      <c r="E382" s="345">
        <v>45995.0</v>
      </c>
      <c r="F382" s="342">
        <v>870.0</v>
      </c>
      <c r="G382" s="344">
        <v>45975.0</v>
      </c>
      <c r="H382" s="339" t="s">
        <v>1717</v>
      </c>
      <c r="I382" s="339" t="s">
        <v>55</v>
      </c>
      <c r="J382" s="339">
        <v>10.0</v>
      </c>
      <c r="K382" s="339" t="s">
        <v>256</v>
      </c>
      <c r="L382" s="346">
        <v>11890.0</v>
      </c>
      <c r="M382" s="105">
        <f t="shared" si="5"/>
        <v>118900</v>
      </c>
      <c r="N382" s="347" t="s">
        <v>208</v>
      </c>
      <c r="O382" s="339" t="s">
        <v>1709</v>
      </c>
      <c r="P382" s="300"/>
      <c r="Q382" s="300"/>
      <c r="R382" s="300"/>
      <c r="S382" s="300"/>
      <c r="T382" s="300"/>
      <c r="U382" s="300"/>
      <c r="V382" s="300"/>
      <c r="W382" s="300"/>
      <c r="X382" s="300"/>
      <c r="Y382" s="300"/>
      <c r="Z382" s="300"/>
      <c r="AA382" s="300"/>
      <c r="AB382" s="300"/>
      <c r="AC382" s="300"/>
    </row>
    <row r="383">
      <c r="A383" s="312"/>
      <c r="B383" s="339">
        <v>425.0</v>
      </c>
      <c r="C383" s="344">
        <v>45910.0</v>
      </c>
      <c r="D383" s="339" t="s">
        <v>1718</v>
      </c>
      <c r="E383" s="345">
        <v>45995.0</v>
      </c>
      <c r="F383" s="342">
        <v>851.0</v>
      </c>
      <c r="G383" s="344">
        <v>45930.0</v>
      </c>
      <c r="H383" s="339" t="s">
        <v>1719</v>
      </c>
      <c r="I383" s="339" t="s">
        <v>55</v>
      </c>
      <c r="J383" s="339">
        <v>2.0</v>
      </c>
      <c r="K383" s="339" t="s">
        <v>256</v>
      </c>
      <c r="L383" s="346">
        <v>23920.0</v>
      </c>
      <c r="M383" s="105">
        <f t="shared" si="5"/>
        <v>47840</v>
      </c>
      <c r="N383" s="347" t="s">
        <v>208</v>
      </c>
      <c r="O383" s="339" t="s">
        <v>1709</v>
      </c>
      <c r="P383" s="300"/>
      <c r="Q383" s="300"/>
      <c r="R383" s="300"/>
      <c r="S383" s="300"/>
      <c r="T383" s="300"/>
      <c r="U383" s="300"/>
      <c r="V383" s="300"/>
      <c r="W383" s="300"/>
      <c r="X383" s="300"/>
      <c r="Y383" s="300"/>
      <c r="Z383" s="300"/>
      <c r="AA383" s="300"/>
      <c r="AB383" s="300"/>
      <c r="AC383" s="300"/>
    </row>
    <row r="384">
      <c r="A384" s="312"/>
      <c r="B384" s="339">
        <v>426.0</v>
      </c>
      <c r="C384" s="344">
        <v>45911.0</v>
      </c>
      <c r="D384" s="339" t="s">
        <v>1718</v>
      </c>
      <c r="E384" s="345">
        <v>45995.0</v>
      </c>
      <c r="F384" s="342">
        <v>851.0</v>
      </c>
      <c r="G384" s="344">
        <v>45930.0</v>
      </c>
      <c r="H384" s="339" t="s">
        <v>1719</v>
      </c>
      <c r="I384" s="339" t="s">
        <v>55</v>
      </c>
      <c r="J384" s="339">
        <v>3.0</v>
      </c>
      <c r="K384" s="339" t="s">
        <v>256</v>
      </c>
      <c r="L384" s="346">
        <v>23920.0</v>
      </c>
      <c r="M384" s="105">
        <f t="shared" si="5"/>
        <v>71760</v>
      </c>
      <c r="N384" s="347" t="s">
        <v>208</v>
      </c>
      <c r="O384" s="339" t="s">
        <v>1709</v>
      </c>
      <c r="P384" s="300"/>
      <c r="Q384" s="300"/>
      <c r="R384" s="300"/>
      <c r="S384" s="300"/>
      <c r="T384" s="300"/>
      <c r="U384" s="300"/>
      <c r="V384" s="300"/>
      <c r="W384" s="300"/>
      <c r="X384" s="300"/>
      <c r="Y384" s="300"/>
      <c r="Z384" s="300"/>
      <c r="AA384" s="300"/>
      <c r="AB384" s="300"/>
      <c r="AC384" s="300"/>
    </row>
    <row r="385">
      <c r="A385" s="312"/>
      <c r="B385" s="339">
        <v>428.0</v>
      </c>
      <c r="C385" s="344">
        <v>45913.0</v>
      </c>
      <c r="D385" s="339" t="s">
        <v>1718</v>
      </c>
      <c r="E385" s="345">
        <v>45995.0</v>
      </c>
      <c r="F385" s="342">
        <v>851.0</v>
      </c>
      <c r="G385" s="344">
        <v>45930.0</v>
      </c>
      <c r="H385" s="339" t="s">
        <v>1719</v>
      </c>
      <c r="I385" s="339" t="s">
        <v>55</v>
      </c>
      <c r="J385" s="339">
        <v>5.0</v>
      </c>
      <c r="K385" s="339" t="s">
        <v>256</v>
      </c>
      <c r="L385" s="346">
        <v>23920.0</v>
      </c>
      <c r="M385" s="105">
        <f t="shared" si="5"/>
        <v>119600</v>
      </c>
      <c r="N385" s="347" t="s">
        <v>208</v>
      </c>
      <c r="O385" s="339" t="s">
        <v>1709</v>
      </c>
      <c r="P385" s="300"/>
      <c r="Q385" s="300"/>
      <c r="R385" s="300"/>
      <c r="S385" s="300"/>
      <c r="T385" s="300"/>
      <c r="U385" s="300"/>
      <c r="V385" s="300"/>
      <c r="W385" s="300"/>
      <c r="X385" s="300"/>
      <c r="Y385" s="300"/>
      <c r="Z385" s="300"/>
      <c r="AA385" s="300"/>
      <c r="AB385" s="300"/>
      <c r="AC385" s="300"/>
    </row>
    <row r="386">
      <c r="A386" s="312"/>
      <c r="B386" s="339">
        <v>432.0</v>
      </c>
      <c r="C386" s="344">
        <v>45913.0</v>
      </c>
      <c r="D386" s="339" t="s">
        <v>1718</v>
      </c>
      <c r="E386" s="345">
        <v>45995.0</v>
      </c>
      <c r="F386" s="342">
        <v>851.0</v>
      </c>
      <c r="G386" s="344">
        <v>45930.0</v>
      </c>
      <c r="H386" s="339" t="s">
        <v>1719</v>
      </c>
      <c r="I386" s="339" t="s">
        <v>55</v>
      </c>
      <c r="J386" s="339">
        <v>1.0</v>
      </c>
      <c r="K386" s="339" t="s">
        <v>207</v>
      </c>
      <c r="L386" s="346">
        <v>23920.0</v>
      </c>
      <c r="M386" s="105">
        <f t="shared" si="5"/>
        <v>23920</v>
      </c>
      <c r="N386" s="347" t="s">
        <v>208</v>
      </c>
      <c r="O386" s="339" t="s">
        <v>1709</v>
      </c>
      <c r="P386" s="300"/>
      <c r="Q386" s="300"/>
      <c r="R386" s="300"/>
      <c r="S386" s="300"/>
      <c r="T386" s="300"/>
      <c r="U386" s="300"/>
      <c r="V386" s="300"/>
      <c r="W386" s="300"/>
      <c r="X386" s="300"/>
      <c r="Y386" s="300"/>
      <c r="Z386" s="300"/>
      <c r="AA386" s="300"/>
      <c r="AB386" s="300"/>
      <c r="AC386" s="300"/>
    </row>
    <row r="387">
      <c r="A387" s="312"/>
      <c r="B387" s="339">
        <v>461.0</v>
      </c>
      <c r="C387" s="344">
        <v>45968.0</v>
      </c>
      <c r="D387" s="339" t="s">
        <v>1720</v>
      </c>
      <c r="E387" s="345">
        <v>45995.0</v>
      </c>
      <c r="F387" s="342">
        <v>870.0</v>
      </c>
      <c r="G387" s="344">
        <v>45975.0</v>
      </c>
      <c r="H387" s="339" t="s">
        <v>1719</v>
      </c>
      <c r="I387" s="339" t="s">
        <v>55</v>
      </c>
      <c r="J387" s="339">
        <v>5.0</v>
      </c>
      <c r="K387" s="339" t="s">
        <v>256</v>
      </c>
      <c r="L387" s="346">
        <v>23920.0</v>
      </c>
      <c r="M387" s="105">
        <f t="shared" si="5"/>
        <v>119600</v>
      </c>
      <c r="N387" s="347" t="s">
        <v>208</v>
      </c>
      <c r="O387" s="339" t="s">
        <v>1709</v>
      </c>
      <c r="P387" s="300"/>
      <c r="Q387" s="300"/>
      <c r="R387" s="300"/>
      <c r="S387" s="300"/>
      <c r="T387" s="300"/>
      <c r="U387" s="300"/>
      <c r="V387" s="300"/>
      <c r="W387" s="300"/>
      <c r="X387" s="300"/>
      <c r="Y387" s="300"/>
      <c r="Z387" s="300"/>
      <c r="AA387" s="300"/>
      <c r="AB387" s="300"/>
      <c r="AC387" s="300"/>
    </row>
    <row r="388">
      <c r="A388" s="312"/>
      <c r="B388" s="339">
        <v>461.0</v>
      </c>
      <c r="C388" s="344">
        <v>45971.0</v>
      </c>
      <c r="D388" s="339" t="s">
        <v>1720</v>
      </c>
      <c r="E388" s="345">
        <v>45995.0</v>
      </c>
      <c r="F388" s="342">
        <v>870.0</v>
      </c>
      <c r="G388" s="344">
        <v>45975.0</v>
      </c>
      <c r="H388" s="339" t="s">
        <v>1719</v>
      </c>
      <c r="I388" s="339" t="s">
        <v>55</v>
      </c>
      <c r="J388" s="339">
        <v>5.0</v>
      </c>
      <c r="K388" s="339" t="s">
        <v>256</v>
      </c>
      <c r="L388" s="346">
        <v>23920.0</v>
      </c>
      <c r="M388" s="105">
        <f t="shared" si="5"/>
        <v>119600</v>
      </c>
      <c r="N388" s="347" t="s">
        <v>208</v>
      </c>
      <c r="O388" s="339" t="s">
        <v>1709</v>
      </c>
      <c r="P388" s="300"/>
      <c r="Q388" s="300"/>
      <c r="R388" s="300"/>
      <c r="S388" s="300"/>
      <c r="T388" s="300"/>
      <c r="U388" s="300"/>
      <c r="V388" s="300"/>
      <c r="W388" s="300"/>
      <c r="X388" s="300"/>
      <c r="Y388" s="300"/>
      <c r="Z388" s="300"/>
      <c r="AA388" s="300"/>
      <c r="AB388" s="300"/>
      <c r="AC388" s="300"/>
    </row>
    <row r="389">
      <c r="A389" s="312"/>
      <c r="B389" s="339">
        <v>52.0</v>
      </c>
      <c r="C389" s="344">
        <v>45982.0</v>
      </c>
      <c r="D389" s="339" t="s">
        <v>1721</v>
      </c>
      <c r="E389" s="345">
        <v>46002.0</v>
      </c>
      <c r="F389" s="342">
        <v>878.0</v>
      </c>
      <c r="G389" s="344">
        <v>45994.0</v>
      </c>
      <c r="H389" s="339" t="s">
        <v>1722</v>
      </c>
      <c r="I389" s="339" t="s">
        <v>122</v>
      </c>
      <c r="J389" s="342">
        <v>360.0</v>
      </c>
      <c r="K389" s="342" t="s">
        <v>391</v>
      </c>
      <c r="L389" s="346">
        <v>430.0</v>
      </c>
      <c r="M389" s="105">
        <f t="shared" si="5"/>
        <v>154800</v>
      </c>
      <c r="N389" s="347" t="s">
        <v>208</v>
      </c>
      <c r="O389" s="339" t="s">
        <v>1709</v>
      </c>
      <c r="P389" s="300"/>
      <c r="Q389" s="300"/>
      <c r="R389" s="300"/>
      <c r="S389" s="300"/>
      <c r="T389" s="300"/>
      <c r="U389" s="300"/>
      <c r="V389" s="300"/>
      <c r="W389" s="300"/>
      <c r="X389" s="300"/>
      <c r="Y389" s="300"/>
      <c r="Z389" s="300"/>
      <c r="AA389" s="300"/>
      <c r="AB389" s="300"/>
      <c r="AC389" s="300"/>
    </row>
    <row r="390">
      <c r="A390" s="312"/>
      <c r="B390" s="339">
        <v>53.0</v>
      </c>
      <c r="C390" s="344">
        <v>45987.0</v>
      </c>
      <c r="D390" s="339" t="s">
        <v>1721</v>
      </c>
      <c r="E390" s="345">
        <v>46002.0</v>
      </c>
      <c r="F390" s="342">
        <v>878.0</v>
      </c>
      <c r="G390" s="344">
        <v>45994.0</v>
      </c>
      <c r="H390" s="339" t="s">
        <v>1722</v>
      </c>
      <c r="I390" s="339" t="s">
        <v>122</v>
      </c>
      <c r="J390" s="342">
        <v>360.0</v>
      </c>
      <c r="K390" s="342" t="s">
        <v>391</v>
      </c>
      <c r="L390" s="346">
        <v>430.0</v>
      </c>
      <c r="M390" s="105">
        <f t="shared" si="5"/>
        <v>154800</v>
      </c>
      <c r="N390" s="347" t="s">
        <v>208</v>
      </c>
      <c r="O390" s="339" t="s">
        <v>1709</v>
      </c>
      <c r="P390" s="300"/>
      <c r="Q390" s="300"/>
      <c r="R390" s="300"/>
      <c r="S390" s="300"/>
      <c r="T390" s="300"/>
      <c r="U390" s="300"/>
      <c r="V390" s="300"/>
      <c r="W390" s="300"/>
      <c r="X390" s="300"/>
      <c r="Y390" s="300"/>
      <c r="Z390" s="300"/>
      <c r="AA390" s="300"/>
      <c r="AB390" s="300"/>
      <c r="AC390" s="300"/>
    </row>
    <row r="391">
      <c r="A391" s="312"/>
      <c r="B391" s="339">
        <v>526.0</v>
      </c>
      <c r="C391" s="344">
        <v>45975.0</v>
      </c>
      <c r="D391" s="339" t="s">
        <v>1723</v>
      </c>
      <c r="E391" s="345">
        <v>46007.0</v>
      </c>
      <c r="F391" s="342">
        <v>869.0</v>
      </c>
      <c r="G391" s="344">
        <v>45975.0</v>
      </c>
      <c r="H391" s="339" t="s">
        <v>1724</v>
      </c>
      <c r="I391" s="339" t="s">
        <v>55</v>
      </c>
      <c r="J391" s="339">
        <v>5.0</v>
      </c>
      <c r="K391" s="339" t="s">
        <v>256</v>
      </c>
      <c r="L391" s="346">
        <v>16000.0</v>
      </c>
      <c r="M391" s="105">
        <f t="shared" si="5"/>
        <v>80000</v>
      </c>
      <c r="N391" s="347" t="s">
        <v>208</v>
      </c>
      <c r="O391" s="339" t="s">
        <v>1709</v>
      </c>
      <c r="P391" s="300"/>
      <c r="Q391" s="300"/>
      <c r="R391" s="300"/>
      <c r="S391" s="300"/>
      <c r="T391" s="300"/>
      <c r="U391" s="300"/>
      <c r="V391" s="300"/>
      <c r="W391" s="300"/>
      <c r="X391" s="300"/>
      <c r="Y391" s="300"/>
      <c r="Z391" s="300"/>
      <c r="AA391" s="300"/>
      <c r="AB391" s="300"/>
      <c r="AC391" s="300"/>
    </row>
    <row r="392">
      <c r="A392" s="312"/>
      <c r="B392" s="339">
        <v>465.0</v>
      </c>
      <c r="C392" s="344">
        <v>45967.0</v>
      </c>
      <c r="D392" s="339" t="s">
        <v>1725</v>
      </c>
      <c r="E392" s="345">
        <v>46007.0</v>
      </c>
      <c r="F392" s="342">
        <v>881.0</v>
      </c>
      <c r="G392" s="344">
        <v>46000.0</v>
      </c>
      <c r="H392" s="339" t="s">
        <v>1726</v>
      </c>
      <c r="I392" s="339" t="s">
        <v>55</v>
      </c>
      <c r="J392" s="339">
        <v>3.0</v>
      </c>
      <c r="K392" s="339" t="s">
        <v>256</v>
      </c>
      <c r="L392" s="346">
        <v>23920.0</v>
      </c>
      <c r="M392" s="105">
        <f t="shared" si="5"/>
        <v>71760</v>
      </c>
      <c r="N392" s="347" t="s">
        <v>208</v>
      </c>
      <c r="O392" s="339" t="s">
        <v>1709</v>
      </c>
      <c r="P392" s="300"/>
      <c r="Q392" s="300"/>
      <c r="R392" s="300"/>
      <c r="S392" s="300"/>
      <c r="T392" s="300"/>
      <c r="U392" s="300"/>
      <c r="V392" s="300"/>
      <c r="W392" s="300"/>
      <c r="X392" s="300"/>
      <c r="Y392" s="300"/>
      <c r="Z392" s="300"/>
      <c r="AA392" s="300"/>
      <c r="AB392" s="300"/>
      <c r="AC392" s="300"/>
    </row>
    <row r="393">
      <c r="A393" s="312"/>
      <c r="B393" s="339">
        <v>1.0163656E7</v>
      </c>
      <c r="C393" s="344">
        <v>45973.0</v>
      </c>
      <c r="D393" s="339" t="s">
        <v>1727</v>
      </c>
      <c r="E393" s="345">
        <v>45993.0</v>
      </c>
      <c r="F393" s="342" t="s">
        <v>158</v>
      </c>
      <c r="G393" s="344"/>
      <c r="H393" s="339" t="s">
        <v>1728</v>
      </c>
      <c r="I393" s="339" t="s">
        <v>1729</v>
      </c>
      <c r="J393" s="339">
        <v>1.0</v>
      </c>
      <c r="K393" s="339" t="s">
        <v>47</v>
      </c>
      <c r="L393" s="346">
        <v>68096.0</v>
      </c>
      <c r="M393" s="105">
        <f t="shared" si="5"/>
        <v>68096</v>
      </c>
      <c r="N393" s="347" t="s">
        <v>1730</v>
      </c>
      <c r="O393" s="312"/>
      <c r="P393" s="300"/>
      <c r="Q393" s="300"/>
      <c r="R393" s="300"/>
      <c r="S393" s="300"/>
      <c r="T393" s="300"/>
      <c r="U393" s="300"/>
      <c r="V393" s="300"/>
      <c r="W393" s="300"/>
      <c r="X393" s="300"/>
      <c r="Y393" s="300"/>
      <c r="Z393" s="300"/>
      <c r="AA393" s="300"/>
      <c r="AB393" s="300"/>
      <c r="AC393" s="300"/>
    </row>
    <row r="394">
      <c r="A394" s="312"/>
      <c r="B394" s="348">
        <v>75.0</v>
      </c>
      <c r="C394" s="349">
        <v>45986.0</v>
      </c>
      <c r="D394" s="348" t="s">
        <v>1731</v>
      </c>
      <c r="E394" s="350">
        <v>46001.0</v>
      </c>
      <c r="F394" s="351">
        <v>875.0</v>
      </c>
      <c r="G394" s="349">
        <v>45986.0</v>
      </c>
      <c r="H394" s="339" t="s">
        <v>1732</v>
      </c>
      <c r="I394" s="339" t="s">
        <v>1733</v>
      </c>
      <c r="J394" s="339">
        <v>15.0</v>
      </c>
      <c r="K394" s="339" t="s">
        <v>1734</v>
      </c>
      <c r="L394" s="346">
        <v>250.0</v>
      </c>
      <c r="M394" s="105">
        <f t="shared" si="5"/>
        <v>3750</v>
      </c>
      <c r="N394" s="347" t="s">
        <v>1368</v>
      </c>
      <c r="O394" s="348" t="s">
        <v>1735</v>
      </c>
      <c r="P394" s="300"/>
      <c r="Q394" s="300"/>
      <c r="R394" s="300"/>
      <c r="S394" s="300"/>
      <c r="T394" s="300"/>
      <c r="U394" s="300"/>
      <c r="V394" s="300"/>
      <c r="W394" s="300"/>
      <c r="X394" s="300"/>
      <c r="Y394" s="300"/>
      <c r="Z394" s="300"/>
      <c r="AA394" s="300"/>
      <c r="AB394" s="300"/>
      <c r="AC394" s="300"/>
    </row>
    <row r="395">
      <c r="A395" s="312"/>
      <c r="B395" s="47"/>
      <c r="C395" s="47"/>
      <c r="D395" s="47"/>
      <c r="E395" s="47"/>
      <c r="F395" s="47"/>
      <c r="G395" s="47"/>
      <c r="H395" s="339" t="s">
        <v>1736</v>
      </c>
      <c r="I395" s="339" t="s">
        <v>29</v>
      </c>
      <c r="J395" s="339">
        <v>5.0</v>
      </c>
      <c r="K395" s="339" t="s">
        <v>156</v>
      </c>
      <c r="L395" s="346">
        <v>1000.0</v>
      </c>
      <c r="M395" s="105">
        <f t="shared" si="5"/>
        <v>5000</v>
      </c>
      <c r="N395" s="347" t="s">
        <v>1368</v>
      </c>
      <c r="O395" s="47"/>
      <c r="P395" s="300"/>
      <c r="Q395" s="300"/>
      <c r="R395" s="300"/>
      <c r="S395" s="300"/>
      <c r="T395" s="300"/>
      <c r="U395" s="300"/>
      <c r="V395" s="300"/>
      <c r="W395" s="300"/>
      <c r="X395" s="300"/>
      <c r="Y395" s="300"/>
      <c r="Z395" s="300"/>
      <c r="AA395" s="300"/>
      <c r="AB395" s="300"/>
      <c r="AC395" s="300"/>
    </row>
    <row r="396">
      <c r="A396" s="312"/>
      <c r="B396" s="47"/>
      <c r="C396" s="47"/>
      <c r="D396" s="47"/>
      <c r="E396" s="47"/>
      <c r="F396" s="47"/>
      <c r="G396" s="47"/>
      <c r="H396" s="339" t="s">
        <v>1737</v>
      </c>
      <c r="I396" s="339" t="s">
        <v>29</v>
      </c>
      <c r="J396" s="339">
        <v>1.0</v>
      </c>
      <c r="K396" s="339" t="s">
        <v>30</v>
      </c>
      <c r="L396" s="346">
        <v>1800.0</v>
      </c>
      <c r="M396" s="105">
        <f t="shared" si="5"/>
        <v>1800</v>
      </c>
      <c r="N396" s="347" t="s">
        <v>1368</v>
      </c>
      <c r="O396" s="47"/>
      <c r="P396" s="300"/>
      <c r="Q396" s="300"/>
      <c r="R396" s="300"/>
      <c r="S396" s="300"/>
      <c r="T396" s="300"/>
      <c r="U396" s="300"/>
      <c r="V396" s="300"/>
      <c r="W396" s="300"/>
      <c r="X396" s="300"/>
      <c r="Y396" s="300"/>
      <c r="Z396" s="300"/>
      <c r="AA396" s="300"/>
      <c r="AB396" s="300"/>
      <c r="AC396" s="300"/>
    </row>
    <row r="397">
      <c r="A397" s="312"/>
      <c r="B397" s="47"/>
      <c r="C397" s="47"/>
      <c r="D397" s="47"/>
      <c r="E397" s="47"/>
      <c r="F397" s="47"/>
      <c r="G397" s="47"/>
      <c r="H397" s="339" t="s">
        <v>1738</v>
      </c>
      <c r="I397" s="339" t="s">
        <v>29</v>
      </c>
      <c r="J397" s="339">
        <v>1.0</v>
      </c>
      <c r="K397" s="339" t="s">
        <v>30</v>
      </c>
      <c r="L397" s="346">
        <v>600.0</v>
      </c>
      <c r="M397" s="105">
        <f t="shared" si="5"/>
        <v>600</v>
      </c>
      <c r="N397" s="347" t="s">
        <v>1368</v>
      </c>
      <c r="O397" s="47"/>
      <c r="P397" s="300"/>
      <c r="Q397" s="300"/>
      <c r="R397" s="300"/>
      <c r="S397" s="300"/>
      <c r="T397" s="300"/>
      <c r="U397" s="300"/>
      <c r="V397" s="300"/>
      <c r="W397" s="300"/>
      <c r="X397" s="300"/>
      <c r="Y397" s="300"/>
      <c r="Z397" s="300"/>
      <c r="AA397" s="300"/>
      <c r="AB397" s="300"/>
      <c r="AC397" s="300"/>
    </row>
    <row r="398">
      <c r="A398" s="312"/>
      <c r="B398" s="47"/>
      <c r="C398" s="47"/>
      <c r="D398" s="47"/>
      <c r="E398" s="47"/>
      <c r="F398" s="47"/>
      <c r="G398" s="47"/>
      <c r="H398" s="339" t="s">
        <v>1739</v>
      </c>
      <c r="I398" s="339" t="s">
        <v>29</v>
      </c>
      <c r="J398" s="339">
        <v>1.0</v>
      </c>
      <c r="K398" s="339" t="s">
        <v>30</v>
      </c>
      <c r="L398" s="346">
        <v>100.0</v>
      </c>
      <c r="M398" s="105">
        <f t="shared" si="5"/>
        <v>100</v>
      </c>
      <c r="N398" s="347" t="s">
        <v>1368</v>
      </c>
      <c r="O398" s="47"/>
      <c r="P398" s="300"/>
      <c r="Q398" s="300"/>
      <c r="R398" s="300"/>
      <c r="S398" s="300"/>
      <c r="T398" s="300"/>
      <c r="U398" s="300"/>
      <c r="V398" s="300"/>
      <c r="W398" s="300"/>
      <c r="X398" s="300"/>
      <c r="Y398" s="300"/>
      <c r="Z398" s="300"/>
      <c r="AA398" s="300"/>
      <c r="AB398" s="300"/>
      <c r="AC398" s="300"/>
    </row>
    <row r="399">
      <c r="A399" s="312"/>
      <c r="B399" s="47"/>
      <c r="C399" s="47"/>
      <c r="D399" s="47"/>
      <c r="E399" s="47"/>
      <c r="F399" s="47"/>
      <c r="G399" s="47"/>
      <c r="H399" s="339" t="s">
        <v>1740</v>
      </c>
      <c r="I399" s="339" t="s">
        <v>1741</v>
      </c>
      <c r="J399" s="339">
        <v>1.0</v>
      </c>
      <c r="K399" s="339" t="s">
        <v>30</v>
      </c>
      <c r="L399" s="346">
        <v>250.0</v>
      </c>
      <c r="M399" s="105">
        <f t="shared" si="5"/>
        <v>250</v>
      </c>
      <c r="N399" s="347" t="s">
        <v>1368</v>
      </c>
      <c r="O399" s="47"/>
      <c r="P399" s="300"/>
      <c r="Q399" s="300"/>
      <c r="R399" s="300"/>
      <c r="S399" s="300"/>
      <c r="T399" s="300"/>
      <c r="U399" s="300"/>
      <c r="V399" s="300"/>
      <c r="W399" s="300"/>
      <c r="X399" s="300"/>
      <c r="Y399" s="300"/>
      <c r="Z399" s="300"/>
      <c r="AA399" s="300"/>
      <c r="AB399" s="300"/>
      <c r="AC399" s="300"/>
    </row>
    <row r="400">
      <c r="A400" s="312"/>
      <c r="B400" s="47"/>
      <c r="C400" s="47"/>
      <c r="D400" s="47"/>
      <c r="E400" s="47"/>
      <c r="F400" s="47"/>
      <c r="G400" s="47"/>
      <c r="H400" s="339" t="s">
        <v>1742</v>
      </c>
      <c r="I400" s="339" t="s">
        <v>29</v>
      </c>
      <c r="J400" s="339">
        <v>2.0</v>
      </c>
      <c r="K400" s="339" t="s">
        <v>1622</v>
      </c>
      <c r="L400" s="346">
        <v>3000.0</v>
      </c>
      <c r="M400" s="105">
        <f t="shared" si="5"/>
        <v>6000</v>
      </c>
      <c r="N400" s="347" t="s">
        <v>1368</v>
      </c>
      <c r="O400" s="47"/>
      <c r="P400" s="300"/>
      <c r="Q400" s="300"/>
      <c r="R400" s="300"/>
      <c r="S400" s="300"/>
      <c r="T400" s="300"/>
      <c r="U400" s="300"/>
      <c r="V400" s="300"/>
      <c r="W400" s="300"/>
      <c r="X400" s="300"/>
      <c r="Y400" s="300"/>
      <c r="Z400" s="300"/>
      <c r="AA400" s="300"/>
      <c r="AB400" s="300"/>
      <c r="AC400" s="300"/>
    </row>
    <row r="401">
      <c r="A401" s="312"/>
      <c r="B401" s="48"/>
      <c r="C401" s="48"/>
      <c r="D401" s="48"/>
      <c r="E401" s="48"/>
      <c r="F401" s="48"/>
      <c r="G401" s="48"/>
      <c r="H401" s="339" t="s">
        <v>1743</v>
      </c>
      <c r="I401" s="339" t="s">
        <v>29</v>
      </c>
      <c r="J401" s="339">
        <v>1.0</v>
      </c>
      <c r="K401" s="339" t="s">
        <v>30</v>
      </c>
      <c r="L401" s="346">
        <v>2500.0</v>
      </c>
      <c r="M401" s="105">
        <f t="shared" si="5"/>
        <v>2500</v>
      </c>
      <c r="N401" s="347" t="s">
        <v>1368</v>
      </c>
      <c r="O401" s="48"/>
      <c r="P401" s="300"/>
      <c r="Q401" s="300"/>
      <c r="R401" s="300"/>
      <c r="S401" s="300"/>
      <c r="T401" s="300"/>
      <c r="U401" s="300"/>
      <c r="V401" s="300"/>
      <c r="W401" s="300"/>
      <c r="X401" s="300"/>
      <c r="Y401" s="300"/>
      <c r="Z401" s="300"/>
      <c r="AA401" s="300"/>
      <c r="AB401" s="300"/>
      <c r="AC401" s="300"/>
    </row>
    <row r="402">
      <c r="A402" s="312"/>
      <c r="B402" s="348" t="s">
        <v>1744</v>
      </c>
      <c r="C402" s="349">
        <v>45980.0</v>
      </c>
      <c r="D402" s="348" t="s">
        <v>1745</v>
      </c>
      <c r="E402" s="350">
        <v>46001.0</v>
      </c>
      <c r="F402" s="351">
        <v>871.0</v>
      </c>
      <c r="G402" s="349">
        <v>45980.0</v>
      </c>
      <c r="H402" s="339" t="s">
        <v>1746</v>
      </c>
      <c r="I402" s="339" t="s">
        <v>1733</v>
      </c>
      <c r="J402" s="339">
        <v>2.0</v>
      </c>
      <c r="K402" s="339" t="s">
        <v>1486</v>
      </c>
      <c r="L402" s="346">
        <v>1395.0</v>
      </c>
      <c r="M402" s="105">
        <f t="shared" si="5"/>
        <v>2790</v>
      </c>
      <c r="N402" s="347" t="s">
        <v>1473</v>
      </c>
      <c r="O402" s="339" t="s">
        <v>1747</v>
      </c>
      <c r="P402" s="300"/>
      <c r="Q402" s="300"/>
      <c r="R402" s="300"/>
      <c r="S402" s="300"/>
      <c r="T402" s="300"/>
      <c r="U402" s="300"/>
      <c r="V402" s="300"/>
      <c r="W402" s="300"/>
      <c r="X402" s="300"/>
      <c r="Y402" s="300"/>
      <c r="Z402" s="300"/>
      <c r="AA402" s="300"/>
      <c r="AB402" s="300"/>
      <c r="AC402" s="300"/>
    </row>
    <row r="403">
      <c r="A403" s="312"/>
      <c r="B403" s="48"/>
      <c r="C403" s="48"/>
      <c r="D403" s="48"/>
      <c r="E403" s="48"/>
      <c r="F403" s="48"/>
      <c r="G403" s="48"/>
      <c r="H403" s="339" t="s">
        <v>1748</v>
      </c>
      <c r="I403" s="339" t="s">
        <v>29</v>
      </c>
      <c r="J403" s="339">
        <v>22.0</v>
      </c>
      <c r="K403" s="339" t="s">
        <v>1749</v>
      </c>
      <c r="L403" s="346">
        <v>199.0</v>
      </c>
      <c r="M403" s="105">
        <f t="shared" si="5"/>
        <v>4378</v>
      </c>
      <c r="N403" s="347" t="s">
        <v>1473</v>
      </c>
      <c r="O403" s="339" t="s">
        <v>1750</v>
      </c>
      <c r="P403" s="300"/>
      <c r="Q403" s="300"/>
      <c r="R403" s="300"/>
      <c r="S403" s="300"/>
      <c r="T403" s="300"/>
      <c r="U403" s="300"/>
      <c r="V403" s="300"/>
      <c r="W403" s="300"/>
      <c r="X403" s="300"/>
      <c r="Y403" s="300"/>
      <c r="Z403" s="300"/>
      <c r="AA403" s="300"/>
      <c r="AB403" s="300"/>
      <c r="AC403" s="300"/>
    </row>
    <row r="404">
      <c r="A404" s="312"/>
      <c r="B404" s="348">
        <v>16944.0</v>
      </c>
      <c r="C404" s="349">
        <v>45965.0</v>
      </c>
      <c r="D404" s="348" t="s">
        <v>1751</v>
      </c>
      <c r="E404" s="350">
        <v>46001.0</v>
      </c>
      <c r="F404" s="351">
        <v>869.0</v>
      </c>
      <c r="G404" s="349">
        <v>45975.0</v>
      </c>
      <c r="H404" s="339" t="s">
        <v>1752</v>
      </c>
      <c r="I404" s="339" t="s">
        <v>547</v>
      </c>
      <c r="J404" s="339">
        <v>3.0</v>
      </c>
      <c r="K404" s="339" t="s">
        <v>39</v>
      </c>
      <c r="L404" s="346">
        <v>48.0</v>
      </c>
      <c r="M404" s="105">
        <f t="shared" si="5"/>
        <v>144</v>
      </c>
      <c r="N404" s="347" t="s">
        <v>1537</v>
      </c>
      <c r="O404" s="339" t="s">
        <v>1753</v>
      </c>
      <c r="P404" s="300"/>
      <c r="Q404" s="300"/>
      <c r="R404" s="300"/>
      <c r="S404" s="300"/>
      <c r="T404" s="300"/>
      <c r="U404" s="300"/>
      <c r="V404" s="300"/>
      <c r="W404" s="300"/>
      <c r="X404" s="300"/>
      <c r="Y404" s="300"/>
      <c r="Z404" s="300"/>
      <c r="AA404" s="300"/>
      <c r="AB404" s="300"/>
      <c r="AC404" s="300"/>
    </row>
    <row r="405">
      <c r="A405" s="312"/>
      <c r="B405" s="48"/>
      <c r="C405" s="48"/>
      <c r="D405" s="48"/>
      <c r="E405" s="48"/>
      <c r="F405" s="48"/>
      <c r="G405" s="48"/>
      <c r="H405" s="339" t="s">
        <v>1754</v>
      </c>
      <c r="I405" s="339" t="s">
        <v>547</v>
      </c>
      <c r="J405" s="339">
        <v>100.0</v>
      </c>
      <c r="K405" s="339" t="s">
        <v>156</v>
      </c>
      <c r="L405" s="346">
        <v>5.0</v>
      </c>
      <c r="M405" s="105">
        <f t="shared" si="5"/>
        <v>500</v>
      </c>
      <c r="N405" s="347" t="s">
        <v>1537</v>
      </c>
      <c r="O405" s="339" t="s">
        <v>1753</v>
      </c>
      <c r="P405" s="300"/>
      <c r="Q405" s="300"/>
      <c r="R405" s="300"/>
      <c r="S405" s="300"/>
      <c r="T405" s="300"/>
      <c r="U405" s="300"/>
      <c r="V405" s="300"/>
      <c r="W405" s="300"/>
      <c r="X405" s="300"/>
      <c r="Y405" s="300"/>
      <c r="Z405" s="300"/>
      <c r="AA405" s="300"/>
      <c r="AB405" s="300"/>
      <c r="AC405" s="300"/>
    </row>
    <row r="406">
      <c r="A406" s="312"/>
      <c r="B406" s="339">
        <v>43587.0</v>
      </c>
      <c r="C406" s="344">
        <v>45961.0</v>
      </c>
      <c r="D406" s="339" t="s">
        <v>1755</v>
      </c>
      <c r="E406" s="345">
        <v>46001.0</v>
      </c>
      <c r="F406" s="342" t="s">
        <v>92</v>
      </c>
      <c r="G406" s="344"/>
      <c r="H406" s="339" t="s">
        <v>1756</v>
      </c>
      <c r="I406" s="339" t="s">
        <v>46</v>
      </c>
      <c r="J406" s="339">
        <v>22.0</v>
      </c>
      <c r="K406" s="339" t="s">
        <v>174</v>
      </c>
      <c r="L406" s="346">
        <v>3750.0</v>
      </c>
      <c r="M406" s="105">
        <f t="shared" si="5"/>
        <v>82500</v>
      </c>
      <c r="N406" s="347" t="s">
        <v>48</v>
      </c>
      <c r="O406" s="339" t="s">
        <v>1757</v>
      </c>
      <c r="P406" s="300"/>
      <c r="Q406" s="300"/>
      <c r="R406" s="300"/>
      <c r="S406" s="300"/>
      <c r="T406" s="300"/>
      <c r="U406" s="300"/>
      <c r="V406" s="300"/>
      <c r="W406" s="300"/>
      <c r="X406" s="300"/>
      <c r="Y406" s="300"/>
      <c r="Z406" s="300"/>
      <c r="AA406" s="300"/>
      <c r="AB406" s="300"/>
      <c r="AC406" s="300"/>
    </row>
    <row r="407">
      <c r="A407" s="312"/>
      <c r="B407" s="339">
        <v>1873.0</v>
      </c>
      <c r="C407" s="344">
        <v>45931.0</v>
      </c>
      <c r="D407" s="339" t="s">
        <v>1755</v>
      </c>
      <c r="E407" s="345">
        <v>46001.0</v>
      </c>
      <c r="F407" s="342" t="s">
        <v>92</v>
      </c>
      <c r="G407" s="344"/>
      <c r="H407" s="339" t="s">
        <v>1758</v>
      </c>
      <c r="I407" s="339" t="s">
        <v>1597</v>
      </c>
      <c r="J407" s="339">
        <v>22.5</v>
      </c>
      <c r="K407" s="339" t="s">
        <v>174</v>
      </c>
      <c r="L407" s="346">
        <v>5923.08</v>
      </c>
      <c r="M407" s="105">
        <f t="shared" si="5"/>
        <v>133269.3</v>
      </c>
      <c r="N407" s="347" t="s">
        <v>48</v>
      </c>
      <c r="O407" s="339" t="s">
        <v>1759</v>
      </c>
      <c r="P407" s="300"/>
      <c r="Q407" s="300"/>
      <c r="R407" s="300"/>
      <c r="S407" s="300"/>
      <c r="T407" s="300"/>
      <c r="U407" s="300"/>
      <c r="V407" s="300"/>
      <c r="W407" s="300"/>
      <c r="X407" s="300"/>
      <c r="Y407" s="300"/>
      <c r="Z407" s="300"/>
      <c r="AA407" s="300"/>
      <c r="AB407" s="300"/>
      <c r="AC407" s="300"/>
    </row>
    <row r="408">
      <c r="A408" s="312"/>
      <c r="B408" s="339">
        <v>41519.0</v>
      </c>
      <c r="C408" s="344">
        <v>45961.0</v>
      </c>
      <c r="D408" s="339" t="s">
        <v>1755</v>
      </c>
      <c r="E408" s="345">
        <v>46001.0</v>
      </c>
      <c r="F408" s="342" t="s">
        <v>92</v>
      </c>
      <c r="G408" s="344"/>
      <c r="H408" s="339" t="s">
        <v>1760</v>
      </c>
      <c r="I408" s="339" t="s">
        <v>1597</v>
      </c>
      <c r="J408" s="339">
        <v>22.0</v>
      </c>
      <c r="K408" s="339" t="s">
        <v>174</v>
      </c>
      <c r="L408" s="346">
        <v>8692.3</v>
      </c>
      <c r="M408" s="105">
        <f t="shared" si="5"/>
        <v>191230.6</v>
      </c>
      <c r="N408" s="347" t="s">
        <v>48</v>
      </c>
      <c r="O408" s="339" t="s">
        <v>1761</v>
      </c>
      <c r="P408" s="300"/>
      <c r="Q408" s="300"/>
      <c r="R408" s="300"/>
      <c r="S408" s="300"/>
      <c r="T408" s="300"/>
      <c r="U408" s="300"/>
      <c r="V408" s="300"/>
      <c r="W408" s="300"/>
      <c r="X408" s="300"/>
      <c r="Y408" s="300"/>
      <c r="Z408" s="300"/>
      <c r="AA408" s="300"/>
      <c r="AB408" s="300"/>
      <c r="AC408" s="300"/>
    </row>
    <row r="409">
      <c r="A409" s="312"/>
      <c r="B409" s="339">
        <v>42963.0</v>
      </c>
      <c r="C409" s="344">
        <v>45933.0</v>
      </c>
      <c r="D409" s="339" t="s">
        <v>1762</v>
      </c>
      <c r="E409" s="345">
        <v>46001.0</v>
      </c>
      <c r="F409" s="342" t="s">
        <v>92</v>
      </c>
      <c r="G409" s="344"/>
      <c r="H409" s="339" t="s">
        <v>1763</v>
      </c>
      <c r="I409" s="339" t="s">
        <v>46</v>
      </c>
      <c r="J409" s="339">
        <v>24.0</v>
      </c>
      <c r="K409" s="339" t="s">
        <v>174</v>
      </c>
      <c r="L409" s="346">
        <v>7038.0</v>
      </c>
      <c r="M409" s="105">
        <f t="shared" si="5"/>
        <v>168912</v>
      </c>
      <c r="N409" s="347" t="s">
        <v>48</v>
      </c>
      <c r="O409" s="339" t="s">
        <v>1764</v>
      </c>
      <c r="P409" s="300"/>
      <c r="Q409" s="300"/>
      <c r="R409" s="300"/>
      <c r="S409" s="300"/>
      <c r="T409" s="300"/>
      <c r="U409" s="300"/>
      <c r="V409" s="300"/>
      <c r="W409" s="300"/>
      <c r="X409" s="300"/>
      <c r="Y409" s="300"/>
      <c r="Z409" s="300"/>
      <c r="AA409" s="300"/>
      <c r="AB409" s="300"/>
      <c r="AC409" s="300"/>
    </row>
    <row r="410">
      <c r="A410" s="312"/>
      <c r="B410" s="339">
        <v>42962.0</v>
      </c>
      <c r="C410" s="344">
        <v>45961.0</v>
      </c>
      <c r="D410" s="339" t="s">
        <v>1762</v>
      </c>
      <c r="E410" s="345">
        <v>46001.0</v>
      </c>
      <c r="F410" s="342" t="s">
        <v>92</v>
      </c>
      <c r="G410" s="344"/>
      <c r="H410" s="339" t="s">
        <v>1765</v>
      </c>
      <c r="I410" s="339" t="s">
        <v>1597</v>
      </c>
      <c r="J410" s="339">
        <v>22.0</v>
      </c>
      <c r="K410" s="339" t="s">
        <v>174</v>
      </c>
      <c r="L410" s="346">
        <v>5923.0</v>
      </c>
      <c r="M410" s="105">
        <f t="shared" si="5"/>
        <v>130306</v>
      </c>
      <c r="N410" s="347" t="s">
        <v>48</v>
      </c>
      <c r="O410" s="339" t="s">
        <v>1764</v>
      </c>
      <c r="P410" s="300"/>
      <c r="Q410" s="300"/>
      <c r="R410" s="300"/>
      <c r="S410" s="300"/>
      <c r="T410" s="300"/>
      <c r="U410" s="300"/>
      <c r="V410" s="300"/>
      <c r="W410" s="300"/>
      <c r="X410" s="300"/>
      <c r="Y410" s="300"/>
      <c r="Z410" s="300"/>
      <c r="AA410" s="300"/>
      <c r="AB410" s="300"/>
      <c r="AC410" s="300"/>
    </row>
    <row r="411">
      <c r="A411" s="312"/>
      <c r="B411" s="339">
        <v>42964.0</v>
      </c>
      <c r="C411" s="344">
        <v>45961.0</v>
      </c>
      <c r="D411" s="339" t="s">
        <v>1762</v>
      </c>
      <c r="E411" s="345">
        <v>46001.0</v>
      </c>
      <c r="F411" s="342" t="s">
        <v>92</v>
      </c>
      <c r="G411" s="344"/>
      <c r="H411" s="339" t="s">
        <v>1766</v>
      </c>
      <c r="I411" s="339" t="s">
        <v>46</v>
      </c>
      <c r="J411" s="339">
        <v>21.0</v>
      </c>
      <c r="K411" s="339" t="s">
        <v>174</v>
      </c>
      <c r="L411" s="346">
        <v>7038.0</v>
      </c>
      <c r="M411" s="105">
        <f t="shared" si="5"/>
        <v>147798</v>
      </c>
      <c r="N411" s="347" t="s">
        <v>48</v>
      </c>
      <c r="O411" s="339" t="s">
        <v>1764</v>
      </c>
      <c r="P411" s="300"/>
      <c r="Q411" s="300"/>
      <c r="R411" s="300"/>
      <c r="S411" s="300"/>
      <c r="T411" s="300"/>
      <c r="U411" s="300"/>
      <c r="V411" s="300"/>
      <c r="W411" s="300"/>
      <c r="X411" s="300"/>
      <c r="Y411" s="300"/>
      <c r="Z411" s="300"/>
      <c r="AA411" s="300"/>
      <c r="AB411" s="300"/>
      <c r="AC411" s="300"/>
    </row>
    <row r="412">
      <c r="A412" s="312"/>
      <c r="B412" s="339">
        <v>42961.0</v>
      </c>
      <c r="C412" s="344">
        <v>45961.0</v>
      </c>
      <c r="D412" s="339" t="s">
        <v>1762</v>
      </c>
      <c r="E412" s="345">
        <v>46001.0</v>
      </c>
      <c r="F412" s="342" t="s">
        <v>92</v>
      </c>
      <c r="G412" s="344"/>
      <c r="H412" s="339" t="s">
        <v>1767</v>
      </c>
      <c r="I412" s="339" t="s">
        <v>46</v>
      </c>
      <c r="J412" s="339">
        <v>25.0</v>
      </c>
      <c r="K412" s="339" t="s">
        <v>174</v>
      </c>
      <c r="L412" s="346">
        <v>7038.0</v>
      </c>
      <c r="M412" s="105">
        <f t="shared" si="5"/>
        <v>175950</v>
      </c>
      <c r="N412" s="347" t="s">
        <v>48</v>
      </c>
      <c r="O412" s="339" t="s">
        <v>1764</v>
      </c>
      <c r="P412" s="300"/>
      <c r="Q412" s="300"/>
      <c r="R412" s="300"/>
      <c r="S412" s="300"/>
      <c r="T412" s="300"/>
      <c r="U412" s="300"/>
      <c r="V412" s="300"/>
      <c r="W412" s="300"/>
      <c r="X412" s="300"/>
      <c r="Y412" s="300"/>
      <c r="Z412" s="300"/>
      <c r="AA412" s="300"/>
      <c r="AB412" s="300"/>
      <c r="AC412" s="300"/>
    </row>
    <row r="413">
      <c r="A413" s="312"/>
      <c r="B413" s="339">
        <v>41518.0</v>
      </c>
      <c r="C413" s="344">
        <v>45930.0</v>
      </c>
      <c r="D413" s="339" t="s">
        <v>1768</v>
      </c>
      <c r="E413" s="345">
        <v>46001.0</v>
      </c>
      <c r="F413" s="342" t="s">
        <v>92</v>
      </c>
      <c r="G413" s="344"/>
      <c r="H413" s="339" t="s">
        <v>1760</v>
      </c>
      <c r="I413" s="339" t="s">
        <v>46</v>
      </c>
      <c r="J413" s="339">
        <v>1.5</v>
      </c>
      <c r="K413" s="339" t="s">
        <v>137</v>
      </c>
      <c r="L413" s="346">
        <v>113000.0</v>
      </c>
      <c r="M413" s="352">
        <v>113000.0</v>
      </c>
      <c r="N413" s="347" t="s">
        <v>48</v>
      </c>
      <c r="O413" s="339" t="s">
        <v>1761</v>
      </c>
      <c r="P413" s="300"/>
      <c r="Q413" s="300"/>
      <c r="R413" s="300"/>
      <c r="S413" s="300"/>
      <c r="T413" s="300"/>
      <c r="U413" s="300"/>
      <c r="V413" s="300"/>
      <c r="W413" s="300"/>
      <c r="X413" s="300"/>
      <c r="Y413" s="300"/>
      <c r="Z413" s="300"/>
      <c r="AA413" s="300"/>
      <c r="AB413" s="300"/>
      <c r="AC413" s="300"/>
    </row>
    <row r="414">
      <c r="A414" s="312"/>
      <c r="B414" s="339">
        <v>45237.0</v>
      </c>
      <c r="C414" s="344">
        <v>45930.0</v>
      </c>
      <c r="D414" s="339" t="s">
        <v>1768</v>
      </c>
      <c r="E414" s="345">
        <v>46001.0</v>
      </c>
      <c r="F414" s="342" t="s">
        <v>92</v>
      </c>
      <c r="G414" s="344"/>
      <c r="H414" s="339" t="s">
        <v>1769</v>
      </c>
      <c r="I414" s="339" t="s">
        <v>1597</v>
      </c>
      <c r="J414" s="339">
        <v>1.0</v>
      </c>
      <c r="K414" s="339" t="s">
        <v>137</v>
      </c>
      <c r="L414" s="346">
        <v>183000.0</v>
      </c>
      <c r="M414" s="105">
        <f t="shared" ref="M414:M423" si="6">L414*J414</f>
        <v>183000</v>
      </c>
      <c r="N414" s="347" t="s">
        <v>1770</v>
      </c>
      <c r="O414" s="339" t="s">
        <v>1771</v>
      </c>
      <c r="P414" s="300"/>
      <c r="Q414" s="300"/>
      <c r="R414" s="300"/>
      <c r="S414" s="300"/>
      <c r="T414" s="300"/>
      <c r="U414" s="300"/>
      <c r="V414" s="300"/>
      <c r="W414" s="300"/>
      <c r="X414" s="300"/>
      <c r="Y414" s="300"/>
      <c r="Z414" s="300"/>
      <c r="AA414" s="300"/>
      <c r="AB414" s="300"/>
      <c r="AC414" s="300"/>
    </row>
    <row r="415">
      <c r="A415" s="312"/>
      <c r="B415" s="339">
        <v>7214.0</v>
      </c>
      <c r="C415" s="344">
        <v>45809.0</v>
      </c>
      <c r="D415" s="339" t="s">
        <v>1768</v>
      </c>
      <c r="E415" s="345">
        <v>46001.0</v>
      </c>
      <c r="F415" s="342" t="s">
        <v>92</v>
      </c>
      <c r="G415" s="344"/>
      <c r="H415" s="339" t="s">
        <v>1772</v>
      </c>
      <c r="I415" s="339" t="s">
        <v>46</v>
      </c>
      <c r="J415" s="339">
        <v>22.0</v>
      </c>
      <c r="K415" s="339" t="s">
        <v>174</v>
      </c>
      <c r="L415" s="346">
        <v>4930.0</v>
      </c>
      <c r="M415" s="105">
        <f t="shared" si="6"/>
        <v>108460</v>
      </c>
      <c r="N415" s="347" t="s">
        <v>48</v>
      </c>
      <c r="O415" s="339" t="s">
        <v>1773</v>
      </c>
      <c r="P415" s="300"/>
      <c r="Q415" s="300"/>
      <c r="R415" s="300"/>
      <c r="S415" s="300"/>
      <c r="T415" s="300"/>
      <c r="U415" s="300"/>
      <c r="V415" s="300"/>
      <c r="W415" s="300"/>
      <c r="X415" s="300"/>
      <c r="Y415" s="300"/>
      <c r="Z415" s="300"/>
      <c r="AA415" s="300"/>
      <c r="AB415" s="300"/>
      <c r="AC415" s="300"/>
    </row>
    <row r="416">
      <c r="A416" s="312"/>
      <c r="B416" s="348">
        <v>99.0</v>
      </c>
      <c r="C416" s="349">
        <v>45989.0</v>
      </c>
      <c r="D416" s="348" t="s">
        <v>1774</v>
      </c>
      <c r="E416" s="350">
        <v>46001.0</v>
      </c>
      <c r="F416" s="351">
        <v>351.0</v>
      </c>
      <c r="G416" s="344"/>
      <c r="H416" s="339" t="s">
        <v>1450</v>
      </c>
      <c r="I416" s="339" t="s">
        <v>1401</v>
      </c>
      <c r="J416" s="339">
        <v>1.0</v>
      </c>
      <c r="K416" s="339" t="s">
        <v>30</v>
      </c>
      <c r="L416" s="346">
        <v>2500.0</v>
      </c>
      <c r="M416" s="105">
        <f t="shared" si="6"/>
        <v>2500</v>
      </c>
      <c r="N416" s="347" t="s">
        <v>1775</v>
      </c>
      <c r="O416" s="339" t="s">
        <v>1776</v>
      </c>
      <c r="P416" s="300"/>
      <c r="Q416" s="300"/>
      <c r="R416" s="300"/>
      <c r="S416" s="300"/>
      <c r="T416" s="300"/>
      <c r="U416" s="300"/>
      <c r="V416" s="300"/>
      <c r="W416" s="300"/>
      <c r="X416" s="300"/>
      <c r="Y416" s="300"/>
      <c r="Z416" s="300"/>
      <c r="AA416" s="300"/>
      <c r="AB416" s="300"/>
      <c r="AC416" s="300"/>
    </row>
    <row r="417">
      <c r="A417" s="312"/>
      <c r="B417" s="47"/>
      <c r="C417" s="47"/>
      <c r="D417" s="47"/>
      <c r="E417" s="47"/>
      <c r="F417" s="47"/>
      <c r="G417" s="344"/>
      <c r="H417" s="339" t="s">
        <v>1629</v>
      </c>
      <c r="I417" s="339" t="s">
        <v>55</v>
      </c>
      <c r="J417" s="339">
        <v>4.0</v>
      </c>
      <c r="K417" s="339" t="s">
        <v>156</v>
      </c>
      <c r="L417" s="346">
        <v>200.0</v>
      </c>
      <c r="M417" s="105">
        <f t="shared" si="6"/>
        <v>800</v>
      </c>
      <c r="N417" s="347" t="s">
        <v>1775</v>
      </c>
      <c r="O417" s="339" t="s">
        <v>1776</v>
      </c>
      <c r="P417" s="300"/>
      <c r="Q417" s="300"/>
      <c r="R417" s="300"/>
      <c r="S417" s="300"/>
      <c r="T417" s="300"/>
      <c r="U417" s="300"/>
      <c r="V417" s="300"/>
      <c r="W417" s="300"/>
      <c r="X417" s="300"/>
      <c r="Y417" s="300"/>
      <c r="Z417" s="300"/>
      <c r="AA417" s="300"/>
      <c r="AB417" s="300"/>
      <c r="AC417" s="300"/>
    </row>
    <row r="418">
      <c r="A418" s="312"/>
      <c r="B418" s="47"/>
      <c r="C418" s="47"/>
      <c r="D418" s="47"/>
      <c r="E418" s="47"/>
      <c r="F418" s="47"/>
      <c r="G418" s="344"/>
      <c r="H418" s="339" t="s">
        <v>609</v>
      </c>
      <c r="I418" s="339" t="s">
        <v>1401</v>
      </c>
      <c r="J418" s="339">
        <v>1.0</v>
      </c>
      <c r="K418" s="339" t="s">
        <v>89</v>
      </c>
      <c r="L418" s="346">
        <v>150.0</v>
      </c>
      <c r="M418" s="105">
        <f t="shared" si="6"/>
        <v>150</v>
      </c>
      <c r="N418" s="347" t="s">
        <v>1775</v>
      </c>
      <c r="O418" s="339" t="s">
        <v>1776</v>
      </c>
      <c r="P418" s="300"/>
      <c r="Q418" s="300"/>
      <c r="R418" s="300"/>
      <c r="S418" s="300"/>
      <c r="T418" s="300"/>
      <c r="U418" s="300"/>
      <c r="V418" s="300"/>
      <c r="W418" s="300"/>
      <c r="X418" s="300"/>
      <c r="Y418" s="300"/>
      <c r="Z418" s="300"/>
      <c r="AA418" s="300"/>
      <c r="AB418" s="300"/>
      <c r="AC418" s="300"/>
    </row>
    <row r="419">
      <c r="A419" s="312"/>
      <c r="B419" s="47"/>
      <c r="C419" s="47"/>
      <c r="D419" s="47"/>
      <c r="E419" s="47"/>
      <c r="F419" s="47"/>
      <c r="G419" s="344"/>
      <c r="H419" s="339" t="s">
        <v>1777</v>
      </c>
      <c r="I419" s="339" t="s">
        <v>55</v>
      </c>
      <c r="J419" s="339">
        <v>4.0</v>
      </c>
      <c r="K419" s="339" t="s">
        <v>156</v>
      </c>
      <c r="L419" s="346">
        <v>200.0</v>
      </c>
      <c r="M419" s="105">
        <f t="shared" si="6"/>
        <v>800</v>
      </c>
      <c r="N419" s="347" t="s">
        <v>1775</v>
      </c>
      <c r="O419" s="339" t="s">
        <v>1776</v>
      </c>
      <c r="P419" s="300"/>
      <c r="Q419" s="300"/>
      <c r="R419" s="300"/>
      <c r="S419" s="300"/>
      <c r="T419" s="300"/>
      <c r="U419" s="300"/>
      <c r="V419" s="300"/>
      <c r="W419" s="300"/>
      <c r="X419" s="300"/>
      <c r="Y419" s="300"/>
      <c r="Z419" s="300"/>
      <c r="AA419" s="300"/>
      <c r="AB419" s="300"/>
      <c r="AC419" s="300"/>
    </row>
    <row r="420">
      <c r="A420" s="312"/>
      <c r="B420" s="47"/>
      <c r="C420" s="47"/>
      <c r="D420" s="47"/>
      <c r="E420" s="47"/>
      <c r="F420" s="47"/>
      <c r="G420" s="344"/>
      <c r="H420" s="339" t="s">
        <v>1450</v>
      </c>
      <c r="I420" s="339" t="s">
        <v>55</v>
      </c>
      <c r="J420" s="339">
        <v>1.0</v>
      </c>
      <c r="K420" s="339" t="s">
        <v>30</v>
      </c>
      <c r="L420" s="346">
        <v>2500.0</v>
      </c>
      <c r="M420" s="105">
        <f t="shared" si="6"/>
        <v>2500</v>
      </c>
      <c r="N420" s="347" t="s">
        <v>1775</v>
      </c>
      <c r="O420" s="339" t="s">
        <v>1776</v>
      </c>
      <c r="P420" s="300"/>
      <c r="Q420" s="300"/>
      <c r="R420" s="300"/>
      <c r="S420" s="300"/>
      <c r="T420" s="300"/>
      <c r="U420" s="300"/>
      <c r="V420" s="300"/>
      <c r="W420" s="300"/>
      <c r="X420" s="300"/>
      <c r="Y420" s="300"/>
      <c r="Z420" s="300"/>
      <c r="AA420" s="300"/>
      <c r="AB420" s="300"/>
      <c r="AC420" s="300"/>
    </row>
    <row r="421">
      <c r="A421" s="312"/>
      <c r="B421" s="47"/>
      <c r="C421" s="47"/>
      <c r="D421" s="47"/>
      <c r="E421" s="47"/>
      <c r="F421" s="47"/>
      <c r="G421" s="344"/>
      <c r="H421" s="339" t="s">
        <v>1778</v>
      </c>
      <c r="I421" s="339" t="s">
        <v>1401</v>
      </c>
      <c r="J421" s="339">
        <v>1.0</v>
      </c>
      <c r="K421" s="339" t="s">
        <v>89</v>
      </c>
      <c r="L421" s="346">
        <v>1000.0</v>
      </c>
      <c r="M421" s="105">
        <f t="shared" si="6"/>
        <v>1000</v>
      </c>
      <c r="N421" s="347" t="s">
        <v>1775</v>
      </c>
      <c r="O421" s="339" t="s">
        <v>1779</v>
      </c>
      <c r="P421" s="300"/>
      <c r="Q421" s="300"/>
      <c r="R421" s="300"/>
      <c r="S421" s="300"/>
      <c r="T421" s="300"/>
      <c r="U421" s="300"/>
      <c r="V421" s="300"/>
      <c r="W421" s="300"/>
      <c r="X421" s="300"/>
      <c r="Y421" s="300"/>
      <c r="Z421" s="300"/>
      <c r="AA421" s="300"/>
      <c r="AB421" s="300"/>
      <c r="AC421" s="300"/>
    </row>
    <row r="422">
      <c r="A422" s="312"/>
      <c r="B422" s="48"/>
      <c r="C422" s="48"/>
      <c r="D422" s="48"/>
      <c r="E422" s="48"/>
      <c r="F422" s="48"/>
      <c r="G422" s="344"/>
      <c r="H422" s="339" t="s">
        <v>1780</v>
      </c>
      <c r="I422" s="339" t="s">
        <v>1401</v>
      </c>
      <c r="J422" s="339">
        <v>1.0</v>
      </c>
      <c r="K422" s="339" t="s">
        <v>89</v>
      </c>
      <c r="L422" s="346">
        <v>800.0</v>
      </c>
      <c r="M422" s="105">
        <f t="shared" si="6"/>
        <v>800</v>
      </c>
      <c r="N422" s="347" t="s">
        <v>1775</v>
      </c>
      <c r="O422" s="339" t="s">
        <v>1781</v>
      </c>
      <c r="P422" s="300"/>
      <c r="Q422" s="300"/>
      <c r="R422" s="300"/>
      <c r="S422" s="300"/>
      <c r="T422" s="300"/>
      <c r="U422" s="300"/>
      <c r="V422" s="300"/>
      <c r="W422" s="300"/>
      <c r="X422" s="300"/>
      <c r="Y422" s="300"/>
      <c r="Z422" s="300"/>
      <c r="AA422" s="300"/>
      <c r="AB422" s="300"/>
      <c r="AC422" s="300"/>
    </row>
    <row r="423">
      <c r="A423" s="312"/>
      <c r="B423" s="339">
        <v>178002.0</v>
      </c>
      <c r="C423" s="344">
        <v>45996.0</v>
      </c>
      <c r="D423" s="339" t="s">
        <v>1774</v>
      </c>
      <c r="E423" s="345">
        <v>46001.0</v>
      </c>
      <c r="F423" s="342" t="s">
        <v>160</v>
      </c>
      <c r="G423" s="344"/>
      <c r="H423" s="339" t="s">
        <v>1782</v>
      </c>
      <c r="I423" s="339" t="s">
        <v>1401</v>
      </c>
      <c r="J423" s="339">
        <v>10.0</v>
      </c>
      <c r="K423" s="339" t="s">
        <v>1673</v>
      </c>
      <c r="L423" s="346">
        <v>525.0</v>
      </c>
      <c r="M423" s="105">
        <f t="shared" si="6"/>
        <v>5250</v>
      </c>
      <c r="N423" s="347" t="s">
        <v>1546</v>
      </c>
      <c r="O423" s="339" t="s">
        <v>1656</v>
      </c>
      <c r="P423" s="300"/>
      <c r="Q423" s="300"/>
      <c r="R423" s="300"/>
      <c r="S423" s="300"/>
      <c r="T423" s="300"/>
      <c r="U423" s="300"/>
      <c r="V423" s="300"/>
      <c r="W423" s="300"/>
      <c r="X423" s="300"/>
      <c r="Y423" s="300"/>
      <c r="Z423" s="300"/>
      <c r="AA423" s="300"/>
      <c r="AB423" s="300"/>
      <c r="AC423" s="300"/>
    </row>
    <row r="424">
      <c r="A424" s="312"/>
      <c r="B424" s="339">
        <v>41515.0</v>
      </c>
      <c r="C424" s="344">
        <v>45833.0</v>
      </c>
      <c r="D424" s="339" t="s">
        <v>1783</v>
      </c>
      <c r="E424" s="345">
        <v>46001.0</v>
      </c>
      <c r="F424" s="342" t="s">
        <v>92</v>
      </c>
      <c r="G424" s="344"/>
      <c r="H424" s="339" t="s">
        <v>1784</v>
      </c>
      <c r="I424" s="339" t="s">
        <v>1597</v>
      </c>
      <c r="J424" s="339">
        <v>26.0</v>
      </c>
      <c r="K424" s="339" t="s">
        <v>174</v>
      </c>
      <c r="L424" s="346">
        <v>226000.0</v>
      </c>
      <c r="M424" s="352">
        <v>226000.0</v>
      </c>
      <c r="N424" s="347" t="s">
        <v>48</v>
      </c>
      <c r="O424" s="339" t="s">
        <v>1785</v>
      </c>
      <c r="P424" s="300"/>
      <c r="Q424" s="300"/>
      <c r="R424" s="300"/>
      <c r="S424" s="300"/>
      <c r="T424" s="300"/>
      <c r="U424" s="300"/>
      <c r="V424" s="300"/>
      <c r="W424" s="300"/>
      <c r="X424" s="300"/>
      <c r="Y424" s="300"/>
      <c r="Z424" s="300"/>
      <c r="AA424" s="300"/>
      <c r="AB424" s="300"/>
      <c r="AC424" s="300"/>
    </row>
    <row r="425">
      <c r="A425" s="312"/>
      <c r="B425" s="339">
        <v>11747.0</v>
      </c>
      <c r="C425" s="344">
        <v>46001.0</v>
      </c>
      <c r="D425" s="339" t="s">
        <v>1786</v>
      </c>
      <c r="E425" s="345">
        <v>46002.0</v>
      </c>
      <c r="F425" s="342" t="s">
        <v>92</v>
      </c>
      <c r="G425" s="344"/>
      <c r="H425" s="339" t="s">
        <v>1787</v>
      </c>
      <c r="I425" s="339" t="s">
        <v>1788</v>
      </c>
      <c r="J425" s="339">
        <v>1.0</v>
      </c>
      <c r="K425" s="339" t="s">
        <v>1789</v>
      </c>
      <c r="L425" s="346">
        <v>2550.0</v>
      </c>
      <c r="M425" s="105">
        <f t="shared" ref="M425:M533" si="7">L425*J425</f>
        <v>2550</v>
      </c>
      <c r="N425" s="347" t="s">
        <v>1790</v>
      </c>
      <c r="O425" s="339" t="s">
        <v>1791</v>
      </c>
      <c r="P425" s="300"/>
      <c r="Q425" s="300"/>
      <c r="R425" s="300"/>
      <c r="S425" s="300"/>
      <c r="T425" s="300"/>
      <c r="U425" s="300"/>
      <c r="V425" s="300"/>
      <c r="W425" s="300"/>
      <c r="X425" s="300"/>
      <c r="Y425" s="300"/>
      <c r="Z425" s="300"/>
      <c r="AA425" s="300"/>
      <c r="AB425" s="300"/>
      <c r="AC425" s="300"/>
    </row>
    <row r="426">
      <c r="A426" s="312"/>
      <c r="B426" s="339">
        <v>2077440.0</v>
      </c>
      <c r="C426" s="344">
        <v>45999.0</v>
      </c>
      <c r="D426" s="339" t="s">
        <v>1792</v>
      </c>
      <c r="E426" s="345">
        <v>46002.0</v>
      </c>
      <c r="F426" s="342">
        <v>880.0</v>
      </c>
      <c r="G426" s="344">
        <v>45999.0</v>
      </c>
      <c r="H426" s="339" t="s">
        <v>36</v>
      </c>
      <c r="I426" s="339" t="s">
        <v>1544</v>
      </c>
      <c r="J426" s="339">
        <v>440.0</v>
      </c>
      <c r="K426" s="339" t="s">
        <v>25</v>
      </c>
      <c r="L426" s="346">
        <v>64.81</v>
      </c>
      <c r="M426" s="105">
        <f t="shared" si="7"/>
        <v>28516.4</v>
      </c>
      <c r="N426" s="347" t="s">
        <v>91</v>
      </c>
      <c r="O426" s="339" t="s">
        <v>1793</v>
      </c>
      <c r="P426" s="300"/>
      <c r="Q426" s="300"/>
      <c r="R426" s="300"/>
      <c r="S426" s="300"/>
      <c r="T426" s="300"/>
      <c r="U426" s="300"/>
      <c r="V426" s="300"/>
      <c r="W426" s="300"/>
      <c r="X426" s="300"/>
      <c r="Y426" s="300"/>
      <c r="Z426" s="300"/>
      <c r="AA426" s="300"/>
      <c r="AB426" s="300"/>
      <c r="AC426" s="300"/>
    </row>
    <row r="427">
      <c r="A427" s="312"/>
      <c r="B427" s="339">
        <v>2077344.0</v>
      </c>
      <c r="C427" s="344">
        <v>45999.0</v>
      </c>
      <c r="D427" s="339" t="s">
        <v>1792</v>
      </c>
      <c r="E427" s="345">
        <v>46002.0</v>
      </c>
      <c r="F427" s="342">
        <v>880.0</v>
      </c>
      <c r="G427" s="344">
        <v>45999.0</v>
      </c>
      <c r="H427" s="339" t="s">
        <v>23</v>
      </c>
      <c r="I427" s="339" t="s">
        <v>1544</v>
      </c>
      <c r="J427" s="339">
        <v>2640.0</v>
      </c>
      <c r="K427" s="339" t="s">
        <v>25</v>
      </c>
      <c r="L427" s="346">
        <v>70.95</v>
      </c>
      <c r="M427" s="105">
        <f t="shared" si="7"/>
        <v>187308</v>
      </c>
      <c r="N427" s="347" t="s">
        <v>91</v>
      </c>
      <c r="O427" s="339" t="s">
        <v>1794</v>
      </c>
      <c r="P427" s="300"/>
      <c r="Q427" s="300"/>
      <c r="R427" s="300"/>
      <c r="S427" s="300"/>
      <c r="T427" s="300"/>
      <c r="U427" s="300"/>
      <c r="V427" s="300"/>
      <c r="W427" s="300"/>
      <c r="X427" s="300"/>
      <c r="Y427" s="300"/>
      <c r="Z427" s="300"/>
      <c r="AA427" s="300"/>
      <c r="AB427" s="300"/>
      <c r="AC427" s="300"/>
    </row>
    <row r="428">
      <c r="A428" s="312"/>
      <c r="B428" s="339">
        <v>130215.0</v>
      </c>
      <c r="C428" s="344">
        <v>45999.0</v>
      </c>
      <c r="D428" s="339" t="s">
        <v>1792</v>
      </c>
      <c r="E428" s="345">
        <v>46002.0</v>
      </c>
      <c r="F428" s="342">
        <v>880.0</v>
      </c>
      <c r="G428" s="344">
        <v>45999.0</v>
      </c>
      <c r="H428" s="339" t="s">
        <v>38</v>
      </c>
      <c r="I428" s="339" t="s">
        <v>24</v>
      </c>
      <c r="J428" s="339">
        <v>480.0</v>
      </c>
      <c r="K428" s="339" t="s">
        <v>39</v>
      </c>
      <c r="L428" s="346">
        <v>20.0</v>
      </c>
      <c r="M428" s="105">
        <f t="shared" si="7"/>
        <v>9600</v>
      </c>
      <c r="N428" s="347" t="s">
        <v>1546</v>
      </c>
      <c r="O428" s="339" t="s">
        <v>1549</v>
      </c>
      <c r="P428" s="300"/>
      <c r="Q428" s="300"/>
      <c r="R428" s="300"/>
      <c r="S428" s="300"/>
      <c r="T428" s="300"/>
      <c r="U428" s="300"/>
      <c r="V428" s="300"/>
      <c r="W428" s="300"/>
      <c r="X428" s="300"/>
      <c r="Y428" s="300"/>
      <c r="Z428" s="300"/>
      <c r="AA428" s="300"/>
      <c r="AB428" s="300"/>
      <c r="AC428" s="300"/>
    </row>
    <row r="429">
      <c r="A429" s="312"/>
      <c r="B429" s="348">
        <v>1286.0</v>
      </c>
      <c r="C429" s="349">
        <v>45976.0</v>
      </c>
      <c r="D429" s="348" t="s">
        <v>342</v>
      </c>
      <c r="E429" s="350">
        <v>45997.0</v>
      </c>
      <c r="F429" s="351">
        <v>872.0</v>
      </c>
      <c r="G429" s="349">
        <v>45980.0</v>
      </c>
      <c r="H429" s="339" t="s">
        <v>1795</v>
      </c>
      <c r="I429" s="339" t="s">
        <v>294</v>
      </c>
      <c r="J429" s="339">
        <v>100.0</v>
      </c>
      <c r="K429" s="339" t="s">
        <v>34</v>
      </c>
      <c r="L429" s="346">
        <v>74.0</v>
      </c>
      <c r="M429" s="105">
        <f t="shared" si="7"/>
        <v>7400</v>
      </c>
      <c r="N429" s="347" t="s">
        <v>99</v>
      </c>
      <c r="O429" s="339" t="s">
        <v>1672</v>
      </c>
      <c r="P429" s="300"/>
      <c r="Q429" s="300"/>
      <c r="R429" s="300"/>
      <c r="S429" s="300"/>
      <c r="T429" s="300"/>
      <c r="U429" s="300"/>
      <c r="V429" s="300"/>
      <c r="W429" s="300"/>
      <c r="X429" s="300"/>
      <c r="Y429" s="300"/>
      <c r="Z429" s="300"/>
      <c r="AA429" s="300"/>
      <c r="AB429" s="300"/>
      <c r="AC429" s="300"/>
    </row>
    <row r="430">
      <c r="A430" s="312"/>
      <c r="B430" s="48"/>
      <c r="C430" s="48"/>
      <c r="D430" s="48"/>
      <c r="E430" s="48"/>
      <c r="F430" s="48"/>
      <c r="G430" s="48"/>
      <c r="H430" s="339" t="s">
        <v>1796</v>
      </c>
      <c r="I430" s="339" t="s">
        <v>294</v>
      </c>
      <c r="J430" s="339">
        <v>300.0</v>
      </c>
      <c r="K430" s="339" t="s">
        <v>34</v>
      </c>
      <c r="L430" s="346">
        <v>72.0</v>
      </c>
      <c r="M430" s="105">
        <f t="shared" si="7"/>
        <v>21600</v>
      </c>
      <c r="N430" s="347" t="s">
        <v>99</v>
      </c>
      <c r="O430" s="339" t="s">
        <v>1672</v>
      </c>
      <c r="P430" s="300"/>
      <c r="Q430" s="300"/>
      <c r="R430" s="300"/>
      <c r="S430" s="300"/>
      <c r="T430" s="300"/>
      <c r="U430" s="300"/>
      <c r="V430" s="300"/>
      <c r="W430" s="300"/>
      <c r="X430" s="300"/>
      <c r="Y430" s="300"/>
      <c r="Z430" s="300"/>
      <c r="AA430" s="300"/>
      <c r="AB430" s="300"/>
      <c r="AC430" s="300"/>
    </row>
    <row r="431">
      <c r="A431" s="312"/>
      <c r="B431" s="348">
        <v>1288.0</v>
      </c>
      <c r="C431" s="349">
        <v>45978.0</v>
      </c>
      <c r="D431" s="348" t="s">
        <v>342</v>
      </c>
      <c r="E431" s="350">
        <v>45997.0</v>
      </c>
      <c r="F431" s="351">
        <v>871.0</v>
      </c>
      <c r="G431" s="349">
        <v>45980.0</v>
      </c>
      <c r="H431" s="339" t="s">
        <v>1797</v>
      </c>
      <c r="I431" s="339" t="s">
        <v>1798</v>
      </c>
      <c r="J431" s="339">
        <v>30.0</v>
      </c>
      <c r="K431" s="339" t="s">
        <v>156</v>
      </c>
      <c r="L431" s="346">
        <v>15.0</v>
      </c>
      <c r="M431" s="105">
        <f t="shared" si="7"/>
        <v>450</v>
      </c>
      <c r="N431" s="347" t="s">
        <v>99</v>
      </c>
      <c r="O431" s="339" t="s">
        <v>1799</v>
      </c>
      <c r="P431" s="300"/>
      <c r="Q431" s="300"/>
      <c r="R431" s="300"/>
      <c r="S431" s="300"/>
      <c r="T431" s="300"/>
      <c r="U431" s="300"/>
      <c r="V431" s="300"/>
      <c r="W431" s="300"/>
      <c r="X431" s="300"/>
      <c r="Y431" s="300"/>
      <c r="Z431" s="300"/>
      <c r="AA431" s="300"/>
      <c r="AB431" s="300"/>
      <c r="AC431" s="300"/>
    </row>
    <row r="432">
      <c r="A432" s="312"/>
      <c r="B432" s="47"/>
      <c r="C432" s="47"/>
      <c r="D432" s="47"/>
      <c r="E432" s="47"/>
      <c r="F432" s="47"/>
      <c r="G432" s="47"/>
      <c r="H432" s="339" t="s">
        <v>1800</v>
      </c>
      <c r="I432" s="339" t="s">
        <v>1798</v>
      </c>
      <c r="J432" s="339">
        <v>30.0</v>
      </c>
      <c r="K432" s="339" t="s">
        <v>156</v>
      </c>
      <c r="L432" s="346">
        <v>17.0</v>
      </c>
      <c r="M432" s="105">
        <f t="shared" si="7"/>
        <v>510</v>
      </c>
      <c r="N432" s="347" t="s">
        <v>99</v>
      </c>
      <c r="O432" s="339" t="s">
        <v>1801</v>
      </c>
      <c r="P432" s="300"/>
      <c r="Q432" s="300"/>
      <c r="R432" s="300"/>
      <c r="S432" s="300"/>
      <c r="T432" s="300"/>
      <c r="U432" s="300"/>
      <c r="V432" s="300"/>
      <c r="W432" s="300"/>
      <c r="X432" s="300"/>
      <c r="Y432" s="300"/>
      <c r="Z432" s="300"/>
      <c r="AA432" s="300"/>
      <c r="AB432" s="300"/>
      <c r="AC432" s="300"/>
    </row>
    <row r="433">
      <c r="A433" s="312"/>
      <c r="B433" s="47"/>
      <c r="C433" s="47"/>
      <c r="D433" s="47"/>
      <c r="E433" s="47"/>
      <c r="F433" s="47"/>
      <c r="G433" s="47"/>
      <c r="H433" s="339" t="s">
        <v>1802</v>
      </c>
      <c r="I433" s="339" t="s">
        <v>1798</v>
      </c>
      <c r="J433" s="339">
        <v>30.0</v>
      </c>
      <c r="K433" s="339" t="s">
        <v>156</v>
      </c>
      <c r="L433" s="346">
        <v>7.0</v>
      </c>
      <c r="M433" s="105">
        <f t="shared" si="7"/>
        <v>210</v>
      </c>
      <c r="N433" s="347" t="s">
        <v>99</v>
      </c>
      <c r="O433" s="339" t="s">
        <v>1801</v>
      </c>
      <c r="P433" s="300"/>
      <c r="Q433" s="300"/>
      <c r="R433" s="300"/>
      <c r="S433" s="300"/>
      <c r="T433" s="300"/>
      <c r="U433" s="300"/>
      <c r="V433" s="300"/>
      <c r="W433" s="300"/>
      <c r="X433" s="300"/>
      <c r="Y433" s="300"/>
      <c r="Z433" s="300"/>
      <c r="AA433" s="300"/>
      <c r="AB433" s="300"/>
      <c r="AC433" s="300"/>
    </row>
    <row r="434">
      <c r="A434" s="312"/>
      <c r="B434" s="48"/>
      <c r="C434" s="48"/>
      <c r="D434" s="48"/>
      <c r="E434" s="48"/>
      <c r="F434" s="48"/>
      <c r="G434" s="48"/>
      <c r="H434" s="339" t="s">
        <v>1803</v>
      </c>
      <c r="I434" s="339" t="s">
        <v>1798</v>
      </c>
      <c r="J434" s="339">
        <v>30.0</v>
      </c>
      <c r="K434" s="339" t="s">
        <v>156</v>
      </c>
      <c r="L434" s="346">
        <v>10.0</v>
      </c>
      <c r="M434" s="105">
        <f t="shared" si="7"/>
        <v>300</v>
      </c>
      <c r="N434" s="347" t="s">
        <v>99</v>
      </c>
      <c r="O434" s="339" t="s">
        <v>1801</v>
      </c>
      <c r="P434" s="300"/>
      <c r="Q434" s="300"/>
      <c r="R434" s="300"/>
      <c r="S434" s="300"/>
      <c r="T434" s="300"/>
      <c r="U434" s="300"/>
      <c r="V434" s="300"/>
      <c r="W434" s="300"/>
      <c r="X434" s="300"/>
      <c r="Y434" s="300"/>
      <c r="Z434" s="300"/>
      <c r="AA434" s="300"/>
      <c r="AB434" s="300"/>
      <c r="AC434" s="300"/>
    </row>
    <row r="435">
      <c r="A435" s="312"/>
      <c r="B435" s="339">
        <v>1244.0</v>
      </c>
      <c r="C435" s="344">
        <v>45956.0</v>
      </c>
      <c r="D435" s="339" t="s">
        <v>1804</v>
      </c>
      <c r="E435" s="345">
        <v>45994.0</v>
      </c>
      <c r="F435" s="342">
        <v>863.0</v>
      </c>
      <c r="G435" s="344">
        <v>45957.0</v>
      </c>
      <c r="H435" s="339" t="s">
        <v>1805</v>
      </c>
      <c r="I435" s="339" t="s">
        <v>29</v>
      </c>
      <c r="J435" s="339">
        <v>2.0</v>
      </c>
      <c r="K435" s="339" t="s">
        <v>156</v>
      </c>
      <c r="L435" s="346">
        <v>2700.0</v>
      </c>
      <c r="M435" s="105">
        <f t="shared" si="7"/>
        <v>5400</v>
      </c>
      <c r="N435" s="347" t="s">
        <v>99</v>
      </c>
      <c r="O435" s="339" t="s">
        <v>1806</v>
      </c>
      <c r="P435" s="300"/>
      <c r="Q435" s="300"/>
      <c r="R435" s="300"/>
      <c r="S435" s="300"/>
      <c r="T435" s="300"/>
      <c r="U435" s="300"/>
      <c r="V435" s="300"/>
      <c r="W435" s="300"/>
      <c r="X435" s="300"/>
      <c r="Y435" s="300"/>
      <c r="Z435" s="300"/>
      <c r="AA435" s="300"/>
      <c r="AB435" s="300"/>
      <c r="AC435" s="300"/>
    </row>
    <row r="436">
      <c r="A436" s="312"/>
      <c r="B436" s="348" t="s">
        <v>1807</v>
      </c>
      <c r="C436" s="349">
        <v>45922.0</v>
      </c>
      <c r="D436" s="348" t="s">
        <v>1808</v>
      </c>
      <c r="E436" s="350">
        <v>45994.0</v>
      </c>
      <c r="F436" s="351">
        <v>848.0</v>
      </c>
      <c r="G436" s="349">
        <v>45924.0</v>
      </c>
      <c r="H436" s="339" t="s">
        <v>1809</v>
      </c>
      <c r="I436" s="339" t="s">
        <v>1798</v>
      </c>
      <c r="J436" s="339">
        <v>360.0</v>
      </c>
      <c r="K436" s="339" t="s">
        <v>74</v>
      </c>
      <c r="L436" s="346">
        <v>34.9</v>
      </c>
      <c r="M436" s="105">
        <f t="shared" si="7"/>
        <v>12564</v>
      </c>
      <c r="N436" s="347" t="s">
        <v>1473</v>
      </c>
      <c r="O436" s="339" t="s">
        <v>1810</v>
      </c>
      <c r="P436" s="300"/>
      <c r="Q436" s="300"/>
      <c r="R436" s="300"/>
      <c r="S436" s="300"/>
      <c r="T436" s="300"/>
      <c r="U436" s="300"/>
      <c r="V436" s="300"/>
      <c r="W436" s="300"/>
      <c r="X436" s="300"/>
      <c r="Y436" s="300"/>
      <c r="Z436" s="300"/>
      <c r="AA436" s="300"/>
      <c r="AB436" s="300"/>
      <c r="AC436" s="300"/>
    </row>
    <row r="437">
      <c r="A437" s="312"/>
      <c r="B437" s="47"/>
      <c r="C437" s="47"/>
      <c r="D437" s="47"/>
      <c r="E437" s="47"/>
      <c r="F437" s="47"/>
      <c r="G437" s="47"/>
      <c r="H437" s="339" t="s">
        <v>1811</v>
      </c>
      <c r="I437" s="339" t="s">
        <v>1798</v>
      </c>
      <c r="J437" s="339">
        <v>5.0</v>
      </c>
      <c r="K437" s="339" t="s">
        <v>156</v>
      </c>
      <c r="L437" s="346">
        <v>220.0</v>
      </c>
      <c r="M437" s="105">
        <f t="shared" si="7"/>
        <v>1100</v>
      </c>
      <c r="N437" s="347" t="s">
        <v>1473</v>
      </c>
      <c r="O437" s="339" t="s">
        <v>1810</v>
      </c>
      <c r="P437" s="300"/>
      <c r="Q437" s="300"/>
      <c r="R437" s="300"/>
      <c r="S437" s="300"/>
      <c r="T437" s="300"/>
      <c r="U437" s="300"/>
      <c r="V437" s="300"/>
      <c r="W437" s="300"/>
      <c r="X437" s="300"/>
      <c r="Y437" s="300"/>
      <c r="Z437" s="300"/>
      <c r="AA437" s="300"/>
      <c r="AB437" s="300"/>
      <c r="AC437" s="300"/>
    </row>
    <row r="438">
      <c r="A438" s="312"/>
      <c r="B438" s="47"/>
      <c r="C438" s="47"/>
      <c r="D438" s="47"/>
      <c r="E438" s="47"/>
      <c r="F438" s="47"/>
      <c r="G438" s="47"/>
      <c r="H438" s="339" t="s">
        <v>1812</v>
      </c>
      <c r="I438" s="339" t="s">
        <v>29</v>
      </c>
      <c r="J438" s="339">
        <v>2.0</v>
      </c>
      <c r="K438" s="339" t="s">
        <v>981</v>
      </c>
      <c r="L438" s="346">
        <v>184.0</v>
      </c>
      <c r="M438" s="105">
        <f t="shared" si="7"/>
        <v>368</v>
      </c>
      <c r="N438" s="347" t="s">
        <v>1473</v>
      </c>
      <c r="O438" s="339" t="s">
        <v>1810</v>
      </c>
      <c r="P438" s="300"/>
      <c r="Q438" s="300"/>
      <c r="R438" s="300"/>
      <c r="S438" s="300"/>
      <c r="T438" s="300"/>
      <c r="U438" s="300"/>
      <c r="V438" s="300"/>
      <c r="W438" s="300"/>
      <c r="X438" s="300"/>
      <c r="Y438" s="300"/>
      <c r="Z438" s="300"/>
      <c r="AA438" s="300"/>
      <c r="AB438" s="300"/>
      <c r="AC438" s="300"/>
    </row>
    <row r="439">
      <c r="A439" s="312"/>
      <c r="B439" s="47"/>
      <c r="C439" s="47"/>
      <c r="D439" s="47"/>
      <c r="E439" s="47"/>
      <c r="F439" s="47"/>
      <c r="G439" s="47"/>
      <c r="H439" s="339" t="s">
        <v>1813</v>
      </c>
      <c r="I439" s="339" t="s">
        <v>29</v>
      </c>
      <c r="J439" s="339">
        <v>1.0</v>
      </c>
      <c r="K439" s="339" t="s">
        <v>89</v>
      </c>
      <c r="L439" s="346">
        <v>300.0</v>
      </c>
      <c r="M439" s="105">
        <f t="shared" si="7"/>
        <v>300</v>
      </c>
      <c r="N439" s="347" t="s">
        <v>1473</v>
      </c>
      <c r="O439" s="339" t="s">
        <v>1810</v>
      </c>
      <c r="P439" s="300"/>
      <c r="Q439" s="300"/>
      <c r="R439" s="300"/>
      <c r="S439" s="300"/>
      <c r="T439" s="300"/>
      <c r="U439" s="300"/>
      <c r="V439" s="300"/>
      <c r="W439" s="300"/>
      <c r="X439" s="300"/>
      <c r="Y439" s="300"/>
      <c r="Z439" s="300"/>
      <c r="AA439" s="300"/>
      <c r="AB439" s="300"/>
      <c r="AC439" s="300"/>
    </row>
    <row r="440">
      <c r="A440" s="312"/>
      <c r="B440" s="48"/>
      <c r="C440" s="48"/>
      <c r="D440" s="48"/>
      <c r="E440" s="48"/>
      <c r="F440" s="48"/>
      <c r="G440" s="48"/>
      <c r="H440" s="339" t="s">
        <v>1814</v>
      </c>
      <c r="I440" s="339" t="s">
        <v>29</v>
      </c>
      <c r="J440" s="339">
        <v>50.0</v>
      </c>
      <c r="K440" s="339" t="s">
        <v>156</v>
      </c>
      <c r="L440" s="346">
        <v>20.0</v>
      </c>
      <c r="M440" s="105">
        <f t="shared" si="7"/>
        <v>1000</v>
      </c>
      <c r="N440" s="347" t="s">
        <v>1473</v>
      </c>
      <c r="O440" s="339" t="s">
        <v>1810</v>
      </c>
      <c r="P440" s="300"/>
      <c r="Q440" s="300"/>
      <c r="R440" s="300"/>
      <c r="S440" s="300"/>
      <c r="T440" s="300"/>
      <c r="U440" s="300"/>
      <c r="V440" s="300"/>
      <c r="W440" s="300"/>
      <c r="X440" s="300"/>
      <c r="Y440" s="300"/>
      <c r="Z440" s="300"/>
      <c r="AA440" s="300"/>
      <c r="AB440" s="300"/>
      <c r="AC440" s="300"/>
    </row>
    <row r="441">
      <c r="A441" s="312"/>
      <c r="B441" s="339" t="s">
        <v>1815</v>
      </c>
      <c r="C441" s="344">
        <v>45947.0</v>
      </c>
      <c r="D441" s="339" t="s">
        <v>1816</v>
      </c>
      <c r="E441" s="345">
        <v>45994.0</v>
      </c>
      <c r="F441" s="342">
        <v>861.0</v>
      </c>
      <c r="G441" s="344">
        <v>45953.0</v>
      </c>
      <c r="H441" s="339" t="s">
        <v>1817</v>
      </c>
      <c r="I441" s="339" t="s">
        <v>29</v>
      </c>
      <c r="J441" s="339">
        <v>227.0</v>
      </c>
      <c r="K441" s="339" t="s">
        <v>1673</v>
      </c>
      <c r="L441" s="346">
        <v>60.0</v>
      </c>
      <c r="M441" s="105">
        <f t="shared" si="7"/>
        <v>13620</v>
      </c>
      <c r="N441" s="347" t="s">
        <v>1473</v>
      </c>
      <c r="O441" s="339" t="s">
        <v>1801</v>
      </c>
      <c r="P441" s="300"/>
      <c r="Q441" s="300"/>
      <c r="R441" s="300"/>
      <c r="S441" s="300"/>
      <c r="T441" s="300"/>
      <c r="U441" s="300"/>
      <c r="V441" s="300"/>
      <c r="W441" s="300"/>
      <c r="X441" s="300"/>
      <c r="Y441" s="300"/>
      <c r="Z441" s="300"/>
      <c r="AA441" s="300"/>
      <c r="AB441" s="300"/>
      <c r="AC441" s="300"/>
    </row>
    <row r="442">
      <c r="A442" s="312"/>
      <c r="B442" s="339" t="s">
        <v>1818</v>
      </c>
      <c r="C442" s="344">
        <v>45972.0</v>
      </c>
      <c r="D442" s="339" t="s">
        <v>1819</v>
      </c>
      <c r="E442" s="345">
        <v>45994.0</v>
      </c>
      <c r="F442" s="342">
        <v>869.0</v>
      </c>
      <c r="G442" s="344">
        <v>45944.0</v>
      </c>
      <c r="H442" s="339" t="s">
        <v>1820</v>
      </c>
      <c r="I442" s="339" t="s">
        <v>1798</v>
      </c>
      <c r="J442" s="339">
        <v>20.0</v>
      </c>
      <c r="K442" s="339" t="s">
        <v>156</v>
      </c>
      <c r="L442" s="346">
        <v>1750.0</v>
      </c>
      <c r="M442" s="105">
        <f t="shared" si="7"/>
        <v>35000</v>
      </c>
      <c r="N442" s="347" t="s">
        <v>1473</v>
      </c>
      <c r="O442" s="339" t="s">
        <v>1821</v>
      </c>
      <c r="P442" s="300"/>
      <c r="Q442" s="300"/>
      <c r="R442" s="300"/>
      <c r="S442" s="300"/>
      <c r="T442" s="300"/>
      <c r="U442" s="300"/>
      <c r="V442" s="300"/>
      <c r="W442" s="300"/>
      <c r="X442" s="300"/>
      <c r="Y442" s="300"/>
      <c r="Z442" s="300"/>
      <c r="AA442" s="300"/>
      <c r="AB442" s="300"/>
      <c r="AC442" s="300"/>
    </row>
    <row r="443">
      <c r="A443" s="312"/>
      <c r="B443" s="348" t="s">
        <v>1822</v>
      </c>
      <c r="C443" s="349">
        <v>45966.0</v>
      </c>
      <c r="D443" s="348" t="s">
        <v>1823</v>
      </c>
      <c r="E443" s="350">
        <v>6802980.0</v>
      </c>
      <c r="F443" s="351">
        <v>868.0</v>
      </c>
      <c r="G443" s="349">
        <v>45966.0</v>
      </c>
      <c r="H443" s="339" t="s">
        <v>1824</v>
      </c>
      <c r="I443" s="339" t="s">
        <v>51</v>
      </c>
      <c r="J443" s="339">
        <v>2.0</v>
      </c>
      <c r="K443" s="339" t="s">
        <v>1486</v>
      </c>
      <c r="L443" s="346">
        <v>14800.0</v>
      </c>
      <c r="M443" s="105">
        <f t="shared" si="7"/>
        <v>29600</v>
      </c>
      <c r="N443" s="347" t="s">
        <v>1473</v>
      </c>
      <c r="O443" s="339" t="s">
        <v>1561</v>
      </c>
      <c r="P443" s="300"/>
      <c r="Q443" s="300"/>
      <c r="R443" s="300"/>
      <c r="S443" s="300"/>
      <c r="T443" s="300"/>
      <c r="U443" s="300"/>
      <c r="V443" s="300"/>
      <c r="W443" s="300"/>
      <c r="X443" s="300"/>
      <c r="Y443" s="300"/>
      <c r="Z443" s="300"/>
      <c r="AA443" s="300"/>
      <c r="AB443" s="300"/>
      <c r="AC443" s="300"/>
    </row>
    <row r="444">
      <c r="A444" s="312"/>
      <c r="B444" s="48"/>
      <c r="C444" s="48"/>
      <c r="D444" s="48"/>
      <c r="E444" s="48"/>
      <c r="F444" s="48"/>
      <c r="G444" s="48"/>
      <c r="H444" s="339" t="s">
        <v>1825</v>
      </c>
      <c r="I444" s="339" t="s">
        <v>29</v>
      </c>
      <c r="J444" s="339">
        <v>8.0</v>
      </c>
      <c r="K444" s="339" t="s">
        <v>1486</v>
      </c>
      <c r="L444" s="346">
        <v>845.0</v>
      </c>
      <c r="M444" s="105">
        <f t="shared" si="7"/>
        <v>6760</v>
      </c>
      <c r="N444" s="347" t="s">
        <v>1473</v>
      </c>
      <c r="O444" s="339" t="s">
        <v>1826</v>
      </c>
      <c r="P444" s="300"/>
      <c r="Q444" s="300"/>
      <c r="R444" s="300"/>
      <c r="S444" s="300"/>
      <c r="T444" s="300"/>
      <c r="U444" s="300"/>
      <c r="V444" s="300"/>
      <c r="W444" s="300"/>
      <c r="X444" s="300"/>
      <c r="Y444" s="300"/>
      <c r="Z444" s="300"/>
      <c r="AA444" s="300"/>
      <c r="AB444" s="300"/>
      <c r="AC444" s="300"/>
    </row>
    <row r="445">
      <c r="A445" s="312"/>
      <c r="B445" s="339">
        <v>2008223.0</v>
      </c>
      <c r="C445" s="344">
        <v>45971.0</v>
      </c>
      <c r="D445" s="339" t="s">
        <v>1827</v>
      </c>
      <c r="E445" s="345">
        <v>45994.0</v>
      </c>
      <c r="F445" s="342">
        <v>871.0</v>
      </c>
      <c r="G445" s="344">
        <v>45980.0</v>
      </c>
      <c r="H445" s="339" t="s">
        <v>36</v>
      </c>
      <c r="I445" s="339" t="s">
        <v>1828</v>
      </c>
      <c r="J445" s="339">
        <v>440.0</v>
      </c>
      <c r="K445" s="339" t="s">
        <v>25</v>
      </c>
      <c r="L445" s="346">
        <v>65.54</v>
      </c>
      <c r="M445" s="105">
        <f t="shared" si="7"/>
        <v>28837.6</v>
      </c>
      <c r="N445" s="347" t="s">
        <v>91</v>
      </c>
      <c r="O445" s="339" t="s">
        <v>1829</v>
      </c>
      <c r="P445" s="300"/>
      <c r="Q445" s="300"/>
      <c r="R445" s="300"/>
      <c r="S445" s="300"/>
      <c r="T445" s="300"/>
      <c r="U445" s="300"/>
      <c r="V445" s="300"/>
      <c r="W445" s="300"/>
      <c r="X445" s="300"/>
      <c r="Y445" s="300"/>
      <c r="Z445" s="300"/>
      <c r="AA445" s="300"/>
      <c r="AB445" s="300"/>
      <c r="AC445" s="300"/>
    </row>
    <row r="446">
      <c r="A446" s="312"/>
      <c r="B446" s="339">
        <v>34768.0</v>
      </c>
      <c r="C446" s="344">
        <v>45980.0</v>
      </c>
      <c r="D446" s="339" t="s">
        <v>1827</v>
      </c>
      <c r="E446" s="345">
        <v>45994.0</v>
      </c>
      <c r="F446" s="342">
        <v>871.0</v>
      </c>
      <c r="G446" s="344">
        <v>45980.0</v>
      </c>
      <c r="H446" s="339" t="s">
        <v>1830</v>
      </c>
      <c r="I446" s="339" t="s">
        <v>1828</v>
      </c>
      <c r="J446" s="339">
        <v>1.0</v>
      </c>
      <c r="K446" s="339" t="s">
        <v>34</v>
      </c>
      <c r="L446" s="346">
        <v>3155.0</v>
      </c>
      <c r="M446" s="105">
        <f t="shared" si="7"/>
        <v>3155</v>
      </c>
      <c r="N446" s="347" t="s">
        <v>91</v>
      </c>
      <c r="O446" s="339" t="s">
        <v>1561</v>
      </c>
      <c r="P446" s="300"/>
      <c r="Q446" s="300"/>
      <c r="R446" s="300"/>
      <c r="S446" s="300"/>
      <c r="T446" s="300"/>
      <c r="U446" s="300"/>
      <c r="V446" s="300"/>
      <c r="W446" s="300"/>
      <c r="X446" s="300"/>
      <c r="Y446" s="300"/>
      <c r="Z446" s="300"/>
      <c r="AA446" s="300"/>
      <c r="AB446" s="300"/>
      <c r="AC446" s="300"/>
    </row>
    <row r="447">
      <c r="A447" s="312"/>
      <c r="B447" s="339">
        <v>2036183.0</v>
      </c>
      <c r="C447" s="344">
        <v>45988.0</v>
      </c>
      <c r="D447" s="339" t="s">
        <v>1831</v>
      </c>
      <c r="E447" s="345">
        <v>45993.0</v>
      </c>
      <c r="F447" s="342">
        <v>876.0</v>
      </c>
      <c r="G447" s="344">
        <v>45988.0</v>
      </c>
      <c r="H447" s="339" t="s">
        <v>36</v>
      </c>
      <c r="I447" s="339" t="s">
        <v>24</v>
      </c>
      <c r="J447" s="339">
        <v>220.0</v>
      </c>
      <c r="K447" s="339" t="s">
        <v>25</v>
      </c>
      <c r="L447" s="346">
        <v>65.54</v>
      </c>
      <c r="M447" s="105">
        <f t="shared" si="7"/>
        <v>14418.8</v>
      </c>
      <c r="N447" s="347" t="s">
        <v>91</v>
      </c>
      <c r="O447" s="339" t="s">
        <v>1829</v>
      </c>
      <c r="P447" s="300"/>
      <c r="Q447" s="300"/>
      <c r="R447" s="300"/>
      <c r="S447" s="300"/>
      <c r="T447" s="300"/>
      <c r="U447" s="300"/>
      <c r="V447" s="300"/>
      <c r="W447" s="300"/>
      <c r="X447" s="300"/>
      <c r="Y447" s="300"/>
      <c r="Z447" s="300"/>
      <c r="AA447" s="300"/>
      <c r="AB447" s="300"/>
      <c r="AC447" s="300"/>
    </row>
    <row r="448">
      <c r="A448" s="312"/>
      <c r="B448" s="339">
        <v>2036161.0</v>
      </c>
      <c r="C448" s="344">
        <v>45988.0</v>
      </c>
      <c r="D448" s="339" t="s">
        <v>1831</v>
      </c>
      <c r="E448" s="345">
        <v>45993.0</v>
      </c>
      <c r="F448" s="342">
        <v>876.0</v>
      </c>
      <c r="G448" s="344">
        <v>45988.0</v>
      </c>
      <c r="H448" s="339" t="s">
        <v>23</v>
      </c>
      <c r="I448" s="339" t="s">
        <v>24</v>
      </c>
      <c r="J448" s="339">
        <v>1402.858</v>
      </c>
      <c r="K448" s="339" t="s">
        <v>25</v>
      </c>
      <c r="L448" s="346">
        <v>71.94</v>
      </c>
      <c r="M448" s="105">
        <f t="shared" si="7"/>
        <v>100921.6045</v>
      </c>
      <c r="N448" s="347" t="s">
        <v>91</v>
      </c>
      <c r="O448" s="339" t="s">
        <v>1829</v>
      </c>
      <c r="P448" s="300"/>
      <c r="Q448" s="300"/>
      <c r="R448" s="300"/>
      <c r="S448" s="300"/>
      <c r="T448" s="300"/>
      <c r="U448" s="300"/>
      <c r="V448" s="300"/>
      <c r="W448" s="300"/>
      <c r="X448" s="300"/>
      <c r="Y448" s="300"/>
      <c r="Z448" s="300"/>
      <c r="AA448" s="300"/>
      <c r="AB448" s="300"/>
      <c r="AC448" s="300"/>
    </row>
    <row r="449">
      <c r="A449" s="312"/>
      <c r="B449" s="339">
        <v>288082.0</v>
      </c>
      <c r="C449" s="344">
        <v>45988.0</v>
      </c>
      <c r="D449" s="339" t="s">
        <v>1831</v>
      </c>
      <c r="E449" s="345">
        <v>45993.0</v>
      </c>
      <c r="F449" s="342">
        <v>876.0</v>
      </c>
      <c r="G449" s="344">
        <v>45988.0</v>
      </c>
      <c r="H449" s="339" t="s">
        <v>23</v>
      </c>
      <c r="I449" s="339" t="s">
        <v>24</v>
      </c>
      <c r="J449" s="339">
        <v>1237.142</v>
      </c>
      <c r="K449" s="339" t="s">
        <v>25</v>
      </c>
      <c r="L449" s="346">
        <v>71.94</v>
      </c>
      <c r="M449" s="105">
        <f t="shared" si="7"/>
        <v>88999.99548</v>
      </c>
      <c r="N449" s="347" t="s">
        <v>91</v>
      </c>
      <c r="O449" s="339" t="s">
        <v>1829</v>
      </c>
      <c r="P449" s="300"/>
      <c r="Q449" s="300"/>
      <c r="R449" s="300"/>
      <c r="S449" s="300"/>
      <c r="T449" s="300"/>
      <c r="U449" s="300"/>
      <c r="V449" s="300"/>
      <c r="W449" s="300"/>
      <c r="X449" s="300"/>
      <c r="Y449" s="300"/>
      <c r="Z449" s="300"/>
      <c r="AA449" s="300"/>
      <c r="AB449" s="300"/>
      <c r="AC449" s="300"/>
    </row>
    <row r="450">
      <c r="A450" s="312"/>
      <c r="B450" s="339">
        <v>2059453.0</v>
      </c>
      <c r="C450" s="344">
        <v>45994.0</v>
      </c>
      <c r="D450" s="339" t="s">
        <v>1832</v>
      </c>
      <c r="E450" s="345">
        <v>45999.0</v>
      </c>
      <c r="F450" s="342">
        <v>877.0</v>
      </c>
      <c r="G450" s="344">
        <v>45994.0</v>
      </c>
      <c r="H450" s="339" t="s">
        <v>36</v>
      </c>
      <c r="I450" s="339" t="s">
        <v>1828</v>
      </c>
      <c r="J450" s="339">
        <v>440.0</v>
      </c>
      <c r="K450" s="339" t="s">
        <v>25</v>
      </c>
      <c r="L450" s="346">
        <v>64.81</v>
      </c>
      <c r="M450" s="105">
        <f t="shared" si="7"/>
        <v>28516.4</v>
      </c>
      <c r="N450" s="347" t="s">
        <v>91</v>
      </c>
      <c r="O450" s="339" t="s">
        <v>1829</v>
      </c>
      <c r="P450" s="300"/>
      <c r="Q450" s="300"/>
      <c r="R450" s="300"/>
      <c r="S450" s="300"/>
      <c r="T450" s="300"/>
      <c r="U450" s="300"/>
      <c r="V450" s="300"/>
      <c r="W450" s="300"/>
      <c r="X450" s="300"/>
      <c r="Y450" s="300"/>
      <c r="Z450" s="300"/>
      <c r="AA450" s="300"/>
      <c r="AB450" s="300"/>
      <c r="AC450" s="300"/>
    </row>
    <row r="451">
      <c r="A451" s="312"/>
      <c r="B451" s="339">
        <v>2059814.0</v>
      </c>
      <c r="C451" s="344">
        <v>45994.0</v>
      </c>
      <c r="D451" s="339" t="s">
        <v>1832</v>
      </c>
      <c r="E451" s="345">
        <v>45999.0</v>
      </c>
      <c r="F451" s="342">
        <v>877.0</v>
      </c>
      <c r="G451" s="344">
        <v>45994.0</v>
      </c>
      <c r="H451" s="339" t="s">
        <v>23</v>
      </c>
      <c r="I451" s="339" t="s">
        <v>24</v>
      </c>
      <c r="J451" s="339">
        <v>3080.0</v>
      </c>
      <c r="K451" s="339" t="s">
        <v>25</v>
      </c>
      <c r="L451" s="346">
        <v>70.95</v>
      </c>
      <c r="M451" s="105">
        <f t="shared" si="7"/>
        <v>218526</v>
      </c>
      <c r="N451" s="347" t="s">
        <v>91</v>
      </c>
      <c r="O451" s="339" t="s">
        <v>1829</v>
      </c>
      <c r="P451" s="300"/>
      <c r="Q451" s="300"/>
      <c r="R451" s="300"/>
      <c r="S451" s="300"/>
      <c r="T451" s="300"/>
      <c r="U451" s="300"/>
      <c r="V451" s="300"/>
      <c r="W451" s="300"/>
      <c r="X451" s="300"/>
      <c r="Y451" s="300"/>
      <c r="Z451" s="300"/>
      <c r="AA451" s="300"/>
      <c r="AB451" s="300"/>
      <c r="AC451" s="300"/>
    </row>
    <row r="452">
      <c r="A452" s="312"/>
      <c r="B452" s="348">
        <v>130213.0</v>
      </c>
      <c r="C452" s="349">
        <v>45994.0</v>
      </c>
      <c r="D452" s="348" t="s">
        <v>1832</v>
      </c>
      <c r="E452" s="350">
        <v>45999.0</v>
      </c>
      <c r="F452" s="351">
        <v>877.0</v>
      </c>
      <c r="G452" s="349">
        <v>45994.0</v>
      </c>
      <c r="H452" s="339" t="s">
        <v>38</v>
      </c>
      <c r="I452" s="339" t="s">
        <v>24</v>
      </c>
      <c r="J452" s="339">
        <v>480.0</v>
      </c>
      <c r="K452" s="339" t="s">
        <v>39</v>
      </c>
      <c r="L452" s="346">
        <v>20.0</v>
      </c>
      <c r="M452" s="105">
        <f t="shared" si="7"/>
        <v>9600</v>
      </c>
      <c r="N452" s="347" t="s">
        <v>91</v>
      </c>
      <c r="O452" s="339" t="s">
        <v>1829</v>
      </c>
      <c r="P452" s="300"/>
      <c r="Q452" s="300"/>
      <c r="R452" s="300"/>
      <c r="S452" s="300"/>
      <c r="T452" s="300"/>
      <c r="U452" s="300"/>
      <c r="V452" s="300"/>
      <c r="W452" s="300"/>
      <c r="X452" s="300"/>
      <c r="Y452" s="300"/>
      <c r="Z452" s="300"/>
      <c r="AA452" s="300"/>
      <c r="AB452" s="300"/>
      <c r="AC452" s="300"/>
    </row>
    <row r="453">
      <c r="A453" s="312"/>
      <c r="B453" s="48"/>
      <c r="C453" s="48"/>
      <c r="D453" s="48"/>
      <c r="E453" s="48"/>
      <c r="F453" s="48"/>
      <c r="G453" s="48"/>
      <c r="H453" s="339" t="s">
        <v>159</v>
      </c>
      <c r="I453" s="339" t="s">
        <v>24</v>
      </c>
      <c r="J453" s="339">
        <v>210.0</v>
      </c>
      <c r="K453" s="339" t="s">
        <v>25</v>
      </c>
      <c r="L453" s="346">
        <v>48.0</v>
      </c>
      <c r="M453" s="105">
        <f t="shared" si="7"/>
        <v>10080</v>
      </c>
      <c r="N453" s="347" t="s">
        <v>91</v>
      </c>
      <c r="O453" s="339" t="s">
        <v>1829</v>
      </c>
      <c r="P453" s="300"/>
      <c r="Q453" s="300"/>
      <c r="R453" s="300"/>
      <c r="S453" s="300"/>
      <c r="T453" s="300"/>
      <c r="U453" s="300"/>
      <c r="V453" s="300"/>
      <c r="W453" s="300"/>
      <c r="X453" s="300"/>
      <c r="Y453" s="300"/>
      <c r="Z453" s="300"/>
      <c r="AA453" s="300"/>
      <c r="AB453" s="300"/>
      <c r="AC453" s="300"/>
    </row>
    <row r="454">
      <c r="A454" s="312"/>
      <c r="B454" s="339">
        <v>131029.0</v>
      </c>
      <c r="C454" s="344">
        <v>45984.0</v>
      </c>
      <c r="D454" s="339" t="s">
        <v>1833</v>
      </c>
      <c r="E454" s="345">
        <v>45988.0</v>
      </c>
      <c r="F454" s="342">
        <v>873.0</v>
      </c>
      <c r="G454" s="344">
        <v>45984.0</v>
      </c>
      <c r="H454" s="339" t="s">
        <v>38</v>
      </c>
      <c r="I454" s="339" t="s">
        <v>24</v>
      </c>
      <c r="J454" s="339">
        <v>480.0</v>
      </c>
      <c r="K454" s="339" t="s">
        <v>25</v>
      </c>
      <c r="L454" s="346">
        <v>20.0</v>
      </c>
      <c r="M454" s="105">
        <f t="shared" si="7"/>
        <v>9600</v>
      </c>
      <c r="N454" s="347" t="s">
        <v>91</v>
      </c>
      <c r="O454" s="339" t="s">
        <v>1829</v>
      </c>
      <c r="P454" s="300"/>
      <c r="Q454" s="300"/>
      <c r="R454" s="300"/>
      <c r="S454" s="300"/>
      <c r="T454" s="300"/>
      <c r="U454" s="300"/>
      <c r="V454" s="300"/>
      <c r="W454" s="300"/>
      <c r="X454" s="300"/>
      <c r="Y454" s="300"/>
      <c r="Z454" s="300"/>
      <c r="AA454" s="300"/>
      <c r="AB454" s="300"/>
      <c r="AC454" s="300"/>
    </row>
    <row r="455">
      <c r="A455" s="312"/>
      <c r="B455" s="339">
        <v>2021600.0</v>
      </c>
      <c r="C455" s="344">
        <v>45984.0</v>
      </c>
      <c r="D455" s="339" t="s">
        <v>1833</v>
      </c>
      <c r="E455" s="345">
        <v>45988.0</v>
      </c>
      <c r="F455" s="342">
        <v>873.0</v>
      </c>
      <c r="G455" s="344">
        <v>45984.0</v>
      </c>
      <c r="H455" s="339" t="s">
        <v>36</v>
      </c>
      <c r="I455" s="339" t="s">
        <v>24</v>
      </c>
      <c r="J455" s="339">
        <v>220.0</v>
      </c>
      <c r="K455" s="339" t="s">
        <v>25</v>
      </c>
      <c r="L455" s="346">
        <v>65.54</v>
      </c>
      <c r="M455" s="105">
        <f t="shared" si="7"/>
        <v>14418.8</v>
      </c>
      <c r="N455" s="347" t="s">
        <v>91</v>
      </c>
      <c r="O455" s="339" t="s">
        <v>1829</v>
      </c>
      <c r="P455" s="300"/>
      <c r="Q455" s="300"/>
      <c r="R455" s="300"/>
      <c r="S455" s="300"/>
      <c r="T455" s="300"/>
      <c r="U455" s="300"/>
      <c r="V455" s="300"/>
      <c r="W455" s="300"/>
      <c r="X455" s="300"/>
      <c r="Y455" s="300"/>
      <c r="Z455" s="300"/>
      <c r="AA455" s="300"/>
      <c r="AB455" s="300"/>
      <c r="AC455" s="300"/>
    </row>
    <row r="456">
      <c r="A456" s="312"/>
      <c r="B456" s="339">
        <v>2021525.0</v>
      </c>
      <c r="C456" s="344">
        <v>45984.0</v>
      </c>
      <c r="D456" s="339" t="s">
        <v>1833</v>
      </c>
      <c r="E456" s="345">
        <v>45988.0</v>
      </c>
      <c r="F456" s="342">
        <v>873.0</v>
      </c>
      <c r="G456" s="344">
        <v>45984.0</v>
      </c>
      <c r="H456" s="339" t="s">
        <v>23</v>
      </c>
      <c r="I456" s="339" t="s">
        <v>24</v>
      </c>
      <c r="J456" s="339">
        <v>2640.0</v>
      </c>
      <c r="K456" s="339" t="s">
        <v>25</v>
      </c>
      <c r="L456" s="346">
        <v>71.94</v>
      </c>
      <c r="M456" s="105">
        <f t="shared" si="7"/>
        <v>189921.6</v>
      </c>
      <c r="N456" s="347" t="s">
        <v>91</v>
      </c>
      <c r="O456" s="339" t="s">
        <v>1829</v>
      </c>
      <c r="P456" s="300"/>
      <c r="Q456" s="300"/>
      <c r="R456" s="300"/>
      <c r="S456" s="300"/>
      <c r="T456" s="300"/>
      <c r="U456" s="300"/>
      <c r="V456" s="300"/>
      <c r="W456" s="300"/>
      <c r="X456" s="300"/>
      <c r="Y456" s="300"/>
      <c r="Z456" s="300"/>
      <c r="AA456" s="300"/>
      <c r="AB456" s="300"/>
      <c r="AC456" s="300"/>
    </row>
    <row r="457">
      <c r="A457" s="312"/>
      <c r="B457" s="339">
        <v>130223.0</v>
      </c>
      <c r="C457" s="344">
        <v>45973.0</v>
      </c>
      <c r="D457" s="339" t="s">
        <v>1834</v>
      </c>
      <c r="E457" s="345">
        <v>45988.0</v>
      </c>
      <c r="F457" s="342">
        <v>869.0</v>
      </c>
      <c r="G457" s="344">
        <v>45944.0</v>
      </c>
      <c r="H457" s="339" t="s">
        <v>38</v>
      </c>
      <c r="I457" s="339" t="s">
        <v>24</v>
      </c>
      <c r="J457" s="339">
        <v>480.0</v>
      </c>
      <c r="K457" s="339" t="s">
        <v>39</v>
      </c>
      <c r="L457" s="346">
        <v>20.0</v>
      </c>
      <c r="M457" s="105">
        <f t="shared" si="7"/>
        <v>9600</v>
      </c>
      <c r="N457" s="347" t="s">
        <v>91</v>
      </c>
      <c r="O457" s="339" t="s">
        <v>1829</v>
      </c>
      <c r="P457" s="300"/>
      <c r="Q457" s="300"/>
      <c r="R457" s="300"/>
      <c r="S457" s="300"/>
      <c r="T457" s="300"/>
      <c r="U457" s="300"/>
      <c r="V457" s="300"/>
      <c r="W457" s="300"/>
      <c r="X457" s="300"/>
      <c r="Y457" s="300"/>
      <c r="Z457" s="300"/>
      <c r="AA457" s="300"/>
      <c r="AB457" s="300"/>
      <c r="AC457" s="300"/>
    </row>
    <row r="458">
      <c r="A458" s="312"/>
      <c r="B458" s="348">
        <v>130221.0</v>
      </c>
      <c r="C458" s="349">
        <v>45974.0</v>
      </c>
      <c r="D458" s="348" t="s">
        <v>1834</v>
      </c>
      <c r="E458" s="350">
        <v>45988.0</v>
      </c>
      <c r="F458" s="351">
        <v>869.0</v>
      </c>
      <c r="G458" s="349">
        <v>45944.0</v>
      </c>
      <c r="H458" s="339" t="s">
        <v>36</v>
      </c>
      <c r="I458" s="339" t="s">
        <v>24</v>
      </c>
      <c r="J458" s="339">
        <v>220.0</v>
      </c>
      <c r="K458" s="339" t="s">
        <v>25</v>
      </c>
      <c r="L458" s="346">
        <v>64.0</v>
      </c>
      <c r="M458" s="105">
        <f t="shared" si="7"/>
        <v>14080</v>
      </c>
      <c r="N458" s="347" t="s">
        <v>91</v>
      </c>
      <c r="O458" s="339" t="s">
        <v>1829</v>
      </c>
      <c r="P458" s="300"/>
      <c r="Q458" s="300"/>
      <c r="R458" s="300"/>
      <c r="S458" s="300"/>
      <c r="T458" s="300"/>
      <c r="U458" s="300"/>
      <c r="V458" s="300"/>
      <c r="W458" s="300"/>
      <c r="X458" s="300"/>
      <c r="Y458" s="300"/>
      <c r="Z458" s="300"/>
      <c r="AA458" s="300"/>
      <c r="AB458" s="300"/>
      <c r="AC458" s="300"/>
    </row>
    <row r="459">
      <c r="A459" s="312"/>
      <c r="B459" s="48"/>
      <c r="C459" s="48"/>
      <c r="D459" s="48"/>
      <c r="E459" s="48"/>
      <c r="F459" s="48"/>
      <c r="G459" s="48"/>
      <c r="H459" s="339" t="s">
        <v>23</v>
      </c>
      <c r="I459" s="339" t="s">
        <v>24</v>
      </c>
      <c r="J459" s="339">
        <v>2640.0</v>
      </c>
      <c r="K459" s="339" t="s">
        <v>25</v>
      </c>
      <c r="L459" s="346">
        <v>67.65</v>
      </c>
      <c r="M459" s="105">
        <f t="shared" si="7"/>
        <v>178596</v>
      </c>
      <c r="N459" s="347" t="s">
        <v>91</v>
      </c>
      <c r="O459" s="339" t="s">
        <v>1829</v>
      </c>
      <c r="P459" s="300"/>
      <c r="Q459" s="300"/>
      <c r="R459" s="300"/>
      <c r="S459" s="300"/>
      <c r="T459" s="300"/>
      <c r="U459" s="300"/>
      <c r="V459" s="300"/>
      <c r="W459" s="300"/>
      <c r="X459" s="300"/>
      <c r="Y459" s="300"/>
      <c r="Z459" s="300"/>
      <c r="AA459" s="300"/>
      <c r="AB459" s="300"/>
      <c r="AC459" s="300"/>
    </row>
    <row r="460">
      <c r="A460" s="312"/>
      <c r="B460" s="339">
        <v>6906.0</v>
      </c>
      <c r="C460" s="344">
        <v>45974.0</v>
      </c>
      <c r="D460" s="339" t="s">
        <v>1834</v>
      </c>
      <c r="E460" s="345">
        <v>45988.0</v>
      </c>
      <c r="F460" s="342">
        <v>869.0</v>
      </c>
      <c r="G460" s="344">
        <v>45944.0</v>
      </c>
      <c r="H460" s="339" t="s">
        <v>1835</v>
      </c>
      <c r="I460" s="339" t="s">
        <v>24</v>
      </c>
      <c r="J460" s="339">
        <v>420.0</v>
      </c>
      <c r="K460" s="339" t="s">
        <v>25</v>
      </c>
      <c r="L460" s="346">
        <v>49.0</v>
      </c>
      <c r="M460" s="105">
        <f t="shared" si="7"/>
        <v>20580</v>
      </c>
      <c r="N460" s="347" t="s">
        <v>91</v>
      </c>
      <c r="O460" s="339" t="s">
        <v>1829</v>
      </c>
      <c r="P460" s="300"/>
      <c r="Q460" s="300"/>
      <c r="R460" s="300"/>
      <c r="S460" s="300"/>
      <c r="T460" s="300"/>
      <c r="U460" s="300"/>
      <c r="V460" s="300"/>
      <c r="W460" s="300"/>
      <c r="X460" s="300"/>
      <c r="Y460" s="300"/>
      <c r="Z460" s="300"/>
      <c r="AA460" s="300"/>
      <c r="AB460" s="300"/>
      <c r="AC460" s="300"/>
    </row>
    <row r="461">
      <c r="A461" s="312"/>
      <c r="B461" s="339">
        <v>2097786.0</v>
      </c>
      <c r="C461" s="344">
        <v>46005.0</v>
      </c>
      <c r="D461" s="339" t="s">
        <v>1836</v>
      </c>
      <c r="E461" s="345">
        <v>46007.0</v>
      </c>
      <c r="F461" s="342">
        <v>883.0</v>
      </c>
      <c r="G461" s="344">
        <v>46005.0</v>
      </c>
      <c r="H461" s="339" t="s">
        <v>36</v>
      </c>
      <c r="I461" s="339" t="s">
        <v>24</v>
      </c>
      <c r="J461" s="339">
        <v>220.0</v>
      </c>
      <c r="K461" s="339" t="s">
        <v>25</v>
      </c>
      <c r="L461" s="346">
        <v>65.04</v>
      </c>
      <c r="M461" s="105">
        <f t="shared" si="7"/>
        <v>14308.8</v>
      </c>
      <c r="N461" s="347" t="s">
        <v>91</v>
      </c>
      <c r="O461" s="339" t="s">
        <v>1829</v>
      </c>
      <c r="P461" s="300"/>
      <c r="Q461" s="300"/>
      <c r="R461" s="300"/>
      <c r="S461" s="300"/>
      <c r="T461" s="300"/>
      <c r="U461" s="300"/>
      <c r="V461" s="300"/>
      <c r="W461" s="300"/>
      <c r="X461" s="300"/>
      <c r="Y461" s="300"/>
      <c r="Z461" s="300"/>
      <c r="AA461" s="300"/>
      <c r="AB461" s="300"/>
      <c r="AC461" s="300"/>
    </row>
    <row r="462">
      <c r="A462" s="312"/>
      <c r="B462" s="339">
        <v>2097747.0</v>
      </c>
      <c r="C462" s="344">
        <v>46005.0</v>
      </c>
      <c r="D462" s="339" t="s">
        <v>1836</v>
      </c>
      <c r="E462" s="345">
        <v>46007.0</v>
      </c>
      <c r="F462" s="342">
        <v>883.0</v>
      </c>
      <c r="G462" s="344">
        <v>46005.0</v>
      </c>
      <c r="H462" s="339" t="s">
        <v>23</v>
      </c>
      <c r="I462" s="339" t="s">
        <v>24</v>
      </c>
      <c r="J462" s="339">
        <v>2640.0</v>
      </c>
      <c r="K462" s="339" t="s">
        <v>25</v>
      </c>
      <c r="L462" s="346">
        <v>71.17</v>
      </c>
      <c r="M462" s="105">
        <f t="shared" si="7"/>
        <v>187888.8</v>
      </c>
      <c r="N462" s="347" t="s">
        <v>91</v>
      </c>
      <c r="O462" s="339" t="s">
        <v>1829</v>
      </c>
      <c r="P462" s="300"/>
      <c r="Q462" s="300"/>
      <c r="R462" s="300"/>
      <c r="S462" s="300"/>
      <c r="T462" s="300"/>
      <c r="U462" s="300"/>
      <c r="V462" s="300"/>
      <c r="W462" s="300"/>
      <c r="X462" s="300"/>
      <c r="Y462" s="300"/>
      <c r="Z462" s="300"/>
      <c r="AA462" s="300"/>
      <c r="AB462" s="300"/>
      <c r="AC462" s="300"/>
    </row>
    <row r="463">
      <c r="A463" s="312"/>
      <c r="B463" s="339">
        <v>138814.0</v>
      </c>
      <c r="C463" s="344">
        <v>46005.0</v>
      </c>
      <c r="D463" s="339" t="s">
        <v>1836</v>
      </c>
      <c r="E463" s="345">
        <v>46007.0</v>
      </c>
      <c r="F463" s="342">
        <v>883.0</v>
      </c>
      <c r="G463" s="344">
        <v>46005.0</v>
      </c>
      <c r="H463" s="339" t="s">
        <v>38</v>
      </c>
      <c r="I463" s="339" t="s">
        <v>24</v>
      </c>
      <c r="J463" s="339">
        <v>240.0</v>
      </c>
      <c r="K463" s="339" t="s">
        <v>156</v>
      </c>
      <c r="L463" s="346">
        <v>20.0</v>
      </c>
      <c r="M463" s="105">
        <f t="shared" si="7"/>
        <v>4800</v>
      </c>
      <c r="N463" s="347" t="s">
        <v>91</v>
      </c>
      <c r="O463" s="339" t="s">
        <v>1829</v>
      </c>
      <c r="P463" s="300"/>
      <c r="Q463" s="300"/>
      <c r="R463" s="300"/>
      <c r="S463" s="300"/>
      <c r="T463" s="300"/>
      <c r="U463" s="300"/>
      <c r="V463" s="300"/>
      <c r="W463" s="300"/>
      <c r="X463" s="300"/>
      <c r="Y463" s="300"/>
      <c r="Z463" s="300"/>
      <c r="AA463" s="300"/>
      <c r="AB463" s="300"/>
      <c r="AC463" s="300"/>
    </row>
    <row r="464">
      <c r="A464" s="312"/>
      <c r="B464" s="339">
        <v>370.0</v>
      </c>
      <c r="C464" s="344">
        <v>45975.0</v>
      </c>
      <c r="D464" s="339" t="s">
        <v>1836</v>
      </c>
      <c r="E464" s="345">
        <v>46007.0</v>
      </c>
      <c r="F464" s="342">
        <v>883.0</v>
      </c>
      <c r="G464" s="344">
        <v>46005.0</v>
      </c>
      <c r="H464" s="339" t="s">
        <v>1222</v>
      </c>
      <c r="I464" s="339" t="s">
        <v>24</v>
      </c>
      <c r="J464" s="339">
        <v>210.0</v>
      </c>
      <c r="K464" s="339" t="s">
        <v>25</v>
      </c>
      <c r="L464" s="346">
        <v>49.0</v>
      </c>
      <c r="M464" s="105">
        <f t="shared" si="7"/>
        <v>10290</v>
      </c>
      <c r="N464" s="347" t="s">
        <v>91</v>
      </c>
      <c r="O464" s="339" t="s">
        <v>1829</v>
      </c>
      <c r="P464" s="300"/>
      <c r="Q464" s="300"/>
      <c r="R464" s="300"/>
      <c r="S464" s="300"/>
      <c r="T464" s="300"/>
      <c r="U464" s="300"/>
      <c r="V464" s="300"/>
      <c r="W464" s="300"/>
      <c r="X464" s="300"/>
      <c r="Y464" s="300"/>
      <c r="Z464" s="300"/>
      <c r="AA464" s="300"/>
      <c r="AB464" s="300"/>
      <c r="AC464" s="300"/>
    </row>
    <row r="465">
      <c r="A465" s="312"/>
      <c r="B465" s="339">
        <v>1959723.0</v>
      </c>
      <c r="C465" s="344" t="s">
        <v>1837</v>
      </c>
      <c r="D465" s="339" t="s">
        <v>315</v>
      </c>
      <c r="E465" s="345">
        <v>45971.0</v>
      </c>
      <c r="F465" s="342">
        <v>868.0</v>
      </c>
      <c r="G465" s="344">
        <v>45966.0</v>
      </c>
      <c r="H465" s="339" t="s">
        <v>23</v>
      </c>
      <c r="I465" s="339" t="s">
        <v>24</v>
      </c>
      <c r="J465" s="339">
        <v>2640.0</v>
      </c>
      <c r="K465" s="339" t="s">
        <v>25</v>
      </c>
      <c r="L465" s="346">
        <v>67.65</v>
      </c>
      <c r="M465" s="105">
        <f t="shared" si="7"/>
        <v>178596</v>
      </c>
      <c r="N465" s="347" t="s">
        <v>91</v>
      </c>
      <c r="O465" s="339" t="s">
        <v>1829</v>
      </c>
      <c r="P465" s="300"/>
      <c r="Q465" s="300"/>
      <c r="R465" s="300"/>
      <c r="S465" s="300"/>
      <c r="T465" s="300"/>
      <c r="U465" s="300"/>
      <c r="V465" s="300"/>
      <c r="W465" s="300"/>
      <c r="X465" s="300"/>
      <c r="Y465" s="300"/>
      <c r="Z465" s="300"/>
      <c r="AA465" s="300"/>
      <c r="AB465" s="300"/>
      <c r="AC465" s="300"/>
    </row>
    <row r="466">
      <c r="A466" s="312"/>
      <c r="B466" s="339">
        <v>1959554.0</v>
      </c>
      <c r="C466" s="344">
        <v>45966.0</v>
      </c>
      <c r="D466" s="339" t="s">
        <v>315</v>
      </c>
      <c r="E466" s="345">
        <v>45971.0</v>
      </c>
      <c r="F466" s="342">
        <v>868.0</v>
      </c>
      <c r="G466" s="344">
        <v>45966.0</v>
      </c>
      <c r="H466" s="339" t="s">
        <v>36</v>
      </c>
      <c r="I466" s="339" t="s">
        <v>24</v>
      </c>
      <c r="J466" s="339">
        <v>220.0</v>
      </c>
      <c r="K466" s="339" t="s">
        <v>25</v>
      </c>
      <c r="L466" s="346">
        <v>64.0</v>
      </c>
      <c r="M466" s="105">
        <f t="shared" si="7"/>
        <v>14080</v>
      </c>
      <c r="N466" s="347" t="s">
        <v>91</v>
      </c>
      <c r="O466" s="339" t="s">
        <v>1829</v>
      </c>
      <c r="P466" s="300"/>
      <c r="Q466" s="300"/>
      <c r="R466" s="300"/>
      <c r="S466" s="300"/>
      <c r="T466" s="300"/>
      <c r="U466" s="300"/>
      <c r="V466" s="300"/>
      <c r="W466" s="300"/>
      <c r="X466" s="300"/>
      <c r="Y466" s="300"/>
      <c r="Z466" s="300"/>
      <c r="AA466" s="300"/>
      <c r="AB466" s="300"/>
      <c r="AC466" s="300"/>
    </row>
    <row r="467">
      <c r="A467" s="312"/>
      <c r="B467" s="339">
        <v>2114518.0</v>
      </c>
      <c r="C467" s="344">
        <v>46010.0</v>
      </c>
      <c r="D467" s="339" t="s">
        <v>1838</v>
      </c>
      <c r="E467" s="345">
        <v>46014.0</v>
      </c>
      <c r="F467" s="342">
        <v>885.0</v>
      </c>
      <c r="G467" s="344">
        <v>46010.0</v>
      </c>
      <c r="H467" s="339" t="s">
        <v>36</v>
      </c>
      <c r="I467" s="339" t="s">
        <v>24</v>
      </c>
      <c r="J467" s="339">
        <v>440.0</v>
      </c>
      <c r="K467" s="339" t="s">
        <v>25</v>
      </c>
      <c r="L467" s="346">
        <v>66.16</v>
      </c>
      <c r="M467" s="105">
        <f t="shared" si="7"/>
        <v>29110.4</v>
      </c>
      <c r="N467" s="347" t="s">
        <v>91</v>
      </c>
      <c r="O467" s="339" t="s">
        <v>1829</v>
      </c>
      <c r="P467" s="300"/>
      <c r="Q467" s="300"/>
      <c r="R467" s="300"/>
      <c r="S467" s="300"/>
      <c r="T467" s="300"/>
      <c r="U467" s="300"/>
      <c r="V467" s="300"/>
      <c r="W467" s="300"/>
      <c r="X467" s="300"/>
      <c r="Y467" s="300"/>
      <c r="Z467" s="300"/>
      <c r="AA467" s="300"/>
      <c r="AB467" s="300"/>
      <c r="AC467" s="300"/>
    </row>
    <row r="468">
      <c r="A468" s="312"/>
      <c r="B468" s="339">
        <v>2114355.0</v>
      </c>
      <c r="C468" s="344">
        <v>46010.0</v>
      </c>
      <c r="D468" s="339" t="s">
        <v>1838</v>
      </c>
      <c r="E468" s="345">
        <v>46014.0</v>
      </c>
      <c r="F468" s="342">
        <v>885.0</v>
      </c>
      <c r="G468" s="344">
        <v>46010.0</v>
      </c>
      <c r="H468" s="339" t="s">
        <v>23</v>
      </c>
      <c r="I468" s="339" t="s">
        <v>24</v>
      </c>
      <c r="J468" s="339">
        <v>2640.0</v>
      </c>
      <c r="K468" s="339" t="s">
        <v>25</v>
      </c>
      <c r="L468" s="346">
        <v>66.14</v>
      </c>
      <c r="M468" s="105">
        <f t="shared" si="7"/>
        <v>174609.6</v>
      </c>
      <c r="N468" s="347" t="s">
        <v>91</v>
      </c>
      <c r="O468" s="339" t="s">
        <v>1829</v>
      </c>
      <c r="P468" s="300"/>
      <c r="Q468" s="300"/>
      <c r="R468" s="300"/>
      <c r="S468" s="300"/>
      <c r="T468" s="300"/>
      <c r="U468" s="300"/>
      <c r="V468" s="300"/>
      <c r="W468" s="300"/>
      <c r="X468" s="300"/>
      <c r="Y468" s="300"/>
      <c r="Z468" s="300"/>
      <c r="AA468" s="300"/>
      <c r="AB468" s="300"/>
      <c r="AC468" s="300"/>
    </row>
    <row r="469">
      <c r="A469" s="312"/>
      <c r="B469" s="339">
        <v>138821.0</v>
      </c>
      <c r="C469" s="344">
        <v>46010.0</v>
      </c>
      <c r="D469" s="339" t="s">
        <v>1838</v>
      </c>
      <c r="E469" s="345">
        <v>46014.0</v>
      </c>
      <c r="F469" s="342">
        <v>885.0</v>
      </c>
      <c r="G469" s="344">
        <v>46010.0</v>
      </c>
      <c r="H469" s="339" t="s">
        <v>38</v>
      </c>
      <c r="I469" s="339" t="s">
        <v>24</v>
      </c>
      <c r="J469" s="339">
        <v>480.0</v>
      </c>
      <c r="K469" s="339" t="s">
        <v>156</v>
      </c>
      <c r="L469" s="346">
        <v>20.0</v>
      </c>
      <c r="M469" s="105">
        <f t="shared" si="7"/>
        <v>9600</v>
      </c>
      <c r="N469" s="347" t="s">
        <v>91</v>
      </c>
      <c r="O469" s="339" t="s">
        <v>1829</v>
      </c>
      <c r="P469" s="300"/>
      <c r="Q469" s="300"/>
      <c r="R469" s="300"/>
      <c r="S469" s="300"/>
      <c r="T469" s="300"/>
      <c r="U469" s="300"/>
      <c r="V469" s="300"/>
      <c r="W469" s="300"/>
      <c r="X469" s="300"/>
      <c r="Y469" s="300"/>
      <c r="Z469" s="300"/>
      <c r="AA469" s="300"/>
      <c r="AB469" s="300"/>
      <c r="AC469" s="300"/>
    </row>
    <row r="470">
      <c r="A470" s="312"/>
      <c r="B470" s="339">
        <v>7281.0</v>
      </c>
      <c r="C470" s="344">
        <v>46010.0</v>
      </c>
      <c r="D470" s="339" t="s">
        <v>1838</v>
      </c>
      <c r="E470" s="345">
        <v>46014.0</v>
      </c>
      <c r="F470" s="342">
        <v>885.0</v>
      </c>
      <c r="G470" s="344">
        <v>46010.0</v>
      </c>
      <c r="H470" s="339" t="s">
        <v>1839</v>
      </c>
      <c r="I470" s="339" t="s">
        <v>24</v>
      </c>
      <c r="J470" s="339">
        <v>210.0</v>
      </c>
      <c r="K470" s="339" t="s">
        <v>25</v>
      </c>
      <c r="L470" s="346">
        <v>49.0</v>
      </c>
      <c r="M470" s="105">
        <f t="shared" si="7"/>
        <v>10290</v>
      </c>
      <c r="N470" s="347" t="s">
        <v>91</v>
      </c>
      <c r="O470" s="339" t="s">
        <v>1829</v>
      </c>
      <c r="P470" s="300"/>
      <c r="Q470" s="300"/>
      <c r="R470" s="300"/>
      <c r="S470" s="300"/>
      <c r="T470" s="300"/>
      <c r="U470" s="300"/>
      <c r="V470" s="300"/>
      <c r="W470" s="300"/>
      <c r="X470" s="300"/>
      <c r="Y470" s="300"/>
      <c r="Z470" s="300"/>
      <c r="AA470" s="300"/>
      <c r="AB470" s="300"/>
      <c r="AC470" s="300"/>
    </row>
    <row r="471">
      <c r="A471" s="312"/>
      <c r="B471" s="339">
        <v>45229.0</v>
      </c>
      <c r="C471" s="344">
        <v>45900.0</v>
      </c>
      <c r="D471" s="339" t="s">
        <v>1840</v>
      </c>
      <c r="E471" s="345">
        <v>45995.0</v>
      </c>
      <c r="F471" s="342" t="s">
        <v>92</v>
      </c>
      <c r="G471" s="344"/>
      <c r="H471" s="339" t="s">
        <v>1841</v>
      </c>
      <c r="I471" s="339" t="s">
        <v>1842</v>
      </c>
      <c r="J471" s="339">
        <v>6.0</v>
      </c>
      <c r="K471" s="339" t="s">
        <v>174</v>
      </c>
      <c r="L471" s="346">
        <v>29800.0</v>
      </c>
      <c r="M471" s="105">
        <f t="shared" si="7"/>
        <v>178800</v>
      </c>
      <c r="N471" s="347" t="s">
        <v>48</v>
      </c>
      <c r="O471" s="339" t="s">
        <v>1829</v>
      </c>
      <c r="P471" s="300"/>
      <c r="Q471" s="300"/>
      <c r="R471" s="300"/>
      <c r="S471" s="300"/>
      <c r="T471" s="300"/>
      <c r="U471" s="300"/>
      <c r="V471" s="300"/>
      <c r="W471" s="300"/>
      <c r="X471" s="300"/>
      <c r="Y471" s="300"/>
      <c r="Z471" s="300"/>
      <c r="AA471" s="300"/>
      <c r="AB471" s="300"/>
      <c r="AC471" s="300"/>
    </row>
    <row r="472">
      <c r="A472" s="312"/>
      <c r="B472" s="339">
        <v>827.0</v>
      </c>
      <c r="C472" s="344">
        <v>45967.0</v>
      </c>
      <c r="D472" s="339" t="s">
        <v>360</v>
      </c>
      <c r="E472" s="345">
        <v>45995.0</v>
      </c>
      <c r="F472" s="342">
        <v>869.0</v>
      </c>
      <c r="G472" s="344">
        <v>45944.0</v>
      </c>
      <c r="H472" s="339" t="s">
        <v>1634</v>
      </c>
      <c r="I472" s="339" t="s">
        <v>268</v>
      </c>
      <c r="J472" s="339">
        <v>4.0</v>
      </c>
      <c r="K472" s="339" t="s">
        <v>156</v>
      </c>
      <c r="L472" s="346">
        <v>2200.0</v>
      </c>
      <c r="M472" s="105">
        <f t="shared" si="7"/>
        <v>8800</v>
      </c>
      <c r="N472" s="347" t="s">
        <v>1640</v>
      </c>
      <c r="O472" s="339" t="s">
        <v>1829</v>
      </c>
      <c r="P472" s="300"/>
      <c r="Q472" s="300"/>
      <c r="R472" s="300"/>
      <c r="S472" s="300"/>
      <c r="T472" s="300"/>
      <c r="U472" s="300"/>
      <c r="V472" s="300"/>
      <c r="W472" s="300"/>
      <c r="X472" s="300"/>
      <c r="Y472" s="300"/>
      <c r="Z472" s="300"/>
      <c r="AA472" s="300"/>
      <c r="AB472" s="300"/>
      <c r="AC472" s="300"/>
    </row>
    <row r="473">
      <c r="A473" s="312"/>
      <c r="B473" s="339">
        <v>828.0</v>
      </c>
      <c r="C473" s="344">
        <v>45974.0</v>
      </c>
      <c r="D473" s="339" t="s">
        <v>360</v>
      </c>
      <c r="E473" s="345">
        <v>45995.0</v>
      </c>
      <c r="F473" s="342">
        <v>869.0</v>
      </c>
      <c r="G473" s="344">
        <v>45944.0</v>
      </c>
      <c r="H473" s="339" t="s">
        <v>1634</v>
      </c>
      <c r="I473" s="339" t="s">
        <v>268</v>
      </c>
      <c r="J473" s="339">
        <v>2.0</v>
      </c>
      <c r="K473" s="339" t="s">
        <v>156</v>
      </c>
      <c r="L473" s="346">
        <v>2200.0</v>
      </c>
      <c r="M473" s="105">
        <f t="shared" si="7"/>
        <v>4400</v>
      </c>
      <c r="N473" s="347" t="s">
        <v>1640</v>
      </c>
      <c r="O473" s="339" t="s">
        <v>1829</v>
      </c>
      <c r="P473" s="300"/>
      <c r="Q473" s="300"/>
      <c r="R473" s="300"/>
      <c r="S473" s="300"/>
      <c r="T473" s="300"/>
      <c r="U473" s="300"/>
      <c r="V473" s="300"/>
      <c r="W473" s="300"/>
      <c r="X473" s="300"/>
      <c r="Y473" s="300"/>
      <c r="Z473" s="300"/>
      <c r="AA473" s="300"/>
      <c r="AB473" s="300"/>
      <c r="AC473" s="300"/>
    </row>
    <row r="474">
      <c r="A474" s="312"/>
      <c r="B474" s="339">
        <v>43551.0</v>
      </c>
      <c r="C474" s="344">
        <v>45900.0</v>
      </c>
      <c r="D474" s="339" t="s">
        <v>1843</v>
      </c>
      <c r="E474" s="345">
        <v>45996.0</v>
      </c>
      <c r="F474" s="342" t="s">
        <v>92</v>
      </c>
      <c r="G474" s="344"/>
      <c r="H474" s="339" t="s">
        <v>1844</v>
      </c>
      <c r="I474" s="339" t="s">
        <v>46</v>
      </c>
      <c r="J474" s="339">
        <v>25.0</v>
      </c>
      <c r="K474" s="339" t="s">
        <v>174</v>
      </c>
      <c r="L474" s="346">
        <v>3750.0</v>
      </c>
      <c r="M474" s="105">
        <f t="shared" si="7"/>
        <v>93750</v>
      </c>
      <c r="N474" s="347" t="s">
        <v>48</v>
      </c>
      <c r="O474" s="339" t="s">
        <v>1829</v>
      </c>
      <c r="P474" s="300"/>
      <c r="Q474" s="300"/>
      <c r="R474" s="300"/>
      <c r="S474" s="300"/>
      <c r="T474" s="300"/>
      <c r="U474" s="300"/>
      <c r="V474" s="300"/>
      <c r="W474" s="300"/>
      <c r="X474" s="300"/>
      <c r="Y474" s="300"/>
      <c r="Z474" s="300"/>
      <c r="AA474" s="300"/>
      <c r="AB474" s="300"/>
      <c r="AC474" s="300"/>
    </row>
    <row r="475">
      <c r="A475" s="312"/>
      <c r="B475" s="339">
        <v>42944.0</v>
      </c>
      <c r="C475" s="344">
        <v>45900.0</v>
      </c>
      <c r="D475" s="339" t="s">
        <v>1843</v>
      </c>
      <c r="E475" s="345">
        <v>45996.0</v>
      </c>
      <c r="F475" s="342" t="s">
        <v>92</v>
      </c>
      <c r="G475" s="344"/>
      <c r="H475" s="339" t="s">
        <v>1845</v>
      </c>
      <c r="I475" s="339" t="s">
        <v>46</v>
      </c>
      <c r="J475" s="339">
        <v>25.0</v>
      </c>
      <c r="K475" s="339" t="s">
        <v>174</v>
      </c>
      <c r="L475" s="346">
        <v>7038.0</v>
      </c>
      <c r="M475" s="105">
        <f t="shared" si="7"/>
        <v>175950</v>
      </c>
      <c r="N475" s="347" t="s">
        <v>48</v>
      </c>
      <c r="O475" s="339" t="s">
        <v>1829</v>
      </c>
      <c r="P475" s="300"/>
      <c r="Q475" s="300"/>
      <c r="R475" s="300"/>
      <c r="S475" s="300"/>
      <c r="T475" s="300"/>
      <c r="U475" s="300"/>
      <c r="V475" s="300"/>
      <c r="W475" s="300"/>
      <c r="X475" s="300"/>
      <c r="Y475" s="300"/>
      <c r="Z475" s="300"/>
      <c r="AA475" s="300"/>
      <c r="AB475" s="300"/>
      <c r="AC475" s="300"/>
    </row>
    <row r="476">
      <c r="A476" s="312"/>
      <c r="B476" s="339">
        <v>42943.0</v>
      </c>
      <c r="C476" s="344">
        <v>45900.0</v>
      </c>
      <c r="D476" s="339" t="s">
        <v>1843</v>
      </c>
      <c r="E476" s="345">
        <v>45996.0</v>
      </c>
      <c r="F476" s="342" t="s">
        <v>92</v>
      </c>
      <c r="G476" s="344"/>
      <c r="H476" s="339" t="s">
        <v>1846</v>
      </c>
      <c r="I476" s="339" t="s">
        <v>46</v>
      </c>
      <c r="J476" s="339">
        <v>23.0</v>
      </c>
      <c r="K476" s="339" t="s">
        <v>174</v>
      </c>
      <c r="L476" s="346">
        <v>7038.0</v>
      </c>
      <c r="M476" s="105">
        <f t="shared" si="7"/>
        <v>161874</v>
      </c>
      <c r="N476" s="347" t="s">
        <v>48</v>
      </c>
      <c r="O476" s="339" t="s">
        <v>1829</v>
      </c>
      <c r="P476" s="300"/>
      <c r="Q476" s="300"/>
      <c r="R476" s="300"/>
      <c r="S476" s="300"/>
      <c r="T476" s="300"/>
      <c r="U476" s="300"/>
      <c r="V476" s="300"/>
      <c r="W476" s="300"/>
      <c r="X476" s="300"/>
      <c r="Y476" s="300"/>
      <c r="Z476" s="300"/>
      <c r="AA476" s="300"/>
      <c r="AB476" s="300"/>
      <c r="AC476" s="300"/>
    </row>
    <row r="477">
      <c r="A477" s="312"/>
      <c r="B477" s="339">
        <v>43552.0</v>
      </c>
      <c r="C477" s="344">
        <v>45900.0</v>
      </c>
      <c r="D477" s="339" t="s">
        <v>1843</v>
      </c>
      <c r="E477" s="345">
        <v>45996.0</v>
      </c>
      <c r="F477" s="342" t="s">
        <v>92</v>
      </c>
      <c r="G477" s="344"/>
      <c r="H477" s="339" t="s">
        <v>1844</v>
      </c>
      <c r="I477" s="339" t="s">
        <v>46</v>
      </c>
      <c r="J477" s="339">
        <v>25.0</v>
      </c>
      <c r="K477" s="339" t="s">
        <v>174</v>
      </c>
      <c r="L477" s="346">
        <v>3750.0</v>
      </c>
      <c r="M477" s="105">
        <f t="shared" si="7"/>
        <v>93750</v>
      </c>
      <c r="N477" s="347" t="s">
        <v>48</v>
      </c>
      <c r="O477" s="339" t="s">
        <v>1829</v>
      </c>
      <c r="P477" s="300"/>
      <c r="Q477" s="300"/>
      <c r="R477" s="300"/>
      <c r="S477" s="300"/>
      <c r="T477" s="300"/>
      <c r="U477" s="300"/>
      <c r="V477" s="300"/>
      <c r="W477" s="300"/>
      <c r="X477" s="300"/>
      <c r="Y477" s="300"/>
      <c r="Z477" s="300"/>
      <c r="AA477" s="300"/>
      <c r="AB477" s="300"/>
      <c r="AC477" s="300"/>
    </row>
    <row r="478">
      <c r="A478" s="312"/>
      <c r="B478" s="348" t="s">
        <v>1847</v>
      </c>
      <c r="C478" s="349">
        <v>45986.0</v>
      </c>
      <c r="D478" s="348" t="s">
        <v>1848</v>
      </c>
      <c r="E478" s="350">
        <v>46000.0</v>
      </c>
      <c r="F478" s="351">
        <v>873.0</v>
      </c>
      <c r="G478" s="349">
        <v>45984.0</v>
      </c>
      <c r="H478" s="339" t="s">
        <v>1849</v>
      </c>
      <c r="I478" s="339" t="s">
        <v>1499</v>
      </c>
      <c r="J478" s="339">
        <v>42.0</v>
      </c>
      <c r="K478" s="339" t="s">
        <v>156</v>
      </c>
      <c r="L478" s="346">
        <v>12.0</v>
      </c>
      <c r="M478" s="105">
        <f t="shared" si="7"/>
        <v>504</v>
      </c>
      <c r="N478" s="347" t="s">
        <v>1473</v>
      </c>
      <c r="O478" s="339" t="s">
        <v>1561</v>
      </c>
      <c r="P478" s="300"/>
      <c r="Q478" s="300"/>
      <c r="R478" s="300"/>
      <c r="S478" s="300"/>
      <c r="T478" s="300"/>
      <c r="U478" s="300"/>
      <c r="V478" s="300"/>
      <c r="W478" s="300"/>
      <c r="X478" s="300"/>
      <c r="Y478" s="300"/>
      <c r="Z478" s="300"/>
      <c r="AA478" s="300"/>
      <c r="AB478" s="300"/>
      <c r="AC478" s="300"/>
    </row>
    <row r="479">
      <c r="A479" s="312"/>
      <c r="B479" s="47"/>
      <c r="C479" s="47"/>
      <c r="D479" s="47"/>
      <c r="E479" s="47"/>
      <c r="F479" s="47"/>
      <c r="G479" s="47"/>
      <c r="H479" s="339" t="s">
        <v>1850</v>
      </c>
      <c r="I479" s="339" t="s">
        <v>1499</v>
      </c>
      <c r="J479" s="339">
        <v>20.0</v>
      </c>
      <c r="K479" s="339" t="s">
        <v>156</v>
      </c>
      <c r="L479" s="346">
        <v>12.0</v>
      </c>
      <c r="M479" s="105">
        <f t="shared" si="7"/>
        <v>240</v>
      </c>
      <c r="N479" s="347" t="s">
        <v>1473</v>
      </c>
      <c r="O479" s="339" t="s">
        <v>1561</v>
      </c>
      <c r="P479" s="300"/>
      <c r="Q479" s="300"/>
      <c r="R479" s="300"/>
      <c r="S479" s="300"/>
      <c r="T479" s="300"/>
      <c r="U479" s="300"/>
      <c r="V479" s="300"/>
      <c r="W479" s="300"/>
      <c r="X479" s="300"/>
      <c r="Y479" s="300"/>
      <c r="Z479" s="300"/>
      <c r="AA479" s="300"/>
      <c r="AB479" s="300"/>
      <c r="AC479" s="300"/>
    </row>
    <row r="480">
      <c r="A480" s="312"/>
      <c r="B480" s="48"/>
      <c r="C480" s="48"/>
      <c r="D480" s="48"/>
      <c r="E480" s="48"/>
      <c r="F480" s="48"/>
      <c r="G480" s="48"/>
      <c r="H480" s="339" t="s">
        <v>1851</v>
      </c>
      <c r="I480" s="339" t="s">
        <v>1499</v>
      </c>
      <c r="J480" s="339">
        <v>15.0</v>
      </c>
      <c r="K480" s="339" t="s">
        <v>156</v>
      </c>
      <c r="L480" s="346">
        <v>10.0</v>
      </c>
      <c r="M480" s="105">
        <f t="shared" si="7"/>
        <v>150</v>
      </c>
      <c r="N480" s="347" t="s">
        <v>1473</v>
      </c>
      <c r="O480" s="339" t="s">
        <v>1561</v>
      </c>
      <c r="P480" s="300"/>
      <c r="Q480" s="300"/>
      <c r="R480" s="300"/>
      <c r="S480" s="300"/>
      <c r="T480" s="300"/>
      <c r="U480" s="300"/>
      <c r="V480" s="300"/>
      <c r="W480" s="300"/>
      <c r="X480" s="300"/>
      <c r="Y480" s="300"/>
      <c r="Z480" s="300"/>
      <c r="AA480" s="300"/>
      <c r="AB480" s="300"/>
      <c r="AC480" s="300"/>
    </row>
    <row r="481">
      <c r="A481" s="312"/>
      <c r="B481" s="348" t="s">
        <v>1852</v>
      </c>
      <c r="C481" s="349">
        <v>45986.0</v>
      </c>
      <c r="D481" s="348" t="s">
        <v>1848</v>
      </c>
      <c r="E481" s="350">
        <v>46000.0</v>
      </c>
      <c r="F481" s="351">
        <v>873.0</v>
      </c>
      <c r="G481" s="349">
        <v>45984.0</v>
      </c>
      <c r="H481" s="339" t="s">
        <v>1853</v>
      </c>
      <c r="I481" s="339" t="s">
        <v>55</v>
      </c>
      <c r="J481" s="339">
        <v>10.0</v>
      </c>
      <c r="K481" s="339" t="s">
        <v>98</v>
      </c>
      <c r="L481" s="346">
        <v>2100.0</v>
      </c>
      <c r="M481" s="105">
        <f t="shared" si="7"/>
        <v>21000</v>
      </c>
      <c r="N481" s="347" t="s">
        <v>1473</v>
      </c>
      <c r="O481" s="339" t="s">
        <v>1561</v>
      </c>
      <c r="P481" s="300"/>
      <c r="Q481" s="300"/>
      <c r="R481" s="300"/>
      <c r="S481" s="300"/>
      <c r="T481" s="300"/>
      <c r="U481" s="300"/>
      <c r="V481" s="300"/>
      <c r="W481" s="300"/>
      <c r="X481" s="300"/>
      <c r="Y481" s="300"/>
      <c r="Z481" s="300"/>
      <c r="AA481" s="300"/>
      <c r="AB481" s="300"/>
      <c r="AC481" s="300"/>
    </row>
    <row r="482">
      <c r="A482" s="312"/>
      <c r="B482" s="47"/>
      <c r="C482" s="47"/>
      <c r="D482" s="47"/>
      <c r="E482" s="47"/>
      <c r="F482" s="47"/>
      <c r="G482" s="47"/>
      <c r="H482" s="339" t="s">
        <v>1854</v>
      </c>
      <c r="I482" s="339" t="s">
        <v>55</v>
      </c>
      <c r="J482" s="339">
        <v>10.0</v>
      </c>
      <c r="K482" s="339" t="s">
        <v>156</v>
      </c>
      <c r="L482" s="346">
        <v>80.0</v>
      </c>
      <c r="M482" s="105">
        <f t="shared" si="7"/>
        <v>800</v>
      </c>
      <c r="N482" s="347" t="s">
        <v>1473</v>
      </c>
      <c r="O482" s="339" t="s">
        <v>1561</v>
      </c>
      <c r="P482" s="300"/>
      <c r="Q482" s="300"/>
      <c r="R482" s="300"/>
      <c r="S482" s="300"/>
      <c r="T482" s="300"/>
      <c r="U482" s="300"/>
      <c r="V482" s="300"/>
      <c r="W482" s="300"/>
      <c r="X482" s="300"/>
      <c r="Y482" s="300"/>
      <c r="Z482" s="300"/>
      <c r="AA482" s="300"/>
      <c r="AB482" s="300"/>
      <c r="AC482" s="300"/>
    </row>
    <row r="483">
      <c r="A483" s="312"/>
      <c r="B483" s="47"/>
      <c r="C483" s="47"/>
      <c r="D483" s="47"/>
      <c r="E483" s="47"/>
      <c r="F483" s="47"/>
      <c r="G483" s="47"/>
      <c r="H483" s="339" t="s">
        <v>1855</v>
      </c>
      <c r="I483" s="339" t="s">
        <v>55</v>
      </c>
      <c r="J483" s="339">
        <v>20.0</v>
      </c>
      <c r="K483" s="339" t="s">
        <v>156</v>
      </c>
      <c r="L483" s="346">
        <v>55.0</v>
      </c>
      <c r="M483" s="105">
        <f t="shared" si="7"/>
        <v>1100</v>
      </c>
      <c r="N483" s="347" t="s">
        <v>1473</v>
      </c>
      <c r="O483" s="339" t="s">
        <v>1561</v>
      </c>
      <c r="P483" s="300"/>
      <c r="Q483" s="300"/>
      <c r="R483" s="300"/>
      <c r="S483" s="300"/>
      <c r="T483" s="300"/>
      <c r="U483" s="300"/>
      <c r="V483" s="300"/>
      <c r="W483" s="300"/>
      <c r="X483" s="300"/>
      <c r="Y483" s="300"/>
      <c r="Z483" s="300"/>
      <c r="AA483" s="300"/>
      <c r="AB483" s="300"/>
      <c r="AC483" s="300"/>
    </row>
    <row r="484">
      <c r="A484" s="312"/>
      <c r="B484" s="48"/>
      <c r="C484" s="48"/>
      <c r="D484" s="48"/>
      <c r="E484" s="48"/>
      <c r="F484" s="48"/>
      <c r="G484" s="48"/>
      <c r="H484" s="339" t="s">
        <v>1856</v>
      </c>
      <c r="I484" s="339" t="s">
        <v>55</v>
      </c>
      <c r="J484" s="339">
        <v>10.0</v>
      </c>
      <c r="K484" s="339" t="s">
        <v>156</v>
      </c>
      <c r="L484" s="346">
        <v>2700.0</v>
      </c>
      <c r="M484" s="105">
        <f t="shared" si="7"/>
        <v>27000</v>
      </c>
      <c r="N484" s="347" t="s">
        <v>1473</v>
      </c>
      <c r="O484" s="339" t="s">
        <v>1561</v>
      </c>
      <c r="P484" s="300"/>
      <c r="Q484" s="300"/>
      <c r="R484" s="300"/>
      <c r="S484" s="300"/>
      <c r="T484" s="300"/>
      <c r="U484" s="300"/>
      <c r="V484" s="300"/>
      <c r="W484" s="300"/>
      <c r="X484" s="300"/>
      <c r="Y484" s="300"/>
      <c r="Z484" s="300"/>
      <c r="AA484" s="300"/>
      <c r="AB484" s="300"/>
      <c r="AC484" s="300"/>
    </row>
    <row r="485">
      <c r="A485" s="312"/>
      <c r="B485" s="348" t="s">
        <v>1857</v>
      </c>
      <c r="C485" s="349">
        <v>45986.0</v>
      </c>
      <c r="D485" s="348" t="s">
        <v>1848</v>
      </c>
      <c r="E485" s="350">
        <v>46000.0</v>
      </c>
      <c r="F485" s="351">
        <v>875.0</v>
      </c>
      <c r="G485" s="349">
        <v>45986.0</v>
      </c>
      <c r="H485" s="339" t="s">
        <v>1858</v>
      </c>
      <c r="I485" s="339" t="s">
        <v>55</v>
      </c>
      <c r="J485" s="339">
        <v>2.0</v>
      </c>
      <c r="K485" s="339" t="s">
        <v>981</v>
      </c>
      <c r="L485" s="346">
        <v>3141.0</v>
      </c>
      <c r="M485" s="105">
        <f t="shared" si="7"/>
        <v>6282</v>
      </c>
      <c r="N485" s="347" t="s">
        <v>1473</v>
      </c>
      <c r="O485" s="339" t="s">
        <v>1561</v>
      </c>
      <c r="P485" s="300"/>
      <c r="Q485" s="300"/>
      <c r="R485" s="300"/>
      <c r="S485" s="300"/>
      <c r="T485" s="300"/>
      <c r="U485" s="300"/>
      <c r="V485" s="300"/>
      <c r="W485" s="300"/>
      <c r="X485" s="300"/>
      <c r="Y485" s="300"/>
      <c r="Z485" s="300"/>
      <c r="AA485" s="300"/>
      <c r="AB485" s="300"/>
      <c r="AC485" s="300"/>
    </row>
    <row r="486">
      <c r="A486" s="312"/>
      <c r="B486" s="48"/>
      <c r="C486" s="48"/>
      <c r="D486" s="48"/>
      <c r="E486" s="48"/>
      <c r="F486" s="48"/>
      <c r="G486" s="48"/>
      <c r="H486" s="339" t="s">
        <v>1859</v>
      </c>
      <c r="I486" s="339" t="s">
        <v>55</v>
      </c>
      <c r="J486" s="339">
        <v>70.0</v>
      </c>
      <c r="K486" s="339" t="s">
        <v>74</v>
      </c>
      <c r="L486" s="346">
        <v>42.0</v>
      </c>
      <c r="M486" s="105">
        <f t="shared" si="7"/>
        <v>2940</v>
      </c>
      <c r="N486" s="347" t="s">
        <v>1473</v>
      </c>
      <c r="O486" s="339" t="s">
        <v>1561</v>
      </c>
      <c r="P486" s="300"/>
      <c r="Q486" s="300"/>
      <c r="R486" s="300"/>
      <c r="S486" s="300"/>
      <c r="T486" s="300"/>
      <c r="U486" s="300"/>
      <c r="V486" s="300"/>
      <c r="W486" s="300"/>
      <c r="X486" s="300"/>
      <c r="Y486" s="300"/>
      <c r="Z486" s="300"/>
      <c r="AA486" s="300"/>
      <c r="AB486" s="300"/>
      <c r="AC486" s="300"/>
    </row>
    <row r="487">
      <c r="A487" s="312"/>
      <c r="B487" s="339">
        <v>457.0</v>
      </c>
      <c r="C487" s="344">
        <v>45953.0</v>
      </c>
      <c r="D487" s="339" t="s">
        <v>1860</v>
      </c>
      <c r="E487" s="345">
        <v>45995.0</v>
      </c>
      <c r="F487" s="342" t="s">
        <v>92</v>
      </c>
      <c r="G487" s="344"/>
      <c r="H487" s="339" t="s">
        <v>1861</v>
      </c>
      <c r="I487" s="339" t="s">
        <v>55</v>
      </c>
      <c r="J487" s="339">
        <v>2.0</v>
      </c>
      <c r="K487" s="339" t="s">
        <v>256</v>
      </c>
      <c r="L487" s="346">
        <v>9000.0</v>
      </c>
      <c r="M487" s="105">
        <f t="shared" si="7"/>
        <v>18000</v>
      </c>
      <c r="N487" s="347" t="s">
        <v>1473</v>
      </c>
      <c r="O487" s="339" t="s">
        <v>1561</v>
      </c>
      <c r="P487" s="300"/>
      <c r="Q487" s="300"/>
      <c r="R487" s="300"/>
      <c r="S487" s="300"/>
      <c r="T487" s="300"/>
      <c r="U487" s="300"/>
      <c r="V487" s="300"/>
      <c r="W487" s="300"/>
      <c r="X487" s="300"/>
      <c r="Y487" s="300"/>
      <c r="Z487" s="300"/>
      <c r="AA487" s="300"/>
      <c r="AB487" s="300"/>
      <c r="AC487" s="300"/>
    </row>
    <row r="488">
      <c r="A488" s="312"/>
      <c r="B488" s="348">
        <v>72.0</v>
      </c>
      <c r="C488" s="349">
        <v>45975.0</v>
      </c>
      <c r="D488" s="348" t="s">
        <v>1862</v>
      </c>
      <c r="E488" s="350">
        <v>45994.0</v>
      </c>
      <c r="F488" s="351">
        <v>872.0</v>
      </c>
      <c r="G488" s="349">
        <v>45980.0</v>
      </c>
      <c r="H488" s="339" t="s">
        <v>1863</v>
      </c>
      <c r="I488" s="339" t="s">
        <v>51</v>
      </c>
      <c r="J488" s="339">
        <v>5.0</v>
      </c>
      <c r="K488" s="339" t="s">
        <v>156</v>
      </c>
      <c r="L488" s="346">
        <v>3555.0</v>
      </c>
      <c r="M488" s="105">
        <f t="shared" si="7"/>
        <v>17775</v>
      </c>
      <c r="N488" s="347" t="s">
        <v>1368</v>
      </c>
      <c r="O488" s="339" t="s">
        <v>1561</v>
      </c>
      <c r="P488" s="300"/>
      <c r="Q488" s="300"/>
      <c r="R488" s="300"/>
      <c r="S488" s="300"/>
      <c r="T488" s="300"/>
      <c r="U488" s="300"/>
      <c r="V488" s="300"/>
      <c r="W488" s="300"/>
      <c r="X488" s="300"/>
      <c r="Y488" s="300"/>
      <c r="Z488" s="300"/>
      <c r="AA488" s="300"/>
      <c r="AB488" s="300"/>
      <c r="AC488" s="300"/>
    </row>
    <row r="489">
      <c r="A489" s="312"/>
      <c r="B489" s="47"/>
      <c r="C489" s="47"/>
      <c r="D489" s="47"/>
      <c r="E489" s="47"/>
      <c r="F489" s="47"/>
      <c r="G489" s="47"/>
      <c r="H489" s="339" t="s">
        <v>1864</v>
      </c>
      <c r="I489" s="339" t="s">
        <v>29</v>
      </c>
      <c r="J489" s="339">
        <v>5.0</v>
      </c>
      <c r="K489" s="339" t="s">
        <v>156</v>
      </c>
      <c r="L489" s="346">
        <v>9350.0</v>
      </c>
      <c r="M489" s="105">
        <f t="shared" si="7"/>
        <v>46750</v>
      </c>
      <c r="N489" s="347" t="s">
        <v>1368</v>
      </c>
      <c r="O489" s="339" t="s">
        <v>1561</v>
      </c>
      <c r="P489" s="300"/>
      <c r="Q489" s="300"/>
      <c r="R489" s="300"/>
      <c r="S489" s="300"/>
      <c r="T489" s="300"/>
      <c r="U489" s="300"/>
      <c r="V489" s="300"/>
      <c r="W489" s="300"/>
      <c r="X489" s="300"/>
      <c r="Y489" s="300"/>
      <c r="Z489" s="300"/>
      <c r="AA489" s="300"/>
      <c r="AB489" s="300"/>
      <c r="AC489" s="300"/>
    </row>
    <row r="490">
      <c r="A490" s="312"/>
      <c r="B490" s="48"/>
      <c r="C490" s="48"/>
      <c r="D490" s="48"/>
      <c r="E490" s="48"/>
      <c r="F490" s="48"/>
      <c r="G490" s="48"/>
      <c r="H490" s="339" t="s">
        <v>1865</v>
      </c>
      <c r="I490" s="339" t="s">
        <v>29</v>
      </c>
      <c r="J490" s="339">
        <v>2.0</v>
      </c>
      <c r="K490" s="339" t="s">
        <v>156</v>
      </c>
      <c r="L490" s="346">
        <v>320.0</v>
      </c>
      <c r="M490" s="105">
        <f t="shared" si="7"/>
        <v>640</v>
      </c>
      <c r="N490" s="347" t="s">
        <v>1368</v>
      </c>
      <c r="O490" s="339" t="s">
        <v>1561</v>
      </c>
      <c r="P490" s="300"/>
      <c r="Q490" s="300"/>
      <c r="R490" s="300"/>
      <c r="S490" s="300"/>
      <c r="T490" s="300"/>
      <c r="U490" s="300"/>
      <c r="V490" s="300"/>
      <c r="W490" s="300"/>
      <c r="X490" s="300"/>
      <c r="Y490" s="300"/>
      <c r="Z490" s="300"/>
      <c r="AA490" s="300"/>
      <c r="AB490" s="300"/>
      <c r="AC490" s="300"/>
    </row>
    <row r="491">
      <c r="A491" s="312"/>
      <c r="B491" s="348">
        <v>73.0</v>
      </c>
      <c r="C491" s="349">
        <v>45976.0</v>
      </c>
      <c r="D491" s="348" t="s">
        <v>1862</v>
      </c>
      <c r="E491" s="350">
        <v>45994.0</v>
      </c>
      <c r="F491" s="351">
        <v>872.0</v>
      </c>
      <c r="G491" s="349">
        <v>45980.0</v>
      </c>
      <c r="H491" s="339" t="s">
        <v>1866</v>
      </c>
      <c r="I491" s="339" t="s">
        <v>29</v>
      </c>
      <c r="J491" s="339">
        <v>40.0</v>
      </c>
      <c r="K491" s="339" t="s">
        <v>156</v>
      </c>
      <c r="L491" s="346">
        <v>1200.0</v>
      </c>
      <c r="M491" s="105">
        <f t="shared" si="7"/>
        <v>48000</v>
      </c>
      <c r="N491" s="347" t="s">
        <v>1368</v>
      </c>
      <c r="O491" s="339" t="s">
        <v>1829</v>
      </c>
      <c r="P491" s="300"/>
      <c r="Q491" s="300"/>
      <c r="R491" s="300"/>
      <c r="S491" s="300"/>
      <c r="T491" s="300"/>
      <c r="U491" s="300"/>
      <c r="V491" s="300"/>
      <c r="W491" s="300"/>
      <c r="X491" s="300"/>
      <c r="Y491" s="300"/>
      <c r="Z491" s="300"/>
      <c r="AA491" s="300"/>
      <c r="AB491" s="300"/>
      <c r="AC491" s="300"/>
    </row>
    <row r="492">
      <c r="A492" s="312"/>
      <c r="B492" s="47"/>
      <c r="C492" s="47"/>
      <c r="D492" s="47"/>
      <c r="E492" s="47"/>
      <c r="F492" s="47"/>
      <c r="G492" s="47"/>
      <c r="H492" s="339" t="s">
        <v>1867</v>
      </c>
      <c r="I492" s="339" t="s">
        <v>29</v>
      </c>
      <c r="J492" s="339">
        <v>15.0</v>
      </c>
      <c r="K492" s="339" t="s">
        <v>156</v>
      </c>
      <c r="L492" s="346">
        <v>100.0</v>
      </c>
      <c r="M492" s="105">
        <f t="shared" si="7"/>
        <v>1500</v>
      </c>
      <c r="N492" s="347" t="s">
        <v>1368</v>
      </c>
      <c r="O492" s="339" t="s">
        <v>1829</v>
      </c>
      <c r="P492" s="300"/>
      <c r="Q492" s="300"/>
      <c r="R492" s="300"/>
      <c r="S492" s="300"/>
      <c r="T492" s="300"/>
      <c r="U492" s="300"/>
      <c r="V492" s="300"/>
      <c r="W492" s="300"/>
      <c r="X492" s="300"/>
      <c r="Y492" s="300"/>
      <c r="Z492" s="300"/>
      <c r="AA492" s="300"/>
      <c r="AB492" s="300"/>
      <c r="AC492" s="300"/>
    </row>
    <row r="493">
      <c r="A493" s="312"/>
      <c r="B493" s="48"/>
      <c r="C493" s="48"/>
      <c r="D493" s="48"/>
      <c r="E493" s="48"/>
      <c r="F493" s="48"/>
      <c r="G493" s="48"/>
      <c r="H493" s="339" t="s">
        <v>1868</v>
      </c>
      <c r="I493" s="339" t="s">
        <v>29</v>
      </c>
      <c r="J493" s="339">
        <v>5.0</v>
      </c>
      <c r="K493" s="339" t="s">
        <v>156</v>
      </c>
      <c r="L493" s="346">
        <v>4500.0</v>
      </c>
      <c r="M493" s="105">
        <f t="shared" si="7"/>
        <v>22500</v>
      </c>
      <c r="N493" s="347" t="s">
        <v>1368</v>
      </c>
      <c r="O493" s="339" t="s">
        <v>1829</v>
      </c>
      <c r="P493" s="300"/>
      <c r="Q493" s="300"/>
      <c r="R493" s="300"/>
      <c r="S493" s="300"/>
      <c r="T493" s="300"/>
      <c r="U493" s="300"/>
      <c r="V493" s="300"/>
      <c r="W493" s="300"/>
      <c r="X493" s="300"/>
      <c r="Y493" s="300"/>
      <c r="Z493" s="300"/>
      <c r="AA493" s="300"/>
      <c r="AB493" s="300"/>
      <c r="AC493" s="300"/>
    </row>
    <row r="494">
      <c r="A494" s="312"/>
      <c r="B494" s="339">
        <v>284.0</v>
      </c>
      <c r="C494" s="344">
        <v>45995.0</v>
      </c>
      <c r="D494" s="339" t="s">
        <v>1869</v>
      </c>
      <c r="E494" s="345">
        <v>46007.0</v>
      </c>
      <c r="F494" s="342">
        <v>884.0</v>
      </c>
      <c r="G494" s="344">
        <v>46005.0</v>
      </c>
      <c r="H494" s="339" t="s">
        <v>1870</v>
      </c>
      <c r="I494" s="339" t="s">
        <v>1871</v>
      </c>
      <c r="J494" s="339">
        <v>2.0</v>
      </c>
      <c r="K494" s="339" t="s">
        <v>156</v>
      </c>
      <c r="L494" s="346">
        <v>550.0</v>
      </c>
      <c r="M494" s="105">
        <f t="shared" si="7"/>
        <v>1100</v>
      </c>
      <c r="N494" s="347" t="s">
        <v>746</v>
      </c>
      <c r="O494" s="339" t="s">
        <v>1872</v>
      </c>
      <c r="P494" s="300"/>
      <c r="Q494" s="300"/>
      <c r="R494" s="300"/>
      <c r="S494" s="300"/>
      <c r="T494" s="300"/>
      <c r="U494" s="300"/>
      <c r="V494" s="300"/>
      <c r="W494" s="300"/>
      <c r="X494" s="300"/>
      <c r="Y494" s="300"/>
      <c r="Z494" s="300"/>
      <c r="AA494" s="300"/>
      <c r="AB494" s="300"/>
      <c r="AC494" s="300"/>
    </row>
    <row r="495">
      <c r="A495" s="312"/>
      <c r="B495" s="339">
        <v>2169.0</v>
      </c>
      <c r="C495" s="344">
        <v>46003.0</v>
      </c>
      <c r="D495" s="339" t="s">
        <v>1869</v>
      </c>
      <c r="E495" s="345">
        <v>46007.0</v>
      </c>
      <c r="F495" s="342">
        <v>882.0</v>
      </c>
      <c r="G495" s="344">
        <v>46003.0</v>
      </c>
      <c r="H495" s="339" t="s">
        <v>1873</v>
      </c>
      <c r="I495" s="339" t="s">
        <v>547</v>
      </c>
      <c r="J495" s="339">
        <v>10.0</v>
      </c>
      <c r="K495" s="339" t="s">
        <v>156</v>
      </c>
      <c r="L495" s="346">
        <v>310.0</v>
      </c>
      <c r="M495" s="105">
        <f t="shared" si="7"/>
        <v>3100</v>
      </c>
      <c r="N495" s="347" t="s">
        <v>1874</v>
      </c>
      <c r="O495" s="339" t="s">
        <v>1875</v>
      </c>
      <c r="P495" s="300"/>
      <c r="Q495" s="300"/>
      <c r="R495" s="300"/>
      <c r="S495" s="300"/>
      <c r="T495" s="300"/>
      <c r="U495" s="300"/>
      <c r="V495" s="300"/>
      <c r="W495" s="300"/>
      <c r="X495" s="300"/>
      <c r="Y495" s="300"/>
      <c r="Z495" s="300"/>
      <c r="AA495" s="300"/>
      <c r="AB495" s="300"/>
      <c r="AC495" s="300"/>
    </row>
    <row r="496">
      <c r="A496" s="312"/>
      <c r="B496" s="339">
        <v>3058.0</v>
      </c>
      <c r="C496" s="344">
        <v>46005.0</v>
      </c>
      <c r="D496" s="339" t="s">
        <v>1869</v>
      </c>
      <c r="E496" s="345">
        <v>46007.0</v>
      </c>
      <c r="F496" s="342">
        <v>882.0</v>
      </c>
      <c r="G496" s="344">
        <v>46003.0</v>
      </c>
      <c r="H496" s="339" t="s">
        <v>408</v>
      </c>
      <c r="I496" s="339" t="s">
        <v>547</v>
      </c>
      <c r="J496" s="339">
        <v>10.0</v>
      </c>
      <c r="K496" s="339" t="s">
        <v>39</v>
      </c>
      <c r="L496" s="346">
        <v>60.0</v>
      </c>
      <c r="M496" s="105">
        <f t="shared" si="7"/>
        <v>600</v>
      </c>
      <c r="N496" s="347" t="s">
        <v>1874</v>
      </c>
      <c r="O496" s="339" t="s">
        <v>1875</v>
      </c>
      <c r="P496" s="300"/>
      <c r="Q496" s="300"/>
      <c r="R496" s="300"/>
      <c r="S496" s="300"/>
      <c r="T496" s="300"/>
      <c r="U496" s="300"/>
      <c r="V496" s="300"/>
      <c r="W496" s="300"/>
      <c r="X496" s="300"/>
      <c r="Y496" s="300"/>
      <c r="Z496" s="300"/>
      <c r="AA496" s="300"/>
      <c r="AB496" s="300"/>
      <c r="AC496" s="300"/>
    </row>
    <row r="497">
      <c r="A497" s="312"/>
      <c r="B497" s="348">
        <v>114.0</v>
      </c>
      <c r="C497" s="349">
        <v>46003.0</v>
      </c>
      <c r="D497" s="348" t="s">
        <v>1869</v>
      </c>
      <c r="E497" s="350">
        <v>46007.0</v>
      </c>
      <c r="F497" s="351" t="s">
        <v>92</v>
      </c>
      <c r="G497" s="344"/>
      <c r="H497" s="339" t="s">
        <v>1876</v>
      </c>
      <c r="I497" s="339" t="s">
        <v>29</v>
      </c>
      <c r="J497" s="339">
        <v>1.0</v>
      </c>
      <c r="K497" s="339" t="s">
        <v>156</v>
      </c>
      <c r="L497" s="346">
        <v>1500.0</v>
      </c>
      <c r="M497" s="105">
        <f t="shared" si="7"/>
        <v>1500</v>
      </c>
      <c r="N497" s="347" t="s">
        <v>29</v>
      </c>
      <c r="O497" s="339" t="s">
        <v>1561</v>
      </c>
      <c r="P497" s="300"/>
      <c r="Q497" s="300"/>
      <c r="R497" s="300"/>
      <c r="S497" s="300"/>
      <c r="T497" s="300"/>
      <c r="U497" s="300"/>
      <c r="V497" s="300"/>
      <c r="W497" s="300"/>
      <c r="X497" s="300"/>
      <c r="Y497" s="300"/>
      <c r="Z497" s="300"/>
      <c r="AA497" s="300"/>
      <c r="AB497" s="300"/>
      <c r="AC497" s="300"/>
    </row>
    <row r="498">
      <c r="A498" s="312"/>
      <c r="B498" s="47"/>
      <c r="C498" s="47"/>
      <c r="D498" s="47"/>
      <c r="E498" s="47"/>
      <c r="F498" s="47"/>
      <c r="G498" s="344"/>
      <c r="H498" s="339" t="s">
        <v>1877</v>
      </c>
      <c r="I498" s="339" t="s">
        <v>29</v>
      </c>
      <c r="J498" s="339">
        <v>1.0</v>
      </c>
      <c r="K498" s="339" t="s">
        <v>156</v>
      </c>
      <c r="L498" s="346">
        <v>150.0</v>
      </c>
      <c r="M498" s="105">
        <f t="shared" si="7"/>
        <v>150</v>
      </c>
      <c r="N498" s="347" t="s">
        <v>29</v>
      </c>
      <c r="O498" s="339" t="s">
        <v>1561</v>
      </c>
      <c r="P498" s="300"/>
      <c r="Q498" s="300"/>
      <c r="R498" s="300"/>
      <c r="S498" s="300"/>
      <c r="T498" s="300"/>
      <c r="U498" s="300"/>
      <c r="V498" s="300"/>
      <c r="W498" s="300"/>
      <c r="X498" s="300"/>
      <c r="Y498" s="300"/>
      <c r="Z498" s="300"/>
      <c r="AA498" s="300"/>
      <c r="AB498" s="300"/>
      <c r="AC498" s="300"/>
    </row>
    <row r="499">
      <c r="A499" s="312"/>
      <c r="B499" s="47"/>
      <c r="C499" s="47"/>
      <c r="D499" s="47"/>
      <c r="E499" s="47"/>
      <c r="F499" s="47"/>
      <c r="G499" s="344"/>
      <c r="H499" s="339" t="s">
        <v>1878</v>
      </c>
      <c r="I499" s="339" t="s">
        <v>29</v>
      </c>
      <c r="J499" s="339">
        <v>1.0</v>
      </c>
      <c r="K499" s="339" t="s">
        <v>156</v>
      </c>
      <c r="L499" s="346">
        <v>1500.0</v>
      </c>
      <c r="M499" s="105">
        <f t="shared" si="7"/>
        <v>1500</v>
      </c>
      <c r="N499" s="347" t="s">
        <v>29</v>
      </c>
      <c r="O499" s="339" t="s">
        <v>1561</v>
      </c>
      <c r="P499" s="300"/>
      <c r="Q499" s="300"/>
      <c r="R499" s="300"/>
      <c r="S499" s="300"/>
      <c r="T499" s="300"/>
      <c r="U499" s="300"/>
      <c r="V499" s="300"/>
      <c r="W499" s="300"/>
      <c r="X499" s="300"/>
      <c r="Y499" s="300"/>
      <c r="Z499" s="300"/>
      <c r="AA499" s="300"/>
      <c r="AB499" s="300"/>
      <c r="AC499" s="300"/>
    </row>
    <row r="500">
      <c r="A500" s="312"/>
      <c r="B500" s="48"/>
      <c r="C500" s="48"/>
      <c r="D500" s="48"/>
      <c r="E500" s="48"/>
      <c r="F500" s="48"/>
      <c r="G500" s="344"/>
      <c r="H500" s="339" t="s">
        <v>1879</v>
      </c>
      <c r="I500" s="339" t="s">
        <v>29</v>
      </c>
      <c r="J500" s="339">
        <v>1.0</v>
      </c>
      <c r="K500" s="339" t="s">
        <v>156</v>
      </c>
      <c r="L500" s="346">
        <v>300.0</v>
      </c>
      <c r="M500" s="105">
        <f t="shared" si="7"/>
        <v>300</v>
      </c>
      <c r="N500" s="347" t="s">
        <v>29</v>
      </c>
      <c r="O500" s="339" t="s">
        <v>1561</v>
      </c>
      <c r="P500" s="300"/>
      <c r="Q500" s="300"/>
      <c r="R500" s="300"/>
      <c r="S500" s="300"/>
      <c r="T500" s="300"/>
      <c r="U500" s="300"/>
      <c r="V500" s="300"/>
      <c r="W500" s="300"/>
      <c r="X500" s="300"/>
      <c r="Y500" s="300"/>
      <c r="Z500" s="300"/>
      <c r="AA500" s="300"/>
      <c r="AB500" s="300"/>
      <c r="AC500" s="300"/>
    </row>
    <row r="501">
      <c r="A501" s="312"/>
      <c r="B501" s="339">
        <v>1175.0</v>
      </c>
      <c r="C501" s="344">
        <v>45888.0</v>
      </c>
      <c r="D501" s="339" t="s">
        <v>1880</v>
      </c>
      <c r="E501" s="345">
        <v>46000.0</v>
      </c>
      <c r="F501" s="342">
        <v>838.0</v>
      </c>
      <c r="G501" s="344">
        <v>45902.0</v>
      </c>
      <c r="H501" s="339" t="s">
        <v>1881</v>
      </c>
      <c r="I501" s="339" t="s">
        <v>55</v>
      </c>
      <c r="J501" s="339">
        <v>50.0</v>
      </c>
      <c r="K501" s="339" t="s">
        <v>156</v>
      </c>
      <c r="L501" s="346">
        <v>499.0</v>
      </c>
      <c r="M501" s="105">
        <f t="shared" si="7"/>
        <v>24950</v>
      </c>
      <c r="N501" s="347" t="s">
        <v>29</v>
      </c>
      <c r="O501" s="339" t="s">
        <v>1561</v>
      </c>
      <c r="P501" s="300"/>
      <c r="Q501" s="300"/>
      <c r="R501" s="300"/>
      <c r="S501" s="300"/>
      <c r="T501" s="300"/>
      <c r="U501" s="300"/>
      <c r="V501" s="300"/>
      <c r="W501" s="300"/>
      <c r="X501" s="300"/>
      <c r="Y501" s="300"/>
      <c r="Z501" s="300"/>
      <c r="AA501" s="300"/>
      <c r="AB501" s="300"/>
      <c r="AC501" s="300"/>
    </row>
    <row r="502">
      <c r="A502" s="312"/>
      <c r="B502" s="339">
        <v>2075.0</v>
      </c>
      <c r="C502" s="344">
        <v>46010.0</v>
      </c>
      <c r="D502" s="339" t="s">
        <v>1882</v>
      </c>
      <c r="E502" s="345">
        <v>46014.0</v>
      </c>
      <c r="F502" s="342" t="s">
        <v>92</v>
      </c>
      <c r="G502" s="344"/>
      <c r="H502" s="339" t="s">
        <v>1883</v>
      </c>
      <c r="I502" s="339" t="s">
        <v>837</v>
      </c>
      <c r="J502" s="339">
        <v>1.0</v>
      </c>
      <c r="K502" s="339" t="s">
        <v>838</v>
      </c>
      <c r="L502" s="346">
        <v>3750.0</v>
      </c>
      <c r="M502" s="105">
        <f t="shared" si="7"/>
        <v>3750</v>
      </c>
      <c r="N502" s="347" t="s">
        <v>839</v>
      </c>
      <c r="O502" s="339" t="s">
        <v>1884</v>
      </c>
      <c r="P502" s="300"/>
      <c r="Q502" s="300"/>
      <c r="R502" s="300"/>
      <c r="S502" s="300"/>
      <c r="T502" s="300"/>
      <c r="U502" s="300"/>
      <c r="V502" s="300"/>
      <c r="W502" s="300"/>
      <c r="X502" s="300"/>
      <c r="Y502" s="300"/>
      <c r="Z502" s="300"/>
      <c r="AA502" s="300"/>
      <c r="AB502" s="300"/>
      <c r="AC502" s="300"/>
    </row>
    <row r="503">
      <c r="A503" s="312"/>
      <c r="B503" s="348">
        <v>1.0</v>
      </c>
      <c r="C503" s="349">
        <v>45993.0</v>
      </c>
      <c r="D503" s="348" t="s">
        <v>1885</v>
      </c>
      <c r="E503" s="350">
        <v>46015.0</v>
      </c>
      <c r="F503" s="351" t="s">
        <v>92</v>
      </c>
      <c r="G503" s="344"/>
      <c r="H503" s="339" t="s">
        <v>1886</v>
      </c>
      <c r="I503" s="339" t="s">
        <v>46</v>
      </c>
      <c r="J503" s="339">
        <v>16.0</v>
      </c>
      <c r="K503" s="339" t="s">
        <v>174</v>
      </c>
      <c r="L503" s="346">
        <v>5333.3333333</v>
      </c>
      <c r="M503" s="105">
        <f t="shared" si="7"/>
        <v>85333.33333</v>
      </c>
      <c r="N503" s="347" t="s">
        <v>1887</v>
      </c>
      <c r="O503" s="339" t="s">
        <v>1829</v>
      </c>
      <c r="P503" s="300"/>
      <c r="Q503" s="300"/>
      <c r="R503" s="300"/>
      <c r="S503" s="300"/>
      <c r="T503" s="300"/>
      <c r="U503" s="300"/>
      <c r="V503" s="300"/>
      <c r="W503" s="300"/>
      <c r="X503" s="300"/>
      <c r="Y503" s="300"/>
      <c r="Z503" s="300"/>
      <c r="AA503" s="300"/>
      <c r="AB503" s="300"/>
      <c r="AC503" s="300"/>
    </row>
    <row r="504">
      <c r="A504" s="312"/>
      <c r="B504" s="47"/>
      <c r="C504" s="47"/>
      <c r="D504" s="47"/>
      <c r="E504" s="47"/>
      <c r="F504" s="47"/>
      <c r="G504" s="344"/>
      <c r="H504" s="339" t="s">
        <v>1888</v>
      </c>
      <c r="I504" s="339" t="s">
        <v>46</v>
      </c>
      <c r="J504" s="339">
        <v>15.0</v>
      </c>
      <c r="K504" s="339" t="s">
        <v>1889</v>
      </c>
      <c r="L504" s="346">
        <v>5333.3333333</v>
      </c>
      <c r="M504" s="105">
        <f t="shared" si="7"/>
        <v>80000</v>
      </c>
      <c r="N504" s="347" t="s">
        <v>1887</v>
      </c>
      <c r="O504" s="339" t="s">
        <v>1829</v>
      </c>
      <c r="P504" s="300"/>
      <c r="Q504" s="300"/>
      <c r="R504" s="300"/>
      <c r="S504" s="300"/>
      <c r="T504" s="300"/>
      <c r="U504" s="300"/>
      <c r="V504" s="300"/>
      <c r="W504" s="300"/>
      <c r="X504" s="300"/>
      <c r="Y504" s="300"/>
      <c r="Z504" s="300"/>
      <c r="AA504" s="300"/>
      <c r="AB504" s="300"/>
      <c r="AC504" s="300"/>
    </row>
    <row r="505">
      <c r="A505" s="312"/>
      <c r="B505" s="48"/>
      <c r="C505" s="48"/>
      <c r="D505" s="48"/>
      <c r="E505" s="48"/>
      <c r="F505" s="48"/>
      <c r="G505" s="344"/>
      <c r="H505" s="339" t="s">
        <v>1890</v>
      </c>
      <c r="I505" s="339" t="s">
        <v>46</v>
      </c>
      <c r="J505" s="339">
        <v>15.0</v>
      </c>
      <c r="K505" s="339" t="s">
        <v>174</v>
      </c>
      <c r="L505" s="346">
        <v>5333.33333333</v>
      </c>
      <c r="M505" s="105">
        <f t="shared" si="7"/>
        <v>80000</v>
      </c>
      <c r="N505" s="347" t="s">
        <v>1887</v>
      </c>
      <c r="O505" s="339" t="s">
        <v>1829</v>
      </c>
      <c r="P505" s="300"/>
      <c r="Q505" s="300"/>
      <c r="R505" s="300"/>
      <c r="S505" s="300"/>
      <c r="T505" s="300"/>
      <c r="U505" s="300"/>
      <c r="V505" s="300"/>
      <c r="W505" s="300"/>
      <c r="X505" s="300"/>
      <c r="Y505" s="300"/>
      <c r="Z505" s="300"/>
      <c r="AA505" s="300"/>
      <c r="AB505" s="300"/>
      <c r="AC505" s="300"/>
    </row>
    <row r="506">
      <c r="A506" s="312"/>
      <c r="B506" s="339">
        <v>464.0</v>
      </c>
      <c r="C506" s="344">
        <v>45997.0</v>
      </c>
      <c r="D506" s="339" t="s">
        <v>1891</v>
      </c>
      <c r="E506" s="345">
        <v>46014.0</v>
      </c>
      <c r="F506" s="342">
        <v>881.0</v>
      </c>
      <c r="G506" s="344">
        <v>46000.0</v>
      </c>
      <c r="H506" s="339" t="s">
        <v>1717</v>
      </c>
      <c r="I506" s="339" t="s">
        <v>55</v>
      </c>
      <c r="J506" s="339">
        <v>2.0</v>
      </c>
      <c r="K506" s="339" t="s">
        <v>256</v>
      </c>
      <c r="L506" s="346">
        <v>11890.0</v>
      </c>
      <c r="M506" s="105">
        <f t="shared" si="7"/>
        <v>23780</v>
      </c>
      <c r="N506" s="347" t="s">
        <v>208</v>
      </c>
      <c r="O506" s="339" t="s">
        <v>1561</v>
      </c>
      <c r="P506" s="300"/>
      <c r="Q506" s="300"/>
      <c r="R506" s="300"/>
      <c r="S506" s="300"/>
      <c r="T506" s="300"/>
      <c r="U506" s="300"/>
      <c r="V506" s="300"/>
      <c r="W506" s="300"/>
      <c r="X506" s="300"/>
      <c r="Y506" s="300"/>
      <c r="Z506" s="300"/>
      <c r="AA506" s="300"/>
      <c r="AB506" s="300"/>
      <c r="AC506" s="300"/>
    </row>
    <row r="507">
      <c r="A507" s="312"/>
      <c r="B507" s="339">
        <v>466.0</v>
      </c>
      <c r="C507" s="344">
        <v>45999.0</v>
      </c>
      <c r="D507" s="339" t="s">
        <v>1891</v>
      </c>
      <c r="E507" s="345">
        <v>46014.0</v>
      </c>
      <c r="F507" s="342">
        <v>881.0</v>
      </c>
      <c r="G507" s="344">
        <v>46000.0</v>
      </c>
      <c r="H507" s="339" t="s">
        <v>1717</v>
      </c>
      <c r="I507" s="339" t="s">
        <v>55</v>
      </c>
      <c r="J507" s="339">
        <v>2.0</v>
      </c>
      <c r="K507" s="339" t="s">
        <v>256</v>
      </c>
      <c r="L507" s="346">
        <v>11890.0</v>
      </c>
      <c r="M507" s="105">
        <f t="shared" si="7"/>
        <v>23780</v>
      </c>
      <c r="N507" s="347" t="s">
        <v>208</v>
      </c>
      <c r="O507" s="339" t="s">
        <v>1561</v>
      </c>
      <c r="P507" s="300"/>
      <c r="Q507" s="300"/>
      <c r="R507" s="300"/>
      <c r="S507" s="300"/>
      <c r="T507" s="300"/>
      <c r="U507" s="300"/>
      <c r="V507" s="300"/>
      <c r="W507" s="300"/>
      <c r="X507" s="300"/>
      <c r="Y507" s="300"/>
      <c r="Z507" s="300"/>
      <c r="AA507" s="300"/>
      <c r="AB507" s="300"/>
      <c r="AC507" s="300"/>
    </row>
    <row r="508">
      <c r="A508" s="312"/>
      <c r="B508" s="339">
        <v>468.0</v>
      </c>
      <c r="C508" s="344">
        <v>46000.0</v>
      </c>
      <c r="D508" s="339" t="s">
        <v>1891</v>
      </c>
      <c r="E508" s="345">
        <v>46014.0</v>
      </c>
      <c r="F508" s="342">
        <v>881.0</v>
      </c>
      <c r="G508" s="344">
        <v>46000.0</v>
      </c>
      <c r="H508" s="339" t="s">
        <v>1717</v>
      </c>
      <c r="I508" s="339" t="s">
        <v>1892</v>
      </c>
      <c r="J508" s="339">
        <v>1.0</v>
      </c>
      <c r="K508" s="339" t="s">
        <v>207</v>
      </c>
      <c r="L508" s="346">
        <v>11890.0</v>
      </c>
      <c r="M508" s="105">
        <f t="shared" si="7"/>
        <v>11890</v>
      </c>
      <c r="N508" s="347" t="s">
        <v>208</v>
      </c>
      <c r="O508" s="339" t="s">
        <v>1561</v>
      </c>
      <c r="P508" s="300"/>
      <c r="Q508" s="300"/>
      <c r="R508" s="300"/>
      <c r="S508" s="300"/>
      <c r="T508" s="300"/>
      <c r="U508" s="300"/>
      <c r="V508" s="300"/>
      <c r="W508" s="300"/>
      <c r="X508" s="300"/>
      <c r="Y508" s="300"/>
      <c r="Z508" s="300"/>
      <c r="AA508" s="300"/>
      <c r="AB508" s="300"/>
      <c r="AC508" s="300"/>
    </row>
    <row r="509">
      <c r="A509" s="312"/>
      <c r="B509" s="339">
        <v>1863.0</v>
      </c>
      <c r="C509" s="344">
        <v>45835.0</v>
      </c>
      <c r="D509" s="339" t="s">
        <v>1893</v>
      </c>
      <c r="E509" s="345">
        <v>46014.0</v>
      </c>
      <c r="F509" s="342" t="s">
        <v>92</v>
      </c>
      <c r="G509" s="344"/>
      <c r="H509" s="339" t="s">
        <v>1894</v>
      </c>
      <c r="I509" s="339" t="s">
        <v>1842</v>
      </c>
      <c r="J509" s="339">
        <v>22.0</v>
      </c>
      <c r="K509" s="339" t="s">
        <v>174</v>
      </c>
      <c r="L509" s="346">
        <v>5923.07</v>
      </c>
      <c r="M509" s="105">
        <f t="shared" si="7"/>
        <v>130307.54</v>
      </c>
      <c r="N509" s="347" t="s">
        <v>48</v>
      </c>
      <c r="O509" s="339" t="s">
        <v>1829</v>
      </c>
      <c r="P509" s="300"/>
      <c r="Q509" s="300"/>
      <c r="R509" s="300"/>
      <c r="S509" s="300"/>
      <c r="T509" s="300"/>
      <c r="U509" s="300"/>
      <c r="V509" s="300"/>
      <c r="W509" s="300"/>
      <c r="X509" s="300"/>
      <c r="Y509" s="300"/>
      <c r="Z509" s="300"/>
      <c r="AA509" s="300"/>
      <c r="AB509" s="300"/>
      <c r="AC509" s="300"/>
    </row>
    <row r="510">
      <c r="A510" s="312"/>
      <c r="B510" s="339">
        <v>2075.0</v>
      </c>
      <c r="C510" s="344">
        <v>46010.0</v>
      </c>
      <c r="D510" s="339" t="s">
        <v>1895</v>
      </c>
      <c r="E510" s="345">
        <v>46014.0</v>
      </c>
      <c r="F510" s="342" t="s">
        <v>92</v>
      </c>
      <c r="G510" s="344"/>
      <c r="H510" s="339" t="s">
        <v>1896</v>
      </c>
      <c r="I510" s="339" t="s">
        <v>837</v>
      </c>
      <c r="J510" s="339">
        <v>1.0</v>
      </c>
      <c r="K510" s="339" t="s">
        <v>838</v>
      </c>
      <c r="L510" s="346">
        <v>3750.0</v>
      </c>
      <c r="M510" s="105">
        <f t="shared" si="7"/>
        <v>3750</v>
      </c>
      <c r="N510" s="347" t="s">
        <v>839</v>
      </c>
      <c r="O510" s="339" t="s">
        <v>1897</v>
      </c>
      <c r="P510" s="300"/>
      <c r="Q510" s="300"/>
      <c r="R510" s="300"/>
      <c r="S510" s="300"/>
      <c r="T510" s="300"/>
      <c r="U510" s="300"/>
      <c r="V510" s="300"/>
      <c r="W510" s="300"/>
      <c r="X510" s="300"/>
      <c r="Y510" s="300"/>
      <c r="Z510" s="300"/>
      <c r="AA510" s="300"/>
      <c r="AB510" s="300"/>
      <c r="AC510" s="300"/>
    </row>
    <row r="511">
      <c r="A511" s="312"/>
      <c r="B511" s="339" t="s">
        <v>1898</v>
      </c>
      <c r="C511" s="344">
        <v>45996.0</v>
      </c>
      <c r="D511" s="339" t="s">
        <v>1899</v>
      </c>
      <c r="E511" s="345">
        <v>46016.0</v>
      </c>
      <c r="F511" s="342">
        <v>879.0</v>
      </c>
      <c r="G511" s="344">
        <v>45997.0</v>
      </c>
      <c r="H511" s="339" t="s">
        <v>1900</v>
      </c>
      <c r="I511" s="339" t="s">
        <v>547</v>
      </c>
      <c r="J511" s="339">
        <v>12.0</v>
      </c>
      <c r="K511" s="339" t="s">
        <v>405</v>
      </c>
      <c r="L511" s="346">
        <v>19.0</v>
      </c>
      <c r="M511" s="105">
        <f t="shared" si="7"/>
        <v>228</v>
      </c>
      <c r="N511" s="347" t="s">
        <v>1901</v>
      </c>
      <c r="O511" s="339" t="s">
        <v>1897</v>
      </c>
      <c r="P511" s="300"/>
      <c r="Q511" s="300"/>
      <c r="R511" s="300"/>
      <c r="S511" s="300"/>
      <c r="T511" s="300"/>
      <c r="U511" s="300"/>
      <c r="V511" s="300"/>
      <c r="W511" s="300"/>
      <c r="X511" s="300"/>
      <c r="Y511" s="300"/>
      <c r="Z511" s="300"/>
      <c r="AA511" s="300"/>
      <c r="AB511" s="300"/>
      <c r="AC511" s="300"/>
    </row>
    <row r="512">
      <c r="A512" s="312"/>
      <c r="B512" s="339">
        <v>1667.0</v>
      </c>
      <c r="C512" s="344">
        <v>45999.0</v>
      </c>
      <c r="D512" s="339" t="s">
        <v>1902</v>
      </c>
      <c r="E512" s="345">
        <v>46016.0</v>
      </c>
      <c r="F512" s="342">
        <v>878.0</v>
      </c>
      <c r="G512" s="344">
        <v>45994.0</v>
      </c>
      <c r="H512" s="339" t="s">
        <v>1903</v>
      </c>
      <c r="I512" s="339" t="s">
        <v>51</v>
      </c>
      <c r="J512" s="339">
        <v>2.0</v>
      </c>
      <c r="K512" s="339" t="s">
        <v>156</v>
      </c>
      <c r="L512" s="346">
        <v>148750.0</v>
      </c>
      <c r="M512" s="105">
        <f t="shared" si="7"/>
        <v>297500</v>
      </c>
      <c r="N512" s="347" t="s">
        <v>1904</v>
      </c>
      <c r="O512" s="339" t="s">
        <v>1561</v>
      </c>
      <c r="P512" s="300"/>
      <c r="Q512" s="300"/>
      <c r="R512" s="300"/>
      <c r="S512" s="300"/>
      <c r="T512" s="300"/>
      <c r="U512" s="300"/>
      <c r="V512" s="300"/>
      <c r="W512" s="300"/>
      <c r="X512" s="300"/>
      <c r="Y512" s="300"/>
      <c r="Z512" s="300"/>
      <c r="AA512" s="300"/>
      <c r="AB512" s="300"/>
      <c r="AC512" s="300"/>
    </row>
    <row r="513">
      <c r="A513" s="312"/>
      <c r="B513" s="348">
        <v>1339.0</v>
      </c>
      <c r="C513" s="349">
        <v>45993.0</v>
      </c>
      <c r="D513" s="348" t="s">
        <v>1905</v>
      </c>
      <c r="E513" s="350">
        <v>46016.0</v>
      </c>
      <c r="F513" s="351">
        <v>878.0</v>
      </c>
      <c r="G513" s="349">
        <v>45994.0</v>
      </c>
      <c r="H513" s="339" t="s">
        <v>1906</v>
      </c>
      <c r="I513" s="339" t="s">
        <v>51</v>
      </c>
      <c r="J513" s="339">
        <v>1.0</v>
      </c>
      <c r="K513" s="339" t="s">
        <v>156</v>
      </c>
      <c r="L513" s="346">
        <v>2900.0</v>
      </c>
      <c r="M513" s="105">
        <f t="shared" si="7"/>
        <v>2900</v>
      </c>
      <c r="N513" s="347" t="s">
        <v>99</v>
      </c>
      <c r="O513" s="339" t="s">
        <v>1872</v>
      </c>
      <c r="P513" s="300"/>
      <c r="Q513" s="300"/>
      <c r="R513" s="300"/>
      <c r="S513" s="300"/>
      <c r="T513" s="300"/>
      <c r="U513" s="300"/>
      <c r="V513" s="300"/>
      <c r="W513" s="300"/>
      <c r="X513" s="300"/>
      <c r="Y513" s="300"/>
      <c r="Z513" s="300"/>
      <c r="AA513" s="300"/>
      <c r="AB513" s="300"/>
      <c r="AC513" s="300"/>
    </row>
    <row r="514">
      <c r="A514" s="312"/>
      <c r="B514" s="47"/>
      <c r="C514" s="47"/>
      <c r="D514" s="47"/>
      <c r="E514" s="47"/>
      <c r="F514" s="47"/>
      <c r="G514" s="47"/>
      <c r="H514" s="339" t="s">
        <v>1907</v>
      </c>
      <c r="I514" s="339" t="s">
        <v>1908</v>
      </c>
      <c r="J514" s="339">
        <v>9.0</v>
      </c>
      <c r="K514" s="339" t="s">
        <v>156</v>
      </c>
      <c r="L514" s="346">
        <v>950.0</v>
      </c>
      <c r="M514" s="105">
        <f t="shared" si="7"/>
        <v>8550</v>
      </c>
      <c r="N514" s="347" t="s">
        <v>99</v>
      </c>
      <c r="O514" s="339" t="s">
        <v>1872</v>
      </c>
      <c r="P514" s="300"/>
      <c r="Q514" s="300"/>
      <c r="R514" s="300"/>
      <c r="S514" s="300"/>
      <c r="T514" s="300"/>
      <c r="U514" s="300"/>
      <c r="V514" s="300"/>
      <c r="W514" s="300"/>
      <c r="X514" s="300"/>
      <c r="Y514" s="300"/>
      <c r="Z514" s="300"/>
      <c r="AA514" s="300"/>
      <c r="AB514" s="300"/>
      <c r="AC514" s="300"/>
    </row>
    <row r="515">
      <c r="A515" s="312"/>
      <c r="B515" s="47"/>
      <c r="C515" s="47"/>
      <c r="D515" s="47"/>
      <c r="E515" s="47"/>
      <c r="F515" s="47"/>
      <c r="G515" s="47"/>
      <c r="H515" s="339" t="s">
        <v>1909</v>
      </c>
      <c r="I515" s="339" t="s">
        <v>1908</v>
      </c>
      <c r="J515" s="339">
        <v>10.0</v>
      </c>
      <c r="K515" s="339" t="s">
        <v>405</v>
      </c>
      <c r="L515" s="346">
        <v>175.0</v>
      </c>
      <c r="M515" s="105">
        <f t="shared" si="7"/>
        <v>1750</v>
      </c>
      <c r="N515" s="347" t="s">
        <v>99</v>
      </c>
      <c r="O515" s="339" t="s">
        <v>1872</v>
      </c>
      <c r="P515" s="300"/>
      <c r="Q515" s="300"/>
      <c r="R515" s="300"/>
      <c r="S515" s="300"/>
      <c r="T515" s="300"/>
      <c r="U515" s="300"/>
      <c r="V515" s="300"/>
      <c r="W515" s="300"/>
      <c r="X515" s="300"/>
      <c r="Y515" s="300"/>
      <c r="Z515" s="300"/>
      <c r="AA515" s="300"/>
      <c r="AB515" s="300"/>
      <c r="AC515" s="300"/>
    </row>
    <row r="516">
      <c r="A516" s="312"/>
      <c r="B516" s="47"/>
      <c r="C516" s="47"/>
      <c r="D516" s="47"/>
      <c r="E516" s="47"/>
      <c r="F516" s="47"/>
      <c r="G516" s="47"/>
      <c r="H516" s="339" t="s">
        <v>1910</v>
      </c>
      <c r="I516" s="339" t="s">
        <v>29</v>
      </c>
      <c r="J516" s="339">
        <v>2.0</v>
      </c>
      <c r="K516" s="339" t="s">
        <v>156</v>
      </c>
      <c r="L516" s="346">
        <v>150.0</v>
      </c>
      <c r="M516" s="105">
        <f t="shared" si="7"/>
        <v>300</v>
      </c>
      <c r="N516" s="347" t="s">
        <v>99</v>
      </c>
      <c r="O516" s="339" t="s">
        <v>1872</v>
      </c>
      <c r="P516" s="300"/>
      <c r="Q516" s="300"/>
      <c r="R516" s="300"/>
      <c r="S516" s="300"/>
      <c r="T516" s="300"/>
      <c r="U516" s="300"/>
      <c r="V516" s="300"/>
      <c r="W516" s="300"/>
      <c r="X516" s="300"/>
      <c r="Y516" s="300"/>
      <c r="Z516" s="300"/>
      <c r="AA516" s="300"/>
      <c r="AB516" s="300"/>
      <c r="AC516" s="300"/>
    </row>
    <row r="517">
      <c r="A517" s="312"/>
      <c r="B517" s="47"/>
      <c r="C517" s="47"/>
      <c r="D517" s="47"/>
      <c r="E517" s="47"/>
      <c r="F517" s="47"/>
      <c r="G517" s="47"/>
      <c r="H517" s="339" t="s">
        <v>1911</v>
      </c>
      <c r="I517" s="339" t="s">
        <v>29</v>
      </c>
      <c r="J517" s="339">
        <v>1.0</v>
      </c>
      <c r="K517" s="339" t="s">
        <v>89</v>
      </c>
      <c r="L517" s="346">
        <v>220.0</v>
      </c>
      <c r="M517" s="105">
        <f t="shared" si="7"/>
        <v>220</v>
      </c>
      <c r="N517" s="347" t="s">
        <v>99</v>
      </c>
      <c r="O517" s="339" t="s">
        <v>1872</v>
      </c>
      <c r="P517" s="300"/>
      <c r="Q517" s="300"/>
      <c r="R517" s="300"/>
      <c r="S517" s="300"/>
      <c r="T517" s="300"/>
      <c r="U517" s="300"/>
      <c r="V517" s="300"/>
      <c r="W517" s="300"/>
      <c r="X517" s="300"/>
      <c r="Y517" s="300"/>
      <c r="Z517" s="300"/>
      <c r="AA517" s="300"/>
      <c r="AB517" s="300"/>
      <c r="AC517" s="300"/>
    </row>
    <row r="518">
      <c r="A518" s="312"/>
      <c r="B518" s="48"/>
      <c r="C518" s="48"/>
      <c r="D518" s="48"/>
      <c r="E518" s="48"/>
      <c r="F518" s="48"/>
      <c r="G518" s="48"/>
      <c r="H518" s="339" t="s">
        <v>1912</v>
      </c>
      <c r="I518" s="339" t="s">
        <v>29</v>
      </c>
      <c r="J518" s="339">
        <v>1.0</v>
      </c>
      <c r="K518" s="339" t="s">
        <v>156</v>
      </c>
      <c r="L518" s="346">
        <v>320.0</v>
      </c>
      <c r="M518" s="105">
        <f t="shared" si="7"/>
        <v>320</v>
      </c>
      <c r="N518" s="347" t="s">
        <v>99</v>
      </c>
      <c r="O518" s="339" t="s">
        <v>1872</v>
      </c>
      <c r="P518" s="300"/>
      <c r="Q518" s="300"/>
      <c r="R518" s="300"/>
      <c r="S518" s="300"/>
      <c r="T518" s="300"/>
      <c r="U518" s="300"/>
      <c r="V518" s="300"/>
      <c r="W518" s="300"/>
      <c r="X518" s="300"/>
      <c r="Y518" s="300"/>
      <c r="Z518" s="300"/>
      <c r="AA518" s="300"/>
      <c r="AB518" s="300"/>
      <c r="AC518" s="300"/>
    </row>
    <row r="519">
      <c r="A519" s="312"/>
      <c r="B519" s="348">
        <v>76.0</v>
      </c>
      <c r="C519" s="349">
        <v>45994.0</v>
      </c>
      <c r="D519" s="348" t="s">
        <v>1913</v>
      </c>
      <c r="E519" s="350">
        <v>46016.0</v>
      </c>
      <c r="F519" s="351">
        <v>879.0</v>
      </c>
      <c r="G519" s="349">
        <v>45997.0</v>
      </c>
      <c r="H519" s="339" t="s">
        <v>1914</v>
      </c>
      <c r="I519" s="339" t="s">
        <v>29</v>
      </c>
      <c r="J519" s="339">
        <v>10.0</v>
      </c>
      <c r="K519" s="339" t="s">
        <v>156</v>
      </c>
      <c r="L519" s="346">
        <v>1200.0</v>
      </c>
      <c r="M519" s="105">
        <f t="shared" si="7"/>
        <v>12000</v>
      </c>
      <c r="N519" s="347" t="s">
        <v>99</v>
      </c>
      <c r="O519" s="339" t="s">
        <v>1829</v>
      </c>
      <c r="P519" s="300"/>
      <c r="Q519" s="300"/>
      <c r="R519" s="300"/>
      <c r="S519" s="300"/>
      <c r="T519" s="300"/>
      <c r="U519" s="300"/>
      <c r="V519" s="300"/>
      <c r="W519" s="300"/>
      <c r="X519" s="300"/>
      <c r="Y519" s="300"/>
      <c r="Z519" s="300"/>
      <c r="AA519" s="300"/>
      <c r="AB519" s="300"/>
      <c r="AC519" s="300"/>
    </row>
    <row r="520">
      <c r="A520" s="312"/>
      <c r="B520" s="47"/>
      <c r="C520" s="47"/>
      <c r="D520" s="47"/>
      <c r="E520" s="47"/>
      <c r="F520" s="47"/>
      <c r="G520" s="47"/>
      <c r="H520" s="339" t="s">
        <v>1915</v>
      </c>
      <c r="I520" s="339" t="s">
        <v>29</v>
      </c>
      <c r="J520" s="339">
        <v>10.0</v>
      </c>
      <c r="K520" s="339" t="s">
        <v>156</v>
      </c>
      <c r="L520" s="346">
        <v>1200.0</v>
      </c>
      <c r="M520" s="105">
        <f t="shared" si="7"/>
        <v>12000</v>
      </c>
      <c r="N520" s="347" t="s">
        <v>99</v>
      </c>
      <c r="O520" s="339" t="s">
        <v>1829</v>
      </c>
      <c r="P520" s="300"/>
      <c r="Q520" s="300"/>
      <c r="R520" s="300"/>
      <c r="S520" s="300"/>
      <c r="T520" s="300"/>
      <c r="U520" s="300"/>
      <c r="V520" s="300"/>
      <c r="W520" s="300"/>
      <c r="X520" s="300"/>
      <c r="Y520" s="300"/>
      <c r="Z520" s="300"/>
      <c r="AA520" s="300"/>
      <c r="AB520" s="300"/>
      <c r="AC520" s="300"/>
    </row>
    <row r="521">
      <c r="A521" s="312"/>
      <c r="B521" s="48"/>
      <c r="C521" s="48"/>
      <c r="D521" s="48"/>
      <c r="E521" s="48"/>
      <c r="F521" s="48"/>
      <c r="G521" s="48"/>
      <c r="H521" s="339" t="s">
        <v>1916</v>
      </c>
      <c r="I521" s="339" t="s">
        <v>29</v>
      </c>
      <c r="J521" s="339">
        <v>40.0</v>
      </c>
      <c r="K521" s="339" t="s">
        <v>156</v>
      </c>
      <c r="L521" s="346">
        <v>100.0</v>
      </c>
      <c r="M521" s="105">
        <f t="shared" si="7"/>
        <v>4000</v>
      </c>
      <c r="N521" s="347" t="s">
        <v>99</v>
      </c>
      <c r="O521" s="339" t="s">
        <v>1829</v>
      </c>
      <c r="P521" s="300"/>
      <c r="Q521" s="300"/>
      <c r="R521" s="300"/>
      <c r="S521" s="300"/>
      <c r="T521" s="300"/>
      <c r="U521" s="300"/>
      <c r="V521" s="300"/>
      <c r="W521" s="300"/>
      <c r="X521" s="300"/>
      <c r="Y521" s="300"/>
      <c r="Z521" s="300"/>
      <c r="AA521" s="300"/>
      <c r="AB521" s="300"/>
      <c r="AC521" s="300"/>
    </row>
    <row r="522">
      <c r="A522" s="312"/>
      <c r="B522" s="339">
        <v>2075.0</v>
      </c>
      <c r="C522" s="344">
        <v>45992.0</v>
      </c>
      <c r="D522" s="339" t="s">
        <v>1917</v>
      </c>
      <c r="E522" s="345">
        <v>46014.0</v>
      </c>
      <c r="F522" s="342" t="s">
        <v>92</v>
      </c>
      <c r="G522" s="344"/>
      <c r="H522" s="339" t="s">
        <v>1683</v>
      </c>
      <c r="I522" s="339" t="s">
        <v>837</v>
      </c>
      <c r="J522" s="339">
        <v>1.0</v>
      </c>
      <c r="K522" s="339" t="s">
        <v>838</v>
      </c>
      <c r="L522" s="346">
        <v>6325.0</v>
      </c>
      <c r="M522" s="105">
        <f t="shared" si="7"/>
        <v>6325</v>
      </c>
      <c r="N522" s="347" t="s">
        <v>839</v>
      </c>
      <c r="O522" s="339" t="s">
        <v>1897</v>
      </c>
      <c r="P522" s="300"/>
      <c r="Q522" s="300"/>
      <c r="R522" s="300"/>
      <c r="S522" s="300"/>
      <c r="T522" s="300"/>
      <c r="U522" s="300"/>
      <c r="V522" s="300"/>
      <c r="W522" s="300"/>
      <c r="X522" s="300"/>
      <c r="Y522" s="300"/>
      <c r="Z522" s="300"/>
      <c r="AA522" s="300"/>
      <c r="AB522" s="300"/>
      <c r="AC522" s="300"/>
    </row>
    <row r="523">
      <c r="A523" s="312"/>
      <c r="B523" s="339">
        <v>1859.0</v>
      </c>
      <c r="C523" s="344">
        <v>45808.0</v>
      </c>
      <c r="D523" s="339" t="s">
        <v>1918</v>
      </c>
      <c r="E523" s="345">
        <v>46014.0</v>
      </c>
      <c r="F523" s="342" t="s">
        <v>92</v>
      </c>
      <c r="G523" s="344"/>
      <c r="H523" s="339" t="s">
        <v>1919</v>
      </c>
      <c r="I523" s="339" t="s">
        <v>46</v>
      </c>
      <c r="J523" s="339">
        <v>22.0</v>
      </c>
      <c r="K523" s="339" t="s">
        <v>174</v>
      </c>
      <c r="L523" s="346">
        <v>5923.07</v>
      </c>
      <c r="M523" s="105">
        <f t="shared" si="7"/>
        <v>130307.54</v>
      </c>
      <c r="N523" s="347" t="s">
        <v>48</v>
      </c>
      <c r="O523" s="339" t="s">
        <v>1829</v>
      </c>
      <c r="P523" s="300"/>
      <c r="Q523" s="300"/>
      <c r="R523" s="300"/>
      <c r="S523" s="300"/>
      <c r="T523" s="300"/>
      <c r="U523" s="300"/>
      <c r="V523" s="300"/>
      <c r="W523" s="300"/>
      <c r="X523" s="300"/>
      <c r="Y523" s="300"/>
      <c r="Z523" s="300"/>
      <c r="AA523" s="300"/>
      <c r="AB523" s="300"/>
      <c r="AC523" s="300"/>
    </row>
    <row r="524">
      <c r="A524" s="312"/>
      <c r="B524" s="339">
        <v>1865.0</v>
      </c>
      <c r="C524" s="344">
        <v>45869.0</v>
      </c>
      <c r="D524" s="339" t="s">
        <v>1918</v>
      </c>
      <c r="E524" s="345">
        <v>46014.0</v>
      </c>
      <c r="F524" s="342" t="s">
        <v>92</v>
      </c>
      <c r="G524" s="344"/>
      <c r="H524" s="339" t="s">
        <v>1920</v>
      </c>
      <c r="I524" s="339" t="s">
        <v>46</v>
      </c>
      <c r="J524" s="339">
        <v>25.0</v>
      </c>
      <c r="K524" s="339" t="s">
        <v>174</v>
      </c>
      <c r="L524" s="346">
        <v>5923.07</v>
      </c>
      <c r="M524" s="105">
        <f t="shared" si="7"/>
        <v>148076.75</v>
      </c>
      <c r="N524" s="347" t="s">
        <v>48</v>
      </c>
      <c r="O524" s="339" t="s">
        <v>1829</v>
      </c>
      <c r="P524" s="300"/>
      <c r="Q524" s="300"/>
      <c r="R524" s="300"/>
      <c r="S524" s="300"/>
      <c r="T524" s="300"/>
      <c r="U524" s="300"/>
      <c r="V524" s="300"/>
      <c r="W524" s="300"/>
      <c r="X524" s="300"/>
      <c r="Y524" s="300"/>
      <c r="Z524" s="300"/>
      <c r="AA524" s="300"/>
      <c r="AB524" s="300"/>
      <c r="AC524" s="300"/>
    </row>
    <row r="525">
      <c r="A525" s="312"/>
      <c r="B525" s="339">
        <v>1866.0</v>
      </c>
      <c r="C525" s="344">
        <v>45900.0</v>
      </c>
      <c r="D525" s="339" t="s">
        <v>1918</v>
      </c>
      <c r="E525" s="345">
        <v>46014.0</v>
      </c>
      <c r="F525" s="342" t="s">
        <v>92</v>
      </c>
      <c r="G525" s="344"/>
      <c r="H525" s="339" t="s">
        <v>1921</v>
      </c>
      <c r="I525" s="339" t="s">
        <v>46</v>
      </c>
      <c r="J525" s="339">
        <v>25.0</v>
      </c>
      <c r="K525" s="339" t="s">
        <v>174</v>
      </c>
      <c r="L525" s="346">
        <v>5923.07</v>
      </c>
      <c r="M525" s="105">
        <f t="shared" si="7"/>
        <v>148076.75</v>
      </c>
      <c r="N525" s="347" t="s">
        <v>48</v>
      </c>
      <c r="O525" s="339" t="s">
        <v>1829</v>
      </c>
      <c r="P525" s="300"/>
      <c r="Q525" s="300"/>
      <c r="R525" s="300"/>
      <c r="S525" s="300"/>
      <c r="T525" s="300"/>
      <c r="U525" s="300"/>
      <c r="V525" s="300"/>
      <c r="W525" s="300"/>
      <c r="X525" s="300"/>
      <c r="Y525" s="300"/>
      <c r="Z525" s="300"/>
      <c r="AA525" s="300"/>
      <c r="AB525" s="300"/>
      <c r="AC525" s="300"/>
    </row>
    <row r="526">
      <c r="A526" s="312"/>
      <c r="B526" s="348" t="s">
        <v>1922</v>
      </c>
      <c r="C526" s="349">
        <v>46002.0</v>
      </c>
      <c r="D526" s="348" t="s">
        <v>1923</v>
      </c>
      <c r="E526" s="350">
        <v>46016.0</v>
      </c>
      <c r="F526" s="351">
        <v>882.0</v>
      </c>
      <c r="G526" s="349">
        <v>45973.0</v>
      </c>
      <c r="H526" s="339" t="s">
        <v>541</v>
      </c>
      <c r="I526" s="339" t="s">
        <v>547</v>
      </c>
      <c r="J526" s="339">
        <v>30.0</v>
      </c>
      <c r="K526" s="339" t="s">
        <v>156</v>
      </c>
      <c r="L526" s="346">
        <v>79.0</v>
      </c>
      <c r="M526" s="105">
        <f t="shared" si="7"/>
        <v>2370</v>
      </c>
      <c r="N526" s="347" t="s">
        <v>1537</v>
      </c>
      <c r="O526" s="339" t="s">
        <v>1897</v>
      </c>
      <c r="P526" s="300"/>
      <c r="Q526" s="300"/>
      <c r="R526" s="300"/>
      <c r="S526" s="300"/>
      <c r="T526" s="300"/>
      <c r="U526" s="300"/>
      <c r="V526" s="300"/>
      <c r="W526" s="300"/>
      <c r="X526" s="300"/>
      <c r="Y526" s="300"/>
      <c r="Z526" s="300"/>
      <c r="AA526" s="300"/>
      <c r="AB526" s="300"/>
      <c r="AC526" s="300"/>
    </row>
    <row r="527">
      <c r="A527" s="312"/>
      <c r="B527" s="48"/>
      <c r="C527" s="48"/>
      <c r="D527" s="48"/>
      <c r="E527" s="48"/>
      <c r="F527" s="48"/>
      <c r="G527" s="48"/>
      <c r="H527" s="339" t="s">
        <v>1924</v>
      </c>
      <c r="I527" s="339" t="s">
        <v>547</v>
      </c>
      <c r="J527" s="339">
        <v>30.0</v>
      </c>
      <c r="K527" s="339" t="s">
        <v>156</v>
      </c>
      <c r="L527" s="346">
        <v>198.0</v>
      </c>
      <c r="M527" s="105">
        <f t="shared" si="7"/>
        <v>5940</v>
      </c>
      <c r="N527" s="347" t="s">
        <v>1537</v>
      </c>
      <c r="O527" s="339" t="s">
        <v>1897</v>
      </c>
      <c r="P527" s="300"/>
      <c r="Q527" s="300"/>
      <c r="R527" s="300"/>
      <c r="S527" s="300"/>
      <c r="T527" s="300"/>
      <c r="U527" s="300"/>
      <c r="V527" s="300"/>
      <c r="W527" s="300"/>
      <c r="X527" s="300"/>
      <c r="Y527" s="300"/>
      <c r="Z527" s="300"/>
      <c r="AA527" s="300"/>
      <c r="AB527" s="300"/>
      <c r="AC527" s="300"/>
    </row>
    <row r="528">
      <c r="A528" s="143"/>
      <c r="B528" s="362">
        <v>3.0</v>
      </c>
      <c r="C528" s="363">
        <v>46085.0</v>
      </c>
      <c r="D528" s="362" t="s">
        <v>1925</v>
      </c>
      <c r="E528" s="364">
        <v>46092.0</v>
      </c>
      <c r="F528" s="223">
        <v>1025.0</v>
      </c>
      <c r="G528" s="363">
        <v>46085.0</v>
      </c>
      <c r="H528" s="362" t="s">
        <v>37</v>
      </c>
      <c r="I528" s="362" t="s">
        <v>1926</v>
      </c>
      <c r="J528" s="362">
        <v>420.0</v>
      </c>
      <c r="K528" s="362" t="s">
        <v>25</v>
      </c>
      <c r="L528" s="362">
        <v>47.5</v>
      </c>
      <c r="M528" s="105">
        <f t="shared" si="7"/>
        <v>19950</v>
      </c>
      <c r="N528" s="362" t="s">
        <v>1927</v>
      </c>
      <c r="O528" s="362" t="s">
        <v>1928</v>
      </c>
    </row>
    <row r="529">
      <c r="A529" s="312"/>
      <c r="B529" s="339">
        <v>7.0</v>
      </c>
      <c r="C529" s="344">
        <v>46089.0</v>
      </c>
      <c r="D529" s="339" t="s">
        <v>1925</v>
      </c>
      <c r="E529" s="345">
        <v>46092.0</v>
      </c>
      <c r="F529" s="342">
        <v>1027.0</v>
      </c>
      <c r="G529" s="344">
        <v>46089.0</v>
      </c>
      <c r="H529" s="339" t="s">
        <v>1929</v>
      </c>
      <c r="I529" s="339" t="s">
        <v>1926</v>
      </c>
      <c r="J529" s="339">
        <v>240.0</v>
      </c>
      <c r="K529" s="339" t="s">
        <v>39</v>
      </c>
      <c r="L529" s="346">
        <v>20.0</v>
      </c>
      <c r="M529" s="105">
        <f t="shared" si="7"/>
        <v>4800</v>
      </c>
      <c r="N529" s="347" t="s">
        <v>1927</v>
      </c>
      <c r="O529" s="339" t="s">
        <v>1930</v>
      </c>
      <c r="P529" s="300"/>
      <c r="Q529" s="300"/>
      <c r="R529" s="300"/>
      <c r="S529" s="300"/>
      <c r="T529" s="300"/>
      <c r="U529" s="300"/>
      <c r="V529" s="300"/>
      <c r="W529" s="300"/>
      <c r="X529" s="300"/>
      <c r="Y529" s="300"/>
      <c r="Z529" s="300"/>
      <c r="AA529" s="300"/>
      <c r="AB529" s="300"/>
      <c r="AC529" s="300"/>
    </row>
    <row r="530">
      <c r="A530" s="312"/>
      <c r="B530" s="348">
        <v>80.0</v>
      </c>
      <c r="C530" s="349">
        <v>46068.0</v>
      </c>
      <c r="D530" s="348" t="s">
        <v>1931</v>
      </c>
      <c r="E530" s="365">
        <v>46090.0</v>
      </c>
      <c r="F530" s="351">
        <v>1016.0</v>
      </c>
      <c r="G530" s="349">
        <v>46068.0</v>
      </c>
      <c r="H530" s="339" t="s">
        <v>1629</v>
      </c>
      <c r="I530" s="348" t="s">
        <v>1621</v>
      </c>
      <c r="J530" s="339">
        <v>2.0</v>
      </c>
      <c r="K530" s="339" t="s">
        <v>156</v>
      </c>
      <c r="L530" s="346">
        <v>800.0</v>
      </c>
      <c r="M530" s="105">
        <f t="shared" si="7"/>
        <v>1600</v>
      </c>
      <c r="N530" s="347" t="s">
        <v>746</v>
      </c>
      <c r="O530" s="339" t="s">
        <v>1810</v>
      </c>
      <c r="P530" s="300"/>
      <c r="Q530" s="300"/>
      <c r="R530" s="300"/>
      <c r="S530" s="300"/>
      <c r="T530" s="300"/>
      <c r="U530" s="300"/>
      <c r="V530" s="300"/>
      <c r="W530" s="300"/>
      <c r="X530" s="300"/>
      <c r="Y530" s="300"/>
      <c r="Z530" s="300"/>
      <c r="AA530" s="300"/>
      <c r="AB530" s="300"/>
      <c r="AC530" s="300"/>
    </row>
    <row r="531">
      <c r="A531" s="312"/>
      <c r="B531" s="48"/>
      <c r="C531" s="48"/>
      <c r="D531" s="48"/>
      <c r="E531" s="48"/>
      <c r="F531" s="48"/>
      <c r="G531" s="48"/>
      <c r="H531" s="339" t="s">
        <v>1932</v>
      </c>
      <c r="I531" s="48"/>
      <c r="J531" s="339">
        <v>1.0</v>
      </c>
      <c r="K531" s="339" t="s">
        <v>319</v>
      </c>
      <c r="L531" s="346">
        <v>2500.0</v>
      </c>
      <c r="M531" s="105">
        <f t="shared" si="7"/>
        <v>2500</v>
      </c>
      <c r="N531" s="347" t="s">
        <v>746</v>
      </c>
      <c r="O531" s="339" t="s">
        <v>1810</v>
      </c>
      <c r="P531" s="300"/>
      <c r="Q531" s="300"/>
      <c r="R531" s="300"/>
      <c r="S531" s="300"/>
      <c r="T531" s="300"/>
      <c r="U531" s="300"/>
      <c r="V531" s="300"/>
      <c r="W531" s="300"/>
      <c r="X531" s="300"/>
      <c r="Y531" s="300"/>
      <c r="Z531" s="300"/>
      <c r="AA531" s="300"/>
      <c r="AB531" s="300"/>
      <c r="AC531" s="300"/>
    </row>
    <row r="532">
      <c r="A532" s="143"/>
      <c r="B532" s="362">
        <v>298.0</v>
      </c>
      <c r="C532" s="363">
        <v>46063.0</v>
      </c>
      <c r="D532" s="362" t="s">
        <v>1931</v>
      </c>
      <c r="E532" s="364">
        <v>46090.0</v>
      </c>
      <c r="F532" s="223">
        <v>1022.0</v>
      </c>
      <c r="G532" s="363">
        <v>46082.0</v>
      </c>
      <c r="H532" s="362" t="s">
        <v>1933</v>
      </c>
      <c r="I532" s="362" t="s">
        <v>1934</v>
      </c>
      <c r="J532" s="362">
        <v>1.0</v>
      </c>
      <c r="K532" s="362" t="s">
        <v>89</v>
      </c>
      <c r="L532" s="362">
        <v>450.0</v>
      </c>
      <c r="M532" s="105">
        <f t="shared" si="7"/>
        <v>450</v>
      </c>
      <c r="N532" s="362" t="s">
        <v>1935</v>
      </c>
      <c r="O532" s="362" t="s">
        <v>1753</v>
      </c>
    </row>
    <row r="533">
      <c r="A533" s="312"/>
      <c r="B533" s="339">
        <v>1051.0</v>
      </c>
      <c r="C533" s="344">
        <v>46057.0</v>
      </c>
      <c r="D533" s="339" t="s">
        <v>1931</v>
      </c>
      <c r="E533" s="345">
        <v>46090.0</v>
      </c>
      <c r="F533" s="342">
        <v>1012.0</v>
      </c>
      <c r="G533" s="344">
        <v>46058.0</v>
      </c>
      <c r="H533" s="339" t="s">
        <v>1634</v>
      </c>
      <c r="I533" s="339" t="s">
        <v>1936</v>
      </c>
      <c r="J533" s="339">
        <v>3.0</v>
      </c>
      <c r="K533" s="339" t="s">
        <v>156</v>
      </c>
      <c r="L533" s="346">
        <v>2200.0</v>
      </c>
      <c r="M533" s="105">
        <f t="shared" si="7"/>
        <v>6600</v>
      </c>
      <c r="N533" s="347" t="s">
        <v>1557</v>
      </c>
      <c r="O533" s="339" t="s">
        <v>1937</v>
      </c>
      <c r="P533" s="300"/>
      <c r="Q533" s="300"/>
      <c r="R533" s="300"/>
      <c r="S533" s="300"/>
      <c r="T533" s="300"/>
      <c r="U533" s="300"/>
      <c r="V533" s="300"/>
      <c r="W533" s="300"/>
      <c r="X533" s="300"/>
      <c r="Y533" s="300"/>
      <c r="Z533" s="300"/>
      <c r="AA533" s="300"/>
      <c r="AB533" s="300"/>
      <c r="AC533" s="300"/>
    </row>
    <row r="534">
      <c r="A534" s="312"/>
      <c r="B534" s="348" t="s">
        <v>1938</v>
      </c>
      <c r="C534" s="349">
        <v>46078.0</v>
      </c>
      <c r="D534" s="348" t="s">
        <v>1931</v>
      </c>
      <c r="E534" s="350">
        <v>46090.0</v>
      </c>
      <c r="F534" s="351">
        <v>1020.0</v>
      </c>
      <c r="G534" s="349">
        <v>46080.0</v>
      </c>
      <c r="H534" s="339" t="s">
        <v>1939</v>
      </c>
      <c r="I534" s="339" t="s">
        <v>29</v>
      </c>
      <c r="J534" s="339">
        <v>2.0</v>
      </c>
      <c r="K534" s="339" t="s">
        <v>1168</v>
      </c>
      <c r="L534" s="346">
        <v>1050.0</v>
      </c>
      <c r="M534" s="352">
        <v>2100.0</v>
      </c>
      <c r="N534" s="347" t="s">
        <v>1335</v>
      </c>
      <c r="O534" s="339" t="s">
        <v>1940</v>
      </c>
      <c r="P534" s="300"/>
      <c r="Q534" s="300"/>
      <c r="R534" s="300"/>
      <c r="S534" s="300"/>
      <c r="T534" s="300"/>
      <c r="U534" s="300"/>
      <c r="V534" s="300"/>
      <c r="W534" s="300"/>
      <c r="X534" s="300"/>
      <c r="Y534" s="300"/>
      <c r="Z534" s="300"/>
      <c r="AA534" s="300"/>
      <c r="AB534" s="300"/>
      <c r="AC534" s="300"/>
    </row>
    <row r="535">
      <c r="A535" s="312"/>
      <c r="B535" s="48"/>
      <c r="C535" s="48"/>
      <c r="D535" s="48"/>
      <c r="E535" s="48"/>
      <c r="F535" s="48"/>
      <c r="G535" s="48"/>
      <c r="H535" s="339" t="s">
        <v>1941</v>
      </c>
      <c r="I535" s="339" t="s">
        <v>1941</v>
      </c>
      <c r="J535" s="366">
        <v>0.05</v>
      </c>
      <c r="K535" s="339" t="s">
        <v>838</v>
      </c>
      <c r="L535" s="346">
        <v>105.0</v>
      </c>
      <c r="M535" s="352">
        <v>105.0</v>
      </c>
      <c r="N535" s="347" t="s">
        <v>1941</v>
      </c>
      <c r="O535" s="339"/>
      <c r="P535" s="300"/>
      <c r="Q535" s="300"/>
      <c r="R535" s="300"/>
      <c r="S535" s="300"/>
      <c r="T535" s="300"/>
      <c r="U535" s="300"/>
      <c r="V535" s="300"/>
      <c r="W535" s="300"/>
      <c r="X535" s="300"/>
      <c r="Y535" s="300"/>
      <c r="Z535" s="300"/>
      <c r="AA535" s="300"/>
      <c r="AB535" s="300"/>
      <c r="AC535" s="300"/>
    </row>
    <row r="536">
      <c r="A536" s="312"/>
      <c r="B536" s="339">
        <v>15462.0</v>
      </c>
      <c r="C536" s="344">
        <v>46079.0</v>
      </c>
      <c r="D536" s="339" t="s">
        <v>1931</v>
      </c>
      <c r="E536" s="345">
        <v>46090.0</v>
      </c>
      <c r="F536" s="342">
        <v>1020.0</v>
      </c>
      <c r="G536" s="344">
        <v>46080.0</v>
      </c>
      <c r="H536" s="339" t="s">
        <v>38</v>
      </c>
      <c r="I536" s="339" t="s">
        <v>1942</v>
      </c>
      <c r="J536" s="339">
        <v>480.0</v>
      </c>
      <c r="K536" s="339" t="s">
        <v>39</v>
      </c>
      <c r="L536" s="346">
        <v>20.0</v>
      </c>
      <c r="M536" s="352">
        <v>10080.0</v>
      </c>
      <c r="N536" s="347" t="s">
        <v>1546</v>
      </c>
      <c r="O536" s="339" t="s">
        <v>1930</v>
      </c>
      <c r="P536" s="300"/>
      <c r="Q536" s="300"/>
      <c r="R536" s="300"/>
      <c r="S536" s="300"/>
      <c r="T536" s="300"/>
      <c r="U536" s="300"/>
      <c r="V536" s="300"/>
      <c r="W536" s="300"/>
      <c r="X536" s="300"/>
      <c r="Y536" s="300"/>
      <c r="Z536" s="300"/>
      <c r="AA536" s="300"/>
      <c r="AB536" s="300"/>
      <c r="AC536" s="300"/>
    </row>
    <row r="537">
      <c r="A537" s="312"/>
      <c r="B537" s="348">
        <v>146.0</v>
      </c>
      <c r="C537" s="349">
        <v>46054.0</v>
      </c>
      <c r="D537" s="348" t="s">
        <v>1931</v>
      </c>
      <c r="E537" s="350">
        <v>46090.0</v>
      </c>
      <c r="F537" s="351">
        <v>1019.0</v>
      </c>
      <c r="G537" s="349">
        <v>46054.0</v>
      </c>
      <c r="H537" s="339" t="s">
        <v>1450</v>
      </c>
      <c r="I537" s="339" t="s">
        <v>1401</v>
      </c>
      <c r="J537" s="339">
        <v>3.0</v>
      </c>
      <c r="K537" s="339" t="s">
        <v>156</v>
      </c>
      <c r="L537" s="346">
        <v>2500.0</v>
      </c>
      <c r="M537" s="105">
        <f t="shared" ref="M537:M545" si="8">L537*J537</f>
        <v>7500</v>
      </c>
      <c r="N537" s="347" t="s">
        <v>1775</v>
      </c>
      <c r="O537" s="339" t="s">
        <v>1943</v>
      </c>
      <c r="P537" s="300"/>
      <c r="Q537" s="300"/>
      <c r="R537" s="300"/>
      <c r="S537" s="300"/>
      <c r="T537" s="300"/>
      <c r="U537" s="300"/>
      <c r="V537" s="300"/>
      <c r="W537" s="300"/>
      <c r="X537" s="300"/>
      <c r="Y537" s="300"/>
      <c r="Z537" s="300"/>
      <c r="AA537" s="300"/>
      <c r="AB537" s="300"/>
      <c r="AC537" s="300"/>
    </row>
    <row r="538">
      <c r="A538" s="312"/>
      <c r="B538" s="48"/>
      <c r="C538" s="48"/>
      <c r="D538" s="48"/>
      <c r="E538" s="48"/>
      <c r="F538" s="48"/>
      <c r="G538" s="48"/>
      <c r="H538" s="339" t="s">
        <v>1778</v>
      </c>
      <c r="I538" s="339" t="s">
        <v>1401</v>
      </c>
      <c r="J538" s="339">
        <v>2.0</v>
      </c>
      <c r="K538" s="339" t="s">
        <v>156</v>
      </c>
      <c r="L538" s="346">
        <v>1450.0</v>
      </c>
      <c r="M538" s="105">
        <f t="shared" si="8"/>
        <v>2900</v>
      </c>
      <c r="N538" s="347" t="s">
        <v>1775</v>
      </c>
      <c r="O538" s="339" t="s">
        <v>1943</v>
      </c>
      <c r="P538" s="300"/>
      <c r="Q538" s="300"/>
      <c r="R538" s="300"/>
      <c r="S538" s="300"/>
      <c r="T538" s="300"/>
      <c r="U538" s="300"/>
      <c r="V538" s="300"/>
      <c r="W538" s="300"/>
      <c r="X538" s="300"/>
      <c r="Y538" s="300"/>
      <c r="Z538" s="300"/>
      <c r="AA538" s="300"/>
      <c r="AB538" s="300"/>
      <c r="AC538" s="300"/>
    </row>
    <row r="539">
      <c r="A539" s="312"/>
      <c r="B539" s="312"/>
      <c r="C539" s="367"/>
      <c r="D539" s="312"/>
      <c r="E539" s="368"/>
      <c r="F539" s="369"/>
      <c r="G539" s="367"/>
      <c r="H539" s="339" t="s">
        <v>1629</v>
      </c>
      <c r="I539" s="339" t="s">
        <v>1401</v>
      </c>
      <c r="J539" s="339">
        <v>1.0</v>
      </c>
      <c r="K539" s="339" t="s">
        <v>89</v>
      </c>
      <c r="L539" s="346">
        <v>1250.0</v>
      </c>
      <c r="M539" s="105">
        <f t="shared" si="8"/>
        <v>1250</v>
      </c>
      <c r="N539" s="347" t="s">
        <v>1775</v>
      </c>
      <c r="O539" s="339" t="s">
        <v>1943</v>
      </c>
      <c r="P539" s="300"/>
      <c r="Q539" s="300"/>
      <c r="R539" s="300"/>
      <c r="S539" s="300"/>
      <c r="T539" s="300"/>
      <c r="U539" s="300"/>
      <c r="V539" s="300"/>
      <c r="W539" s="300"/>
      <c r="X539" s="300"/>
      <c r="Y539" s="300"/>
      <c r="Z539" s="300"/>
      <c r="AA539" s="300"/>
      <c r="AB539" s="300"/>
      <c r="AC539" s="300"/>
    </row>
    <row r="540">
      <c r="A540" s="312"/>
      <c r="B540" s="312"/>
      <c r="C540" s="367"/>
      <c r="D540" s="312"/>
      <c r="E540" s="368"/>
      <c r="F540" s="369"/>
      <c r="G540" s="367"/>
      <c r="H540" s="339" t="s">
        <v>1680</v>
      </c>
      <c r="I540" s="339" t="s">
        <v>29</v>
      </c>
      <c r="J540" s="339">
        <v>3.0</v>
      </c>
      <c r="K540" s="339" t="s">
        <v>838</v>
      </c>
      <c r="L540" s="346">
        <v>250.0</v>
      </c>
      <c r="M540" s="105">
        <f t="shared" si="8"/>
        <v>750</v>
      </c>
      <c r="N540" s="347" t="s">
        <v>1775</v>
      </c>
      <c r="O540" s="339" t="s">
        <v>1944</v>
      </c>
      <c r="P540" s="300"/>
      <c r="Q540" s="300"/>
      <c r="R540" s="300"/>
      <c r="S540" s="300"/>
      <c r="T540" s="300"/>
      <c r="U540" s="300"/>
      <c r="V540" s="300"/>
      <c r="W540" s="300"/>
      <c r="X540" s="300"/>
      <c r="Y540" s="300"/>
      <c r="Z540" s="300"/>
      <c r="AA540" s="300"/>
      <c r="AB540" s="300"/>
      <c r="AC540" s="300"/>
    </row>
    <row r="541">
      <c r="A541" s="312"/>
      <c r="B541" s="348">
        <v>328.0</v>
      </c>
      <c r="C541" s="349">
        <v>46063.0</v>
      </c>
      <c r="D541" s="348" t="s">
        <v>1931</v>
      </c>
      <c r="E541" s="350">
        <v>46090.0</v>
      </c>
      <c r="F541" s="351">
        <v>1014.0</v>
      </c>
      <c r="G541" s="349">
        <v>46063.0</v>
      </c>
      <c r="H541" s="339" t="s">
        <v>1629</v>
      </c>
      <c r="I541" s="339" t="s">
        <v>1401</v>
      </c>
      <c r="J541" s="339">
        <v>2.0</v>
      </c>
      <c r="K541" s="339" t="s">
        <v>156</v>
      </c>
      <c r="L541" s="346">
        <v>800.0</v>
      </c>
      <c r="M541" s="105">
        <f t="shared" si="8"/>
        <v>1600</v>
      </c>
      <c r="N541" s="347" t="s">
        <v>746</v>
      </c>
      <c r="O541" s="339" t="s">
        <v>1945</v>
      </c>
      <c r="P541" s="300"/>
      <c r="Q541" s="300"/>
      <c r="R541" s="300"/>
      <c r="S541" s="300"/>
      <c r="T541" s="300"/>
      <c r="U541" s="300"/>
      <c r="V541" s="300"/>
      <c r="W541" s="300"/>
      <c r="X541" s="300"/>
      <c r="Y541" s="300"/>
      <c r="Z541" s="300"/>
      <c r="AA541" s="300"/>
      <c r="AB541" s="300"/>
      <c r="AC541" s="300"/>
    </row>
    <row r="542">
      <c r="A542" s="312"/>
      <c r="B542" s="48"/>
      <c r="C542" s="48"/>
      <c r="D542" s="48"/>
      <c r="E542" s="48"/>
      <c r="F542" s="48"/>
      <c r="G542" s="48"/>
      <c r="H542" s="339" t="s">
        <v>1946</v>
      </c>
      <c r="I542" s="339" t="s">
        <v>1942</v>
      </c>
      <c r="J542" s="339">
        <v>2.0</v>
      </c>
      <c r="K542" s="339" t="s">
        <v>156</v>
      </c>
      <c r="L542" s="346">
        <v>300.0</v>
      </c>
      <c r="M542" s="105">
        <f t="shared" si="8"/>
        <v>600</v>
      </c>
      <c r="N542" s="347" t="s">
        <v>746</v>
      </c>
      <c r="O542" s="339" t="s">
        <v>1945</v>
      </c>
      <c r="P542" s="300"/>
      <c r="Q542" s="300"/>
      <c r="R542" s="300"/>
      <c r="S542" s="300"/>
      <c r="T542" s="300"/>
      <c r="U542" s="300"/>
      <c r="V542" s="300"/>
      <c r="W542" s="300"/>
      <c r="X542" s="300"/>
      <c r="Y542" s="300"/>
      <c r="Z542" s="300"/>
      <c r="AA542" s="300"/>
      <c r="AB542" s="300"/>
      <c r="AC542" s="300"/>
    </row>
    <row r="543">
      <c r="A543" s="312"/>
      <c r="B543" s="339">
        <v>1052.0</v>
      </c>
      <c r="C543" s="344">
        <v>46079.0</v>
      </c>
      <c r="D543" s="339" t="s">
        <v>1931</v>
      </c>
      <c r="E543" s="345">
        <v>46090.0</v>
      </c>
      <c r="F543" s="342">
        <v>1020.0</v>
      </c>
      <c r="G543" s="344">
        <v>46080.0</v>
      </c>
      <c r="H543" s="339" t="s">
        <v>1634</v>
      </c>
      <c r="I543" s="339" t="s">
        <v>1942</v>
      </c>
      <c r="J543" s="339">
        <v>2.0</v>
      </c>
      <c r="K543" s="339" t="s">
        <v>156</v>
      </c>
      <c r="L543" s="346">
        <v>2200.0</v>
      </c>
      <c r="M543" s="105">
        <f t="shared" si="8"/>
        <v>4400</v>
      </c>
      <c r="N543" s="347" t="s">
        <v>1557</v>
      </c>
      <c r="O543" s="339" t="s">
        <v>1937</v>
      </c>
      <c r="P543" s="300"/>
      <c r="Q543" s="300"/>
      <c r="R543" s="300"/>
      <c r="S543" s="300"/>
      <c r="T543" s="300"/>
      <c r="U543" s="300"/>
      <c r="V543" s="300"/>
      <c r="W543" s="300"/>
      <c r="X543" s="300"/>
      <c r="Y543" s="300"/>
      <c r="Z543" s="300"/>
      <c r="AA543" s="300"/>
      <c r="AB543" s="300"/>
      <c r="AC543" s="300"/>
    </row>
    <row r="544">
      <c r="A544" s="312"/>
      <c r="B544" s="348">
        <v>15465.0</v>
      </c>
      <c r="C544" s="349">
        <v>46079.0</v>
      </c>
      <c r="D544" s="348" t="s">
        <v>1931</v>
      </c>
      <c r="E544" s="350">
        <v>46090.0</v>
      </c>
      <c r="F544" s="351">
        <v>1020.0</v>
      </c>
      <c r="G544" s="349">
        <v>46080.0</v>
      </c>
      <c r="H544" s="339" t="s">
        <v>1782</v>
      </c>
      <c r="I544" s="339" t="s">
        <v>1942</v>
      </c>
      <c r="J544" s="339">
        <v>10.0</v>
      </c>
      <c r="K544" s="339" t="s">
        <v>654</v>
      </c>
      <c r="L544" s="346">
        <v>450.0</v>
      </c>
      <c r="M544" s="105">
        <f t="shared" si="8"/>
        <v>4500</v>
      </c>
      <c r="N544" s="347" t="s">
        <v>1546</v>
      </c>
      <c r="O544" s="339" t="s">
        <v>1656</v>
      </c>
      <c r="P544" s="300"/>
      <c r="Q544" s="300"/>
      <c r="R544" s="300"/>
      <c r="S544" s="300"/>
      <c r="T544" s="300"/>
      <c r="U544" s="300"/>
      <c r="V544" s="300"/>
      <c r="W544" s="300"/>
      <c r="X544" s="300"/>
      <c r="Y544" s="300"/>
      <c r="Z544" s="300"/>
      <c r="AA544" s="300"/>
      <c r="AB544" s="300"/>
      <c r="AC544" s="300"/>
    </row>
    <row r="545">
      <c r="A545" s="312"/>
      <c r="B545" s="47"/>
      <c r="C545" s="47"/>
      <c r="D545" s="47"/>
      <c r="E545" s="47"/>
      <c r="F545" s="47"/>
      <c r="G545" s="47"/>
      <c r="H545" s="339" t="s">
        <v>1947</v>
      </c>
      <c r="I545" s="339" t="s">
        <v>1942</v>
      </c>
      <c r="J545" s="339">
        <v>10.0</v>
      </c>
      <c r="K545" s="339" t="s">
        <v>25</v>
      </c>
      <c r="L545" s="346">
        <v>407.6</v>
      </c>
      <c r="M545" s="105">
        <f t="shared" si="8"/>
        <v>4076</v>
      </c>
      <c r="N545" s="347" t="s">
        <v>1546</v>
      </c>
      <c r="O545" s="339" t="s">
        <v>1948</v>
      </c>
      <c r="P545" s="300"/>
      <c r="Q545" s="300"/>
      <c r="R545" s="300"/>
      <c r="S545" s="300"/>
      <c r="T545" s="300"/>
      <c r="U545" s="300"/>
      <c r="V545" s="300"/>
      <c r="W545" s="300"/>
      <c r="X545" s="300"/>
      <c r="Y545" s="300"/>
      <c r="Z545" s="300"/>
      <c r="AA545" s="300"/>
      <c r="AB545" s="300"/>
      <c r="AC545" s="300"/>
    </row>
    <row r="546">
      <c r="A546" s="312"/>
      <c r="B546" s="48"/>
      <c r="C546" s="48"/>
      <c r="D546" s="48"/>
      <c r="E546" s="48"/>
      <c r="F546" s="48"/>
      <c r="G546" s="48"/>
      <c r="H546" s="339" t="s">
        <v>1941</v>
      </c>
      <c r="I546" s="339" t="s">
        <v>1949</v>
      </c>
      <c r="J546" s="366">
        <v>0.05</v>
      </c>
      <c r="K546" s="339" t="s">
        <v>838</v>
      </c>
      <c r="L546" s="346">
        <v>428.8</v>
      </c>
      <c r="M546" s="352">
        <v>428.8</v>
      </c>
      <c r="N546" s="347" t="s">
        <v>1941</v>
      </c>
      <c r="O546" s="339" t="s">
        <v>1941</v>
      </c>
      <c r="P546" s="300"/>
      <c r="Q546" s="300"/>
      <c r="R546" s="300"/>
      <c r="S546" s="300"/>
      <c r="T546" s="300"/>
      <c r="U546" s="300"/>
      <c r="V546" s="300"/>
      <c r="W546" s="300"/>
      <c r="X546" s="300"/>
      <c r="Y546" s="300"/>
      <c r="Z546" s="300"/>
      <c r="AA546" s="300"/>
      <c r="AB546" s="300"/>
      <c r="AC546" s="300"/>
    </row>
    <row r="547">
      <c r="A547" s="312"/>
      <c r="B547" s="339">
        <v>308.0</v>
      </c>
      <c r="C547" s="344">
        <v>46079.0</v>
      </c>
      <c r="D547" s="339" t="s">
        <v>1931</v>
      </c>
      <c r="E547" s="370">
        <v>46090.0</v>
      </c>
      <c r="F547" s="342">
        <v>1023.0</v>
      </c>
      <c r="G547" s="344">
        <v>46082.0</v>
      </c>
      <c r="H547" s="339" t="s">
        <v>1933</v>
      </c>
      <c r="I547" s="339" t="s">
        <v>1934</v>
      </c>
      <c r="J547" s="339">
        <v>1.0</v>
      </c>
      <c r="K547" s="339" t="s">
        <v>89</v>
      </c>
      <c r="L547" s="346">
        <v>450.0</v>
      </c>
      <c r="M547" s="105">
        <f t="shared" ref="M547:M557" si="9">L547*J547</f>
        <v>450</v>
      </c>
      <c r="N547" s="347" t="s">
        <v>1935</v>
      </c>
      <c r="O547" s="339" t="s">
        <v>1753</v>
      </c>
      <c r="P547" s="300"/>
      <c r="Q547" s="300"/>
      <c r="R547" s="300"/>
      <c r="S547" s="300"/>
      <c r="T547" s="300"/>
      <c r="U547" s="300"/>
      <c r="V547" s="300"/>
      <c r="W547" s="300"/>
      <c r="X547" s="300"/>
      <c r="Y547" s="300"/>
      <c r="Z547" s="300"/>
      <c r="AA547" s="300"/>
      <c r="AB547" s="300"/>
      <c r="AC547" s="300"/>
    </row>
    <row r="548">
      <c r="A548" s="312"/>
      <c r="B548" s="348">
        <v>24950.0</v>
      </c>
      <c r="C548" s="349">
        <v>46015.0</v>
      </c>
      <c r="D548" s="348" t="s">
        <v>1950</v>
      </c>
      <c r="E548" s="350">
        <v>46020.0</v>
      </c>
      <c r="F548" s="351">
        <v>887.0</v>
      </c>
      <c r="G548" s="349">
        <v>46015.0</v>
      </c>
      <c r="H548" s="339" t="s">
        <v>1782</v>
      </c>
      <c r="I548" s="339" t="s">
        <v>1942</v>
      </c>
      <c r="J548" s="339">
        <v>5.0</v>
      </c>
      <c r="K548" s="339" t="s">
        <v>34</v>
      </c>
      <c r="L548" s="346">
        <v>631.0</v>
      </c>
      <c r="M548" s="105">
        <f t="shared" si="9"/>
        <v>3155</v>
      </c>
      <c r="N548" s="347" t="s">
        <v>91</v>
      </c>
      <c r="O548" s="339" t="s">
        <v>1951</v>
      </c>
      <c r="P548" s="300"/>
      <c r="Q548" s="300"/>
      <c r="R548" s="300"/>
      <c r="S548" s="300"/>
      <c r="T548" s="300"/>
      <c r="U548" s="300"/>
      <c r="V548" s="300"/>
      <c r="W548" s="300"/>
      <c r="X548" s="300"/>
      <c r="Y548" s="300"/>
      <c r="Z548" s="300"/>
      <c r="AA548" s="300"/>
      <c r="AB548" s="300"/>
      <c r="AC548" s="300"/>
    </row>
    <row r="549">
      <c r="A549" s="312"/>
      <c r="B549" s="48"/>
      <c r="C549" s="48"/>
      <c r="D549" s="48"/>
      <c r="E549" s="48"/>
      <c r="F549" s="48"/>
      <c r="G549" s="48"/>
      <c r="H549" s="339" t="s">
        <v>37</v>
      </c>
      <c r="I549" s="339" t="s">
        <v>1942</v>
      </c>
      <c r="J549" s="339">
        <v>5.0</v>
      </c>
      <c r="K549" s="339" t="s">
        <v>25</v>
      </c>
      <c r="L549" s="346">
        <v>361.0</v>
      </c>
      <c r="M549" s="105">
        <f t="shared" si="9"/>
        <v>1805</v>
      </c>
      <c r="N549" s="347" t="s">
        <v>91</v>
      </c>
      <c r="O549" s="339" t="s">
        <v>1951</v>
      </c>
      <c r="P549" s="300"/>
      <c r="Q549" s="300"/>
      <c r="R549" s="300"/>
      <c r="S549" s="300"/>
      <c r="T549" s="300"/>
      <c r="U549" s="300"/>
      <c r="V549" s="300"/>
      <c r="W549" s="300"/>
      <c r="X549" s="300"/>
      <c r="Y549" s="300"/>
      <c r="Z549" s="300"/>
      <c r="AA549" s="300"/>
      <c r="AB549" s="300"/>
      <c r="AC549" s="300"/>
    </row>
    <row r="550">
      <c r="A550" s="312"/>
      <c r="B550" s="339">
        <v>2133358.0</v>
      </c>
      <c r="C550" s="344">
        <v>46015.0</v>
      </c>
      <c r="D550" s="339" t="s">
        <v>1950</v>
      </c>
      <c r="E550" s="345">
        <v>46020.0</v>
      </c>
      <c r="F550" s="342">
        <v>887.0</v>
      </c>
      <c r="G550" s="344">
        <v>46015.0</v>
      </c>
      <c r="H550" s="339" t="s">
        <v>23</v>
      </c>
      <c r="I550" s="339" t="s">
        <v>1942</v>
      </c>
      <c r="J550" s="339">
        <v>2640.0</v>
      </c>
      <c r="K550" s="339" t="s">
        <v>25</v>
      </c>
      <c r="L550" s="346">
        <v>66.14</v>
      </c>
      <c r="M550" s="105">
        <f t="shared" si="9"/>
        <v>174609.6</v>
      </c>
      <c r="N550" s="347" t="s">
        <v>91</v>
      </c>
      <c r="O550" s="339" t="s">
        <v>1794</v>
      </c>
      <c r="P550" s="300"/>
      <c r="Q550" s="300"/>
      <c r="R550" s="300"/>
      <c r="S550" s="300"/>
      <c r="T550" s="300"/>
      <c r="U550" s="300"/>
      <c r="V550" s="300"/>
      <c r="W550" s="300"/>
      <c r="X550" s="300"/>
      <c r="Y550" s="300"/>
      <c r="Z550" s="300"/>
      <c r="AA550" s="300"/>
      <c r="AB550" s="300"/>
      <c r="AC550" s="300"/>
    </row>
    <row r="551">
      <c r="A551" s="312"/>
      <c r="B551" s="339">
        <v>2133126.0</v>
      </c>
      <c r="C551" s="344">
        <v>46015.0</v>
      </c>
      <c r="D551" s="339" t="s">
        <v>1950</v>
      </c>
      <c r="E551" s="345">
        <v>46020.0</v>
      </c>
      <c r="F551" s="342">
        <v>887.0</v>
      </c>
      <c r="G551" s="344">
        <v>46015.0</v>
      </c>
      <c r="H551" s="339" t="s">
        <v>36</v>
      </c>
      <c r="I551" s="339" t="s">
        <v>1942</v>
      </c>
      <c r="J551" s="339">
        <v>440.0</v>
      </c>
      <c r="K551" s="339" t="s">
        <v>25</v>
      </c>
      <c r="L551" s="346">
        <v>66.16</v>
      </c>
      <c r="M551" s="105">
        <f t="shared" si="9"/>
        <v>29110.4</v>
      </c>
      <c r="N551" s="347" t="s">
        <v>91</v>
      </c>
      <c r="O551" s="339" t="s">
        <v>1794</v>
      </c>
      <c r="P551" s="300"/>
      <c r="Q551" s="300"/>
      <c r="R551" s="300"/>
      <c r="S551" s="300"/>
      <c r="T551" s="300"/>
      <c r="U551" s="300"/>
      <c r="V551" s="300"/>
      <c r="W551" s="300"/>
      <c r="X551" s="300"/>
      <c r="Y551" s="300"/>
      <c r="Z551" s="300"/>
      <c r="AA551" s="300"/>
      <c r="AB551" s="300"/>
      <c r="AC551" s="300"/>
    </row>
    <row r="552">
      <c r="A552" s="312"/>
      <c r="B552" s="348">
        <v>6.0</v>
      </c>
      <c r="C552" s="349">
        <v>46022.0</v>
      </c>
      <c r="D552" s="348" t="s">
        <v>1952</v>
      </c>
      <c r="E552" s="350">
        <v>46035.0</v>
      </c>
      <c r="F552" s="351">
        <v>2.0</v>
      </c>
      <c r="G552" s="349">
        <v>46022.0</v>
      </c>
      <c r="H552" s="339" t="s">
        <v>1953</v>
      </c>
      <c r="I552" s="339" t="s">
        <v>1597</v>
      </c>
      <c r="J552" s="339">
        <v>26.0</v>
      </c>
      <c r="K552" s="339" t="s">
        <v>174</v>
      </c>
      <c r="L552" s="346">
        <v>6153.84</v>
      </c>
      <c r="M552" s="105">
        <f t="shared" si="9"/>
        <v>159999.84</v>
      </c>
      <c r="N552" s="347" t="s">
        <v>1887</v>
      </c>
      <c r="O552" s="339" t="s">
        <v>1954</v>
      </c>
      <c r="P552" s="300"/>
      <c r="Q552" s="300"/>
      <c r="R552" s="300"/>
      <c r="S552" s="300"/>
      <c r="T552" s="300"/>
      <c r="U552" s="300"/>
      <c r="V552" s="300"/>
      <c r="W552" s="300"/>
      <c r="X552" s="300"/>
      <c r="Y552" s="300"/>
      <c r="Z552" s="300"/>
      <c r="AA552" s="300"/>
      <c r="AB552" s="300"/>
      <c r="AC552" s="300"/>
    </row>
    <row r="553">
      <c r="A553" s="312"/>
      <c r="B553" s="47"/>
      <c r="C553" s="47"/>
      <c r="D553" s="47"/>
      <c r="E553" s="47"/>
      <c r="F553" s="47"/>
      <c r="G553" s="47"/>
      <c r="H553" s="339" t="s">
        <v>1955</v>
      </c>
      <c r="I553" s="339" t="s">
        <v>1597</v>
      </c>
      <c r="J553" s="339">
        <v>26.0</v>
      </c>
      <c r="K553" s="339" t="s">
        <v>174</v>
      </c>
      <c r="L553" s="346">
        <v>6153.84</v>
      </c>
      <c r="M553" s="105">
        <f t="shared" si="9"/>
        <v>159999.84</v>
      </c>
      <c r="N553" s="347" t="s">
        <v>1887</v>
      </c>
      <c r="O553" s="339" t="s">
        <v>1956</v>
      </c>
      <c r="P553" s="300"/>
      <c r="Q553" s="300"/>
      <c r="R553" s="300"/>
      <c r="S553" s="300"/>
      <c r="T553" s="300"/>
      <c r="U553" s="300"/>
      <c r="V553" s="300"/>
      <c r="W553" s="300"/>
      <c r="X553" s="300"/>
      <c r="Y553" s="300"/>
      <c r="Z553" s="300"/>
      <c r="AA553" s="300"/>
      <c r="AB553" s="300"/>
      <c r="AC553" s="300"/>
    </row>
    <row r="554">
      <c r="A554" s="312"/>
      <c r="B554" s="47"/>
      <c r="C554" s="47"/>
      <c r="D554" s="47"/>
      <c r="E554" s="47"/>
      <c r="F554" s="47"/>
      <c r="G554" s="47"/>
      <c r="H554" s="339" t="s">
        <v>1957</v>
      </c>
      <c r="I554" s="339" t="s">
        <v>1597</v>
      </c>
      <c r="J554" s="339">
        <v>26.0</v>
      </c>
      <c r="K554" s="339" t="s">
        <v>174</v>
      </c>
      <c r="L554" s="346">
        <v>6153.84</v>
      </c>
      <c r="M554" s="105">
        <f t="shared" si="9"/>
        <v>159999.84</v>
      </c>
      <c r="N554" s="347" t="s">
        <v>1887</v>
      </c>
      <c r="O554" s="339" t="s">
        <v>1958</v>
      </c>
      <c r="P554" s="300"/>
      <c r="Q554" s="300"/>
      <c r="R554" s="300"/>
      <c r="S554" s="300"/>
      <c r="T554" s="300"/>
      <c r="U554" s="300"/>
      <c r="V554" s="300"/>
      <c r="W554" s="300"/>
      <c r="X554" s="300"/>
      <c r="Y554" s="300"/>
      <c r="Z554" s="300"/>
      <c r="AA554" s="300"/>
      <c r="AB554" s="300"/>
      <c r="AC554" s="300"/>
    </row>
    <row r="555">
      <c r="A555" s="312"/>
      <c r="B555" s="47"/>
      <c r="C555" s="47"/>
      <c r="D555" s="47"/>
      <c r="E555" s="47"/>
      <c r="F555" s="47"/>
      <c r="G555" s="47"/>
      <c r="H555" s="339" t="s">
        <v>1959</v>
      </c>
      <c r="I555" s="339" t="s">
        <v>1597</v>
      </c>
      <c r="J555" s="339">
        <v>26.0</v>
      </c>
      <c r="K555" s="339" t="s">
        <v>174</v>
      </c>
      <c r="L555" s="346">
        <v>6153.84</v>
      </c>
      <c r="M555" s="105">
        <f t="shared" si="9"/>
        <v>159999.84</v>
      </c>
      <c r="N555" s="347" t="s">
        <v>1887</v>
      </c>
      <c r="O555" s="339" t="s">
        <v>1956</v>
      </c>
      <c r="P555" s="300"/>
      <c r="Q555" s="300"/>
      <c r="R555" s="300"/>
      <c r="S555" s="300"/>
      <c r="T555" s="300"/>
      <c r="U555" s="300"/>
      <c r="V555" s="300"/>
      <c r="W555" s="300"/>
      <c r="X555" s="300"/>
      <c r="Y555" s="300"/>
      <c r="Z555" s="300"/>
      <c r="AA555" s="300"/>
      <c r="AB555" s="300"/>
      <c r="AC555" s="300"/>
    </row>
    <row r="556">
      <c r="A556" s="312"/>
      <c r="B556" s="48"/>
      <c r="C556" s="48"/>
      <c r="D556" s="48"/>
      <c r="E556" s="48"/>
      <c r="F556" s="48"/>
      <c r="G556" s="48"/>
      <c r="H556" s="339" t="s">
        <v>1960</v>
      </c>
      <c r="I556" s="339" t="s">
        <v>1597</v>
      </c>
      <c r="J556" s="339">
        <v>26.0</v>
      </c>
      <c r="K556" s="339" t="s">
        <v>174</v>
      </c>
      <c r="L556" s="346">
        <v>6153.84</v>
      </c>
      <c r="M556" s="105">
        <f t="shared" si="9"/>
        <v>159999.84</v>
      </c>
      <c r="N556" s="347" t="s">
        <v>1887</v>
      </c>
      <c r="O556" s="339" t="s">
        <v>1956</v>
      </c>
      <c r="P556" s="300"/>
      <c r="Q556" s="300"/>
      <c r="R556" s="300"/>
      <c r="S556" s="300"/>
      <c r="T556" s="300"/>
      <c r="U556" s="300"/>
      <c r="V556" s="300"/>
      <c r="W556" s="300"/>
      <c r="X556" s="300"/>
      <c r="Y556" s="300"/>
      <c r="Z556" s="300"/>
      <c r="AA556" s="300"/>
      <c r="AB556" s="300"/>
      <c r="AC556" s="300"/>
    </row>
    <row r="557">
      <c r="A557" s="312"/>
      <c r="B557" s="339">
        <v>104.0</v>
      </c>
      <c r="C557" s="344">
        <v>46007.0</v>
      </c>
      <c r="D557" s="339" t="s">
        <v>1961</v>
      </c>
      <c r="E557" s="345">
        <v>46036.0</v>
      </c>
      <c r="F557" s="342">
        <v>888.0</v>
      </c>
      <c r="G557" s="344">
        <v>46015.0</v>
      </c>
      <c r="H557" s="339" t="s">
        <v>1962</v>
      </c>
      <c r="I557" s="339" t="s">
        <v>1963</v>
      </c>
      <c r="J557" s="339">
        <v>360.0</v>
      </c>
      <c r="K557" s="339" t="s">
        <v>391</v>
      </c>
      <c r="L557" s="346">
        <v>430.0</v>
      </c>
      <c r="M557" s="105">
        <f t="shared" si="9"/>
        <v>154800</v>
      </c>
      <c r="N557" s="347" t="s">
        <v>1964</v>
      </c>
      <c r="O557" s="339" t="s">
        <v>1965</v>
      </c>
      <c r="P557" s="300"/>
      <c r="Q557" s="300"/>
      <c r="R557" s="300"/>
      <c r="S557" s="300"/>
      <c r="T557" s="300"/>
      <c r="U557" s="300"/>
      <c r="V557" s="300"/>
      <c r="W557" s="300"/>
      <c r="X557" s="300"/>
      <c r="Y557" s="300"/>
      <c r="Z557" s="300"/>
      <c r="AA557" s="300"/>
      <c r="AB557" s="300"/>
      <c r="AC557" s="300"/>
    </row>
    <row r="558">
      <c r="A558" s="312"/>
      <c r="B558" s="339">
        <v>479.0</v>
      </c>
      <c r="C558" s="344">
        <v>46018.0</v>
      </c>
      <c r="D558" s="339" t="s">
        <v>1966</v>
      </c>
      <c r="E558" s="345">
        <v>46036.0</v>
      </c>
      <c r="F558" s="342">
        <v>890.0</v>
      </c>
      <c r="G558" s="344">
        <v>46020.0</v>
      </c>
      <c r="H558" s="339" t="s">
        <v>1967</v>
      </c>
      <c r="I558" s="339" t="s">
        <v>1963</v>
      </c>
      <c r="J558" s="339">
        <v>2.0</v>
      </c>
      <c r="K558" s="339" t="s">
        <v>967</v>
      </c>
      <c r="L558" s="346">
        <v>23920.0</v>
      </c>
      <c r="M558" s="352">
        <v>47840.0</v>
      </c>
      <c r="N558" s="347" t="s">
        <v>1968</v>
      </c>
      <c r="O558" s="339" t="s">
        <v>1969</v>
      </c>
      <c r="P558" s="300"/>
      <c r="Q558" s="300"/>
      <c r="R558" s="300"/>
      <c r="S558" s="300"/>
      <c r="T558" s="300"/>
      <c r="U558" s="300"/>
      <c r="V558" s="300"/>
      <c r="W558" s="300"/>
      <c r="X558" s="300"/>
      <c r="Y558" s="300"/>
      <c r="Z558" s="300"/>
      <c r="AA558" s="300"/>
      <c r="AB558" s="300"/>
      <c r="AC558" s="300"/>
    </row>
    <row r="559">
      <c r="A559" s="312"/>
      <c r="B559" s="339">
        <v>480.0</v>
      </c>
      <c r="C559" s="344">
        <v>46019.0</v>
      </c>
      <c r="D559" s="339" t="s">
        <v>1966</v>
      </c>
      <c r="E559" s="345">
        <v>46036.0</v>
      </c>
      <c r="F559" s="342">
        <v>890.0</v>
      </c>
      <c r="G559" s="344">
        <v>46020.0</v>
      </c>
      <c r="H559" s="339" t="s">
        <v>1967</v>
      </c>
      <c r="I559" s="339" t="s">
        <v>1963</v>
      </c>
      <c r="J559" s="339">
        <v>2.0</v>
      </c>
      <c r="K559" s="339" t="s">
        <v>967</v>
      </c>
      <c r="L559" s="346">
        <v>23920.0</v>
      </c>
      <c r="M559" s="105">
        <f t="shared" ref="M559:M611" si="10">L559*J559</f>
        <v>47840</v>
      </c>
      <c r="N559" s="347" t="s">
        <v>208</v>
      </c>
      <c r="O559" s="339" t="s">
        <v>1969</v>
      </c>
      <c r="P559" s="300"/>
      <c r="Q559" s="300"/>
      <c r="R559" s="300"/>
      <c r="S559" s="300"/>
      <c r="T559" s="300"/>
      <c r="U559" s="300"/>
      <c r="V559" s="300"/>
      <c r="W559" s="300"/>
      <c r="X559" s="300"/>
      <c r="Y559" s="300"/>
      <c r="Z559" s="300"/>
      <c r="AA559" s="300"/>
      <c r="AB559" s="300"/>
      <c r="AC559" s="300"/>
    </row>
    <row r="560">
      <c r="A560" s="312"/>
      <c r="B560" s="339">
        <v>481.0</v>
      </c>
      <c r="C560" s="344">
        <v>46020.0</v>
      </c>
      <c r="D560" s="339" t="s">
        <v>1966</v>
      </c>
      <c r="E560" s="345">
        <v>46036.0</v>
      </c>
      <c r="F560" s="342">
        <v>890.0</v>
      </c>
      <c r="G560" s="344">
        <v>46020.0</v>
      </c>
      <c r="H560" s="339" t="s">
        <v>1967</v>
      </c>
      <c r="I560" s="339" t="s">
        <v>1963</v>
      </c>
      <c r="J560" s="339">
        <v>4.0</v>
      </c>
      <c r="K560" s="339" t="s">
        <v>967</v>
      </c>
      <c r="L560" s="346">
        <v>23920.0</v>
      </c>
      <c r="M560" s="105">
        <f t="shared" si="10"/>
        <v>95680</v>
      </c>
      <c r="N560" s="347" t="s">
        <v>208</v>
      </c>
      <c r="O560" s="339" t="s">
        <v>1969</v>
      </c>
      <c r="P560" s="300"/>
      <c r="Q560" s="300"/>
      <c r="R560" s="300"/>
      <c r="S560" s="300"/>
      <c r="T560" s="300"/>
      <c r="U560" s="300"/>
      <c r="V560" s="300"/>
      <c r="W560" s="300"/>
      <c r="X560" s="300"/>
      <c r="Y560" s="300"/>
      <c r="Z560" s="300"/>
      <c r="AA560" s="300"/>
      <c r="AB560" s="300"/>
      <c r="AC560" s="300"/>
    </row>
    <row r="561">
      <c r="A561" s="312"/>
      <c r="B561" s="348">
        <v>806537.0</v>
      </c>
      <c r="C561" s="349">
        <v>46031.0</v>
      </c>
      <c r="D561" s="348" t="s">
        <v>1970</v>
      </c>
      <c r="E561" s="350">
        <v>46036.0</v>
      </c>
      <c r="F561" s="351">
        <v>895.0</v>
      </c>
      <c r="G561" s="349">
        <v>46031.0</v>
      </c>
      <c r="H561" s="339" t="s">
        <v>36</v>
      </c>
      <c r="I561" s="339" t="s">
        <v>1942</v>
      </c>
      <c r="J561" s="339">
        <v>440.0</v>
      </c>
      <c r="K561" s="339" t="s">
        <v>25</v>
      </c>
      <c r="L561" s="346">
        <v>63.32</v>
      </c>
      <c r="M561" s="105">
        <f t="shared" si="10"/>
        <v>27860.8</v>
      </c>
      <c r="N561" s="347" t="s">
        <v>1689</v>
      </c>
      <c r="O561" s="339" t="s">
        <v>1438</v>
      </c>
      <c r="P561" s="300"/>
      <c r="Q561" s="300"/>
      <c r="R561" s="300"/>
      <c r="S561" s="300"/>
      <c r="T561" s="300"/>
      <c r="U561" s="300"/>
      <c r="V561" s="300"/>
      <c r="W561" s="300"/>
      <c r="X561" s="300"/>
      <c r="Y561" s="300"/>
      <c r="Z561" s="300"/>
      <c r="AA561" s="300"/>
      <c r="AB561" s="300"/>
      <c r="AC561" s="300"/>
    </row>
    <row r="562">
      <c r="A562" s="312"/>
      <c r="B562" s="48"/>
      <c r="C562" s="48"/>
      <c r="D562" s="48"/>
      <c r="E562" s="48"/>
      <c r="F562" s="48"/>
      <c r="G562" s="48"/>
      <c r="H562" s="339" t="s">
        <v>23</v>
      </c>
      <c r="I562" s="339" t="s">
        <v>1942</v>
      </c>
      <c r="J562" s="339">
        <v>2420.0</v>
      </c>
      <c r="K562" s="339" t="s">
        <v>25</v>
      </c>
      <c r="L562" s="346">
        <v>62.64</v>
      </c>
      <c r="M562" s="105">
        <f t="shared" si="10"/>
        <v>151588.8</v>
      </c>
      <c r="N562" s="347" t="s">
        <v>1689</v>
      </c>
      <c r="O562" s="339" t="s">
        <v>1453</v>
      </c>
      <c r="P562" s="300"/>
      <c r="Q562" s="300"/>
      <c r="R562" s="300"/>
      <c r="S562" s="300"/>
      <c r="T562" s="300"/>
      <c r="U562" s="300"/>
      <c r="V562" s="300"/>
      <c r="W562" s="300"/>
      <c r="X562" s="300"/>
      <c r="Y562" s="300"/>
      <c r="Z562" s="300"/>
      <c r="AA562" s="300"/>
      <c r="AB562" s="300"/>
      <c r="AC562" s="300"/>
    </row>
    <row r="563">
      <c r="A563" s="312"/>
      <c r="B563" s="339">
        <v>139275.0</v>
      </c>
      <c r="C563" s="344">
        <v>46031.0</v>
      </c>
      <c r="D563" s="339" t="s">
        <v>1970</v>
      </c>
      <c r="E563" s="345">
        <v>46036.0</v>
      </c>
      <c r="F563" s="342">
        <v>895.0</v>
      </c>
      <c r="G563" s="344">
        <v>46031.0</v>
      </c>
      <c r="H563" s="339" t="s">
        <v>38</v>
      </c>
      <c r="I563" s="339" t="s">
        <v>1942</v>
      </c>
      <c r="J563" s="339">
        <v>480.0</v>
      </c>
      <c r="K563" s="339" t="s">
        <v>39</v>
      </c>
      <c r="L563" s="346">
        <v>20.0</v>
      </c>
      <c r="M563" s="105">
        <f t="shared" si="10"/>
        <v>9600</v>
      </c>
      <c r="N563" s="347" t="s">
        <v>1689</v>
      </c>
      <c r="O563" s="339" t="s">
        <v>1438</v>
      </c>
      <c r="P563" s="300"/>
      <c r="Q563" s="300"/>
      <c r="R563" s="300"/>
      <c r="S563" s="300"/>
      <c r="T563" s="300"/>
      <c r="U563" s="300"/>
      <c r="V563" s="300"/>
      <c r="W563" s="300"/>
      <c r="X563" s="300"/>
      <c r="Y563" s="300"/>
      <c r="Z563" s="300"/>
      <c r="AA563" s="300"/>
      <c r="AB563" s="300"/>
      <c r="AC563" s="300"/>
    </row>
    <row r="564">
      <c r="A564" s="312"/>
      <c r="B564" s="339">
        <v>473.0</v>
      </c>
      <c r="C564" s="344">
        <v>46011.0</v>
      </c>
      <c r="D564" s="339" t="s">
        <v>1971</v>
      </c>
      <c r="E564" s="345">
        <v>46036.0</v>
      </c>
      <c r="F564" s="342">
        <v>890.0</v>
      </c>
      <c r="G564" s="344">
        <v>46020.0</v>
      </c>
      <c r="H564" s="339" t="s">
        <v>1972</v>
      </c>
      <c r="I564" s="339" t="s">
        <v>1963</v>
      </c>
      <c r="J564" s="339">
        <v>4.0</v>
      </c>
      <c r="K564" s="339" t="s">
        <v>967</v>
      </c>
      <c r="L564" s="346">
        <v>11890.0</v>
      </c>
      <c r="M564" s="105">
        <f t="shared" si="10"/>
        <v>47560</v>
      </c>
      <c r="N564" s="347" t="s">
        <v>208</v>
      </c>
      <c r="O564" s="339" t="s">
        <v>1973</v>
      </c>
      <c r="P564" s="300"/>
      <c r="Q564" s="300"/>
      <c r="R564" s="300"/>
      <c r="S564" s="300"/>
      <c r="T564" s="300"/>
      <c r="U564" s="300"/>
      <c r="V564" s="300"/>
      <c r="W564" s="300"/>
      <c r="X564" s="300"/>
      <c r="Y564" s="300"/>
      <c r="Z564" s="300"/>
      <c r="AA564" s="300"/>
      <c r="AB564" s="300"/>
      <c r="AC564" s="300"/>
    </row>
    <row r="565">
      <c r="A565" s="312"/>
      <c r="B565" s="339">
        <v>474.0</v>
      </c>
      <c r="C565" s="344">
        <v>46013.0</v>
      </c>
      <c r="D565" s="339" t="s">
        <v>1971</v>
      </c>
      <c r="E565" s="345">
        <v>46036.0</v>
      </c>
      <c r="F565" s="342">
        <v>890.0</v>
      </c>
      <c r="G565" s="344">
        <v>46020.0</v>
      </c>
      <c r="H565" s="339" t="s">
        <v>1974</v>
      </c>
      <c r="I565" s="339" t="s">
        <v>1963</v>
      </c>
      <c r="J565" s="339">
        <v>4.0</v>
      </c>
      <c r="K565" s="339" t="s">
        <v>967</v>
      </c>
      <c r="L565" s="346">
        <v>11890.0</v>
      </c>
      <c r="M565" s="105">
        <f t="shared" si="10"/>
        <v>47560</v>
      </c>
      <c r="N565" s="347" t="s">
        <v>208</v>
      </c>
      <c r="O565" s="339" t="s">
        <v>1973</v>
      </c>
      <c r="P565" s="300"/>
      <c r="Q565" s="300"/>
      <c r="R565" s="300"/>
      <c r="S565" s="300"/>
      <c r="T565" s="300"/>
      <c r="U565" s="300"/>
      <c r="V565" s="300"/>
      <c r="W565" s="300"/>
      <c r="X565" s="300"/>
      <c r="Y565" s="300"/>
      <c r="Z565" s="300"/>
      <c r="AA565" s="300"/>
      <c r="AB565" s="300"/>
      <c r="AC565" s="300"/>
    </row>
    <row r="566">
      <c r="A566" s="312"/>
      <c r="B566" s="339">
        <v>475.0</v>
      </c>
      <c r="C566" s="344">
        <v>46014.0</v>
      </c>
      <c r="D566" s="339" t="s">
        <v>1971</v>
      </c>
      <c r="E566" s="345">
        <v>46036.0</v>
      </c>
      <c r="F566" s="342">
        <v>890.0</v>
      </c>
      <c r="G566" s="344">
        <v>46020.0</v>
      </c>
      <c r="H566" s="339" t="s">
        <v>1974</v>
      </c>
      <c r="I566" s="339" t="s">
        <v>1963</v>
      </c>
      <c r="J566" s="339">
        <v>2.0</v>
      </c>
      <c r="K566" s="339" t="s">
        <v>967</v>
      </c>
      <c r="L566" s="346">
        <v>11890.0</v>
      </c>
      <c r="M566" s="105">
        <f t="shared" si="10"/>
        <v>23780</v>
      </c>
      <c r="N566" s="347" t="s">
        <v>208</v>
      </c>
      <c r="O566" s="339" t="s">
        <v>1973</v>
      </c>
      <c r="P566" s="300"/>
      <c r="Q566" s="300"/>
      <c r="R566" s="300"/>
      <c r="S566" s="300"/>
      <c r="T566" s="300"/>
      <c r="U566" s="300"/>
      <c r="V566" s="300"/>
      <c r="W566" s="300"/>
      <c r="X566" s="300"/>
      <c r="Y566" s="300"/>
      <c r="Z566" s="300"/>
      <c r="AA566" s="300"/>
      <c r="AB566" s="300"/>
      <c r="AC566" s="300"/>
    </row>
    <row r="567">
      <c r="A567" s="312"/>
      <c r="B567" s="339">
        <v>476.0</v>
      </c>
      <c r="C567" s="344">
        <v>46015.0</v>
      </c>
      <c r="D567" s="339" t="s">
        <v>1971</v>
      </c>
      <c r="E567" s="345">
        <v>46036.0</v>
      </c>
      <c r="F567" s="342">
        <v>890.0</v>
      </c>
      <c r="G567" s="344">
        <v>46020.0</v>
      </c>
      <c r="H567" s="339" t="s">
        <v>1974</v>
      </c>
      <c r="I567" s="339" t="s">
        <v>1963</v>
      </c>
      <c r="J567" s="339">
        <v>1.0</v>
      </c>
      <c r="K567" s="339" t="s">
        <v>586</v>
      </c>
      <c r="L567" s="346">
        <v>11890.0</v>
      </c>
      <c r="M567" s="105">
        <f t="shared" si="10"/>
        <v>11890</v>
      </c>
      <c r="N567" s="347" t="s">
        <v>208</v>
      </c>
      <c r="O567" s="339" t="s">
        <v>1973</v>
      </c>
      <c r="P567" s="300"/>
      <c r="Q567" s="300"/>
      <c r="R567" s="300"/>
      <c r="S567" s="300"/>
      <c r="T567" s="300"/>
      <c r="U567" s="300"/>
      <c r="V567" s="300"/>
      <c r="W567" s="300"/>
      <c r="X567" s="300"/>
      <c r="Y567" s="300"/>
      <c r="Z567" s="300"/>
      <c r="AA567" s="300"/>
      <c r="AB567" s="300"/>
      <c r="AC567" s="300"/>
    </row>
    <row r="568">
      <c r="A568" s="312"/>
      <c r="B568" s="339">
        <v>477.0</v>
      </c>
      <c r="C568" s="344">
        <v>46016.0</v>
      </c>
      <c r="D568" s="339" t="s">
        <v>1971</v>
      </c>
      <c r="E568" s="345">
        <v>46036.0</v>
      </c>
      <c r="F568" s="342">
        <v>890.0</v>
      </c>
      <c r="G568" s="344">
        <v>46020.0</v>
      </c>
      <c r="H568" s="339" t="s">
        <v>1974</v>
      </c>
      <c r="I568" s="339" t="s">
        <v>1963</v>
      </c>
      <c r="J568" s="339">
        <v>2.0</v>
      </c>
      <c r="K568" s="339" t="s">
        <v>586</v>
      </c>
      <c r="L568" s="346">
        <v>11890.0</v>
      </c>
      <c r="M568" s="105">
        <f t="shared" si="10"/>
        <v>23780</v>
      </c>
      <c r="N568" s="347" t="s">
        <v>208</v>
      </c>
      <c r="O568" s="339" t="s">
        <v>1973</v>
      </c>
      <c r="P568" s="300"/>
      <c r="Q568" s="300"/>
      <c r="R568" s="300"/>
      <c r="S568" s="300"/>
      <c r="T568" s="300"/>
      <c r="U568" s="300"/>
      <c r="V568" s="300"/>
      <c r="W568" s="300"/>
      <c r="X568" s="300"/>
      <c r="Y568" s="300"/>
      <c r="Z568" s="300"/>
      <c r="AA568" s="300"/>
      <c r="AB568" s="300"/>
      <c r="AC568" s="300"/>
    </row>
    <row r="569">
      <c r="A569" s="312"/>
      <c r="B569" s="339">
        <v>478.0</v>
      </c>
      <c r="C569" s="344">
        <v>46017.0</v>
      </c>
      <c r="D569" s="339" t="s">
        <v>1971</v>
      </c>
      <c r="E569" s="345">
        <v>46036.0</v>
      </c>
      <c r="F569" s="342">
        <v>890.0</v>
      </c>
      <c r="G569" s="344">
        <v>45686.0</v>
      </c>
      <c r="H569" s="339" t="s">
        <v>1974</v>
      </c>
      <c r="I569" s="339" t="s">
        <v>1975</v>
      </c>
      <c r="J569" s="339">
        <v>4.0</v>
      </c>
      <c r="K569" s="339" t="s">
        <v>586</v>
      </c>
      <c r="L569" s="346">
        <v>11890.0</v>
      </c>
      <c r="M569" s="105">
        <f t="shared" si="10"/>
        <v>47560</v>
      </c>
      <c r="N569" s="347" t="s">
        <v>208</v>
      </c>
      <c r="O569" s="339" t="s">
        <v>1973</v>
      </c>
      <c r="P569" s="300"/>
      <c r="Q569" s="300"/>
      <c r="R569" s="300"/>
      <c r="S569" s="300"/>
      <c r="T569" s="300"/>
      <c r="U569" s="300"/>
      <c r="V569" s="300"/>
      <c r="W569" s="300"/>
      <c r="X569" s="300"/>
      <c r="Y569" s="300"/>
      <c r="Z569" s="300"/>
      <c r="AA569" s="300"/>
      <c r="AB569" s="300"/>
      <c r="AC569" s="300"/>
    </row>
    <row r="570">
      <c r="A570" s="312"/>
      <c r="B570" s="339">
        <v>482.0</v>
      </c>
      <c r="C570" s="344">
        <v>46020.0</v>
      </c>
      <c r="D570" s="339" t="s">
        <v>1971</v>
      </c>
      <c r="E570" s="345">
        <v>46036.0</v>
      </c>
      <c r="F570" s="342">
        <v>890.0</v>
      </c>
      <c r="G570" s="344">
        <v>45686.0</v>
      </c>
      <c r="H570" s="339" t="s">
        <v>1974</v>
      </c>
      <c r="I570" s="339" t="s">
        <v>1975</v>
      </c>
      <c r="J570" s="339">
        <v>1.0</v>
      </c>
      <c r="K570" s="339" t="s">
        <v>586</v>
      </c>
      <c r="L570" s="346">
        <v>11890.0</v>
      </c>
      <c r="M570" s="105">
        <f t="shared" si="10"/>
        <v>11890</v>
      </c>
      <c r="N570" s="347" t="s">
        <v>208</v>
      </c>
      <c r="O570" s="339" t="s">
        <v>1973</v>
      </c>
      <c r="P570" s="300"/>
      <c r="Q570" s="300"/>
      <c r="R570" s="300"/>
      <c r="S570" s="300"/>
      <c r="T570" s="300"/>
      <c r="U570" s="300"/>
      <c r="V570" s="300"/>
      <c r="W570" s="300"/>
      <c r="X570" s="300"/>
      <c r="Y570" s="300"/>
      <c r="Z570" s="300"/>
      <c r="AA570" s="300"/>
      <c r="AB570" s="300"/>
      <c r="AC570" s="300"/>
    </row>
    <row r="571">
      <c r="A571" s="312"/>
      <c r="B571" s="339">
        <v>483.0</v>
      </c>
      <c r="C571" s="344">
        <v>46020.0</v>
      </c>
      <c r="D571" s="339" t="s">
        <v>1971</v>
      </c>
      <c r="E571" s="345">
        <v>46036.0</v>
      </c>
      <c r="F571" s="342">
        <v>891.0</v>
      </c>
      <c r="G571" s="344">
        <v>46024.0</v>
      </c>
      <c r="H571" s="339" t="s">
        <v>1976</v>
      </c>
      <c r="I571" s="339" t="s">
        <v>1975</v>
      </c>
      <c r="J571" s="339">
        <v>2.0</v>
      </c>
      <c r="K571" s="339" t="s">
        <v>967</v>
      </c>
      <c r="L571" s="346">
        <v>11890.0</v>
      </c>
      <c r="M571" s="105">
        <f t="shared" si="10"/>
        <v>23780</v>
      </c>
      <c r="N571" s="347" t="s">
        <v>208</v>
      </c>
      <c r="O571" s="339" t="s">
        <v>1973</v>
      </c>
      <c r="P571" s="300"/>
      <c r="Q571" s="300"/>
      <c r="R571" s="300"/>
      <c r="S571" s="300"/>
      <c r="T571" s="300"/>
      <c r="U571" s="300"/>
      <c r="V571" s="300"/>
      <c r="W571" s="300"/>
      <c r="X571" s="300"/>
      <c r="Y571" s="300"/>
      <c r="Z571" s="300"/>
      <c r="AA571" s="300"/>
      <c r="AB571" s="300"/>
      <c r="AC571" s="300"/>
    </row>
    <row r="572">
      <c r="A572" s="312"/>
      <c r="B572" s="339">
        <v>801.0</v>
      </c>
      <c r="C572" s="344">
        <v>46016.0</v>
      </c>
      <c r="D572" s="339" t="s">
        <v>1977</v>
      </c>
      <c r="E572" s="345">
        <v>46036.0</v>
      </c>
      <c r="F572" s="342">
        <v>888.0</v>
      </c>
      <c r="G572" s="344">
        <v>46020.0</v>
      </c>
      <c r="H572" s="339" t="s">
        <v>1978</v>
      </c>
      <c r="I572" s="339" t="s">
        <v>29</v>
      </c>
      <c r="J572" s="339">
        <v>1.0</v>
      </c>
      <c r="K572" s="339" t="s">
        <v>89</v>
      </c>
      <c r="L572" s="346">
        <v>150000.0</v>
      </c>
      <c r="M572" s="105">
        <f t="shared" si="10"/>
        <v>150000</v>
      </c>
      <c r="N572" s="347" t="s">
        <v>1979</v>
      </c>
      <c r="O572" s="339" t="s">
        <v>1980</v>
      </c>
      <c r="P572" s="300"/>
      <c r="Q572" s="300"/>
      <c r="R572" s="300"/>
      <c r="S572" s="300"/>
      <c r="T572" s="300"/>
      <c r="U572" s="300"/>
      <c r="V572" s="300"/>
      <c r="W572" s="300"/>
      <c r="X572" s="300"/>
      <c r="Y572" s="300"/>
      <c r="Z572" s="300"/>
      <c r="AA572" s="300"/>
      <c r="AB572" s="300"/>
      <c r="AC572" s="300"/>
    </row>
    <row r="573">
      <c r="A573" s="312"/>
      <c r="B573" s="339">
        <v>469.0</v>
      </c>
      <c r="C573" s="344">
        <v>46002.0</v>
      </c>
      <c r="D573" s="339" t="s">
        <v>1981</v>
      </c>
      <c r="E573" s="345">
        <v>46036.0</v>
      </c>
      <c r="F573" s="342">
        <v>487.0</v>
      </c>
      <c r="G573" s="344">
        <v>46002.0</v>
      </c>
      <c r="H573" s="339" t="s">
        <v>1982</v>
      </c>
      <c r="I573" s="339" t="s">
        <v>1963</v>
      </c>
      <c r="J573" s="339">
        <v>2.0</v>
      </c>
      <c r="K573" s="339" t="s">
        <v>586</v>
      </c>
      <c r="L573" s="346">
        <v>9000.0</v>
      </c>
      <c r="M573" s="105">
        <f t="shared" si="10"/>
        <v>18000</v>
      </c>
      <c r="N573" s="347" t="s">
        <v>208</v>
      </c>
      <c r="O573" s="339" t="s">
        <v>1453</v>
      </c>
      <c r="P573" s="300"/>
      <c r="Q573" s="300"/>
      <c r="R573" s="300"/>
      <c r="S573" s="300"/>
      <c r="T573" s="300"/>
      <c r="U573" s="300"/>
      <c r="V573" s="300"/>
      <c r="W573" s="300"/>
      <c r="X573" s="300"/>
      <c r="Y573" s="300"/>
      <c r="Z573" s="300"/>
      <c r="AA573" s="300"/>
      <c r="AB573" s="300"/>
      <c r="AC573" s="300"/>
    </row>
    <row r="574">
      <c r="A574" s="312"/>
      <c r="B574" s="339">
        <v>470.0</v>
      </c>
      <c r="C574" s="344">
        <v>46004.0</v>
      </c>
      <c r="D574" s="339" t="s">
        <v>1981</v>
      </c>
      <c r="E574" s="345">
        <v>46036.0</v>
      </c>
      <c r="F574" s="342">
        <v>489.0</v>
      </c>
      <c r="G574" s="344">
        <v>46004.0</v>
      </c>
      <c r="H574" s="339" t="s">
        <v>1982</v>
      </c>
      <c r="I574" s="339" t="s">
        <v>1963</v>
      </c>
      <c r="J574" s="339">
        <v>3.0</v>
      </c>
      <c r="K574" s="339" t="s">
        <v>586</v>
      </c>
      <c r="L574" s="346">
        <v>9000.0</v>
      </c>
      <c r="M574" s="105">
        <f t="shared" si="10"/>
        <v>27000</v>
      </c>
      <c r="N574" s="347" t="s">
        <v>1968</v>
      </c>
      <c r="O574" s="339" t="s">
        <v>1438</v>
      </c>
      <c r="P574" s="300"/>
      <c r="Q574" s="300"/>
      <c r="R574" s="300"/>
      <c r="S574" s="300"/>
      <c r="T574" s="300"/>
      <c r="U574" s="300"/>
      <c r="V574" s="300"/>
      <c r="W574" s="300"/>
      <c r="X574" s="300"/>
      <c r="Y574" s="300"/>
      <c r="Z574" s="300"/>
      <c r="AA574" s="300"/>
      <c r="AB574" s="300"/>
      <c r="AC574" s="300"/>
    </row>
    <row r="575">
      <c r="A575" s="312"/>
      <c r="B575" s="339">
        <v>471.0</v>
      </c>
      <c r="C575" s="344">
        <v>46007.0</v>
      </c>
      <c r="D575" s="339" t="s">
        <v>1981</v>
      </c>
      <c r="E575" s="345">
        <v>46036.0</v>
      </c>
      <c r="F575" s="342">
        <v>493.0</v>
      </c>
      <c r="G575" s="344">
        <v>46007.0</v>
      </c>
      <c r="H575" s="339" t="s">
        <v>1982</v>
      </c>
      <c r="I575" s="339" t="s">
        <v>1963</v>
      </c>
      <c r="J575" s="339">
        <v>1.0</v>
      </c>
      <c r="K575" s="339" t="s">
        <v>586</v>
      </c>
      <c r="L575" s="346">
        <v>9000.0</v>
      </c>
      <c r="M575" s="105">
        <f t="shared" si="10"/>
        <v>9000</v>
      </c>
      <c r="N575" s="347" t="s">
        <v>208</v>
      </c>
      <c r="O575" s="339" t="s">
        <v>1438</v>
      </c>
      <c r="P575" s="300"/>
      <c r="Q575" s="300"/>
      <c r="R575" s="300"/>
      <c r="S575" s="300"/>
      <c r="T575" s="300"/>
      <c r="U575" s="300"/>
      <c r="V575" s="300"/>
      <c r="W575" s="300"/>
      <c r="X575" s="300"/>
      <c r="Y575" s="300"/>
      <c r="Z575" s="300"/>
      <c r="AA575" s="300"/>
      <c r="AB575" s="300"/>
      <c r="AC575" s="300"/>
    </row>
    <row r="576">
      <c r="A576" s="312"/>
      <c r="B576" s="348">
        <v>1395.0</v>
      </c>
      <c r="C576" s="349">
        <v>46013.0</v>
      </c>
      <c r="D576" s="348" t="s">
        <v>373</v>
      </c>
      <c r="E576" s="350">
        <v>46036.0</v>
      </c>
      <c r="F576" s="351">
        <v>887.0</v>
      </c>
      <c r="G576" s="349">
        <v>46015.0</v>
      </c>
      <c r="H576" s="339" t="s">
        <v>1983</v>
      </c>
      <c r="I576" s="339" t="s">
        <v>294</v>
      </c>
      <c r="J576" s="339">
        <v>25.0</v>
      </c>
      <c r="K576" s="339" t="s">
        <v>34</v>
      </c>
      <c r="L576" s="346">
        <v>75.0</v>
      </c>
      <c r="M576" s="105">
        <f t="shared" si="10"/>
        <v>1875</v>
      </c>
      <c r="N576" s="347" t="s">
        <v>99</v>
      </c>
      <c r="O576" s="339" t="s">
        <v>1984</v>
      </c>
      <c r="P576" s="300"/>
      <c r="Q576" s="300"/>
      <c r="R576" s="300"/>
      <c r="S576" s="300"/>
      <c r="T576" s="300"/>
      <c r="U576" s="300"/>
      <c r="V576" s="300"/>
      <c r="W576" s="300"/>
      <c r="X576" s="300"/>
      <c r="Y576" s="300"/>
      <c r="Z576" s="300"/>
      <c r="AA576" s="300"/>
      <c r="AB576" s="300"/>
      <c r="AC576" s="300"/>
    </row>
    <row r="577">
      <c r="A577" s="312"/>
      <c r="B577" s="47"/>
      <c r="C577" s="47"/>
      <c r="D577" s="47"/>
      <c r="E577" s="47"/>
      <c r="F577" s="47"/>
      <c r="G577" s="47"/>
      <c r="H577" s="339" t="s">
        <v>1108</v>
      </c>
      <c r="I577" s="339" t="s">
        <v>294</v>
      </c>
      <c r="J577" s="339">
        <v>50.0</v>
      </c>
      <c r="K577" s="339" t="s">
        <v>654</v>
      </c>
      <c r="L577" s="346">
        <v>74.0</v>
      </c>
      <c r="M577" s="105">
        <f t="shared" si="10"/>
        <v>3700</v>
      </c>
      <c r="N577" s="347" t="s">
        <v>99</v>
      </c>
      <c r="O577" s="339" t="s">
        <v>1984</v>
      </c>
      <c r="P577" s="300"/>
      <c r="Q577" s="300"/>
      <c r="R577" s="300"/>
      <c r="S577" s="300"/>
      <c r="T577" s="300"/>
      <c r="U577" s="300"/>
      <c r="V577" s="300"/>
      <c r="W577" s="300"/>
      <c r="X577" s="300"/>
      <c r="Y577" s="300"/>
      <c r="Z577" s="300"/>
      <c r="AA577" s="300"/>
      <c r="AB577" s="300"/>
      <c r="AC577" s="300"/>
    </row>
    <row r="578">
      <c r="A578" s="312"/>
      <c r="B578" s="47"/>
      <c r="C578" s="47"/>
      <c r="D578" s="47"/>
      <c r="E578" s="47"/>
      <c r="F578" s="47"/>
      <c r="G578" s="47"/>
      <c r="H578" s="339" t="s">
        <v>1109</v>
      </c>
      <c r="I578" s="339" t="s">
        <v>294</v>
      </c>
      <c r="J578" s="339">
        <v>100.0</v>
      </c>
      <c r="K578" s="339" t="s">
        <v>654</v>
      </c>
      <c r="L578" s="346">
        <v>73.0</v>
      </c>
      <c r="M578" s="105">
        <f t="shared" si="10"/>
        <v>7300</v>
      </c>
      <c r="N578" s="347" t="s">
        <v>99</v>
      </c>
      <c r="O578" s="339" t="s">
        <v>1984</v>
      </c>
      <c r="P578" s="300"/>
      <c r="Q578" s="300"/>
      <c r="R578" s="300"/>
      <c r="S578" s="300"/>
      <c r="T578" s="300"/>
      <c r="U578" s="300"/>
      <c r="V578" s="300"/>
      <c r="W578" s="300"/>
      <c r="X578" s="300"/>
      <c r="Y578" s="300"/>
      <c r="Z578" s="300"/>
      <c r="AA578" s="300"/>
      <c r="AB578" s="300"/>
      <c r="AC578" s="300"/>
    </row>
    <row r="579">
      <c r="A579" s="312"/>
      <c r="B579" s="48"/>
      <c r="C579" s="48"/>
      <c r="D579" s="48"/>
      <c r="E579" s="48"/>
      <c r="F579" s="48"/>
      <c r="G579" s="48"/>
      <c r="H579" s="339" t="s">
        <v>1985</v>
      </c>
      <c r="I579" s="339" t="s">
        <v>294</v>
      </c>
      <c r="J579" s="339">
        <v>200.0</v>
      </c>
      <c r="K579" s="339" t="s">
        <v>654</v>
      </c>
      <c r="L579" s="346">
        <v>72.0</v>
      </c>
      <c r="M579" s="105">
        <f t="shared" si="10"/>
        <v>14400</v>
      </c>
      <c r="N579" s="347" t="s">
        <v>99</v>
      </c>
      <c r="O579" s="339" t="s">
        <v>1984</v>
      </c>
      <c r="P579" s="300"/>
      <c r="Q579" s="300"/>
      <c r="R579" s="300"/>
      <c r="S579" s="300"/>
      <c r="T579" s="300"/>
      <c r="U579" s="300"/>
      <c r="V579" s="300"/>
      <c r="W579" s="300"/>
      <c r="X579" s="300"/>
      <c r="Y579" s="300"/>
      <c r="Z579" s="300"/>
      <c r="AA579" s="300"/>
      <c r="AB579" s="300"/>
      <c r="AC579" s="300"/>
    </row>
    <row r="580">
      <c r="A580" s="312"/>
      <c r="B580" s="339">
        <v>7507.0</v>
      </c>
      <c r="C580" s="344">
        <v>45931.0</v>
      </c>
      <c r="D580" s="339" t="s">
        <v>386</v>
      </c>
      <c r="E580" s="345">
        <v>46036.0</v>
      </c>
      <c r="F580" s="342" t="s">
        <v>92</v>
      </c>
      <c r="G580" s="344">
        <v>45931.0</v>
      </c>
      <c r="H580" s="339" t="s">
        <v>1986</v>
      </c>
      <c r="I580" s="339" t="s">
        <v>1597</v>
      </c>
      <c r="J580" s="339">
        <v>24.0</v>
      </c>
      <c r="K580" s="339" t="s">
        <v>174</v>
      </c>
      <c r="L580" s="346">
        <v>3753.08</v>
      </c>
      <c r="M580" s="105">
        <f t="shared" si="10"/>
        <v>90073.92</v>
      </c>
      <c r="N580" s="347" t="s">
        <v>48</v>
      </c>
      <c r="O580" s="339" t="s">
        <v>1757</v>
      </c>
      <c r="P580" s="300"/>
      <c r="Q580" s="300"/>
      <c r="R580" s="300"/>
      <c r="S580" s="300"/>
      <c r="T580" s="300"/>
      <c r="U580" s="300"/>
      <c r="V580" s="300"/>
      <c r="W580" s="300"/>
      <c r="X580" s="300"/>
      <c r="Y580" s="300"/>
      <c r="Z580" s="300"/>
      <c r="AA580" s="300"/>
      <c r="AB580" s="300"/>
      <c r="AC580" s="300"/>
    </row>
    <row r="581">
      <c r="A581" s="312"/>
      <c r="B581" s="339">
        <v>7508.0</v>
      </c>
      <c r="C581" s="344">
        <v>45931.0</v>
      </c>
      <c r="D581" s="339" t="s">
        <v>386</v>
      </c>
      <c r="E581" s="345">
        <v>46036.0</v>
      </c>
      <c r="F581" s="342" t="s">
        <v>160</v>
      </c>
      <c r="G581" s="344">
        <v>45931.0</v>
      </c>
      <c r="H581" s="339" t="s">
        <v>1987</v>
      </c>
      <c r="I581" s="339" t="s">
        <v>1597</v>
      </c>
      <c r="J581" s="339">
        <v>24.0</v>
      </c>
      <c r="K581" s="339" t="s">
        <v>174</v>
      </c>
      <c r="L581" s="346">
        <v>3753.08</v>
      </c>
      <c r="M581" s="105">
        <f t="shared" si="10"/>
        <v>90073.92</v>
      </c>
      <c r="N581" s="347" t="s">
        <v>48</v>
      </c>
      <c r="O581" s="339" t="s">
        <v>1757</v>
      </c>
      <c r="P581" s="300"/>
      <c r="Q581" s="300"/>
      <c r="R581" s="300"/>
      <c r="S581" s="300"/>
      <c r="T581" s="300"/>
      <c r="U581" s="300"/>
      <c r="V581" s="300"/>
      <c r="W581" s="300"/>
      <c r="X581" s="300"/>
      <c r="Y581" s="300"/>
      <c r="Z581" s="300"/>
      <c r="AA581" s="300"/>
      <c r="AB581" s="300"/>
      <c r="AC581" s="300"/>
    </row>
    <row r="582">
      <c r="A582" s="312"/>
      <c r="B582" s="339">
        <v>7512.0</v>
      </c>
      <c r="C582" s="344">
        <v>45962.0</v>
      </c>
      <c r="D582" s="339" t="s">
        <v>386</v>
      </c>
      <c r="E582" s="345">
        <v>46036.0</v>
      </c>
      <c r="F582" s="342" t="s">
        <v>160</v>
      </c>
      <c r="G582" s="344">
        <v>45962.0</v>
      </c>
      <c r="H582" s="339" t="s">
        <v>1987</v>
      </c>
      <c r="I582" s="339" t="s">
        <v>1597</v>
      </c>
      <c r="J582" s="339">
        <v>21.0</v>
      </c>
      <c r="K582" s="339" t="s">
        <v>174</v>
      </c>
      <c r="L582" s="346">
        <v>3753.08</v>
      </c>
      <c r="M582" s="105">
        <f t="shared" si="10"/>
        <v>78814.68</v>
      </c>
      <c r="N582" s="347" t="s">
        <v>48</v>
      </c>
      <c r="O582" s="339" t="s">
        <v>1757</v>
      </c>
      <c r="P582" s="300"/>
      <c r="Q582" s="300"/>
      <c r="R582" s="300"/>
      <c r="S582" s="300"/>
      <c r="T582" s="300"/>
      <c r="U582" s="300"/>
      <c r="V582" s="300"/>
      <c r="W582" s="300"/>
      <c r="X582" s="300"/>
      <c r="Y582" s="300"/>
      <c r="Z582" s="300"/>
      <c r="AA582" s="300"/>
      <c r="AB582" s="300"/>
      <c r="AC582" s="300"/>
    </row>
    <row r="583">
      <c r="A583" s="312"/>
      <c r="B583" s="339">
        <v>1876.0</v>
      </c>
      <c r="C583" s="344">
        <v>45962.0</v>
      </c>
      <c r="D583" s="339" t="s">
        <v>386</v>
      </c>
      <c r="E583" s="345">
        <v>46036.0</v>
      </c>
      <c r="F583" s="342" t="s">
        <v>160</v>
      </c>
      <c r="G583" s="344">
        <v>45962.0</v>
      </c>
      <c r="H583" s="339" t="s">
        <v>1758</v>
      </c>
      <c r="I583" s="339" t="s">
        <v>1597</v>
      </c>
      <c r="J583" s="339">
        <v>20.5</v>
      </c>
      <c r="K583" s="339" t="s">
        <v>1603</v>
      </c>
      <c r="L583" s="346">
        <v>5923.08</v>
      </c>
      <c r="M583" s="105">
        <f t="shared" si="10"/>
        <v>121423.14</v>
      </c>
      <c r="N583" s="347" t="s">
        <v>48</v>
      </c>
      <c r="O583" s="339" t="s">
        <v>1764</v>
      </c>
      <c r="P583" s="300"/>
      <c r="Q583" s="300"/>
      <c r="R583" s="300"/>
      <c r="S583" s="300"/>
      <c r="T583" s="300"/>
      <c r="U583" s="300"/>
      <c r="V583" s="300"/>
      <c r="W583" s="300"/>
      <c r="X583" s="300"/>
      <c r="Y583" s="300"/>
      <c r="Z583" s="300"/>
      <c r="AA583" s="300"/>
      <c r="AB583" s="300"/>
      <c r="AC583" s="300"/>
    </row>
    <row r="584">
      <c r="A584" s="312"/>
      <c r="B584" s="339">
        <v>7520.0</v>
      </c>
      <c r="C584" s="344">
        <v>45962.0</v>
      </c>
      <c r="D584" s="339" t="s">
        <v>386</v>
      </c>
      <c r="E584" s="345">
        <v>46036.0</v>
      </c>
      <c r="F584" s="342" t="s">
        <v>160</v>
      </c>
      <c r="G584" s="344">
        <v>45962.0</v>
      </c>
      <c r="H584" s="339" t="s">
        <v>1987</v>
      </c>
      <c r="I584" s="339" t="s">
        <v>1597</v>
      </c>
      <c r="J584" s="339">
        <v>20.0</v>
      </c>
      <c r="K584" s="339" t="s">
        <v>174</v>
      </c>
      <c r="L584" s="346">
        <v>3753.08</v>
      </c>
      <c r="M584" s="105">
        <f t="shared" si="10"/>
        <v>75061.6</v>
      </c>
      <c r="N584" s="347" t="s">
        <v>48</v>
      </c>
      <c r="O584" s="339" t="s">
        <v>1757</v>
      </c>
      <c r="P584" s="300"/>
      <c r="Q584" s="300"/>
      <c r="R584" s="300"/>
      <c r="S584" s="300"/>
      <c r="T584" s="300"/>
      <c r="U584" s="300"/>
      <c r="V584" s="300"/>
      <c r="W584" s="300"/>
      <c r="X584" s="300"/>
      <c r="Y584" s="300"/>
      <c r="Z584" s="300"/>
      <c r="AA584" s="300"/>
      <c r="AB584" s="300"/>
      <c r="AC584" s="300"/>
    </row>
    <row r="585">
      <c r="A585" s="312"/>
      <c r="B585" s="339">
        <v>45244.0</v>
      </c>
      <c r="C585" s="344">
        <v>45931.0</v>
      </c>
      <c r="D585" s="339" t="s">
        <v>386</v>
      </c>
      <c r="E585" s="345">
        <v>46036.0</v>
      </c>
      <c r="F585" s="342" t="s">
        <v>22</v>
      </c>
      <c r="G585" s="344">
        <v>45931.0</v>
      </c>
      <c r="H585" s="339" t="s">
        <v>1760</v>
      </c>
      <c r="I585" s="339" t="s">
        <v>1597</v>
      </c>
      <c r="J585" s="339">
        <v>22.0</v>
      </c>
      <c r="K585" s="339" t="s">
        <v>174</v>
      </c>
      <c r="L585" s="346">
        <v>7038.46</v>
      </c>
      <c r="M585" s="105">
        <f t="shared" si="10"/>
        <v>154846.12</v>
      </c>
      <c r="N585" s="347" t="s">
        <v>48</v>
      </c>
      <c r="O585" s="339" t="s">
        <v>1988</v>
      </c>
      <c r="P585" s="300"/>
      <c r="Q585" s="300"/>
      <c r="R585" s="300"/>
      <c r="S585" s="300"/>
      <c r="T585" s="300"/>
      <c r="U585" s="300"/>
      <c r="V585" s="300"/>
      <c r="W585" s="300"/>
      <c r="X585" s="300"/>
      <c r="Y585" s="300"/>
      <c r="Z585" s="300"/>
      <c r="AA585" s="300"/>
      <c r="AB585" s="300"/>
      <c r="AC585" s="300"/>
    </row>
    <row r="586">
      <c r="A586" s="312"/>
      <c r="B586" s="339">
        <v>42969.0</v>
      </c>
      <c r="C586" s="344">
        <v>45962.0</v>
      </c>
      <c r="D586" s="339" t="s">
        <v>1989</v>
      </c>
      <c r="E586" s="345">
        <v>46037.0</v>
      </c>
      <c r="F586" s="342" t="s">
        <v>160</v>
      </c>
      <c r="G586" s="344">
        <v>45962.0</v>
      </c>
      <c r="H586" s="339" t="s">
        <v>1990</v>
      </c>
      <c r="I586" s="339" t="s">
        <v>1597</v>
      </c>
      <c r="J586" s="339">
        <v>9.0</v>
      </c>
      <c r="K586" s="339" t="s">
        <v>174</v>
      </c>
      <c r="L586" s="346">
        <v>7038.0</v>
      </c>
      <c r="M586" s="105">
        <f t="shared" si="10"/>
        <v>63342</v>
      </c>
      <c r="N586" s="347" t="s">
        <v>48</v>
      </c>
      <c r="O586" s="339" t="s">
        <v>1988</v>
      </c>
      <c r="P586" s="300"/>
      <c r="Q586" s="300"/>
      <c r="R586" s="300"/>
      <c r="S586" s="300"/>
      <c r="T586" s="300"/>
      <c r="U586" s="300"/>
      <c r="V586" s="300"/>
      <c r="W586" s="300"/>
      <c r="X586" s="300"/>
      <c r="Y586" s="300"/>
      <c r="Z586" s="300"/>
      <c r="AA586" s="300"/>
      <c r="AB586" s="300"/>
      <c r="AC586" s="300"/>
    </row>
    <row r="587">
      <c r="A587" s="312"/>
      <c r="B587" s="339">
        <v>42970.0</v>
      </c>
      <c r="C587" s="344">
        <v>45991.0</v>
      </c>
      <c r="D587" s="339" t="s">
        <v>1989</v>
      </c>
      <c r="E587" s="345">
        <v>46037.0</v>
      </c>
      <c r="F587" s="342" t="s">
        <v>160</v>
      </c>
      <c r="G587" s="344">
        <v>45991.0</v>
      </c>
      <c r="H587" s="339" t="s">
        <v>1991</v>
      </c>
      <c r="I587" s="339" t="s">
        <v>1597</v>
      </c>
      <c r="J587" s="339">
        <v>16.0</v>
      </c>
      <c r="K587" s="339" t="s">
        <v>174</v>
      </c>
      <c r="L587" s="346">
        <v>7038.0</v>
      </c>
      <c r="M587" s="105">
        <f t="shared" si="10"/>
        <v>112608</v>
      </c>
      <c r="N587" s="347" t="s">
        <v>48</v>
      </c>
      <c r="O587" s="339" t="s">
        <v>1988</v>
      </c>
      <c r="P587" s="300"/>
      <c r="Q587" s="300"/>
      <c r="R587" s="300"/>
      <c r="S587" s="300"/>
      <c r="T587" s="300"/>
      <c r="U587" s="300"/>
      <c r="V587" s="300"/>
      <c r="W587" s="300"/>
      <c r="X587" s="300"/>
      <c r="Y587" s="300"/>
      <c r="Z587" s="300"/>
      <c r="AA587" s="300"/>
      <c r="AB587" s="300"/>
      <c r="AC587" s="300"/>
    </row>
    <row r="588">
      <c r="A588" s="312"/>
      <c r="B588" s="339">
        <v>42971.0</v>
      </c>
      <c r="C588" s="344">
        <v>45991.0</v>
      </c>
      <c r="D588" s="339" t="s">
        <v>1989</v>
      </c>
      <c r="E588" s="345">
        <v>46037.0</v>
      </c>
      <c r="F588" s="342" t="s">
        <v>160</v>
      </c>
      <c r="G588" s="344">
        <v>45991.0</v>
      </c>
      <c r="H588" s="339" t="s">
        <v>1992</v>
      </c>
      <c r="I588" s="339" t="s">
        <v>1597</v>
      </c>
      <c r="J588" s="339">
        <v>14.0</v>
      </c>
      <c r="K588" s="339" t="s">
        <v>174</v>
      </c>
      <c r="L588" s="346">
        <v>7038.0</v>
      </c>
      <c r="M588" s="105">
        <f t="shared" si="10"/>
        <v>98532</v>
      </c>
      <c r="N588" s="347" t="s">
        <v>48</v>
      </c>
      <c r="O588" s="339" t="s">
        <v>1988</v>
      </c>
      <c r="P588" s="300"/>
      <c r="Q588" s="300"/>
      <c r="R588" s="300"/>
      <c r="S588" s="300"/>
      <c r="T588" s="300"/>
      <c r="U588" s="300"/>
      <c r="V588" s="300"/>
      <c r="W588" s="300"/>
      <c r="X588" s="300"/>
      <c r="Y588" s="300"/>
      <c r="Z588" s="300"/>
      <c r="AA588" s="300"/>
      <c r="AB588" s="300"/>
      <c r="AC588" s="300"/>
    </row>
    <row r="589">
      <c r="A589" s="312"/>
      <c r="B589" s="339">
        <v>42972.0</v>
      </c>
      <c r="C589" s="344">
        <v>45991.0</v>
      </c>
      <c r="D589" s="339" t="s">
        <v>1989</v>
      </c>
      <c r="E589" s="345">
        <v>46037.0</v>
      </c>
      <c r="F589" s="342" t="s">
        <v>22</v>
      </c>
      <c r="G589" s="344">
        <v>45991.0</v>
      </c>
      <c r="H589" s="339" t="s">
        <v>1765</v>
      </c>
      <c r="I589" s="339" t="s">
        <v>1597</v>
      </c>
      <c r="J589" s="339">
        <v>13.0</v>
      </c>
      <c r="K589" s="339" t="s">
        <v>174</v>
      </c>
      <c r="L589" s="346">
        <v>5923.0</v>
      </c>
      <c r="M589" s="105">
        <f t="shared" si="10"/>
        <v>76999</v>
      </c>
      <c r="N589" s="347" t="s">
        <v>48</v>
      </c>
      <c r="O589" s="339" t="s">
        <v>1988</v>
      </c>
      <c r="P589" s="300"/>
      <c r="Q589" s="300"/>
      <c r="R589" s="300"/>
      <c r="S589" s="300"/>
      <c r="T589" s="300"/>
      <c r="U589" s="300"/>
      <c r="V589" s="300"/>
      <c r="W589" s="300"/>
      <c r="X589" s="300"/>
      <c r="Y589" s="300"/>
      <c r="Z589" s="300"/>
      <c r="AA589" s="300"/>
      <c r="AB589" s="300"/>
      <c r="AC589" s="300"/>
    </row>
    <row r="590">
      <c r="A590" s="312"/>
      <c r="B590" s="339">
        <v>42973.0</v>
      </c>
      <c r="C590" s="344">
        <v>45962.0</v>
      </c>
      <c r="D590" s="339" t="s">
        <v>1989</v>
      </c>
      <c r="E590" s="345">
        <v>46037.0</v>
      </c>
      <c r="F590" s="342" t="s">
        <v>160</v>
      </c>
      <c r="G590" s="344">
        <v>45962.0</v>
      </c>
      <c r="H590" s="339" t="s">
        <v>1766</v>
      </c>
      <c r="I590" s="339" t="s">
        <v>1597</v>
      </c>
      <c r="J590" s="339">
        <v>12.0</v>
      </c>
      <c r="K590" s="339" t="s">
        <v>174</v>
      </c>
      <c r="L590" s="346">
        <v>7038.0</v>
      </c>
      <c r="M590" s="105">
        <f t="shared" si="10"/>
        <v>84456</v>
      </c>
      <c r="N590" s="347" t="s">
        <v>48</v>
      </c>
      <c r="O590" s="339" t="s">
        <v>1988</v>
      </c>
      <c r="P590" s="300"/>
      <c r="Q590" s="300"/>
      <c r="R590" s="300"/>
      <c r="S590" s="300"/>
      <c r="T590" s="300"/>
      <c r="U590" s="300"/>
      <c r="V590" s="300"/>
      <c r="W590" s="300"/>
      <c r="X590" s="300"/>
      <c r="Y590" s="300"/>
      <c r="Z590" s="300"/>
      <c r="AA590" s="300"/>
      <c r="AB590" s="300"/>
      <c r="AC590" s="300"/>
    </row>
    <row r="591">
      <c r="A591" s="312"/>
      <c r="B591" s="339">
        <v>41520.0</v>
      </c>
      <c r="C591" s="344">
        <v>45971.0</v>
      </c>
      <c r="D591" s="339" t="s">
        <v>1993</v>
      </c>
      <c r="E591" s="345">
        <v>46037.0</v>
      </c>
      <c r="F591" s="342" t="s">
        <v>92</v>
      </c>
      <c r="G591" s="344">
        <v>45971.0</v>
      </c>
      <c r="H591" s="339" t="s">
        <v>1994</v>
      </c>
      <c r="I591" s="339" t="s">
        <v>1597</v>
      </c>
      <c r="J591" s="339">
        <v>15.0</v>
      </c>
      <c r="K591" s="339" t="s">
        <v>174</v>
      </c>
      <c r="L591" s="346">
        <v>8692.3</v>
      </c>
      <c r="M591" s="105">
        <f t="shared" si="10"/>
        <v>130384.5</v>
      </c>
      <c r="N591" s="347" t="s">
        <v>48</v>
      </c>
      <c r="O591" s="339" t="s">
        <v>1988</v>
      </c>
      <c r="P591" s="300"/>
      <c r="Q591" s="300"/>
      <c r="R591" s="300"/>
      <c r="S591" s="300"/>
      <c r="T591" s="300"/>
      <c r="U591" s="300"/>
      <c r="V591" s="300"/>
      <c r="W591" s="300"/>
      <c r="X591" s="300"/>
      <c r="Y591" s="300"/>
      <c r="Z591" s="300"/>
      <c r="AA591" s="300"/>
      <c r="AB591" s="300"/>
      <c r="AC591" s="300"/>
    </row>
    <row r="592">
      <c r="A592" s="312"/>
      <c r="B592" s="339">
        <v>45261.0</v>
      </c>
      <c r="C592" s="344">
        <v>45962.0</v>
      </c>
      <c r="D592" s="339" t="s">
        <v>1993</v>
      </c>
      <c r="E592" s="345">
        <v>46037.0</v>
      </c>
      <c r="F592" s="342" t="s">
        <v>160</v>
      </c>
      <c r="G592" s="344">
        <v>45962.0</v>
      </c>
      <c r="H592" s="339" t="s">
        <v>1769</v>
      </c>
      <c r="I592" s="339" t="s">
        <v>1597</v>
      </c>
      <c r="J592" s="339">
        <v>19.0</v>
      </c>
      <c r="K592" s="339" t="s">
        <v>174</v>
      </c>
      <c r="L592" s="346">
        <v>7038.46</v>
      </c>
      <c r="M592" s="105">
        <f t="shared" si="10"/>
        <v>133730.74</v>
      </c>
      <c r="N592" s="347" t="s">
        <v>1995</v>
      </c>
      <c r="O592" s="339" t="s">
        <v>1988</v>
      </c>
      <c r="P592" s="300"/>
      <c r="Q592" s="300"/>
      <c r="R592" s="300"/>
      <c r="S592" s="300"/>
      <c r="T592" s="300"/>
      <c r="U592" s="300"/>
      <c r="V592" s="300"/>
      <c r="W592" s="300"/>
      <c r="X592" s="300"/>
      <c r="Y592" s="300"/>
      <c r="Z592" s="300"/>
      <c r="AA592" s="300"/>
      <c r="AB592" s="300"/>
      <c r="AC592" s="300"/>
    </row>
    <row r="593">
      <c r="A593" s="312"/>
      <c r="B593" s="339">
        <v>43590.0</v>
      </c>
      <c r="C593" s="344">
        <v>45962.0</v>
      </c>
      <c r="D593" s="339" t="s">
        <v>1996</v>
      </c>
      <c r="E593" s="345">
        <v>46038.0</v>
      </c>
      <c r="F593" s="342" t="s">
        <v>160</v>
      </c>
      <c r="G593" s="344">
        <v>45962.0</v>
      </c>
      <c r="H593" s="339" t="s">
        <v>1997</v>
      </c>
      <c r="I593" s="339" t="s">
        <v>1597</v>
      </c>
      <c r="J593" s="339">
        <v>20.0</v>
      </c>
      <c r="K593" s="339" t="s">
        <v>174</v>
      </c>
      <c r="L593" s="346">
        <v>3750.0</v>
      </c>
      <c r="M593" s="105">
        <f t="shared" si="10"/>
        <v>75000</v>
      </c>
      <c r="N593" s="347" t="s">
        <v>48</v>
      </c>
      <c r="O593" s="339" t="s">
        <v>1757</v>
      </c>
      <c r="P593" s="300"/>
      <c r="Q593" s="300"/>
      <c r="R593" s="300"/>
      <c r="S593" s="300"/>
      <c r="T593" s="300"/>
      <c r="U593" s="300"/>
      <c r="V593" s="300"/>
      <c r="W593" s="300"/>
      <c r="X593" s="300"/>
      <c r="Y593" s="300"/>
      <c r="Z593" s="300"/>
      <c r="AA593" s="300"/>
      <c r="AB593" s="300"/>
      <c r="AC593" s="300"/>
    </row>
    <row r="594">
      <c r="A594" s="312"/>
      <c r="B594" s="339">
        <v>43589.0</v>
      </c>
      <c r="C594" s="344">
        <v>45962.0</v>
      </c>
      <c r="D594" s="339" t="s">
        <v>1996</v>
      </c>
      <c r="E594" s="345">
        <v>46038.0</v>
      </c>
      <c r="F594" s="342" t="s">
        <v>92</v>
      </c>
      <c r="G594" s="344">
        <v>45962.0</v>
      </c>
      <c r="H594" s="339" t="s">
        <v>1998</v>
      </c>
      <c r="I594" s="339" t="s">
        <v>1597</v>
      </c>
      <c r="J594" s="339">
        <v>21.0</v>
      </c>
      <c r="K594" s="339" t="s">
        <v>174</v>
      </c>
      <c r="L594" s="346">
        <v>3750.0</v>
      </c>
      <c r="M594" s="105">
        <f t="shared" si="10"/>
        <v>78750</v>
      </c>
      <c r="N594" s="347" t="s">
        <v>48</v>
      </c>
      <c r="O594" s="339" t="s">
        <v>1757</v>
      </c>
      <c r="P594" s="300"/>
      <c r="Q594" s="300"/>
      <c r="R594" s="300"/>
      <c r="S594" s="300"/>
      <c r="T594" s="300"/>
      <c r="U594" s="300"/>
      <c r="V594" s="300"/>
      <c r="W594" s="300"/>
      <c r="X594" s="300"/>
      <c r="Y594" s="300"/>
      <c r="Z594" s="300"/>
      <c r="AA594" s="300"/>
      <c r="AB594" s="300"/>
      <c r="AC594" s="300"/>
    </row>
    <row r="595">
      <c r="A595" s="312"/>
      <c r="B595" s="348">
        <v>294.0</v>
      </c>
      <c r="C595" s="349">
        <v>46002.0</v>
      </c>
      <c r="D595" s="348" t="s">
        <v>1999</v>
      </c>
      <c r="E595" s="350">
        <v>46042.0</v>
      </c>
      <c r="F595" s="351">
        <v>886.0</v>
      </c>
      <c r="G595" s="349">
        <v>46010.0</v>
      </c>
      <c r="H595" s="339" t="s">
        <v>2000</v>
      </c>
      <c r="I595" s="339" t="s">
        <v>2001</v>
      </c>
      <c r="J595" s="339">
        <v>9.575</v>
      </c>
      <c r="K595" s="339" t="s">
        <v>2002</v>
      </c>
      <c r="L595" s="346">
        <v>54300.0</v>
      </c>
      <c r="M595" s="105">
        <f t="shared" si="10"/>
        <v>519922.5</v>
      </c>
      <c r="N595" s="347" t="s">
        <v>2003</v>
      </c>
      <c r="O595" s="339" t="s">
        <v>1561</v>
      </c>
      <c r="P595" s="300"/>
      <c r="Q595" s="300"/>
      <c r="R595" s="300"/>
      <c r="S595" s="300"/>
      <c r="T595" s="300"/>
      <c r="U595" s="300"/>
      <c r="V595" s="300"/>
      <c r="W595" s="300"/>
      <c r="X595" s="300"/>
      <c r="Y595" s="300"/>
      <c r="Z595" s="300"/>
      <c r="AA595" s="300"/>
      <c r="AB595" s="300"/>
      <c r="AC595" s="300"/>
    </row>
    <row r="596">
      <c r="A596" s="312"/>
      <c r="B596" s="48"/>
      <c r="C596" s="48"/>
      <c r="D596" s="48"/>
      <c r="E596" s="48"/>
      <c r="F596" s="48"/>
      <c r="G596" s="48"/>
      <c r="H596" s="339" t="s">
        <v>2004</v>
      </c>
      <c r="I596" s="339" t="s">
        <v>2001</v>
      </c>
      <c r="J596" s="339">
        <v>2.425</v>
      </c>
      <c r="K596" s="339" t="s">
        <v>2002</v>
      </c>
      <c r="L596" s="346">
        <v>53300.0</v>
      </c>
      <c r="M596" s="105">
        <f t="shared" si="10"/>
        <v>129252.5</v>
      </c>
      <c r="N596" s="347" t="s">
        <v>2003</v>
      </c>
      <c r="O596" s="339" t="s">
        <v>1561</v>
      </c>
      <c r="P596" s="300"/>
      <c r="Q596" s="300"/>
      <c r="R596" s="300"/>
      <c r="S596" s="300"/>
      <c r="T596" s="300"/>
      <c r="U596" s="300"/>
      <c r="V596" s="300"/>
      <c r="W596" s="300"/>
      <c r="X596" s="300"/>
      <c r="Y596" s="300"/>
      <c r="Z596" s="300"/>
      <c r="AA596" s="300"/>
      <c r="AB596" s="300"/>
      <c r="AC596" s="300"/>
    </row>
    <row r="597">
      <c r="A597" s="312"/>
      <c r="B597" s="339">
        <v>295.0</v>
      </c>
      <c r="C597" s="344">
        <v>46002.0</v>
      </c>
      <c r="D597" s="339" t="s">
        <v>1999</v>
      </c>
      <c r="E597" s="345">
        <v>46042.0</v>
      </c>
      <c r="F597" s="342">
        <v>886.0</v>
      </c>
      <c r="G597" s="344">
        <v>46010.0</v>
      </c>
      <c r="H597" s="339" t="s">
        <v>2000</v>
      </c>
      <c r="I597" s="339" t="s">
        <v>2001</v>
      </c>
      <c r="J597" s="339">
        <v>12.0</v>
      </c>
      <c r="K597" s="339" t="s">
        <v>2002</v>
      </c>
      <c r="L597" s="346">
        <v>54300.0</v>
      </c>
      <c r="M597" s="105">
        <f t="shared" si="10"/>
        <v>651600</v>
      </c>
      <c r="N597" s="347" t="s">
        <v>2003</v>
      </c>
      <c r="O597" s="339" t="s">
        <v>1561</v>
      </c>
      <c r="P597" s="300"/>
      <c r="Q597" s="300"/>
      <c r="R597" s="300"/>
      <c r="S597" s="300"/>
      <c r="T597" s="300"/>
      <c r="U597" s="300"/>
      <c r="V597" s="300"/>
      <c r="W597" s="300"/>
      <c r="X597" s="300"/>
      <c r="Y597" s="300"/>
      <c r="Z597" s="300"/>
      <c r="AA597" s="300"/>
      <c r="AB597" s="300"/>
      <c r="AC597" s="300"/>
    </row>
    <row r="598">
      <c r="A598" s="312"/>
      <c r="B598" s="348">
        <v>393.0</v>
      </c>
      <c r="C598" s="349">
        <v>46004.0</v>
      </c>
      <c r="D598" s="348" t="s">
        <v>1999</v>
      </c>
      <c r="E598" s="350">
        <v>46042.0</v>
      </c>
      <c r="F598" s="351">
        <v>886.0</v>
      </c>
      <c r="G598" s="349">
        <v>46010.0</v>
      </c>
      <c r="H598" s="339" t="s">
        <v>2004</v>
      </c>
      <c r="I598" s="339" t="s">
        <v>2001</v>
      </c>
      <c r="J598" s="339">
        <v>6.095</v>
      </c>
      <c r="K598" s="339" t="s">
        <v>2002</v>
      </c>
      <c r="L598" s="346">
        <v>53300.0</v>
      </c>
      <c r="M598" s="105">
        <f t="shared" si="10"/>
        <v>324863.5</v>
      </c>
      <c r="N598" s="347" t="s">
        <v>2003</v>
      </c>
      <c r="O598" s="339" t="s">
        <v>1561</v>
      </c>
      <c r="P598" s="300"/>
      <c r="Q598" s="300"/>
      <c r="R598" s="300"/>
      <c r="S598" s="300"/>
      <c r="T598" s="300"/>
      <c r="U598" s="300"/>
      <c r="V598" s="300"/>
      <c r="W598" s="300"/>
      <c r="X598" s="300"/>
      <c r="Y598" s="300"/>
      <c r="Z598" s="300"/>
      <c r="AA598" s="300"/>
      <c r="AB598" s="300"/>
      <c r="AC598" s="300"/>
    </row>
    <row r="599">
      <c r="A599" s="312"/>
      <c r="B599" s="48"/>
      <c r="C599" s="48"/>
      <c r="D599" s="48"/>
      <c r="E599" s="48"/>
      <c r="F599" s="48"/>
      <c r="G599" s="48"/>
      <c r="H599" s="339" t="s">
        <v>2005</v>
      </c>
      <c r="I599" s="339" t="s">
        <v>2001</v>
      </c>
      <c r="J599" s="339">
        <v>5.905</v>
      </c>
      <c r="K599" s="339" t="s">
        <v>2002</v>
      </c>
      <c r="L599" s="346">
        <v>53300.0</v>
      </c>
      <c r="M599" s="105">
        <f t="shared" si="10"/>
        <v>314736.5</v>
      </c>
      <c r="N599" s="347" t="s">
        <v>2003</v>
      </c>
      <c r="O599" s="339" t="s">
        <v>1561</v>
      </c>
      <c r="P599" s="300"/>
      <c r="Q599" s="300"/>
      <c r="R599" s="300"/>
      <c r="S599" s="300"/>
      <c r="T599" s="300"/>
      <c r="U599" s="300"/>
      <c r="V599" s="300"/>
      <c r="W599" s="300"/>
      <c r="X599" s="300"/>
      <c r="Y599" s="300"/>
      <c r="Z599" s="300"/>
      <c r="AA599" s="300"/>
      <c r="AB599" s="300"/>
      <c r="AC599" s="300"/>
    </row>
    <row r="600">
      <c r="A600" s="312"/>
      <c r="B600" s="339">
        <v>394.0</v>
      </c>
      <c r="C600" s="344">
        <v>46004.0</v>
      </c>
      <c r="D600" s="339" t="s">
        <v>1999</v>
      </c>
      <c r="E600" s="345">
        <v>46042.0</v>
      </c>
      <c r="F600" s="342">
        <v>886.0</v>
      </c>
      <c r="G600" s="344">
        <v>46010.0</v>
      </c>
      <c r="H600" s="339" t="s">
        <v>2004</v>
      </c>
      <c r="I600" s="339" t="s">
        <v>2001</v>
      </c>
      <c r="J600" s="339">
        <v>12.0</v>
      </c>
      <c r="K600" s="339" t="s">
        <v>2002</v>
      </c>
      <c r="L600" s="346">
        <v>53300.0</v>
      </c>
      <c r="M600" s="105">
        <f t="shared" si="10"/>
        <v>639600</v>
      </c>
      <c r="N600" s="347" t="s">
        <v>2003</v>
      </c>
      <c r="O600" s="339" t="s">
        <v>1561</v>
      </c>
      <c r="P600" s="300"/>
      <c r="Q600" s="300"/>
      <c r="R600" s="300"/>
      <c r="S600" s="300"/>
      <c r="T600" s="300"/>
      <c r="U600" s="300"/>
      <c r="V600" s="300"/>
      <c r="W600" s="300"/>
      <c r="X600" s="300"/>
      <c r="Y600" s="300"/>
      <c r="Z600" s="300"/>
      <c r="AA600" s="300"/>
      <c r="AB600" s="300"/>
      <c r="AC600" s="300"/>
    </row>
    <row r="601">
      <c r="A601" s="312"/>
      <c r="B601" s="339">
        <v>395.0</v>
      </c>
      <c r="C601" s="344">
        <v>46004.0</v>
      </c>
      <c r="D601" s="339" t="s">
        <v>1999</v>
      </c>
      <c r="E601" s="345">
        <v>46042.0</v>
      </c>
      <c r="F601" s="342">
        <v>886.0</v>
      </c>
      <c r="G601" s="344">
        <v>46010.0</v>
      </c>
      <c r="H601" s="339" t="s">
        <v>2005</v>
      </c>
      <c r="I601" s="339" t="s">
        <v>2001</v>
      </c>
      <c r="J601" s="339">
        <v>12.0</v>
      </c>
      <c r="K601" s="339" t="s">
        <v>74</v>
      </c>
      <c r="L601" s="346">
        <v>53300.0</v>
      </c>
      <c r="M601" s="105">
        <f t="shared" si="10"/>
        <v>639600</v>
      </c>
      <c r="N601" s="347" t="s">
        <v>2003</v>
      </c>
      <c r="O601" s="339" t="s">
        <v>1561</v>
      </c>
      <c r="P601" s="300"/>
      <c r="Q601" s="300"/>
      <c r="R601" s="300"/>
      <c r="S601" s="300"/>
      <c r="T601" s="300"/>
      <c r="U601" s="300"/>
      <c r="V601" s="300"/>
      <c r="W601" s="300"/>
      <c r="X601" s="300"/>
      <c r="Y601" s="300"/>
      <c r="Z601" s="300"/>
      <c r="AA601" s="300"/>
      <c r="AB601" s="300"/>
      <c r="AC601" s="300"/>
    </row>
    <row r="602">
      <c r="A602" s="312"/>
      <c r="B602" s="348">
        <v>460.0</v>
      </c>
      <c r="C602" s="349">
        <v>46007.0</v>
      </c>
      <c r="D602" s="348" t="s">
        <v>1999</v>
      </c>
      <c r="E602" s="350">
        <v>46042.0</v>
      </c>
      <c r="F602" s="351">
        <v>886.0</v>
      </c>
      <c r="G602" s="349">
        <v>46010.0</v>
      </c>
      <c r="H602" s="339" t="s">
        <v>2005</v>
      </c>
      <c r="I602" s="339" t="s">
        <v>2001</v>
      </c>
      <c r="J602" s="339">
        <v>0.6</v>
      </c>
      <c r="K602" s="339" t="s">
        <v>74</v>
      </c>
      <c r="L602" s="346">
        <v>53300.0</v>
      </c>
      <c r="M602" s="105">
        <f t="shared" si="10"/>
        <v>31980</v>
      </c>
      <c r="N602" s="347" t="s">
        <v>2003</v>
      </c>
      <c r="O602" s="339" t="s">
        <v>1561</v>
      </c>
      <c r="P602" s="300"/>
      <c r="Q602" s="300"/>
      <c r="R602" s="300"/>
      <c r="S602" s="300"/>
      <c r="T602" s="300"/>
      <c r="U602" s="300"/>
      <c r="V602" s="300"/>
      <c r="W602" s="300"/>
      <c r="X602" s="300"/>
      <c r="Y602" s="300"/>
      <c r="Z602" s="300"/>
      <c r="AA602" s="300"/>
      <c r="AB602" s="300"/>
      <c r="AC602" s="300"/>
    </row>
    <row r="603">
      <c r="A603" s="312"/>
      <c r="B603" s="48"/>
      <c r="C603" s="48"/>
      <c r="D603" s="48"/>
      <c r="E603" s="48"/>
      <c r="F603" s="48"/>
      <c r="G603" s="48"/>
      <c r="H603" s="339" t="s">
        <v>2006</v>
      </c>
      <c r="I603" s="339" t="s">
        <v>2001</v>
      </c>
      <c r="J603" s="339">
        <v>11.4</v>
      </c>
      <c r="K603" s="339" t="s">
        <v>74</v>
      </c>
      <c r="L603" s="346">
        <v>52800.0</v>
      </c>
      <c r="M603" s="105">
        <f t="shared" si="10"/>
        <v>601920</v>
      </c>
      <c r="N603" s="347" t="s">
        <v>2003</v>
      </c>
      <c r="O603" s="339" t="s">
        <v>1561</v>
      </c>
      <c r="P603" s="300"/>
      <c r="Q603" s="300"/>
      <c r="R603" s="300"/>
      <c r="S603" s="300"/>
      <c r="T603" s="300"/>
      <c r="U603" s="300"/>
      <c r="V603" s="300"/>
      <c r="W603" s="300"/>
      <c r="X603" s="300"/>
      <c r="Y603" s="300"/>
      <c r="Z603" s="300"/>
      <c r="AA603" s="300"/>
      <c r="AB603" s="300"/>
      <c r="AC603" s="300"/>
    </row>
    <row r="604">
      <c r="A604" s="312"/>
      <c r="B604" s="339">
        <v>482.0</v>
      </c>
      <c r="C604" s="344">
        <v>46009.0</v>
      </c>
      <c r="D604" s="339" t="s">
        <v>1999</v>
      </c>
      <c r="E604" s="345">
        <v>46042.0</v>
      </c>
      <c r="F604" s="342">
        <v>886.0</v>
      </c>
      <c r="G604" s="344">
        <v>46010.0</v>
      </c>
      <c r="H604" s="339" t="s">
        <v>2006</v>
      </c>
      <c r="I604" s="339" t="s">
        <v>2001</v>
      </c>
      <c r="J604" s="339">
        <v>9.96</v>
      </c>
      <c r="K604" s="339" t="s">
        <v>74</v>
      </c>
      <c r="L604" s="346">
        <v>52800.0</v>
      </c>
      <c r="M604" s="105">
        <f t="shared" si="10"/>
        <v>525888</v>
      </c>
      <c r="N604" s="347" t="s">
        <v>2003</v>
      </c>
      <c r="O604" s="339" t="s">
        <v>1561</v>
      </c>
      <c r="P604" s="300"/>
      <c r="Q604" s="300"/>
      <c r="R604" s="300"/>
      <c r="S604" s="300"/>
      <c r="T604" s="300"/>
      <c r="U604" s="300"/>
      <c r="V604" s="300"/>
      <c r="W604" s="300"/>
      <c r="X604" s="300"/>
      <c r="Y604" s="300"/>
      <c r="Z604" s="300"/>
      <c r="AA604" s="300"/>
      <c r="AB604" s="300"/>
      <c r="AC604" s="300"/>
    </row>
    <row r="605">
      <c r="A605" s="312"/>
      <c r="B605" s="348">
        <v>139272.0</v>
      </c>
      <c r="C605" s="349">
        <v>46020.0</v>
      </c>
      <c r="D605" s="348" t="s">
        <v>2007</v>
      </c>
      <c r="E605" s="350">
        <v>46027.0</v>
      </c>
      <c r="F605" s="351">
        <v>889.0</v>
      </c>
      <c r="G605" s="349">
        <v>46020.0</v>
      </c>
      <c r="H605" s="339" t="s">
        <v>38</v>
      </c>
      <c r="I605" s="339" t="s">
        <v>1942</v>
      </c>
      <c r="J605" s="339">
        <v>480.0</v>
      </c>
      <c r="K605" s="339" t="s">
        <v>39</v>
      </c>
      <c r="L605" s="346">
        <v>20.0</v>
      </c>
      <c r="M605" s="105">
        <f t="shared" si="10"/>
        <v>9600</v>
      </c>
      <c r="N605" s="347" t="s">
        <v>2008</v>
      </c>
      <c r="O605" s="339" t="s">
        <v>2009</v>
      </c>
      <c r="P605" s="300"/>
      <c r="Q605" s="300"/>
      <c r="R605" s="300"/>
      <c r="S605" s="300"/>
      <c r="T605" s="300"/>
      <c r="U605" s="300"/>
      <c r="V605" s="300"/>
      <c r="W605" s="300"/>
      <c r="X605" s="300"/>
      <c r="Y605" s="300"/>
      <c r="Z605" s="300"/>
      <c r="AA605" s="300"/>
      <c r="AB605" s="300"/>
      <c r="AC605" s="300"/>
    </row>
    <row r="606">
      <c r="A606" s="312"/>
      <c r="B606" s="48"/>
      <c r="C606" s="48"/>
      <c r="D606" s="48"/>
      <c r="E606" s="48"/>
      <c r="F606" s="48"/>
      <c r="G606" s="48"/>
      <c r="H606" s="339" t="s">
        <v>2010</v>
      </c>
      <c r="I606" s="339" t="s">
        <v>1942</v>
      </c>
      <c r="J606" s="339">
        <v>210.0</v>
      </c>
      <c r="K606" s="339" t="s">
        <v>25</v>
      </c>
      <c r="L606" s="346">
        <v>48.5</v>
      </c>
      <c r="M606" s="105">
        <f t="shared" si="10"/>
        <v>10185</v>
      </c>
      <c r="N606" s="347" t="s">
        <v>2008</v>
      </c>
      <c r="O606" s="339" t="s">
        <v>2009</v>
      </c>
      <c r="P606" s="300"/>
      <c r="Q606" s="300"/>
      <c r="R606" s="300"/>
      <c r="S606" s="300"/>
      <c r="T606" s="300"/>
      <c r="U606" s="300"/>
      <c r="V606" s="300"/>
      <c r="W606" s="300"/>
      <c r="X606" s="300"/>
      <c r="Y606" s="300"/>
      <c r="Z606" s="300"/>
      <c r="AA606" s="300"/>
      <c r="AB606" s="300"/>
      <c r="AC606" s="300"/>
    </row>
    <row r="607">
      <c r="A607" s="312"/>
      <c r="B607" s="339">
        <v>2156865.0</v>
      </c>
      <c r="C607" s="344">
        <v>46021.0</v>
      </c>
      <c r="D607" s="339" t="s">
        <v>2007</v>
      </c>
      <c r="E607" s="371">
        <v>46027.0</v>
      </c>
      <c r="F607" s="342">
        <v>889.0</v>
      </c>
      <c r="G607" s="344">
        <v>46020.0</v>
      </c>
      <c r="H607" s="339" t="s">
        <v>23</v>
      </c>
      <c r="I607" s="339" t="s">
        <v>1942</v>
      </c>
      <c r="J607" s="339">
        <v>2640.0</v>
      </c>
      <c r="K607" s="339" t="s">
        <v>25</v>
      </c>
      <c r="L607" s="346">
        <v>66.14</v>
      </c>
      <c r="M607" s="105">
        <f t="shared" si="10"/>
        <v>174609.6</v>
      </c>
      <c r="N607" s="347" t="s">
        <v>91</v>
      </c>
      <c r="O607" s="339" t="s">
        <v>2011</v>
      </c>
      <c r="P607" s="300"/>
      <c r="Q607" s="300"/>
      <c r="R607" s="300"/>
      <c r="S607" s="300"/>
      <c r="T607" s="300"/>
      <c r="U607" s="300"/>
      <c r="V607" s="300"/>
      <c r="W607" s="300"/>
      <c r="X607" s="300"/>
      <c r="Y607" s="300"/>
      <c r="Z607" s="300"/>
      <c r="AA607" s="300"/>
      <c r="AB607" s="300"/>
      <c r="AC607" s="300"/>
    </row>
    <row r="608">
      <c r="A608" s="312"/>
      <c r="B608" s="339">
        <v>4695.0</v>
      </c>
      <c r="C608" s="344">
        <v>46024.0</v>
      </c>
      <c r="D608" s="339" t="s">
        <v>2007</v>
      </c>
      <c r="E608" s="345">
        <v>46027.0</v>
      </c>
      <c r="F608" s="342">
        <v>892.0</v>
      </c>
      <c r="G608" s="344">
        <v>46024.0</v>
      </c>
      <c r="H608" s="339" t="s">
        <v>36</v>
      </c>
      <c r="I608" s="339" t="s">
        <v>1942</v>
      </c>
      <c r="J608" s="339">
        <v>439.991</v>
      </c>
      <c r="K608" s="339" t="s">
        <v>25</v>
      </c>
      <c r="L608" s="346">
        <v>63.44</v>
      </c>
      <c r="M608" s="105">
        <f t="shared" si="10"/>
        <v>27913.02904</v>
      </c>
      <c r="N608" s="347" t="s">
        <v>91</v>
      </c>
      <c r="O608" s="339" t="s">
        <v>2011</v>
      </c>
      <c r="P608" s="300"/>
      <c r="Q608" s="300"/>
      <c r="R608" s="300"/>
      <c r="S608" s="300"/>
      <c r="T608" s="300"/>
      <c r="U608" s="300"/>
      <c r="V608" s="300"/>
      <c r="W608" s="300"/>
      <c r="X608" s="300"/>
      <c r="Y608" s="300"/>
      <c r="Z608" s="300"/>
      <c r="AA608" s="300"/>
      <c r="AB608" s="300"/>
      <c r="AC608" s="300"/>
    </row>
    <row r="609">
      <c r="A609" s="312"/>
      <c r="B609" s="339">
        <v>1.0006307E7</v>
      </c>
      <c r="C609" s="344">
        <v>46024.0</v>
      </c>
      <c r="D609" s="339" t="s">
        <v>2007</v>
      </c>
      <c r="E609" s="345">
        <v>46027.0</v>
      </c>
      <c r="F609" s="342">
        <v>892.0</v>
      </c>
      <c r="G609" s="344">
        <v>46024.0</v>
      </c>
      <c r="H609" s="339" t="s">
        <v>23</v>
      </c>
      <c r="I609" s="339" t="s">
        <v>1942</v>
      </c>
      <c r="J609" s="339">
        <v>2640.0</v>
      </c>
      <c r="K609" s="339" t="s">
        <v>25</v>
      </c>
      <c r="L609" s="346">
        <v>62.76</v>
      </c>
      <c r="M609" s="105">
        <f t="shared" si="10"/>
        <v>165686.4</v>
      </c>
      <c r="N609" s="347" t="s">
        <v>91</v>
      </c>
      <c r="O609" s="339" t="s">
        <v>2011</v>
      </c>
      <c r="P609" s="300"/>
      <c r="Q609" s="300"/>
      <c r="R609" s="300"/>
      <c r="S609" s="300"/>
      <c r="T609" s="300"/>
      <c r="U609" s="300"/>
      <c r="V609" s="300"/>
      <c r="W609" s="300"/>
      <c r="X609" s="300"/>
      <c r="Y609" s="300"/>
      <c r="Z609" s="300"/>
      <c r="AA609" s="300"/>
      <c r="AB609" s="300"/>
      <c r="AC609" s="300"/>
    </row>
    <row r="610">
      <c r="A610" s="312"/>
      <c r="B610" s="339">
        <v>1.0163656E7</v>
      </c>
      <c r="C610" s="344">
        <v>45992.0</v>
      </c>
      <c r="D610" s="339" t="s">
        <v>2012</v>
      </c>
      <c r="E610" s="345">
        <v>46027.0</v>
      </c>
      <c r="F610" s="342" t="s">
        <v>92</v>
      </c>
      <c r="G610" s="344">
        <v>45992.0</v>
      </c>
      <c r="H610" s="339" t="s">
        <v>2013</v>
      </c>
      <c r="I610" s="339" t="s">
        <v>1729</v>
      </c>
      <c r="J610" s="339">
        <v>29600.0</v>
      </c>
      <c r="K610" s="339" t="s">
        <v>2014</v>
      </c>
      <c r="L610" s="346">
        <v>2.66</v>
      </c>
      <c r="M610" s="105">
        <f t="shared" si="10"/>
        <v>78736</v>
      </c>
      <c r="N610" s="347" t="s">
        <v>1730</v>
      </c>
      <c r="O610" s="339" t="s">
        <v>2015</v>
      </c>
      <c r="P610" s="300"/>
      <c r="Q610" s="300"/>
      <c r="R610" s="300"/>
      <c r="S610" s="300"/>
      <c r="T610" s="300"/>
      <c r="U610" s="300"/>
      <c r="V610" s="300"/>
      <c r="W610" s="300"/>
      <c r="X610" s="300"/>
      <c r="Y610" s="300"/>
      <c r="Z610" s="300"/>
      <c r="AA610" s="300"/>
      <c r="AB610" s="300"/>
      <c r="AC610" s="300"/>
    </row>
    <row r="611">
      <c r="A611" s="312"/>
      <c r="B611" s="348">
        <v>1466.0</v>
      </c>
      <c r="C611" s="349">
        <v>46058.0</v>
      </c>
      <c r="D611" s="348" t="s">
        <v>2016</v>
      </c>
      <c r="E611" s="350">
        <v>46064.0</v>
      </c>
      <c r="F611" s="351">
        <v>1012.0</v>
      </c>
      <c r="G611" s="372">
        <v>46058.0</v>
      </c>
      <c r="H611" s="339" t="s">
        <v>23</v>
      </c>
      <c r="I611" s="339" t="s">
        <v>1942</v>
      </c>
      <c r="J611" s="339">
        <v>2640.0</v>
      </c>
      <c r="K611" s="339" t="s">
        <v>25</v>
      </c>
      <c r="L611" s="346">
        <v>64.91</v>
      </c>
      <c r="M611" s="105">
        <f t="shared" si="10"/>
        <v>171362.4</v>
      </c>
      <c r="N611" s="347" t="s">
        <v>1689</v>
      </c>
      <c r="O611" s="339" t="s">
        <v>1930</v>
      </c>
      <c r="P611" s="300"/>
      <c r="Q611" s="300"/>
      <c r="R611" s="300"/>
      <c r="S611" s="300"/>
      <c r="T611" s="300"/>
      <c r="U611" s="300"/>
      <c r="V611" s="300"/>
      <c r="W611" s="300"/>
      <c r="X611" s="300"/>
      <c r="Y611" s="300"/>
      <c r="Z611" s="300"/>
      <c r="AA611" s="300"/>
      <c r="AB611" s="300"/>
      <c r="AC611" s="300"/>
    </row>
    <row r="612">
      <c r="A612" s="312"/>
      <c r="B612" s="48"/>
      <c r="C612" s="48"/>
      <c r="D612" s="48"/>
      <c r="E612" s="48"/>
      <c r="F612" s="48"/>
      <c r="G612" s="48"/>
      <c r="H612" s="339" t="s">
        <v>1941</v>
      </c>
      <c r="I612" s="339" t="s">
        <v>1949</v>
      </c>
      <c r="J612" s="366">
        <v>0.05</v>
      </c>
      <c r="K612" s="339" t="s">
        <v>838</v>
      </c>
      <c r="L612" s="373">
        <v>0.05</v>
      </c>
      <c r="M612" s="352">
        <v>8160.12</v>
      </c>
      <c r="N612" s="347" t="s">
        <v>1941</v>
      </c>
      <c r="O612" s="339" t="s">
        <v>2017</v>
      </c>
      <c r="P612" s="300"/>
      <c r="Q612" s="300"/>
      <c r="R612" s="300"/>
      <c r="S612" s="300"/>
      <c r="T612" s="300"/>
      <c r="U612" s="300"/>
      <c r="V612" s="300"/>
      <c r="W612" s="300"/>
      <c r="X612" s="300"/>
      <c r="Y612" s="300"/>
      <c r="Z612" s="300"/>
      <c r="AA612" s="300"/>
      <c r="AB612" s="300"/>
      <c r="AC612" s="300"/>
    </row>
    <row r="613">
      <c r="A613" s="312"/>
      <c r="B613" s="348">
        <v>1481.0</v>
      </c>
      <c r="C613" s="349">
        <v>46063.0</v>
      </c>
      <c r="D613" s="348" t="s">
        <v>2016</v>
      </c>
      <c r="E613" s="350">
        <v>46064.0</v>
      </c>
      <c r="F613" s="351">
        <v>1014.0</v>
      </c>
      <c r="G613" s="349">
        <v>46063.0</v>
      </c>
      <c r="H613" s="339" t="s">
        <v>23</v>
      </c>
      <c r="I613" s="339" t="s">
        <v>1942</v>
      </c>
      <c r="J613" s="339">
        <v>2640.0</v>
      </c>
      <c r="K613" s="339" t="s">
        <v>25</v>
      </c>
      <c r="L613" s="346">
        <v>64.91</v>
      </c>
      <c r="M613" s="105">
        <f>L613*J613</f>
        <v>171362.4</v>
      </c>
      <c r="N613" s="347" t="s">
        <v>1689</v>
      </c>
      <c r="O613" s="339" t="s">
        <v>1930</v>
      </c>
      <c r="P613" s="300"/>
      <c r="Q613" s="300"/>
      <c r="R613" s="300"/>
      <c r="S613" s="300"/>
      <c r="T613" s="300"/>
      <c r="U613" s="300"/>
      <c r="V613" s="300"/>
      <c r="W613" s="300"/>
      <c r="X613" s="300"/>
      <c r="Y613" s="300"/>
      <c r="Z613" s="300"/>
      <c r="AA613" s="300"/>
      <c r="AB613" s="300"/>
      <c r="AC613" s="300"/>
    </row>
    <row r="614">
      <c r="A614" s="312"/>
      <c r="B614" s="48"/>
      <c r="C614" s="48"/>
      <c r="D614" s="48"/>
      <c r="E614" s="48"/>
      <c r="F614" s="48"/>
      <c r="G614" s="48"/>
      <c r="H614" s="339" t="s">
        <v>1941</v>
      </c>
      <c r="I614" s="339" t="s">
        <v>1949</v>
      </c>
      <c r="J614" s="339" t="s">
        <v>92</v>
      </c>
      <c r="K614" s="339" t="s">
        <v>838</v>
      </c>
      <c r="L614" s="373">
        <v>0.05</v>
      </c>
      <c r="M614" s="352">
        <v>8160.12</v>
      </c>
      <c r="N614" s="347" t="s">
        <v>1941</v>
      </c>
      <c r="O614" s="339" t="s">
        <v>2017</v>
      </c>
      <c r="P614" s="300"/>
      <c r="Q614" s="300"/>
      <c r="R614" s="300"/>
      <c r="S614" s="300"/>
      <c r="T614" s="300"/>
      <c r="U614" s="300"/>
      <c r="V614" s="300"/>
      <c r="W614" s="300"/>
      <c r="X614" s="300"/>
      <c r="Y614" s="300"/>
      <c r="Z614" s="300"/>
      <c r="AA614" s="300"/>
      <c r="AB614" s="300"/>
      <c r="AC614" s="300"/>
    </row>
    <row r="615">
      <c r="A615" s="312"/>
      <c r="B615" s="348">
        <v>1483.0</v>
      </c>
      <c r="C615" s="349">
        <v>46063.0</v>
      </c>
      <c r="D615" s="348" t="s">
        <v>2016</v>
      </c>
      <c r="E615" s="350">
        <v>46064.0</v>
      </c>
      <c r="F615" s="351">
        <v>1014.0</v>
      </c>
      <c r="G615" s="349">
        <v>46063.0</v>
      </c>
      <c r="H615" s="339" t="s">
        <v>36</v>
      </c>
      <c r="I615" s="339" t="s">
        <v>1942</v>
      </c>
      <c r="J615" s="339">
        <v>440.0</v>
      </c>
      <c r="K615" s="339" t="s">
        <v>25</v>
      </c>
      <c r="L615" s="346">
        <v>60.68</v>
      </c>
      <c r="M615" s="105">
        <f>L615*J615</f>
        <v>26699.2</v>
      </c>
      <c r="N615" s="347" t="s">
        <v>1689</v>
      </c>
      <c r="O615" s="339" t="s">
        <v>1930</v>
      </c>
      <c r="P615" s="300"/>
      <c r="Q615" s="300"/>
      <c r="R615" s="300"/>
      <c r="S615" s="300"/>
      <c r="T615" s="300"/>
      <c r="U615" s="300"/>
      <c r="V615" s="300"/>
      <c r="W615" s="300"/>
      <c r="X615" s="300"/>
      <c r="Y615" s="300"/>
      <c r="Z615" s="300"/>
      <c r="AA615" s="300"/>
      <c r="AB615" s="300"/>
      <c r="AC615" s="300"/>
    </row>
    <row r="616">
      <c r="A616" s="312"/>
      <c r="B616" s="48"/>
      <c r="C616" s="48"/>
      <c r="D616" s="48"/>
      <c r="E616" s="48"/>
      <c r="F616" s="48"/>
      <c r="G616" s="48"/>
      <c r="H616" s="339" t="s">
        <v>1941</v>
      </c>
      <c r="I616" s="339" t="s">
        <v>1949</v>
      </c>
      <c r="J616" s="339" t="s">
        <v>92</v>
      </c>
      <c r="K616" s="339" t="s">
        <v>838</v>
      </c>
      <c r="L616" s="373">
        <v>0.05</v>
      </c>
      <c r="M616" s="352">
        <v>1271.4</v>
      </c>
      <c r="N616" s="347" t="s">
        <v>1941</v>
      </c>
      <c r="O616" s="339" t="s">
        <v>2017</v>
      </c>
      <c r="P616" s="300"/>
      <c r="Q616" s="300"/>
      <c r="R616" s="300"/>
      <c r="S616" s="300"/>
      <c r="T616" s="300"/>
      <c r="U616" s="300"/>
      <c r="V616" s="300"/>
      <c r="W616" s="300"/>
      <c r="X616" s="300"/>
      <c r="Y616" s="300"/>
      <c r="Z616" s="300"/>
      <c r="AA616" s="300"/>
      <c r="AB616" s="300"/>
      <c r="AC616" s="300"/>
    </row>
    <row r="617">
      <c r="A617" s="312"/>
      <c r="B617" s="348">
        <v>9178.0</v>
      </c>
      <c r="C617" s="349">
        <v>46063.0</v>
      </c>
      <c r="D617" s="348" t="s">
        <v>2016</v>
      </c>
      <c r="E617" s="350">
        <v>46064.0</v>
      </c>
      <c r="F617" s="351">
        <v>1014.0</v>
      </c>
      <c r="G617" s="349">
        <v>46063.0</v>
      </c>
      <c r="H617" s="339" t="s">
        <v>38</v>
      </c>
      <c r="I617" s="339" t="s">
        <v>1942</v>
      </c>
      <c r="J617" s="339">
        <v>480.0</v>
      </c>
      <c r="K617" s="339" t="s">
        <v>39</v>
      </c>
      <c r="L617" s="346">
        <v>20.0</v>
      </c>
      <c r="M617" s="105">
        <f>L617*J617</f>
        <v>9600</v>
      </c>
      <c r="N617" s="347" t="s">
        <v>2008</v>
      </c>
      <c r="O617" s="339" t="s">
        <v>1930</v>
      </c>
      <c r="P617" s="300"/>
      <c r="Q617" s="300"/>
      <c r="R617" s="300"/>
      <c r="S617" s="300"/>
      <c r="T617" s="300"/>
      <c r="U617" s="300"/>
      <c r="V617" s="300"/>
      <c r="W617" s="300"/>
      <c r="X617" s="300"/>
      <c r="Y617" s="300"/>
      <c r="Z617" s="300"/>
      <c r="AA617" s="300"/>
      <c r="AB617" s="300"/>
      <c r="AC617" s="300"/>
    </row>
    <row r="618">
      <c r="A618" s="312"/>
      <c r="B618" s="48"/>
      <c r="C618" s="48"/>
      <c r="D618" s="48"/>
      <c r="E618" s="48"/>
      <c r="F618" s="48"/>
      <c r="G618" s="48"/>
      <c r="H618" s="339" t="s">
        <v>1941</v>
      </c>
      <c r="I618" s="339" t="s">
        <v>1949</v>
      </c>
      <c r="J618" s="366">
        <v>0.05</v>
      </c>
      <c r="K618" s="339" t="s">
        <v>838</v>
      </c>
      <c r="L618" s="346" t="s">
        <v>22</v>
      </c>
      <c r="M618" s="352">
        <v>480.0</v>
      </c>
      <c r="N618" s="347" t="s">
        <v>1941</v>
      </c>
      <c r="O618" s="339" t="s">
        <v>2017</v>
      </c>
      <c r="P618" s="300"/>
      <c r="Q618" s="300"/>
      <c r="R618" s="300"/>
      <c r="S618" s="300"/>
      <c r="T618" s="300"/>
      <c r="U618" s="300"/>
      <c r="V618" s="300"/>
      <c r="W618" s="300"/>
      <c r="X618" s="300"/>
      <c r="Y618" s="300"/>
      <c r="Z618" s="300"/>
      <c r="AA618" s="300"/>
      <c r="AB618" s="300"/>
      <c r="AC618" s="300"/>
    </row>
    <row r="619">
      <c r="A619" s="312"/>
      <c r="B619" s="339">
        <v>584.0</v>
      </c>
      <c r="C619" s="344">
        <v>46057.0</v>
      </c>
      <c r="D619" s="339" t="s">
        <v>2016</v>
      </c>
      <c r="E619" s="345">
        <v>46064.0</v>
      </c>
      <c r="F619" s="342">
        <v>1015.0</v>
      </c>
      <c r="G619" s="344">
        <v>46063.0</v>
      </c>
      <c r="H619" s="339" t="s">
        <v>2010</v>
      </c>
      <c r="I619" s="339" t="s">
        <v>1942</v>
      </c>
      <c r="J619" s="339">
        <v>420.0</v>
      </c>
      <c r="K619" s="339" t="s">
        <v>25</v>
      </c>
      <c r="L619" s="346">
        <v>49.5</v>
      </c>
      <c r="M619" s="105">
        <f t="shared" ref="M619:M624" si="11">L619*J619</f>
        <v>20790</v>
      </c>
      <c r="N619" s="347" t="s">
        <v>2018</v>
      </c>
      <c r="O619" s="339" t="s">
        <v>1930</v>
      </c>
      <c r="P619" s="300"/>
      <c r="Q619" s="300"/>
      <c r="R619" s="300"/>
      <c r="S619" s="300"/>
      <c r="T619" s="300"/>
      <c r="U619" s="300"/>
      <c r="V619" s="300"/>
      <c r="W619" s="300"/>
      <c r="X619" s="300"/>
      <c r="Y619" s="300"/>
      <c r="Z619" s="300"/>
      <c r="AA619" s="300"/>
      <c r="AB619" s="300"/>
      <c r="AC619" s="300"/>
    </row>
    <row r="620">
      <c r="A620" s="312"/>
      <c r="B620" s="339">
        <v>7523.0</v>
      </c>
      <c r="C620" s="344">
        <v>45992.0</v>
      </c>
      <c r="D620" s="339" t="s">
        <v>2019</v>
      </c>
      <c r="E620" s="345">
        <v>46064.0</v>
      </c>
      <c r="F620" s="342">
        <v>7523.0</v>
      </c>
      <c r="G620" s="344">
        <v>45992.0</v>
      </c>
      <c r="H620" s="339" t="s">
        <v>2020</v>
      </c>
      <c r="I620" s="339" t="s">
        <v>1597</v>
      </c>
      <c r="J620" s="339">
        <v>21.0</v>
      </c>
      <c r="K620" s="339" t="s">
        <v>174</v>
      </c>
      <c r="L620" s="346">
        <v>3753.08</v>
      </c>
      <c r="M620" s="105">
        <f t="shared" si="11"/>
        <v>78814.68</v>
      </c>
      <c r="N620" s="347" t="s">
        <v>48</v>
      </c>
      <c r="O620" s="339" t="s">
        <v>2021</v>
      </c>
      <c r="P620" s="300"/>
      <c r="Q620" s="300"/>
      <c r="R620" s="300"/>
      <c r="S620" s="300"/>
      <c r="T620" s="300"/>
      <c r="U620" s="300"/>
      <c r="V620" s="300"/>
      <c r="W620" s="300"/>
      <c r="X620" s="300"/>
      <c r="Y620" s="300"/>
      <c r="Z620" s="300"/>
      <c r="AA620" s="300"/>
      <c r="AB620" s="300"/>
      <c r="AC620" s="300"/>
    </row>
    <row r="621">
      <c r="A621" s="312"/>
      <c r="B621" s="339">
        <v>1882.0</v>
      </c>
      <c r="C621" s="344">
        <v>45992.0</v>
      </c>
      <c r="D621" s="339" t="s">
        <v>2019</v>
      </c>
      <c r="E621" s="345">
        <v>46064.0</v>
      </c>
      <c r="F621" s="342">
        <v>1882.0</v>
      </c>
      <c r="G621" s="344">
        <v>45992.0</v>
      </c>
      <c r="H621" s="339" t="s">
        <v>1758</v>
      </c>
      <c r="I621" s="339" t="s">
        <v>1597</v>
      </c>
      <c r="J621" s="339">
        <v>17.0</v>
      </c>
      <c r="K621" s="339" t="s">
        <v>174</v>
      </c>
      <c r="L621" s="346">
        <v>5923.08</v>
      </c>
      <c r="M621" s="105">
        <f t="shared" si="11"/>
        <v>100692.36</v>
      </c>
      <c r="N621" s="347" t="s">
        <v>48</v>
      </c>
      <c r="O621" s="339" t="s">
        <v>2022</v>
      </c>
      <c r="P621" s="300"/>
      <c r="Q621" s="300"/>
      <c r="R621" s="300"/>
      <c r="S621" s="300"/>
      <c r="T621" s="300"/>
      <c r="U621" s="300"/>
      <c r="V621" s="300"/>
      <c r="W621" s="300"/>
      <c r="X621" s="300"/>
      <c r="Y621" s="300"/>
      <c r="Z621" s="300"/>
      <c r="AA621" s="300"/>
      <c r="AB621" s="300"/>
      <c r="AC621" s="300"/>
    </row>
    <row r="622">
      <c r="A622" s="312"/>
      <c r="B622" s="339">
        <v>45270.0</v>
      </c>
      <c r="C622" s="344">
        <v>46022.0</v>
      </c>
      <c r="D622" s="339" t="s">
        <v>2023</v>
      </c>
      <c r="E622" s="345">
        <v>45699.0</v>
      </c>
      <c r="F622" s="342">
        <v>45270.0</v>
      </c>
      <c r="G622" s="344">
        <v>46022.0</v>
      </c>
      <c r="H622" s="339" t="s">
        <v>2024</v>
      </c>
      <c r="I622" s="339" t="s">
        <v>1597</v>
      </c>
      <c r="J622" s="339">
        <v>19.5</v>
      </c>
      <c r="K622" s="339" t="s">
        <v>174</v>
      </c>
      <c r="L622" s="346">
        <v>7038.46</v>
      </c>
      <c r="M622" s="105">
        <f t="shared" si="11"/>
        <v>137249.97</v>
      </c>
      <c r="N622" s="347" t="s">
        <v>48</v>
      </c>
      <c r="O622" s="339" t="s">
        <v>2025</v>
      </c>
      <c r="P622" s="300"/>
      <c r="Q622" s="300"/>
      <c r="R622" s="300"/>
      <c r="S622" s="300"/>
      <c r="T622" s="300"/>
      <c r="U622" s="300"/>
      <c r="V622" s="300"/>
      <c r="W622" s="300"/>
      <c r="X622" s="300"/>
      <c r="Y622" s="300"/>
      <c r="Z622" s="300"/>
      <c r="AA622" s="300"/>
      <c r="AB622" s="300"/>
      <c r="AC622" s="300"/>
    </row>
    <row r="623">
      <c r="A623" s="312"/>
      <c r="B623" s="339">
        <v>11053.0</v>
      </c>
      <c r="C623" s="344">
        <v>46041.0</v>
      </c>
      <c r="D623" s="339" t="s">
        <v>2023</v>
      </c>
      <c r="E623" s="345">
        <v>46064.0</v>
      </c>
      <c r="F623" s="342">
        <v>11053.0</v>
      </c>
      <c r="G623" s="344">
        <v>46041.0</v>
      </c>
      <c r="H623" s="339" t="s">
        <v>1758</v>
      </c>
      <c r="I623" s="339" t="s">
        <v>1597</v>
      </c>
      <c r="J623" s="339">
        <v>5.0</v>
      </c>
      <c r="K623" s="339" t="s">
        <v>174</v>
      </c>
      <c r="L623" s="346">
        <v>5923.08</v>
      </c>
      <c r="M623" s="105">
        <f t="shared" si="11"/>
        <v>29615.4</v>
      </c>
      <c r="N623" s="347" t="s">
        <v>48</v>
      </c>
      <c r="O623" s="339" t="s">
        <v>2026</v>
      </c>
      <c r="P623" s="300"/>
      <c r="Q623" s="300"/>
      <c r="R623" s="300"/>
      <c r="S623" s="300"/>
      <c r="T623" s="300"/>
      <c r="U623" s="300"/>
      <c r="V623" s="300"/>
      <c r="W623" s="300"/>
      <c r="X623" s="300"/>
      <c r="Y623" s="300"/>
      <c r="Z623" s="300"/>
      <c r="AA623" s="300"/>
      <c r="AB623" s="300"/>
      <c r="AC623" s="300"/>
    </row>
    <row r="624">
      <c r="A624" s="312"/>
      <c r="B624" s="348">
        <v>2.0</v>
      </c>
      <c r="C624" s="349">
        <v>46029.0</v>
      </c>
      <c r="D624" s="348" t="s">
        <v>2027</v>
      </c>
      <c r="E624" s="350">
        <v>46062.0</v>
      </c>
      <c r="F624" s="351">
        <v>574.0</v>
      </c>
      <c r="G624" s="349">
        <v>46029.0</v>
      </c>
      <c r="H624" s="339" t="s">
        <v>2028</v>
      </c>
      <c r="I624" s="339" t="s">
        <v>1963</v>
      </c>
      <c r="J624" s="339">
        <v>1800.0</v>
      </c>
      <c r="K624" s="339" t="s">
        <v>391</v>
      </c>
      <c r="L624" s="346">
        <v>430.0</v>
      </c>
      <c r="M624" s="105">
        <f t="shared" si="11"/>
        <v>774000</v>
      </c>
      <c r="N624" s="347" t="s">
        <v>208</v>
      </c>
      <c r="O624" s="339" t="s">
        <v>2029</v>
      </c>
      <c r="P624" s="300"/>
      <c r="Q624" s="300"/>
      <c r="R624" s="300"/>
      <c r="S624" s="300"/>
      <c r="T624" s="300"/>
      <c r="U624" s="300"/>
      <c r="V624" s="300"/>
      <c r="W624" s="300"/>
      <c r="X624" s="300"/>
      <c r="Y624" s="300"/>
      <c r="Z624" s="300"/>
      <c r="AA624" s="300"/>
      <c r="AB624" s="300"/>
      <c r="AC624" s="300"/>
    </row>
    <row r="625">
      <c r="A625" s="312"/>
      <c r="B625" s="48"/>
      <c r="C625" s="48"/>
      <c r="D625" s="48"/>
      <c r="E625" s="48"/>
      <c r="F625" s="48"/>
      <c r="G625" s="48"/>
      <c r="H625" s="339" t="s">
        <v>1941</v>
      </c>
      <c r="I625" s="339" t="s">
        <v>1949</v>
      </c>
      <c r="J625" s="339" t="s">
        <v>160</v>
      </c>
      <c r="K625" s="366">
        <v>0.05</v>
      </c>
      <c r="L625" s="346" t="s">
        <v>160</v>
      </c>
      <c r="M625" s="352">
        <v>38700.0</v>
      </c>
      <c r="N625" s="347" t="s">
        <v>1941</v>
      </c>
      <c r="O625" s="339" t="s">
        <v>2017</v>
      </c>
      <c r="P625" s="300"/>
      <c r="Q625" s="300"/>
      <c r="R625" s="300"/>
      <c r="S625" s="300"/>
      <c r="T625" s="300"/>
      <c r="U625" s="300"/>
      <c r="V625" s="300"/>
      <c r="W625" s="300"/>
      <c r="X625" s="300"/>
      <c r="Y625" s="300"/>
      <c r="Z625" s="300"/>
      <c r="AA625" s="300"/>
      <c r="AB625" s="300"/>
      <c r="AC625" s="300"/>
    </row>
    <row r="626">
      <c r="A626" s="312"/>
      <c r="B626" s="339">
        <v>43592.0</v>
      </c>
      <c r="C626" s="344">
        <v>46022.0</v>
      </c>
      <c r="D626" s="339" t="s">
        <v>2030</v>
      </c>
      <c r="E626" s="345">
        <v>46057.0</v>
      </c>
      <c r="F626" s="342">
        <v>43592.0</v>
      </c>
      <c r="G626" s="344">
        <v>46022.0</v>
      </c>
      <c r="H626" s="339" t="s">
        <v>1997</v>
      </c>
      <c r="I626" s="339" t="s">
        <v>1597</v>
      </c>
      <c r="J626" s="339">
        <v>1.0</v>
      </c>
      <c r="K626" s="339" t="s">
        <v>47</v>
      </c>
      <c r="L626" s="346">
        <v>97500.0</v>
      </c>
      <c r="M626" s="105">
        <f t="shared" ref="M626:M651" si="12">L626*J626</f>
        <v>97500</v>
      </c>
      <c r="N626" s="347" t="s">
        <v>208</v>
      </c>
      <c r="O626" s="339" t="s">
        <v>2031</v>
      </c>
      <c r="P626" s="300"/>
      <c r="Q626" s="300"/>
      <c r="R626" s="300"/>
      <c r="S626" s="300"/>
      <c r="T626" s="300"/>
      <c r="U626" s="300"/>
      <c r="V626" s="300"/>
      <c r="W626" s="300"/>
      <c r="X626" s="300"/>
      <c r="Y626" s="300"/>
      <c r="Z626" s="300"/>
      <c r="AA626" s="300"/>
      <c r="AB626" s="300"/>
      <c r="AC626" s="300"/>
    </row>
    <row r="627">
      <c r="A627" s="312"/>
      <c r="B627" s="339">
        <v>41525.0</v>
      </c>
      <c r="C627" s="344">
        <v>46022.0</v>
      </c>
      <c r="D627" s="339" t="s">
        <v>2030</v>
      </c>
      <c r="E627" s="345">
        <v>46057.0</v>
      </c>
      <c r="F627" s="342">
        <v>41525.0</v>
      </c>
      <c r="G627" s="344">
        <v>46022.0</v>
      </c>
      <c r="H627" s="339" t="s">
        <v>2032</v>
      </c>
      <c r="I627" s="339" t="s">
        <v>1597</v>
      </c>
      <c r="J627" s="339">
        <v>20.0</v>
      </c>
      <c r="K627" s="339" t="s">
        <v>174</v>
      </c>
      <c r="L627" s="346">
        <v>8692.3</v>
      </c>
      <c r="M627" s="105">
        <f t="shared" si="12"/>
        <v>173846</v>
      </c>
      <c r="N627" s="347" t="s">
        <v>208</v>
      </c>
      <c r="O627" s="339" t="s">
        <v>2033</v>
      </c>
      <c r="P627" s="300"/>
      <c r="Q627" s="300"/>
      <c r="R627" s="300"/>
      <c r="S627" s="300"/>
      <c r="T627" s="300"/>
      <c r="U627" s="300"/>
      <c r="V627" s="300"/>
      <c r="W627" s="300"/>
      <c r="X627" s="300"/>
      <c r="Y627" s="300"/>
      <c r="Z627" s="300"/>
      <c r="AA627" s="300"/>
      <c r="AB627" s="300"/>
      <c r="AC627" s="300"/>
    </row>
    <row r="628">
      <c r="A628" s="312"/>
      <c r="B628" s="348">
        <v>889.0</v>
      </c>
      <c r="C628" s="349">
        <v>46040.0</v>
      </c>
      <c r="D628" s="348" t="s">
        <v>2034</v>
      </c>
      <c r="E628" s="350">
        <v>46057.0</v>
      </c>
      <c r="F628" s="351">
        <v>1001.0</v>
      </c>
      <c r="G628" s="349">
        <v>46040.0</v>
      </c>
      <c r="H628" s="339" t="s">
        <v>2035</v>
      </c>
      <c r="I628" s="339" t="s">
        <v>2036</v>
      </c>
      <c r="J628" s="339">
        <v>1.0</v>
      </c>
      <c r="K628" s="339" t="s">
        <v>319</v>
      </c>
      <c r="L628" s="346">
        <v>1190.0</v>
      </c>
      <c r="M628" s="105">
        <f t="shared" si="12"/>
        <v>1190</v>
      </c>
      <c r="N628" s="347" t="s">
        <v>2037</v>
      </c>
      <c r="O628" s="339" t="s">
        <v>2038</v>
      </c>
      <c r="P628" s="300"/>
      <c r="Q628" s="300"/>
      <c r="R628" s="300"/>
      <c r="S628" s="300"/>
      <c r="T628" s="300"/>
      <c r="U628" s="300"/>
      <c r="V628" s="300"/>
      <c r="W628" s="300"/>
      <c r="X628" s="300"/>
      <c r="Y628" s="300"/>
      <c r="Z628" s="300"/>
      <c r="AA628" s="300"/>
      <c r="AB628" s="300"/>
      <c r="AC628" s="300"/>
    </row>
    <row r="629">
      <c r="A629" s="312"/>
      <c r="B629" s="47"/>
      <c r="C629" s="47"/>
      <c r="D629" s="47"/>
      <c r="E629" s="47"/>
      <c r="F629" s="47"/>
      <c r="G629" s="47"/>
      <c r="H629" s="339" t="s">
        <v>2039</v>
      </c>
      <c r="I629" s="339" t="s">
        <v>2036</v>
      </c>
      <c r="J629" s="339">
        <v>1.0</v>
      </c>
      <c r="K629" s="339" t="s">
        <v>319</v>
      </c>
      <c r="L629" s="346">
        <v>9300.0</v>
      </c>
      <c r="M629" s="105">
        <f t="shared" si="12"/>
        <v>9300</v>
      </c>
      <c r="N629" s="347" t="s">
        <v>2037</v>
      </c>
      <c r="O629" s="339" t="s">
        <v>2038</v>
      </c>
      <c r="P629" s="300"/>
      <c r="Q629" s="300"/>
      <c r="R629" s="300"/>
      <c r="S629" s="300"/>
      <c r="T629" s="300"/>
      <c r="U629" s="300"/>
      <c r="V629" s="300"/>
      <c r="W629" s="300"/>
      <c r="X629" s="300"/>
      <c r="Y629" s="300"/>
      <c r="Z629" s="300"/>
      <c r="AA629" s="300"/>
      <c r="AB629" s="300"/>
      <c r="AC629" s="300"/>
    </row>
    <row r="630">
      <c r="A630" s="312"/>
      <c r="B630" s="47"/>
      <c r="C630" s="47"/>
      <c r="D630" s="47"/>
      <c r="E630" s="47"/>
      <c r="F630" s="47"/>
      <c r="G630" s="47"/>
      <c r="H630" s="339" t="s">
        <v>2040</v>
      </c>
      <c r="I630" s="339" t="s">
        <v>2036</v>
      </c>
      <c r="J630" s="339">
        <v>1.0</v>
      </c>
      <c r="K630" s="339" t="s">
        <v>1168</v>
      </c>
      <c r="L630" s="346">
        <v>1270.0</v>
      </c>
      <c r="M630" s="105">
        <f t="shared" si="12"/>
        <v>1270</v>
      </c>
      <c r="N630" s="347" t="s">
        <v>2037</v>
      </c>
      <c r="O630" s="339" t="s">
        <v>2038</v>
      </c>
      <c r="P630" s="300"/>
      <c r="Q630" s="300"/>
      <c r="R630" s="300"/>
      <c r="S630" s="300"/>
      <c r="T630" s="300"/>
      <c r="U630" s="300"/>
      <c r="V630" s="300"/>
      <c r="W630" s="300"/>
      <c r="X630" s="300"/>
      <c r="Y630" s="300"/>
      <c r="Z630" s="300"/>
      <c r="AA630" s="300"/>
      <c r="AB630" s="300"/>
      <c r="AC630" s="300"/>
    </row>
    <row r="631">
      <c r="A631" s="312"/>
      <c r="B631" s="47"/>
      <c r="C631" s="47"/>
      <c r="D631" s="47"/>
      <c r="E631" s="47"/>
      <c r="F631" s="47"/>
      <c r="G631" s="47"/>
      <c r="H631" s="339" t="s">
        <v>2041</v>
      </c>
      <c r="I631" s="339" t="s">
        <v>2036</v>
      </c>
      <c r="J631" s="339">
        <v>1.0</v>
      </c>
      <c r="K631" s="339" t="s">
        <v>319</v>
      </c>
      <c r="L631" s="346">
        <v>2600.0</v>
      </c>
      <c r="M631" s="105">
        <f t="shared" si="12"/>
        <v>2600</v>
      </c>
      <c r="N631" s="347" t="s">
        <v>2037</v>
      </c>
      <c r="O631" s="339" t="s">
        <v>2038</v>
      </c>
      <c r="P631" s="300"/>
      <c r="Q631" s="300"/>
      <c r="R631" s="300"/>
      <c r="S631" s="300"/>
      <c r="T631" s="300"/>
      <c r="U631" s="300"/>
      <c r="V631" s="300"/>
      <c r="W631" s="300"/>
      <c r="X631" s="300"/>
      <c r="Y631" s="300"/>
      <c r="Z631" s="300"/>
      <c r="AA631" s="300"/>
      <c r="AB631" s="300"/>
      <c r="AC631" s="300"/>
    </row>
    <row r="632">
      <c r="A632" s="312"/>
      <c r="B632" s="47"/>
      <c r="C632" s="47"/>
      <c r="D632" s="47"/>
      <c r="E632" s="47"/>
      <c r="F632" s="47"/>
      <c r="G632" s="47"/>
      <c r="H632" s="339" t="s">
        <v>2042</v>
      </c>
      <c r="I632" s="339" t="s">
        <v>2036</v>
      </c>
      <c r="J632" s="339">
        <v>5.0</v>
      </c>
      <c r="K632" s="339" t="s">
        <v>1168</v>
      </c>
      <c r="L632" s="346">
        <v>205.0</v>
      </c>
      <c r="M632" s="105">
        <f t="shared" si="12"/>
        <v>1025</v>
      </c>
      <c r="N632" s="347" t="s">
        <v>2043</v>
      </c>
      <c r="O632" s="339" t="s">
        <v>2038</v>
      </c>
      <c r="P632" s="300"/>
      <c r="Q632" s="300"/>
      <c r="R632" s="300"/>
      <c r="S632" s="300"/>
      <c r="T632" s="300"/>
      <c r="U632" s="300"/>
      <c r="V632" s="300"/>
      <c r="W632" s="300"/>
      <c r="X632" s="300"/>
      <c r="Y632" s="300"/>
      <c r="Z632" s="300"/>
      <c r="AA632" s="300"/>
      <c r="AB632" s="300"/>
      <c r="AC632" s="300"/>
    </row>
    <row r="633">
      <c r="A633" s="312"/>
      <c r="B633" s="47"/>
      <c r="C633" s="47"/>
      <c r="D633" s="47"/>
      <c r="E633" s="47"/>
      <c r="F633" s="47"/>
      <c r="G633" s="47"/>
      <c r="H633" s="339" t="s">
        <v>2044</v>
      </c>
      <c r="I633" s="339" t="s">
        <v>2036</v>
      </c>
      <c r="J633" s="339">
        <v>1955.0</v>
      </c>
      <c r="K633" s="339" t="s">
        <v>2045</v>
      </c>
      <c r="L633" s="346">
        <v>52.5</v>
      </c>
      <c r="M633" s="105">
        <f t="shared" si="12"/>
        <v>102637.5</v>
      </c>
      <c r="N633" s="347" t="s">
        <v>2037</v>
      </c>
      <c r="O633" s="339" t="s">
        <v>2038</v>
      </c>
      <c r="P633" s="300"/>
      <c r="Q633" s="300"/>
      <c r="R633" s="300"/>
      <c r="S633" s="300"/>
      <c r="T633" s="300"/>
      <c r="U633" s="300"/>
      <c r="V633" s="300"/>
      <c r="W633" s="300"/>
      <c r="X633" s="300"/>
      <c r="Y633" s="300"/>
      <c r="Z633" s="300"/>
      <c r="AA633" s="300"/>
      <c r="AB633" s="300"/>
      <c r="AC633" s="300"/>
    </row>
    <row r="634">
      <c r="A634" s="312"/>
      <c r="B634" s="47"/>
      <c r="C634" s="47"/>
      <c r="D634" s="47"/>
      <c r="E634" s="47"/>
      <c r="F634" s="47"/>
      <c r="G634" s="47"/>
      <c r="H634" s="339" t="s">
        <v>2046</v>
      </c>
      <c r="I634" s="339" t="s">
        <v>2036</v>
      </c>
      <c r="J634" s="339">
        <v>2.0</v>
      </c>
      <c r="K634" s="339" t="s">
        <v>39</v>
      </c>
      <c r="L634" s="346">
        <v>490.0</v>
      </c>
      <c r="M634" s="105">
        <f t="shared" si="12"/>
        <v>980</v>
      </c>
      <c r="N634" s="347" t="s">
        <v>2037</v>
      </c>
      <c r="O634" s="339" t="s">
        <v>2038</v>
      </c>
      <c r="P634" s="300"/>
      <c r="Q634" s="300"/>
      <c r="R634" s="300"/>
      <c r="S634" s="300"/>
      <c r="T634" s="300"/>
      <c r="U634" s="300"/>
      <c r="V634" s="300"/>
      <c r="W634" s="300"/>
      <c r="X634" s="300"/>
      <c r="Y634" s="300"/>
      <c r="Z634" s="300"/>
      <c r="AA634" s="300"/>
      <c r="AB634" s="300"/>
      <c r="AC634" s="300"/>
    </row>
    <row r="635">
      <c r="A635" s="312"/>
      <c r="B635" s="47"/>
      <c r="C635" s="47"/>
      <c r="D635" s="47"/>
      <c r="E635" s="47"/>
      <c r="F635" s="47"/>
      <c r="G635" s="47"/>
      <c r="H635" s="339" t="s">
        <v>2047</v>
      </c>
      <c r="I635" s="339" t="s">
        <v>2036</v>
      </c>
      <c r="J635" s="339">
        <v>1.0</v>
      </c>
      <c r="K635" s="339" t="s">
        <v>1168</v>
      </c>
      <c r="L635" s="346">
        <v>2950.0</v>
      </c>
      <c r="M635" s="105">
        <f t="shared" si="12"/>
        <v>2950</v>
      </c>
      <c r="N635" s="347" t="s">
        <v>2037</v>
      </c>
      <c r="O635" s="339" t="s">
        <v>2038</v>
      </c>
      <c r="P635" s="300"/>
      <c r="Q635" s="300"/>
      <c r="R635" s="300"/>
      <c r="S635" s="300"/>
      <c r="T635" s="300"/>
      <c r="U635" s="300"/>
      <c r="V635" s="300"/>
      <c r="W635" s="300"/>
      <c r="X635" s="300"/>
      <c r="Y635" s="300"/>
      <c r="Z635" s="300"/>
      <c r="AA635" s="300"/>
      <c r="AB635" s="300"/>
      <c r="AC635" s="300"/>
    </row>
    <row r="636">
      <c r="A636" s="312"/>
      <c r="B636" s="48"/>
      <c r="C636" s="48"/>
      <c r="D636" s="48"/>
      <c r="E636" s="48"/>
      <c r="F636" s="48"/>
      <c r="G636" s="48"/>
      <c r="H636" s="339" t="s">
        <v>2048</v>
      </c>
      <c r="I636" s="339" t="s">
        <v>2036</v>
      </c>
      <c r="J636" s="339">
        <v>2.0</v>
      </c>
      <c r="K636" s="339" t="s">
        <v>39</v>
      </c>
      <c r="L636" s="346">
        <v>1265.0</v>
      </c>
      <c r="M636" s="105">
        <f t="shared" si="12"/>
        <v>2530</v>
      </c>
      <c r="N636" s="347" t="s">
        <v>2037</v>
      </c>
      <c r="O636" s="339" t="s">
        <v>2038</v>
      </c>
      <c r="P636" s="300"/>
      <c r="Q636" s="300"/>
      <c r="R636" s="300"/>
      <c r="S636" s="300"/>
      <c r="T636" s="300"/>
      <c r="U636" s="300"/>
      <c r="V636" s="300"/>
      <c r="W636" s="300"/>
      <c r="X636" s="300"/>
      <c r="Y636" s="300"/>
      <c r="Z636" s="300"/>
      <c r="AA636" s="300"/>
      <c r="AB636" s="300"/>
      <c r="AC636" s="300"/>
    </row>
    <row r="637">
      <c r="A637" s="312"/>
      <c r="B637" s="348">
        <v>14.0</v>
      </c>
      <c r="C637" s="349">
        <v>45929.0</v>
      </c>
      <c r="D637" s="348" t="s">
        <v>2034</v>
      </c>
      <c r="E637" s="350">
        <v>46057.0</v>
      </c>
      <c r="F637" s="351">
        <v>1002.0</v>
      </c>
      <c r="G637" s="349">
        <v>46040.0</v>
      </c>
      <c r="H637" s="339" t="s">
        <v>2049</v>
      </c>
      <c r="I637" s="339" t="s">
        <v>29</v>
      </c>
      <c r="J637" s="339">
        <v>1.0</v>
      </c>
      <c r="K637" s="339" t="s">
        <v>1168</v>
      </c>
      <c r="L637" s="346">
        <v>17500.0</v>
      </c>
      <c r="M637" s="105">
        <f t="shared" si="12"/>
        <v>17500</v>
      </c>
      <c r="N637" s="347" t="s">
        <v>2037</v>
      </c>
      <c r="O637" s="339" t="s">
        <v>2050</v>
      </c>
      <c r="P637" s="300"/>
      <c r="Q637" s="300"/>
      <c r="R637" s="300"/>
      <c r="S637" s="300"/>
      <c r="T637" s="300"/>
      <c r="U637" s="300"/>
      <c r="V637" s="300"/>
      <c r="W637" s="300"/>
      <c r="X637" s="300"/>
      <c r="Y637" s="300"/>
      <c r="Z637" s="300"/>
      <c r="AA637" s="300"/>
      <c r="AB637" s="300"/>
      <c r="AC637" s="300"/>
    </row>
    <row r="638">
      <c r="A638" s="312"/>
      <c r="B638" s="47"/>
      <c r="C638" s="47"/>
      <c r="D638" s="47"/>
      <c r="E638" s="47"/>
      <c r="F638" s="47"/>
      <c r="G638" s="47"/>
      <c r="H638" s="339" t="s">
        <v>2051</v>
      </c>
      <c r="I638" s="339" t="s">
        <v>29</v>
      </c>
      <c r="J638" s="339">
        <v>2.0</v>
      </c>
      <c r="K638" s="339" t="s">
        <v>156</v>
      </c>
      <c r="L638" s="346">
        <v>10200.0</v>
      </c>
      <c r="M638" s="105">
        <f t="shared" si="12"/>
        <v>20400</v>
      </c>
      <c r="N638" s="347" t="s">
        <v>2037</v>
      </c>
      <c r="O638" s="339" t="s">
        <v>2050</v>
      </c>
      <c r="P638" s="300"/>
      <c r="Q638" s="300"/>
      <c r="R638" s="300"/>
      <c r="S638" s="300"/>
      <c r="T638" s="300"/>
      <c r="U638" s="300"/>
      <c r="V638" s="300"/>
      <c r="W638" s="300"/>
      <c r="X638" s="300"/>
      <c r="Y638" s="300"/>
      <c r="Z638" s="300"/>
      <c r="AA638" s="300"/>
      <c r="AB638" s="300"/>
      <c r="AC638" s="300"/>
    </row>
    <row r="639">
      <c r="A639" s="312"/>
      <c r="B639" s="47"/>
      <c r="C639" s="47"/>
      <c r="D639" s="47"/>
      <c r="E639" s="47"/>
      <c r="F639" s="47"/>
      <c r="G639" s="47"/>
      <c r="H639" s="339" t="s">
        <v>2052</v>
      </c>
      <c r="I639" s="339" t="s">
        <v>29</v>
      </c>
      <c r="J639" s="339">
        <v>1.0</v>
      </c>
      <c r="K639" s="339" t="s">
        <v>1168</v>
      </c>
      <c r="L639" s="346">
        <v>12500.0</v>
      </c>
      <c r="M639" s="105">
        <f t="shared" si="12"/>
        <v>12500</v>
      </c>
      <c r="N639" s="347" t="s">
        <v>2037</v>
      </c>
      <c r="O639" s="339" t="s">
        <v>2050</v>
      </c>
      <c r="P639" s="300"/>
      <c r="Q639" s="300"/>
      <c r="R639" s="300"/>
      <c r="S639" s="300"/>
      <c r="T639" s="300"/>
      <c r="U639" s="300"/>
      <c r="V639" s="300"/>
      <c r="W639" s="300"/>
      <c r="X639" s="300"/>
      <c r="Y639" s="300"/>
      <c r="Z639" s="300"/>
      <c r="AA639" s="300"/>
      <c r="AB639" s="300"/>
      <c r="AC639" s="300"/>
    </row>
    <row r="640">
      <c r="A640" s="312"/>
      <c r="B640" s="47"/>
      <c r="C640" s="47"/>
      <c r="D640" s="47"/>
      <c r="E640" s="47"/>
      <c r="F640" s="47"/>
      <c r="G640" s="47"/>
      <c r="H640" s="339" t="s">
        <v>2053</v>
      </c>
      <c r="I640" s="339" t="s">
        <v>29</v>
      </c>
      <c r="J640" s="339">
        <v>4.0</v>
      </c>
      <c r="K640" s="339" t="s">
        <v>156</v>
      </c>
      <c r="L640" s="346">
        <v>8600.0</v>
      </c>
      <c r="M640" s="105">
        <f t="shared" si="12"/>
        <v>34400</v>
      </c>
      <c r="N640" s="347" t="s">
        <v>2037</v>
      </c>
      <c r="O640" s="339" t="s">
        <v>2050</v>
      </c>
      <c r="P640" s="300"/>
      <c r="Q640" s="300"/>
      <c r="R640" s="300"/>
      <c r="S640" s="300"/>
      <c r="T640" s="300"/>
      <c r="U640" s="300"/>
      <c r="V640" s="300"/>
      <c r="W640" s="300"/>
      <c r="X640" s="300"/>
      <c r="Y640" s="300"/>
      <c r="Z640" s="300"/>
      <c r="AA640" s="300"/>
      <c r="AB640" s="300"/>
      <c r="AC640" s="300"/>
    </row>
    <row r="641">
      <c r="A641" s="312"/>
      <c r="B641" s="47"/>
      <c r="C641" s="47"/>
      <c r="D641" s="47"/>
      <c r="E641" s="47"/>
      <c r="F641" s="47"/>
      <c r="G641" s="47"/>
      <c r="H641" s="339" t="s">
        <v>2054</v>
      </c>
      <c r="I641" s="339" t="s">
        <v>29</v>
      </c>
      <c r="J641" s="339">
        <v>1.0</v>
      </c>
      <c r="K641" s="339" t="s">
        <v>34</v>
      </c>
      <c r="L641" s="346">
        <v>500.0</v>
      </c>
      <c r="M641" s="105">
        <f t="shared" si="12"/>
        <v>500</v>
      </c>
      <c r="N641" s="347" t="s">
        <v>2037</v>
      </c>
      <c r="O641" s="339" t="s">
        <v>2050</v>
      </c>
      <c r="P641" s="300"/>
      <c r="Q641" s="300"/>
      <c r="R641" s="300"/>
      <c r="S641" s="300"/>
      <c r="T641" s="300"/>
      <c r="U641" s="300"/>
      <c r="V641" s="300"/>
      <c r="W641" s="300"/>
      <c r="X641" s="300"/>
      <c r="Y641" s="300"/>
      <c r="Z641" s="300"/>
      <c r="AA641" s="300"/>
      <c r="AB641" s="300"/>
      <c r="AC641" s="300"/>
    </row>
    <row r="642">
      <c r="A642" s="312"/>
      <c r="B642" s="47"/>
      <c r="C642" s="47"/>
      <c r="D642" s="47"/>
      <c r="E642" s="47"/>
      <c r="F642" s="47"/>
      <c r="G642" s="47"/>
      <c r="H642" s="339" t="s">
        <v>2055</v>
      </c>
      <c r="I642" s="339" t="s">
        <v>29</v>
      </c>
      <c r="J642" s="339">
        <v>0.5</v>
      </c>
      <c r="K642" s="339" t="s">
        <v>2056</v>
      </c>
      <c r="L642" s="346">
        <v>2100.0</v>
      </c>
      <c r="M642" s="105">
        <f t="shared" si="12"/>
        <v>1050</v>
      </c>
      <c r="N642" s="347" t="s">
        <v>2037</v>
      </c>
      <c r="O642" s="339" t="s">
        <v>2050</v>
      </c>
      <c r="P642" s="300"/>
      <c r="Q642" s="300"/>
      <c r="R642" s="300"/>
      <c r="S642" s="300"/>
      <c r="T642" s="300"/>
      <c r="U642" s="300"/>
      <c r="V642" s="300"/>
      <c r="W642" s="300"/>
      <c r="X642" s="300"/>
      <c r="Y642" s="300"/>
      <c r="Z642" s="300"/>
      <c r="AA642" s="300"/>
      <c r="AB642" s="300"/>
      <c r="AC642" s="300"/>
    </row>
    <row r="643">
      <c r="A643" s="312"/>
      <c r="B643" s="48"/>
      <c r="C643" s="48"/>
      <c r="D643" s="48"/>
      <c r="E643" s="48"/>
      <c r="F643" s="48"/>
      <c r="G643" s="48"/>
      <c r="H643" s="339" t="s">
        <v>2057</v>
      </c>
      <c r="I643" s="339" t="s">
        <v>29</v>
      </c>
      <c r="J643" s="339">
        <v>1.0</v>
      </c>
      <c r="K643" s="339" t="s">
        <v>156</v>
      </c>
      <c r="L643" s="346">
        <v>1300.0</v>
      </c>
      <c r="M643" s="105">
        <f t="shared" si="12"/>
        <v>1300</v>
      </c>
      <c r="N643" s="347" t="s">
        <v>2037</v>
      </c>
      <c r="O643" s="339" t="s">
        <v>2050</v>
      </c>
      <c r="P643" s="300"/>
      <c r="Q643" s="300"/>
      <c r="R643" s="300"/>
      <c r="S643" s="300"/>
      <c r="T643" s="300"/>
      <c r="U643" s="300"/>
      <c r="V643" s="300"/>
      <c r="W643" s="300"/>
      <c r="X643" s="300"/>
      <c r="Y643" s="300"/>
      <c r="Z643" s="300"/>
      <c r="AA643" s="300"/>
      <c r="AB643" s="300"/>
      <c r="AC643" s="300"/>
    </row>
    <row r="644">
      <c r="A644" s="312"/>
      <c r="B644" s="348">
        <v>102.0</v>
      </c>
      <c r="C644" s="349">
        <v>46039.0</v>
      </c>
      <c r="D644" s="348" t="s">
        <v>2058</v>
      </c>
      <c r="E644" s="350">
        <v>46057.0</v>
      </c>
      <c r="F644" s="351">
        <v>102.0</v>
      </c>
      <c r="G644" s="349">
        <v>46039.0</v>
      </c>
      <c r="H644" s="339" t="s">
        <v>2059</v>
      </c>
      <c r="I644" s="339" t="s">
        <v>2060</v>
      </c>
      <c r="J644" s="339">
        <v>5.0</v>
      </c>
      <c r="K644" s="339" t="s">
        <v>156</v>
      </c>
      <c r="L644" s="346">
        <v>150.0</v>
      </c>
      <c r="M644" s="105">
        <f t="shared" si="12"/>
        <v>750</v>
      </c>
      <c r="N644" s="347" t="s">
        <v>2061</v>
      </c>
      <c r="O644" s="339" t="s">
        <v>2062</v>
      </c>
      <c r="P644" s="300"/>
      <c r="Q644" s="300"/>
      <c r="R644" s="300"/>
      <c r="S644" s="300"/>
      <c r="T644" s="300"/>
      <c r="U644" s="300"/>
      <c r="V644" s="300"/>
      <c r="W644" s="300"/>
      <c r="X644" s="300"/>
      <c r="Y644" s="300"/>
      <c r="Z644" s="300"/>
      <c r="AA644" s="300"/>
      <c r="AB644" s="300"/>
      <c r="AC644" s="300"/>
    </row>
    <row r="645">
      <c r="A645" s="312"/>
      <c r="B645" s="47"/>
      <c r="C645" s="47"/>
      <c r="D645" s="47"/>
      <c r="E645" s="47"/>
      <c r="F645" s="47"/>
      <c r="G645" s="47"/>
      <c r="H645" s="339" t="s">
        <v>2063</v>
      </c>
      <c r="I645" s="339" t="s">
        <v>429</v>
      </c>
      <c r="J645" s="339">
        <v>195.0</v>
      </c>
      <c r="K645" s="339" t="s">
        <v>165</v>
      </c>
      <c r="L645" s="346">
        <v>30.0</v>
      </c>
      <c r="M645" s="105">
        <f t="shared" si="12"/>
        <v>5850</v>
      </c>
      <c r="N645" s="347" t="s">
        <v>570</v>
      </c>
      <c r="O645" s="339" t="s">
        <v>2062</v>
      </c>
      <c r="P645" s="300"/>
      <c r="Q645" s="300"/>
      <c r="R645" s="300"/>
      <c r="S645" s="300"/>
      <c r="T645" s="300"/>
      <c r="U645" s="300"/>
      <c r="V645" s="300"/>
      <c r="W645" s="300"/>
      <c r="X645" s="300"/>
      <c r="Y645" s="300"/>
      <c r="Z645" s="300"/>
      <c r="AA645" s="300"/>
      <c r="AB645" s="300"/>
      <c r="AC645" s="300"/>
    </row>
    <row r="646">
      <c r="A646" s="312"/>
      <c r="B646" s="47"/>
      <c r="C646" s="47"/>
      <c r="D646" s="47"/>
      <c r="E646" s="47"/>
      <c r="F646" s="47"/>
      <c r="G646" s="47"/>
      <c r="H646" s="339" t="s">
        <v>2064</v>
      </c>
      <c r="I646" s="339" t="s">
        <v>429</v>
      </c>
      <c r="J646" s="339">
        <v>2.0</v>
      </c>
      <c r="K646" s="339" t="s">
        <v>1168</v>
      </c>
      <c r="L646" s="346">
        <v>30.0</v>
      </c>
      <c r="M646" s="105">
        <f t="shared" si="12"/>
        <v>60</v>
      </c>
      <c r="N646" s="347" t="s">
        <v>2065</v>
      </c>
      <c r="O646" s="339" t="s">
        <v>2062</v>
      </c>
      <c r="P646" s="300"/>
      <c r="Q646" s="300"/>
      <c r="R646" s="300"/>
      <c r="S646" s="300"/>
      <c r="T646" s="300"/>
      <c r="U646" s="300"/>
      <c r="V646" s="300"/>
      <c r="W646" s="300"/>
      <c r="X646" s="300"/>
      <c r="Y646" s="300"/>
      <c r="Z646" s="300"/>
      <c r="AA646" s="300"/>
      <c r="AB646" s="300"/>
      <c r="AC646" s="300"/>
    </row>
    <row r="647">
      <c r="A647" s="312"/>
      <c r="B647" s="47"/>
      <c r="C647" s="47"/>
      <c r="D647" s="47"/>
      <c r="E647" s="47"/>
      <c r="F647" s="47"/>
      <c r="G647" s="47"/>
      <c r="H647" s="339" t="s">
        <v>2066</v>
      </c>
      <c r="I647" s="339" t="s">
        <v>429</v>
      </c>
      <c r="J647" s="339">
        <v>2.0</v>
      </c>
      <c r="K647" s="339" t="s">
        <v>1168</v>
      </c>
      <c r="L647" s="346">
        <v>46.0</v>
      </c>
      <c r="M647" s="105">
        <f t="shared" si="12"/>
        <v>92</v>
      </c>
      <c r="N647" s="347" t="s">
        <v>2065</v>
      </c>
      <c r="O647" s="339" t="s">
        <v>2062</v>
      </c>
      <c r="P647" s="300"/>
      <c r="Q647" s="300"/>
      <c r="R647" s="300"/>
      <c r="S647" s="300"/>
      <c r="T647" s="300"/>
      <c r="U647" s="300"/>
      <c r="V647" s="300"/>
      <c r="W647" s="300"/>
      <c r="X647" s="300"/>
      <c r="Y647" s="300"/>
      <c r="Z647" s="300"/>
      <c r="AA647" s="300"/>
      <c r="AB647" s="300"/>
      <c r="AC647" s="300"/>
    </row>
    <row r="648">
      <c r="A648" s="312"/>
      <c r="B648" s="47"/>
      <c r="C648" s="47"/>
      <c r="D648" s="47"/>
      <c r="E648" s="47"/>
      <c r="F648" s="47"/>
      <c r="G648" s="47"/>
      <c r="H648" s="339" t="s">
        <v>2067</v>
      </c>
      <c r="I648" s="339" t="s">
        <v>429</v>
      </c>
      <c r="J648" s="339">
        <v>1.0</v>
      </c>
      <c r="K648" s="339" t="s">
        <v>1168</v>
      </c>
      <c r="L648" s="346">
        <v>80.0</v>
      </c>
      <c r="M648" s="105">
        <f t="shared" si="12"/>
        <v>80</v>
      </c>
      <c r="N648" s="347" t="s">
        <v>2065</v>
      </c>
      <c r="O648" s="339" t="s">
        <v>2062</v>
      </c>
      <c r="P648" s="300"/>
      <c r="Q648" s="300"/>
      <c r="R648" s="300"/>
      <c r="S648" s="300"/>
      <c r="T648" s="300"/>
      <c r="U648" s="300"/>
      <c r="V648" s="300"/>
      <c r="W648" s="300"/>
      <c r="X648" s="300"/>
      <c r="Y648" s="300"/>
      <c r="Z648" s="300"/>
      <c r="AA648" s="300"/>
      <c r="AB648" s="300"/>
      <c r="AC648" s="300"/>
    </row>
    <row r="649">
      <c r="A649" s="312"/>
      <c r="B649" s="47"/>
      <c r="C649" s="47"/>
      <c r="D649" s="47"/>
      <c r="E649" s="47"/>
      <c r="F649" s="47"/>
      <c r="G649" s="47"/>
      <c r="H649" s="339" t="s">
        <v>2068</v>
      </c>
      <c r="I649" s="339" t="s">
        <v>429</v>
      </c>
      <c r="J649" s="339">
        <v>1.0</v>
      </c>
      <c r="K649" s="339" t="s">
        <v>1168</v>
      </c>
      <c r="L649" s="346">
        <v>110.0</v>
      </c>
      <c r="M649" s="105">
        <f t="shared" si="12"/>
        <v>110</v>
      </c>
      <c r="N649" s="347" t="s">
        <v>2065</v>
      </c>
      <c r="O649" s="339" t="s">
        <v>2062</v>
      </c>
      <c r="P649" s="300"/>
      <c r="Q649" s="300"/>
      <c r="R649" s="300"/>
      <c r="S649" s="300"/>
      <c r="T649" s="300"/>
      <c r="U649" s="300"/>
      <c r="V649" s="300"/>
      <c r="W649" s="300"/>
      <c r="X649" s="300"/>
      <c r="Y649" s="300"/>
      <c r="Z649" s="300"/>
      <c r="AA649" s="300"/>
      <c r="AB649" s="300"/>
      <c r="AC649" s="300"/>
    </row>
    <row r="650">
      <c r="A650" s="312"/>
      <c r="B650" s="48"/>
      <c r="C650" s="48"/>
      <c r="D650" s="48"/>
      <c r="E650" s="48"/>
      <c r="F650" s="48"/>
      <c r="G650" s="48"/>
      <c r="H650" s="339" t="s">
        <v>2069</v>
      </c>
      <c r="I650" s="339" t="s">
        <v>429</v>
      </c>
      <c r="J650" s="339">
        <v>1.0</v>
      </c>
      <c r="K650" s="339" t="s">
        <v>1168</v>
      </c>
      <c r="L650" s="346">
        <v>120.0</v>
      </c>
      <c r="M650" s="105">
        <f t="shared" si="12"/>
        <v>120</v>
      </c>
      <c r="N650" s="347" t="s">
        <v>2065</v>
      </c>
      <c r="O650" s="339" t="s">
        <v>2062</v>
      </c>
      <c r="P650" s="300"/>
      <c r="Q650" s="300"/>
      <c r="R650" s="300"/>
      <c r="S650" s="300"/>
      <c r="T650" s="300"/>
      <c r="U650" s="300"/>
      <c r="V650" s="300"/>
      <c r="W650" s="300"/>
      <c r="X650" s="300"/>
      <c r="Y650" s="300"/>
      <c r="Z650" s="300"/>
      <c r="AA650" s="300"/>
      <c r="AB650" s="300"/>
      <c r="AC650" s="300"/>
    </row>
    <row r="651">
      <c r="A651" s="312"/>
      <c r="B651" s="348">
        <v>9177.0</v>
      </c>
      <c r="C651" s="374">
        <v>46054.0</v>
      </c>
      <c r="D651" s="348" t="s">
        <v>2070</v>
      </c>
      <c r="E651" s="350">
        <v>46057.0</v>
      </c>
      <c r="F651" s="351">
        <v>1010.0</v>
      </c>
      <c r="G651" s="349">
        <v>46054.0</v>
      </c>
      <c r="H651" s="339" t="s">
        <v>38</v>
      </c>
      <c r="I651" s="339" t="s">
        <v>1942</v>
      </c>
      <c r="J651" s="339">
        <v>480.0</v>
      </c>
      <c r="K651" s="339" t="s">
        <v>39</v>
      </c>
      <c r="L651" s="346">
        <v>20.0</v>
      </c>
      <c r="M651" s="105">
        <f t="shared" si="12"/>
        <v>9600</v>
      </c>
      <c r="N651" s="347" t="s">
        <v>2008</v>
      </c>
      <c r="O651" s="339" t="s">
        <v>2071</v>
      </c>
      <c r="P651" s="300"/>
      <c r="Q651" s="300"/>
      <c r="R651" s="300"/>
      <c r="S651" s="300"/>
      <c r="T651" s="300"/>
      <c r="U651" s="300"/>
      <c r="V651" s="300"/>
      <c r="W651" s="300"/>
      <c r="X651" s="300"/>
      <c r="Y651" s="300"/>
      <c r="Z651" s="300"/>
      <c r="AA651" s="300"/>
      <c r="AB651" s="300"/>
      <c r="AC651" s="300"/>
    </row>
    <row r="652">
      <c r="A652" s="312"/>
      <c r="B652" s="48"/>
      <c r="C652" s="48"/>
      <c r="D652" s="48"/>
      <c r="E652" s="48"/>
      <c r="F652" s="48"/>
      <c r="G652" s="48"/>
      <c r="H652" s="339" t="s">
        <v>1941</v>
      </c>
      <c r="I652" s="339" t="s">
        <v>1949</v>
      </c>
      <c r="J652" s="339" t="s">
        <v>22</v>
      </c>
      <c r="K652" s="339" t="s">
        <v>838</v>
      </c>
      <c r="L652" s="373">
        <v>0.05</v>
      </c>
      <c r="M652" s="352">
        <v>480.0</v>
      </c>
      <c r="N652" s="347" t="s">
        <v>1941</v>
      </c>
      <c r="O652" s="339" t="s">
        <v>2017</v>
      </c>
      <c r="P652" s="300"/>
      <c r="Q652" s="300"/>
      <c r="R652" s="300"/>
      <c r="S652" s="300"/>
      <c r="T652" s="300"/>
      <c r="U652" s="300"/>
      <c r="V652" s="300"/>
      <c r="W652" s="300"/>
      <c r="X652" s="300"/>
      <c r="Y652" s="300"/>
      <c r="Z652" s="300"/>
      <c r="AA652" s="300"/>
      <c r="AB652" s="300"/>
      <c r="AC652" s="300"/>
    </row>
    <row r="653">
      <c r="A653" s="312"/>
      <c r="B653" s="339">
        <v>5397.0</v>
      </c>
      <c r="C653" s="344">
        <v>46054.0</v>
      </c>
      <c r="D653" s="339" t="s">
        <v>2070</v>
      </c>
      <c r="E653" s="375">
        <v>46057.0</v>
      </c>
      <c r="F653" s="342">
        <v>1010.0</v>
      </c>
      <c r="G653" s="344">
        <v>46054.0</v>
      </c>
      <c r="H653" s="339" t="s">
        <v>23</v>
      </c>
      <c r="I653" s="339" t="s">
        <v>1942</v>
      </c>
      <c r="J653" s="339">
        <v>2640.0</v>
      </c>
      <c r="K653" s="339" t="s">
        <v>25</v>
      </c>
      <c r="L653" s="346">
        <v>61.69</v>
      </c>
      <c r="M653" s="105">
        <f t="shared" ref="M653:M661" si="13">L653*J653</f>
        <v>162861.6</v>
      </c>
      <c r="N653" s="347" t="s">
        <v>2072</v>
      </c>
      <c r="O653" s="339" t="s">
        <v>2073</v>
      </c>
      <c r="P653" s="300"/>
      <c r="Q653" s="300"/>
      <c r="R653" s="300"/>
      <c r="S653" s="300"/>
      <c r="T653" s="300"/>
      <c r="U653" s="300"/>
      <c r="V653" s="300"/>
      <c r="W653" s="300"/>
      <c r="X653" s="300"/>
      <c r="Y653" s="300"/>
      <c r="Z653" s="300"/>
      <c r="AA653" s="300"/>
      <c r="AB653" s="300"/>
      <c r="AC653" s="300"/>
    </row>
    <row r="654">
      <c r="A654" s="312"/>
      <c r="B654" s="339">
        <v>5398.0</v>
      </c>
      <c r="C654" s="344">
        <v>46054.0</v>
      </c>
      <c r="D654" s="339" t="s">
        <v>2070</v>
      </c>
      <c r="E654" s="345">
        <v>46057.0</v>
      </c>
      <c r="F654" s="342">
        <v>1010.0</v>
      </c>
      <c r="G654" s="344">
        <v>46054.0</v>
      </c>
      <c r="H654" s="339" t="s">
        <v>36</v>
      </c>
      <c r="I654" s="339" t="s">
        <v>1942</v>
      </c>
      <c r="J654" s="339">
        <v>440.0</v>
      </c>
      <c r="K654" s="339" t="s">
        <v>25</v>
      </c>
      <c r="L654" s="346">
        <v>60.6</v>
      </c>
      <c r="M654" s="105">
        <f t="shared" si="13"/>
        <v>26664</v>
      </c>
      <c r="N654" s="347" t="s">
        <v>2072</v>
      </c>
      <c r="O654" s="339" t="s">
        <v>2073</v>
      </c>
      <c r="P654" s="300"/>
      <c r="Q654" s="300"/>
      <c r="R654" s="300"/>
      <c r="S654" s="300"/>
      <c r="T654" s="300"/>
      <c r="U654" s="300"/>
      <c r="V654" s="300"/>
      <c r="W654" s="300"/>
      <c r="X654" s="300"/>
      <c r="Y654" s="300"/>
      <c r="Z654" s="300"/>
      <c r="AA654" s="300"/>
      <c r="AB654" s="300"/>
      <c r="AC654" s="300"/>
    </row>
    <row r="655">
      <c r="A655" s="312"/>
      <c r="B655" s="312"/>
      <c r="C655" s="367"/>
      <c r="D655" s="312"/>
      <c r="E655" s="368"/>
      <c r="F655" s="369"/>
      <c r="G655" s="367"/>
      <c r="H655" s="312"/>
      <c r="I655" s="312"/>
      <c r="J655" s="312"/>
      <c r="K655" s="312"/>
      <c r="L655" s="376"/>
      <c r="M655" s="105">
        <f t="shared" si="13"/>
        <v>0</v>
      </c>
      <c r="N655" s="340"/>
      <c r="O655" s="312"/>
      <c r="P655" s="300"/>
      <c r="Q655" s="300"/>
      <c r="R655" s="300"/>
      <c r="S655" s="300"/>
      <c r="T655" s="300"/>
      <c r="U655" s="300"/>
      <c r="V655" s="300"/>
      <c r="W655" s="300"/>
      <c r="X655" s="300"/>
      <c r="Y655" s="300"/>
      <c r="Z655" s="300"/>
      <c r="AA655" s="300"/>
      <c r="AB655" s="300"/>
      <c r="AC655" s="300"/>
    </row>
    <row r="656">
      <c r="A656" s="312"/>
      <c r="B656" s="312"/>
      <c r="C656" s="367"/>
      <c r="D656" s="312"/>
      <c r="E656" s="368"/>
      <c r="F656" s="369"/>
      <c r="G656" s="367"/>
      <c r="H656" s="312"/>
      <c r="I656" s="312"/>
      <c r="J656" s="312"/>
      <c r="K656" s="312"/>
      <c r="L656" s="376"/>
      <c r="M656" s="105">
        <f t="shared" si="13"/>
        <v>0</v>
      </c>
      <c r="N656" s="340"/>
      <c r="O656" s="312"/>
      <c r="P656" s="300"/>
      <c r="Q656" s="300"/>
      <c r="R656" s="300"/>
      <c r="S656" s="300"/>
      <c r="T656" s="300"/>
      <c r="U656" s="300"/>
      <c r="V656" s="300"/>
      <c r="W656" s="300"/>
      <c r="X656" s="300"/>
      <c r="Y656" s="300"/>
      <c r="Z656" s="300"/>
      <c r="AA656" s="300"/>
      <c r="AB656" s="300"/>
      <c r="AC656" s="300"/>
    </row>
    <row r="657">
      <c r="A657" s="312"/>
      <c r="B657" s="312"/>
      <c r="C657" s="367"/>
      <c r="D657" s="312"/>
      <c r="E657" s="368"/>
      <c r="F657" s="369"/>
      <c r="G657" s="367"/>
      <c r="H657" s="312"/>
      <c r="I657" s="312"/>
      <c r="J657" s="312"/>
      <c r="K657" s="312"/>
      <c r="L657" s="376"/>
      <c r="M657" s="105">
        <f t="shared" si="13"/>
        <v>0</v>
      </c>
      <c r="N657" s="340"/>
      <c r="O657" s="312"/>
      <c r="P657" s="300"/>
      <c r="Q657" s="300"/>
      <c r="R657" s="300"/>
      <c r="S657" s="300"/>
      <c r="T657" s="300"/>
      <c r="U657" s="300"/>
      <c r="V657" s="300"/>
      <c r="W657" s="300"/>
      <c r="X657" s="300"/>
      <c r="Y657" s="300"/>
      <c r="Z657" s="300"/>
      <c r="AA657" s="300"/>
      <c r="AB657" s="300"/>
      <c r="AC657" s="300"/>
    </row>
    <row r="658">
      <c r="A658" s="312"/>
      <c r="B658" s="312"/>
      <c r="C658" s="367"/>
      <c r="D658" s="312"/>
      <c r="E658" s="368"/>
      <c r="F658" s="369"/>
      <c r="G658" s="367"/>
      <c r="H658" s="312"/>
      <c r="I658" s="312"/>
      <c r="J658" s="312"/>
      <c r="K658" s="312"/>
      <c r="L658" s="376"/>
      <c r="M658" s="105">
        <f t="shared" si="13"/>
        <v>0</v>
      </c>
      <c r="N658" s="340"/>
      <c r="O658" s="312"/>
      <c r="P658" s="300"/>
      <c r="Q658" s="300"/>
      <c r="R658" s="300"/>
      <c r="S658" s="300"/>
      <c r="T658" s="300"/>
      <c r="U658" s="300"/>
      <c r="V658" s="300"/>
      <c r="W658" s="300"/>
      <c r="X658" s="300"/>
      <c r="Y658" s="300"/>
      <c r="Z658" s="300"/>
      <c r="AA658" s="300"/>
      <c r="AB658" s="300"/>
      <c r="AC658" s="300"/>
    </row>
    <row r="659">
      <c r="A659" s="312"/>
      <c r="B659" s="312"/>
      <c r="C659" s="367"/>
      <c r="D659" s="312"/>
      <c r="E659" s="368"/>
      <c r="F659" s="369"/>
      <c r="G659" s="367"/>
      <c r="H659" s="312"/>
      <c r="I659" s="312"/>
      <c r="J659" s="312"/>
      <c r="K659" s="312"/>
      <c r="L659" s="376"/>
      <c r="M659" s="105">
        <f t="shared" si="13"/>
        <v>0</v>
      </c>
      <c r="N659" s="340"/>
      <c r="O659" s="312"/>
      <c r="P659" s="300"/>
      <c r="Q659" s="300"/>
      <c r="R659" s="300"/>
      <c r="S659" s="300"/>
      <c r="T659" s="300"/>
      <c r="U659" s="300"/>
      <c r="V659" s="300"/>
      <c r="W659" s="300"/>
      <c r="X659" s="300"/>
      <c r="Y659" s="300"/>
      <c r="Z659" s="300"/>
      <c r="AA659" s="300"/>
      <c r="AB659" s="300"/>
      <c r="AC659" s="300"/>
    </row>
    <row r="660">
      <c r="A660" s="312"/>
      <c r="B660" s="312"/>
      <c r="C660" s="367"/>
      <c r="D660" s="312"/>
      <c r="E660" s="368"/>
      <c r="F660" s="369"/>
      <c r="G660" s="367"/>
      <c r="H660" s="312"/>
      <c r="I660" s="312"/>
      <c r="J660" s="312"/>
      <c r="K660" s="312"/>
      <c r="L660" s="376"/>
      <c r="M660" s="105">
        <f t="shared" si="13"/>
        <v>0</v>
      </c>
      <c r="N660" s="340"/>
      <c r="O660" s="312"/>
      <c r="P660" s="300"/>
      <c r="Q660" s="300"/>
      <c r="R660" s="300"/>
      <c r="S660" s="300"/>
      <c r="T660" s="300"/>
      <c r="U660" s="300"/>
      <c r="V660" s="300"/>
      <c r="W660" s="300"/>
      <c r="X660" s="300"/>
      <c r="Y660" s="300"/>
      <c r="Z660" s="300"/>
      <c r="AA660" s="300"/>
      <c r="AB660" s="300"/>
      <c r="AC660" s="300"/>
    </row>
    <row r="661">
      <c r="A661" s="312"/>
      <c r="B661" s="312"/>
      <c r="C661" s="367"/>
      <c r="D661" s="312"/>
      <c r="E661" s="368"/>
      <c r="F661" s="369"/>
      <c r="G661" s="367"/>
      <c r="H661" s="312"/>
      <c r="I661" s="312"/>
      <c r="J661" s="312"/>
      <c r="K661" s="312"/>
      <c r="L661" s="376"/>
      <c r="M661" s="105">
        <f t="shared" si="13"/>
        <v>0</v>
      </c>
      <c r="N661" s="340"/>
      <c r="O661" s="312"/>
      <c r="P661" s="300"/>
      <c r="Q661" s="300"/>
      <c r="R661" s="300"/>
      <c r="S661" s="300"/>
      <c r="T661" s="300"/>
      <c r="U661" s="300"/>
      <c r="V661" s="300"/>
      <c r="W661" s="300"/>
      <c r="X661" s="300"/>
      <c r="Y661" s="300"/>
      <c r="Z661" s="300"/>
      <c r="AA661" s="300"/>
      <c r="AB661" s="300"/>
      <c r="AC661" s="300"/>
    </row>
    <row r="662">
      <c r="A662" s="312"/>
      <c r="B662" s="312"/>
      <c r="C662" s="367"/>
      <c r="D662" s="312"/>
      <c r="E662" s="368"/>
      <c r="F662" s="369"/>
      <c r="G662" s="377"/>
      <c r="H662" s="378" t="s">
        <v>259</v>
      </c>
      <c r="I662" s="312"/>
      <c r="J662" s="312"/>
      <c r="K662" s="312"/>
      <c r="L662" s="376"/>
      <c r="M662" s="379">
        <f>SUM(M5:M661)</f>
        <v>33294041.83</v>
      </c>
      <c r="N662" s="340"/>
      <c r="O662" s="312"/>
      <c r="P662" s="300"/>
      <c r="Q662" s="300"/>
      <c r="R662" s="300"/>
      <c r="S662" s="300"/>
      <c r="T662" s="300"/>
      <c r="U662" s="300"/>
      <c r="V662" s="300"/>
      <c r="W662" s="300"/>
      <c r="X662" s="300"/>
      <c r="Y662" s="300"/>
      <c r="Z662" s="300"/>
      <c r="AA662" s="300"/>
      <c r="AB662" s="300"/>
      <c r="AC662" s="300"/>
    </row>
    <row r="663">
      <c r="A663" s="300"/>
      <c r="B663" s="300"/>
      <c r="C663" s="380"/>
      <c r="D663" s="300"/>
      <c r="E663" s="381"/>
      <c r="F663" s="382"/>
      <c r="G663" s="380"/>
      <c r="H663" s="300"/>
      <c r="I663" s="300"/>
      <c r="J663" s="300"/>
      <c r="K663" s="300"/>
      <c r="L663" s="383"/>
      <c r="M663" s="300"/>
      <c r="N663" s="384"/>
      <c r="O663" s="300"/>
      <c r="P663" s="300"/>
      <c r="Q663" s="300"/>
      <c r="R663" s="300"/>
      <c r="S663" s="300"/>
      <c r="T663" s="300"/>
      <c r="U663" s="300"/>
      <c r="V663" s="300"/>
      <c r="W663" s="300"/>
      <c r="X663" s="300"/>
      <c r="Y663" s="300"/>
      <c r="Z663" s="300"/>
      <c r="AA663" s="300"/>
      <c r="AB663" s="300"/>
      <c r="AC663" s="300"/>
    </row>
    <row r="664">
      <c r="A664" s="300"/>
      <c r="B664" s="300"/>
      <c r="C664" s="380"/>
      <c r="D664" s="300"/>
      <c r="E664" s="381"/>
      <c r="F664" s="382"/>
      <c r="G664" s="380"/>
      <c r="H664" s="300"/>
      <c r="I664" s="300"/>
      <c r="J664" s="300"/>
      <c r="K664" s="300"/>
      <c r="L664" s="383"/>
      <c r="M664" s="300"/>
      <c r="N664" s="384"/>
      <c r="O664" s="300"/>
      <c r="P664" s="300"/>
      <c r="Q664" s="300"/>
      <c r="R664" s="300"/>
      <c r="S664" s="300"/>
      <c r="T664" s="300"/>
      <c r="U664" s="300"/>
      <c r="V664" s="300"/>
      <c r="W664" s="300"/>
      <c r="X664" s="300"/>
      <c r="Y664" s="300"/>
      <c r="Z664" s="300"/>
      <c r="AA664" s="300"/>
      <c r="AB664" s="300"/>
      <c r="AC664" s="300"/>
    </row>
    <row r="665">
      <c r="A665" s="300"/>
      <c r="B665" s="300"/>
      <c r="C665" s="380"/>
      <c r="D665" s="300"/>
      <c r="E665" s="381"/>
      <c r="F665" s="382"/>
      <c r="G665" s="380"/>
      <c r="H665" s="300"/>
      <c r="I665" s="300"/>
      <c r="J665" s="300"/>
      <c r="K665" s="300"/>
      <c r="L665" s="383"/>
      <c r="M665" s="300"/>
      <c r="N665" s="384"/>
      <c r="O665" s="300"/>
      <c r="P665" s="300"/>
      <c r="Q665" s="300"/>
      <c r="R665" s="300"/>
      <c r="S665" s="300"/>
      <c r="T665" s="300"/>
      <c r="U665" s="300"/>
      <c r="V665" s="300"/>
      <c r="W665" s="300"/>
      <c r="X665" s="300"/>
      <c r="Y665" s="300"/>
      <c r="Z665" s="300"/>
      <c r="AA665" s="300"/>
      <c r="AB665" s="300"/>
      <c r="AC665" s="300"/>
    </row>
    <row r="666">
      <c r="A666" s="300"/>
      <c r="B666" s="300"/>
      <c r="C666" s="380"/>
      <c r="D666" s="300"/>
      <c r="E666" s="381"/>
      <c r="F666" s="382"/>
      <c r="G666" s="380"/>
      <c r="H666" s="300"/>
      <c r="I666" s="300"/>
      <c r="J666" s="300"/>
      <c r="K666" s="300"/>
      <c r="L666" s="383"/>
      <c r="M666" s="300"/>
      <c r="N666" s="384"/>
      <c r="O666" s="300"/>
      <c r="P666" s="300"/>
      <c r="Q666" s="300"/>
      <c r="R666" s="300"/>
      <c r="S666" s="300"/>
      <c r="T666" s="300"/>
      <c r="U666" s="300"/>
      <c r="V666" s="300"/>
      <c r="W666" s="300"/>
      <c r="X666" s="300"/>
      <c r="Y666" s="300"/>
      <c r="Z666" s="300"/>
      <c r="AA666" s="300"/>
      <c r="AB666" s="300"/>
      <c r="AC666" s="300"/>
    </row>
    <row r="667">
      <c r="A667" s="300"/>
      <c r="B667" s="300"/>
      <c r="C667" s="380"/>
      <c r="D667" s="300"/>
      <c r="E667" s="381"/>
      <c r="F667" s="382"/>
      <c r="G667" s="380"/>
      <c r="H667" s="300"/>
      <c r="I667" s="300"/>
      <c r="J667" s="300"/>
      <c r="K667" s="300"/>
      <c r="L667" s="383"/>
      <c r="M667" s="300"/>
      <c r="N667" s="384"/>
      <c r="O667" s="300"/>
      <c r="P667" s="300"/>
      <c r="Q667" s="300"/>
      <c r="R667" s="300"/>
      <c r="S667" s="300"/>
      <c r="T667" s="300"/>
      <c r="U667" s="300"/>
      <c r="V667" s="300"/>
      <c r="W667" s="300"/>
      <c r="X667" s="300"/>
      <c r="Y667" s="300"/>
      <c r="Z667" s="300"/>
      <c r="AA667" s="300"/>
      <c r="AB667" s="300"/>
      <c r="AC667" s="300"/>
    </row>
    <row r="668">
      <c r="A668" s="300"/>
      <c r="B668" s="300"/>
      <c r="C668" s="380"/>
      <c r="D668" s="300"/>
      <c r="E668" s="381"/>
      <c r="F668" s="382"/>
      <c r="G668" s="380"/>
      <c r="H668" s="300"/>
      <c r="I668" s="300"/>
      <c r="J668" s="300"/>
      <c r="K668" s="300"/>
      <c r="L668" s="383"/>
      <c r="M668" s="300"/>
      <c r="N668" s="384"/>
      <c r="O668" s="300"/>
      <c r="P668" s="300"/>
      <c r="Q668" s="300"/>
      <c r="R668" s="300"/>
      <c r="S668" s="300"/>
      <c r="T668" s="300"/>
      <c r="U668" s="300"/>
      <c r="V668" s="300"/>
      <c r="W668" s="300"/>
      <c r="X668" s="300"/>
      <c r="Y668" s="300"/>
      <c r="Z668" s="300"/>
      <c r="AA668" s="300"/>
      <c r="AB668" s="300"/>
      <c r="AC668" s="300"/>
    </row>
    <row r="669">
      <c r="A669" s="300"/>
      <c r="B669" s="300"/>
      <c r="C669" s="380"/>
      <c r="D669" s="300"/>
      <c r="E669" s="381"/>
      <c r="F669" s="382"/>
      <c r="G669" s="380"/>
      <c r="H669" s="300"/>
      <c r="I669" s="300"/>
      <c r="J669" s="300"/>
      <c r="K669" s="300"/>
      <c r="L669" s="383"/>
      <c r="M669" s="300"/>
      <c r="N669" s="384"/>
      <c r="O669" s="300"/>
      <c r="P669" s="300"/>
      <c r="Q669" s="300"/>
      <c r="R669" s="300"/>
      <c r="S669" s="300"/>
      <c r="T669" s="300"/>
      <c r="U669" s="300"/>
      <c r="V669" s="300"/>
      <c r="W669" s="300"/>
      <c r="X669" s="300"/>
      <c r="Y669" s="300"/>
      <c r="Z669" s="300"/>
      <c r="AA669" s="300"/>
      <c r="AB669" s="300"/>
      <c r="AC669" s="300"/>
    </row>
    <row r="670">
      <c r="A670" s="300"/>
      <c r="B670" s="300"/>
      <c r="C670" s="380"/>
      <c r="D670" s="300"/>
      <c r="E670" s="381"/>
      <c r="F670" s="382"/>
      <c r="G670" s="380"/>
      <c r="H670" s="300"/>
      <c r="I670" s="300"/>
      <c r="J670" s="300"/>
      <c r="K670" s="300"/>
      <c r="L670" s="383"/>
      <c r="M670" s="300"/>
      <c r="N670" s="384"/>
      <c r="O670" s="300"/>
      <c r="P670" s="300"/>
      <c r="Q670" s="300"/>
      <c r="R670" s="300"/>
      <c r="S670" s="300"/>
      <c r="T670" s="300"/>
      <c r="U670" s="300"/>
      <c r="V670" s="300"/>
      <c r="W670" s="300"/>
      <c r="X670" s="300"/>
      <c r="Y670" s="300"/>
      <c r="Z670" s="300"/>
      <c r="AA670" s="300"/>
      <c r="AB670" s="300"/>
      <c r="AC670" s="300"/>
    </row>
    <row r="671">
      <c r="A671" s="300"/>
      <c r="B671" s="300"/>
      <c r="C671" s="380"/>
      <c r="D671" s="300"/>
      <c r="E671" s="381"/>
      <c r="F671" s="382"/>
      <c r="G671" s="380"/>
      <c r="H671" s="300"/>
      <c r="I671" s="300"/>
      <c r="J671" s="300"/>
      <c r="K671" s="300"/>
      <c r="L671" s="383"/>
      <c r="M671" s="300"/>
      <c r="N671" s="384"/>
      <c r="O671" s="300"/>
      <c r="P671" s="300"/>
      <c r="Q671" s="300"/>
      <c r="R671" s="300"/>
      <c r="S671" s="300"/>
      <c r="T671" s="300"/>
      <c r="U671" s="300"/>
      <c r="V671" s="300"/>
      <c r="W671" s="300"/>
      <c r="X671" s="300"/>
      <c r="Y671" s="300"/>
      <c r="Z671" s="300"/>
      <c r="AA671" s="300"/>
      <c r="AB671" s="300"/>
      <c r="AC671" s="300"/>
    </row>
    <row r="672">
      <c r="A672" s="300"/>
      <c r="B672" s="300"/>
      <c r="C672" s="380"/>
      <c r="D672" s="300"/>
      <c r="E672" s="381"/>
      <c r="F672" s="382"/>
      <c r="G672" s="380"/>
      <c r="H672" s="300"/>
      <c r="I672" s="300"/>
      <c r="J672" s="300"/>
      <c r="K672" s="300"/>
      <c r="L672" s="383"/>
      <c r="M672" s="300"/>
      <c r="N672" s="384"/>
      <c r="O672" s="300"/>
      <c r="P672" s="300"/>
      <c r="Q672" s="300"/>
      <c r="R672" s="300"/>
      <c r="S672" s="300"/>
      <c r="T672" s="300"/>
      <c r="U672" s="300"/>
      <c r="V672" s="300"/>
      <c r="W672" s="300"/>
      <c r="X672" s="300"/>
      <c r="Y672" s="300"/>
      <c r="Z672" s="300"/>
      <c r="AA672" s="300"/>
      <c r="AB672" s="300"/>
      <c r="AC672" s="300"/>
    </row>
    <row r="673">
      <c r="A673" s="300"/>
      <c r="B673" s="300"/>
      <c r="C673" s="380"/>
      <c r="D673" s="300"/>
      <c r="E673" s="381"/>
      <c r="F673" s="382"/>
      <c r="G673" s="380"/>
      <c r="H673" s="300"/>
      <c r="I673" s="300"/>
      <c r="J673" s="300"/>
      <c r="K673" s="300"/>
      <c r="L673" s="383"/>
      <c r="M673" s="300"/>
      <c r="N673" s="384"/>
      <c r="O673" s="300"/>
      <c r="P673" s="300"/>
      <c r="Q673" s="300"/>
      <c r="R673" s="300"/>
      <c r="S673" s="300"/>
      <c r="T673" s="300"/>
      <c r="U673" s="300"/>
      <c r="V673" s="300"/>
      <c r="W673" s="300"/>
      <c r="X673" s="300"/>
      <c r="Y673" s="300"/>
      <c r="Z673" s="300"/>
      <c r="AA673" s="300"/>
      <c r="AB673" s="300"/>
      <c r="AC673" s="300"/>
    </row>
    <row r="674">
      <c r="A674" s="300"/>
      <c r="B674" s="300"/>
      <c r="C674" s="380"/>
      <c r="D674" s="300"/>
      <c r="E674" s="381"/>
      <c r="F674" s="382"/>
      <c r="G674" s="380"/>
      <c r="H674" s="300"/>
      <c r="I674" s="300"/>
      <c r="J674" s="300"/>
      <c r="K674" s="300"/>
      <c r="L674" s="383"/>
      <c r="M674" s="300"/>
      <c r="N674" s="384"/>
      <c r="O674" s="300"/>
      <c r="P674" s="300"/>
      <c r="Q674" s="300"/>
      <c r="R674" s="300"/>
      <c r="S674" s="300"/>
      <c r="T674" s="300"/>
      <c r="U674" s="300"/>
      <c r="V674" s="300"/>
      <c r="W674" s="300"/>
      <c r="X674" s="300"/>
      <c r="Y674" s="300"/>
      <c r="Z674" s="300"/>
      <c r="AA674" s="300"/>
      <c r="AB674" s="300"/>
      <c r="AC674" s="300"/>
    </row>
    <row r="675">
      <c r="A675" s="300"/>
      <c r="B675" s="300"/>
      <c r="C675" s="380"/>
      <c r="D675" s="300"/>
      <c r="E675" s="381"/>
      <c r="F675" s="382"/>
      <c r="G675" s="380"/>
      <c r="H675" s="300"/>
      <c r="I675" s="300"/>
      <c r="J675" s="300"/>
      <c r="K675" s="300"/>
      <c r="L675" s="383"/>
      <c r="M675" s="300"/>
      <c r="N675" s="384"/>
      <c r="O675" s="300"/>
      <c r="P675" s="300"/>
      <c r="Q675" s="300"/>
      <c r="R675" s="300"/>
      <c r="S675" s="300"/>
      <c r="T675" s="300"/>
      <c r="U675" s="300"/>
      <c r="V675" s="300"/>
      <c r="W675" s="300"/>
      <c r="X675" s="300"/>
      <c r="Y675" s="300"/>
      <c r="Z675" s="300"/>
      <c r="AA675" s="300"/>
      <c r="AB675" s="300"/>
      <c r="AC675" s="300"/>
    </row>
    <row r="676">
      <c r="A676" s="300"/>
      <c r="B676" s="300"/>
      <c r="C676" s="380"/>
      <c r="D676" s="300"/>
      <c r="E676" s="381"/>
      <c r="F676" s="382"/>
      <c r="G676" s="380"/>
      <c r="H676" s="300"/>
      <c r="I676" s="300"/>
      <c r="J676" s="300"/>
      <c r="K676" s="300"/>
      <c r="L676" s="383"/>
      <c r="M676" s="300"/>
      <c r="N676" s="384"/>
      <c r="O676" s="300"/>
      <c r="P676" s="300"/>
      <c r="Q676" s="300"/>
      <c r="R676" s="300"/>
      <c r="S676" s="300"/>
      <c r="T676" s="300"/>
      <c r="U676" s="300"/>
      <c r="V676" s="300"/>
      <c r="W676" s="300"/>
      <c r="X676" s="300"/>
      <c r="Y676" s="300"/>
      <c r="Z676" s="300"/>
      <c r="AA676" s="300"/>
      <c r="AB676" s="300"/>
      <c r="AC676" s="300"/>
    </row>
    <row r="677">
      <c r="A677" s="300"/>
      <c r="B677" s="300"/>
      <c r="C677" s="380"/>
      <c r="D677" s="300"/>
      <c r="E677" s="381"/>
      <c r="F677" s="382"/>
      <c r="G677" s="380"/>
      <c r="H677" s="300"/>
      <c r="I677" s="300"/>
      <c r="J677" s="300"/>
      <c r="K677" s="300"/>
      <c r="L677" s="383"/>
      <c r="M677" s="300"/>
      <c r="N677" s="384"/>
      <c r="O677" s="300"/>
      <c r="P677" s="300"/>
      <c r="Q677" s="300"/>
      <c r="R677" s="300"/>
      <c r="S677" s="300"/>
      <c r="T677" s="300"/>
      <c r="U677" s="300"/>
      <c r="V677" s="300"/>
      <c r="W677" s="300"/>
      <c r="X677" s="300"/>
      <c r="Y677" s="300"/>
      <c r="Z677" s="300"/>
      <c r="AA677" s="300"/>
      <c r="AB677" s="300"/>
      <c r="AC677" s="300"/>
    </row>
    <row r="678">
      <c r="A678" s="300"/>
      <c r="B678" s="300"/>
      <c r="C678" s="380"/>
      <c r="D678" s="300"/>
      <c r="E678" s="381"/>
      <c r="F678" s="382"/>
      <c r="G678" s="380"/>
      <c r="H678" s="300"/>
      <c r="I678" s="300"/>
      <c r="J678" s="300"/>
      <c r="K678" s="300"/>
      <c r="L678" s="383"/>
      <c r="M678" s="300"/>
      <c r="N678" s="384"/>
      <c r="O678" s="300"/>
      <c r="P678" s="300"/>
      <c r="Q678" s="300"/>
      <c r="R678" s="300"/>
      <c r="S678" s="300"/>
      <c r="T678" s="300"/>
      <c r="U678" s="300"/>
      <c r="V678" s="300"/>
      <c r="W678" s="300"/>
      <c r="X678" s="300"/>
      <c r="Y678" s="300"/>
      <c r="Z678" s="300"/>
      <c r="AA678" s="300"/>
      <c r="AB678" s="300"/>
      <c r="AC678" s="300"/>
    </row>
    <row r="679">
      <c r="A679" s="300"/>
      <c r="B679" s="300"/>
      <c r="C679" s="380"/>
      <c r="D679" s="300"/>
      <c r="E679" s="381"/>
      <c r="F679" s="382"/>
      <c r="G679" s="380"/>
      <c r="H679" s="300"/>
      <c r="I679" s="300"/>
      <c r="J679" s="300"/>
      <c r="K679" s="300"/>
      <c r="L679" s="383"/>
      <c r="M679" s="300"/>
      <c r="N679" s="384"/>
      <c r="O679" s="300"/>
      <c r="P679" s="300"/>
      <c r="Q679" s="300"/>
      <c r="R679" s="300"/>
      <c r="S679" s="300"/>
      <c r="T679" s="300"/>
      <c r="U679" s="300"/>
      <c r="V679" s="300"/>
      <c r="W679" s="300"/>
      <c r="X679" s="300"/>
      <c r="Y679" s="300"/>
      <c r="Z679" s="300"/>
      <c r="AA679" s="300"/>
      <c r="AB679" s="300"/>
      <c r="AC679" s="300"/>
    </row>
    <row r="680">
      <c r="A680" s="300"/>
      <c r="B680" s="300"/>
      <c r="C680" s="380"/>
      <c r="D680" s="300"/>
      <c r="E680" s="381"/>
      <c r="F680" s="382"/>
      <c r="G680" s="380"/>
      <c r="H680" s="300"/>
      <c r="I680" s="300"/>
      <c r="J680" s="300"/>
      <c r="K680" s="300"/>
      <c r="L680" s="383"/>
      <c r="M680" s="300"/>
      <c r="N680" s="384"/>
      <c r="O680" s="300"/>
      <c r="P680" s="300"/>
      <c r="Q680" s="300"/>
      <c r="R680" s="300"/>
      <c r="S680" s="300"/>
      <c r="T680" s="300"/>
      <c r="U680" s="300"/>
      <c r="V680" s="300"/>
      <c r="W680" s="300"/>
      <c r="X680" s="300"/>
      <c r="Y680" s="300"/>
      <c r="Z680" s="300"/>
      <c r="AA680" s="300"/>
      <c r="AB680" s="300"/>
      <c r="AC680" s="300"/>
    </row>
    <row r="681">
      <c r="A681" s="300"/>
      <c r="B681" s="300"/>
      <c r="C681" s="380"/>
      <c r="D681" s="300"/>
      <c r="E681" s="381"/>
      <c r="F681" s="382"/>
      <c r="G681" s="380"/>
      <c r="H681" s="300"/>
      <c r="I681" s="300"/>
      <c r="J681" s="300"/>
      <c r="K681" s="300"/>
      <c r="L681" s="383"/>
      <c r="M681" s="300"/>
      <c r="N681" s="384"/>
      <c r="O681" s="300"/>
      <c r="P681" s="300"/>
      <c r="Q681" s="300"/>
      <c r="R681" s="300"/>
      <c r="S681" s="300"/>
      <c r="T681" s="300"/>
      <c r="U681" s="300"/>
      <c r="V681" s="300"/>
      <c r="W681" s="300"/>
      <c r="X681" s="300"/>
      <c r="Y681" s="300"/>
      <c r="Z681" s="300"/>
      <c r="AA681" s="300"/>
      <c r="AB681" s="300"/>
      <c r="AC681" s="300"/>
    </row>
    <row r="682">
      <c r="A682" s="300"/>
      <c r="B682" s="300"/>
      <c r="C682" s="380"/>
      <c r="D682" s="300"/>
      <c r="E682" s="381"/>
      <c r="F682" s="382"/>
      <c r="G682" s="380"/>
      <c r="H682" s="300"/>
      <c r="I682" s="300"/>
      <c r="J682" s="300"/>
      <c r="K682" s="300"/>
      <c r="L682" s="383"/>
      <c r="M682" s="300"/>
      <c r="N682" s="384"/>
      <c r="O682" s="300"/>
      <c r="P682" s="300"/>
      <c r="Q682" s="300"/>
      <c r="R682" s="300"/>
      <c r="S682" s="300"/>
      <c r="T682" s="300"/>
      <c r="U682" s="300"/>
      <c r="V682" s="300"/>
      <c r="W682" s="300"/>
      <c r="X682" s="300"/>
      <c r="Y682" s="300"/>
      <c r="Z682" s="300"/>
      <c r="AA682" s="300"/>
      <c r="AB682" s="300"/>
      <c r="AC682" s="300"/>
    </row>
    <row r="683">
      <c r="A683" s="300"/>
      <c r="B683" s="300"/>
      <c r="C683" s="380"/>
      <c r="D683" s="300"/>
      <c r="E683" s="381"/>
      <c r="F683" s="382"/>
      <c r="G683" s="380"/>
      <c r="H683" s="300"/>
      <c r="I683" s="300"/>
      <c r="J683" s="300"/>
      <c r="K683" s="300"/>
      <c r="L683" s="383"/>
      <c r="M683" s="300"/>
      <c r="N683" s="384"/>
      <c r="O683" s="300"/>
      <c r="P683" s="300"/>
      <c r="Q683" s="300"/>
      <c r="R683" s="300"/>
      <c r="S683" s="300"/>
      <c r="T683" s="300"/>
      <c r="U683" s="300"/>
      <c r="V683" s="300"/>
      <c r="W683" s="300"/>
      <c r="X683" s="300"/>
      <c r="Y683" s="300"/>
      <c r="Z683" s="300"/>
      <c r="AA683" s="300"/>
      <c r="AB683" s="300"/>
      <c r="AC683" s="300"/>
    </row>
    <row r="684">
      <c r="A684" s="300"/>
      <c r="B684" s="300"/>
      <c r="C684" s="380"/>
      <c r="D684" s="300"/>
      <c r="E684" s="381"/>
      <c r="F684" s="382"/>
      <c r="G684" s="380"/>
      <c r="H684" s="300"/>
      <c r="I684" s="300"/>
      <c r="J684" s="300"/>
      <c r="K684" s="300"/>
      <c r="L684" s="383"/>
      <c r="M684" s="300"/>
      <c r="N684" s="384"/>
      <c r="O684" s="300"/>
      <c r="P684" s="300"/>
      <c r="Q684" s="300"/>
      <c r="R684" s="300"/>
      <c r="S684" s="300"/>
      <c r="T684" s="300"/>
      <c r="U684" s="300"/>
      <c r="V684" s="300"/>
      <c r="W684" s="300"/>
      <c r="X684" s="300"/>
      <c r="Y684" s="300"/>
      <c r="Z684" s="300"/>
      <c r="AA684" s="300"/>
      <c r="AB684" s="300"/>
      <c r="AC684" s="300"/>
    </row>
    <row r="685">
      <c r="A685" s="300"/>
      <c r="B685" s="300"/>
      <c r="C685" s="380"/>
      <c r="D685" s="300"/>
      <c r="E685" s="381"/>
      <c r="F685" s="382"/>
      <c r="G685" s="380"/>
      <c r="H685" s="300"/>
      <c r="I685" s="300"/>
      <c r="J685" s="300"/>
      <c r="K685" s="300"/>
      <c r="L685" s="383"/>
      <c r="M685" s="300"/>
      <c r="N685" s="384"/>
      <c r="O685" s="300"/>
      <c r="P685" s="300"/>
      <c r="Q685" s="300"/>
      <c r="R685" s="300"/>
      <c r="S685" s="300"/>
      <c r="T685" s="300"/>
      <c r="U685" s="300"/>
      <c r="V685" s="300"/>
      <c r="W685" s="300"/>
      <c r="X685" s="300"/>
      <c r="Y685" s="300"/>
      <c r="Z685" s="300"/>
      <c r="AA685" s="300"/>
      <c r="AB685" s="300"/>
      <c r="AC685" s="300"/>
    </row>
    <row r="686">
      <c r="A686" s="300"/>
      <c r="B686" s="300"/>
      <c r="C686" s="380"/>
      <c r="D686" s="300"/>
      <c r="E686" s="381"/>
      <c r="F686" s="382"/>
      <c r="G686" s="380"/>
      <c r="H686" s="300"/>
      <c r="I686" s="300"/>
      <c r="J686" s="300"/>
      <c r="K686" s="300"/>
      <c r="L686" s="383"/>
      <c r="M686" s="300"/>
      <c r="N686" s="384"/>
      <c r="O686" s="300"/>
      <c r="P686" s="300"/>
      <c r="Q686" s="300"/>
      <c r="R686" s="300"/>
      <c r="S686" s="300"/>
      <c r="T686" s="300"/>
      <c r="U686" s="300"/>
      <c r="V686" s="300"/>
      <c r="W686" s="300"/>
      <c r="X686" s="300"/>
      <c r="Y686" s="300"/>
      <c r="Z686" s="300"/>
      <c r="AA686" s="300"/>
      <c r="AB686" s="300"/>
      <c r="AC686" s="300"/>
    </row>
    <row r="687">
      <c r="A687" s="300"/>
      <c r="B687" s="300"/>
      <c r="C687" s="380"/>
      <c r="D687" s="300"/>
      <c r="E687" s="381"/>
      <c r="F687" s="382"/>
      <c r="G687" s="380"/>
      <c r="H687" s="300"/>
      <c r="I687" s="300"/>
      <c r="J687" s="300"/>
      <c r="K687" s="300"/>
      <c r="L687" s="383"/>
      <c r="M687" s="300"/>
      <c r="N687" s="384"/>
      <c r="O687" s="300"/>
      <c r="P687" s="300"/>
      <c r="Q687" s="300"/>
      <c r="R687" s="300"/>
      <c r="S687" s="300"/>
      <c r="T687" s="300"/>
      <c r="U687" s="300"/>
      <c r="V687" s="300"/>
      <c r="W687" s="300"/>
      <c r="X687" s="300"/>
      <c r="Y687" s="300"/>
      <c r="Z687" s="300"/>
      <c r="AA687" s="300"/>
      <c r="AB687" s="300"/>
      <c r="AC687" s="300"/>
    </row>
    <row r="688">
      <c r="A688" s="300"/>
      <c r="B688" s="300"/>
      <c r="C688" s="380"/>
      <c r="D688" s="300"/>
      <c r="E688" s="381"/>
      <c r="F688" s="382"/>
      <c r="G688" s="380"/>
      <c r="H688" s="300"/>
      <c r="I688" s="300"/>
      <c r="J688" s="300"/>
      <c r="K688" s="300"/>
      <c r="L688" s="383"/>
      <c r="M688" s="300"/>
      <c r="N688" s="384"/>
      <c r="O688" s="300"/>
      <c r="P688" s="300"/>
      <c r="Q688" s="300"/>
      <c r="R688" s="300"/>
      <c r="S688" s="300"/>
      <c r="T688" s="300"/>
      <c r="U688" s="300"/>
      <c r="V688" s="300"/>
      <c r="W688" s="300"/>
      <c r="X688" s="300"/>
      <c r="Y688" s="300"/>
      <c r="Z688" s="300"/>
      <c r="AA688" s="300"/>
      <c r="AB688" s="300"/>
      <c r="AC688" s="300"/>
    </row>
    <row r="689">
      <c r="A689" s="300"/>
      <c r="B689" s="300"/>
      <c r="C689" s="380"/>
      <c r="D689" s="300"/>
      <c r="E689" s="381"/>
      <c r="F689" s="382"/>
      <c r="G689" s="380"/>
      <c r="H689" s="300"/>
      <c r="I689" s="300"/>
      <c r="J689" s="300"/>
      <c r="K689" s="300"/>
      <c r="L689" s="383"/>
      <c r="M689" s="300"/>
      <c r="N689" s="384"/>
      <c r="O689" s="300"/>
      <c r="P689" s="300"/>
      <c r="Q689" s="300"/>
      <c r="R689" s="300"/>
      <c r="S689" s="300"/>
      <c r="T689" s="300"/>
      <c r="U689" s="300"/>
      <c r="V689" s="300"/>
      <c r="W689" s="300"/>
      <c r="X689" s="300"/>
      <c r="Y689" s="300"/>
      <c r="Z689" s="300"/>
      <c r="AA689" s="300"/>
      <c r="AB689" s="300"/>
      <c r="AC689" s="300"/>
    </row>
    <row r="690">
      <c r="A690" s="300"/>
      <c r="B690" s="300"/>
      <c r="C690" s="380"/>
      <c r="D690" s="300"/>
      <c r="E690" s="381"/>
      <c r="F690" s="382"/>
      <c r="G690" s="380"/>
      <c r="H690" s="300"/>
      <c r="I690" s="300"/>
      <c r="J690" s="300"/>
      <c r="K690" s="300"/>
      <c r="L690" s="383"/>
      <c r="M690" s="300"/>
      <c r="N690" s="384"/>
      <c r="O690" s="300"/>
      <c r="P690" s="300"/>
      <c r="Q690" s="300"/>
      <c r="R690" s="300"/>
      <c r="S690" s="300"/>
      <c r="T690" s="300"/>
      <c r="U690" s="300"/>
      <c r="V690" s="300"/>
      <c r="W690" s="300"/>
      <c r="X690" s="300"/>
      <c r="Y690" s="300"/>
      <c r="Z690" s="300"/>
      <c r="AA690" s="300"/>
      <c r="AB690" s="300"/>
      <c r="AC690" s="300"/>
    </row>
    <row r="691">
      <c r="A691" s="300"/>
      <c r="B691" s="300"/>
      <c r="C691" s="380"/>
      <c r="D691" s="300"/>
      <c r="E691" s="381"/>
      <c r="F691" s="382"/>
      <c r="G691" s="380"/>
      <c r="H691" s="300"/>
      <c r="I691" s="300"/>
      <c r="J691" s="300"/>
      <c r="K691" s="300"/>
      <c r="L691" s="383"/>
      <c r="M691" s="300"/>
      <c r="N691" s="384"/>
      <c r="O691" s="300"/>
      <c r="P691" s="300"/>
      <c r="Q691" s="300"/>
      <c r="R691" s="300"/>
      <c r="S691" s="300"/>
      <c r="T691" s="300"/>
      <c r="U691" s="300"/>
      <c r="V691" s="300"/>
      <c r="W691" s="300"/>
      <c r="X691" s="300"/>
      <c r="Y691" s="300"/>
      <c r="Z691" s="300"/>
      <c r="AA691" s="300"/>
      <c r="AB691" s="300"/>
      <c r="AC691" s="300"/>
    </row>
    <row r="692">
      <c r="A692" s="300"/>
      <c r="B692" s="300"/>
      <c r="C692" s="380"/>
      <c r="D692" s="300"/>
      <c r="E692" s="381"/>
      <c r="F692" s="382"/>
      <c r="G692" s="380"/>
      <c r="H692" s="300"/>
      <c r="I692" s="300"/>
      <c r="J692" s="300"/>
      <c r="K692" s="300"/>
      <c r="L692" s="383"/>
      <c r="M692" s="300"/>
      <c r="N692" s="384"/>
      <c r="O692" s="300"/>
      <c r="P692" s="300"/>
      <c r="Q692" s="300"/>
      <c r="R692" s="300"/>
      <c r="S692" s="300"/>
      <c r="T692" s="300"/>
      <c r="U692" s="300"/>
      <c r="V692" s="300"/>
      <c r="W692" s="300"/>
      <c r="X692" s="300"/>
      <c r="Y692" s="300"/>
      <c r="Z692" s="300"/>
      <c r="AA692" s="300"/>
      <c r="AB692" s="300"/>
      <c r="AC692" s="300"/>
    </row>
    <row r="693">
      <c r="A693" s="300"/>
      <c r="B693" s="300"/>
      <c r="C693" s="380"/>
      <c r="D693" s="300"/>
      <c r="E693" s="381"/>
      <c r="F693" s="382"/>
      <c r="G693" s="380"/>
      <c r="H693" s="300"/>
      <c r="I693" s="300"/>
      <c r="J693" s="300"/>
      <c r="K693" s="300"/>
      <c r="L693" s="383"/>
      <c r="M693" s="300"/>
      <c r="N693" s="384"/>
      <c r="O693" s="300"/>
      <c r="P693" s="300"/>
      <c r="Q693" s="300"/>
      <c r="R693" s="300"/>
      <c r="S693" s="300"/>
      <c r="T693" s="300"/>
      <c r="U693" s="300"/>
      <c r="V693" s="300"/>
      <c r="W693" s="300"/>
      <c r="X693" s="300"/>
      <c r="Y693" s="300"/>
      <c r="Z693" s="300"/>
      <c r="AA693" s="300"/>
      <c r="AB693" s="300"/>
      <c r="AC693" s="300"/>
    </row>
    <row r="694">
      <c r="A694" s="300"/>
      <c r="B694" s="300"/>
      <c r="C694" s="380"/>
      <c r="D694" s="300"/>
      <c r="E694" s="381"/>
      <c r="F694" s="382"/>
      <c r="G694" s="380"/>
      <c r="H694" s="300"/>
      <c r="I694" s="300"/>
      <c r="J694" s="300"/>
      <c r="K694" s="300"/>
      <c r="L694" s="383"/>
      <c r="M694" s="300"/>
      <c r="N694" s="384"/>
      <c r="O694" s="300"/>
      <c r="P694" s="300"/>
      <c r="Q694" s="300"/>
      <c r="R694" s="300"/>
      <c r="S694" s="300"/>
      <c r="T694" s="300"/>
      <c r="U694" s="300"/>
      <c r="V694" s="300"/>
      <c r="W694" s="300"/>
      <c r="X694" s="300"/>
      <c r="Y694" s="300"/>
      <c r="Z694" s="300"/>
      <c r="AA694" s="300"/>
      <c r="AB694" s="300"/>
      <c r="AC694" s="300"/>
    </row>
    <row r="695">
      <c r="A695" s="300"/>
      <c r="B695" s="300"/>
      <c r="C695" s="380"/>
      <c r="D695" s="300"/>
      <c r="E695" s="381"/>
      <c r="F695" s="382"/>
      <c r="G695" s="380"/>
      <c r="H695" s="300"/>
      <c r="I695" s="300"/>
      <c r="J695" s="300"/>
      <c r="K695" s="300"/>
      <c r="L695" s="383"/>
      <c r="M695" s="300"/>
      <c r="N695" s="384"/>
      <c r="O695" s="300"/>
      <c r="P695" s="300"/>
      <c r="Q695" s="300"/>
      <c r="R695" s="300"/>
      <c r="S695" s="300"/>
      <c r="T695" s="300"/>
      <c r="U695" s="300"/>
      <c r="V695" s="300"/>
      <c r="W695" s="300"/>
      <c r="X695" s="300"/>
      <c r="Y695" s="300"/>
      <c r="Z695" s="300"/>
      <c r="AA695" s="300"/>
      <c r="AB695" s="300"/>
      <c r="AC695" s="300"/>
    </row>
    <row r="696">
      <c r="A696" s="300"/>
      <c r="B696" s="300"/>
      <c r="C696" s="380"/>
      <c r="D696" s="300"/>
      <c r="E696" s="381"/>
      <c r="F696" s="382"/>
      <c r="G696" s="380"/>
      <c r="H696" s="300"/>
      <c r="I696" s="300"/>
      <c r="J696" s="300"/>
      <c r="K696" s="300"/>
      <c r="L696" s="383"/>
      <c r="M696" s="300"/>
      <c r="N696" s="384"/>
      <c r="O696" s="300"/>
      <c r="P696" s="300"/>
      <c r="Q696" s="300"/>
      <c r="R696" s="300"/>
      <c r="S696" s="300"/>
      <c r="T696" s="300"/>
      <c r="U696" s="300"/>
      <c r="V696" s="300"/>
      <c r="W696" s="300"/>
      <c r="X696" s="300"/>
      <c r="Y696" s="300"/>
      <c r="Z696" s="300"/>
      <c r="AA696" s="300"/>
      <c r="AB696" s="300"/>
      <c r="AC696" s="300"/>
    </row>
    <row r="697">
      <c r="A697" s="300"/>
      <c r="B697" s="300"/>
      <c r="C697" s="380"/>
      <c r="D697" s="300"/>
      <c r="E697" s="381"/>
      <c r="F697" s="382"/>
      <c r="G697" s="380"/>
      <c r="H697" s="300"/>
      <c r="I697" s="300"/>
      <c r="J697" s="300"/>
      <c r="K697" s="300"/>
      <c r="L697" s="383"/>
      <c r="M697" s="300"/>
      <c r="N697" s="384"/>
      <c r="O697" s="300"/>
      <c r="P697" s="300"/>
      <c r="Q697" s="300"/>
      <c r="R697" s="300"/>
      <c r="S697" s="300"/>
      <c r="T697" s="300"/>
      <c r="U697" s="300"/>
      <c r="V697" s="300"/>
      <c r="W697" s="300"/>
      <c r="X697" s="300"/>
      <c r="Y697" s="300"/>
      <c r="Z697" s="300"/>
      <c r="AA697" s="300"/>
      <c r="AB697" s="300"/>
      <c r="AC697" s="300"/>
    </row>
    <row r="698">
      <c r="A698" s="300"/>
      <c r="B698" s="300"/>
      <c r="C698" s="380"/>
      <c r="D698" s="300"/>
      <c r="E698" s="381"/>
      <c r="F698" s="382"/>
      <c r="G698" s="380"/>
      <c r="H698" s="300"/>
      <c r="I698" s="300"/>
      <c r="J698" s="300"/>
      <c r="K698" s="300"/>
      <c r="L698" s="383"/>
      <c r="M698" s="300"/>
      <c r="N698" s="384"/>
      <c r="O698" s="300"/>
      <c r="P698" s="300"/>
      <c r="Q698" s="300"/>
      <c r="R698" s="300"/>
      <c r="S698" s="300"/>
      <c r="T698" s="300"/>
      <c r="U698" s="300"/>
      <c r="V698" s="300"/>
      <c r="W698" s="300"/>
      <c r="X698" s="300"/>
      <c r="Y698" s="300"/>
      <c r="Z698" s="300"/>
      <c r="AA698" s="300"/>
      <c r="AB698" s="300"/>
      <c r="AC698" s="300"/>
    </row>
    <row r="699">
      <c r="A699" s="300"/>
      <c r="B699" s="300"/>
      <c r="C699" s="380"/>
      <c r="D699" s="300"/>
      <c r="E699" s="381"/>
      <c r="F699" s="382"/>
      <c r="G699" s="380"/>
      <c r="H699" s="300"/>
      <c r="I699" s="300"/>
      <c r="J699" s="300"/>
      <c r="K699" s="300"/>
      <c r="L699" s="383"/>
      <c r="M699" s="300"/>
      <c r="N699" s="384"/>
      <c r="O699" s="300"/>
      <c r="P699" s="300"/>
      <c r="Q699" s="300"/>
      <c r="R699" s="300"/>
      <c r="S699" s="300"/>
      <c r="T699" s="300"/>
      <c r="U699" s="300"/>
      <c r="V699" s="300"/>
      <c r="W699" s="300"/>
      <c r="X699" s="300"/>
      <c r="Y699" s="300"/>
      <c r="Z699" s="300"/>
      <c r="AA699" s="300"/>
      <c r="AB699" s="300"/>
      <c r="AC699" s="300"/>
    </row>
    <row r="700">
      <c r="A700" s="300"/>
      <c r="B700" s="300"/>
      <c r="C700" s="380"/>
      <c r="D700" s="300"/>
      <c r="E700" s="381"/>
      <c r="F700" s="382"/>
      <c r="G700" s="380"/>
      <c r="H700" s="300"/>
      <c r="I700" s="300"/>
      <c r="J700" s="300"/>
      <c r="K700" s="300"/>
      <c r="L700" s="383"/>
      <c r="M700" s="300"/>
      <c r="N700" s="384"/>
      <c r="O700" s="300"/>
      <c r="P700" s="300"/>
      <c r="Q700" s="300"/>
      <c r="R700" s="300"/>
      <c r="S700" s="300"/>
      <c r="T700" s="300"/>
      <c r="U700" s="300"/>
      <c r="V700" s="300"/>
      <c r="W700" s="300"/>
      <c r="X700" s="300"/>
      <c r="Y700" s="300"/>
      <c r="Z700" s="300"/>
      <c r="AA700" s="300"/>
      <c r="AB700" s="300"/>
      <c r="AC700" s="300"/>
    </row>
    <row r="701">
      <c r="A701" s="300"/>
      <c r="B701" s="300"/>
      <c r="C701" s="380"/>
      <c r="D701" s="300"/>
      <c r="E701" s="381"/>
      <c r="F701" s="382"/>
      <c r="G701" s="380"/>
      <c r="H701" s="300"/>
      <c r="I701" s="300"/>
      <c r="J701" s="300"/>
      <c r="K701" s="300"/>
      <c r="L701" s="383"/>
      <c r="M701" s="300"/>
      <c r="N701" s="384"/>
      <c r="O701" s="300"/>
      <c r="P701" s="300"/>
      <c r="Q701" s="300"/>
      <c r="R701" s="300"/>
      <c r="S701" s="300"/>
      <c r="T701" s="300"/>
      <c r="U701" s="300"/>
      <c r="V701" s="300"/>
      <c r="W701" s="300"/>
      <c r="X701" s="300"/>
      <c r="Y701" s="300"/>
      <c r="Z701" s="300"/>
      <c r="AA701" s="300"/>
      <c r="AB701" s="300"/>
      <c r="AC701" s="300"/>
    </row>
    <row r="702">
      <c r="A702" s="300"/>
      <c r="B702" s="300"/>
      <c r="C702" s="380"/>
      <c r="D702" s="300"/>
      <c r="E702" s="381"/>
      <c r="F702" s="382"/>
      <c r="G702" s="380"/>
      <c r="H702" s="300"/>
      <c r="I702" s="300"/>
      <c r="J702" s="300"/>
      <c r="K702" s="300"/>
      <c r="L702" s="383"/>
      <c r="M702" s="300"/>
      <c r="N702" s="384"/>
      <c r="O702" s="300"/>
      <c r="P702" s="300"/>
      <c r="Q702" s="300"/>
      <c r="R702" s="300"/>
      <c r="S702" s="300"/>
      <c r="T702" s="300"/>
      <c r="U702" s="300"/>
      <c r="V702" s="300"/>
      <c r="W702" s="300"/>
      <c r="X702" s="300"/>
      <c r="Y702" s="300"/>
      <c r="Z702" s="300"/>
      <c r="AA702" s="300"/>
      <c r="AB702" s="300"/>
      <c r="AC702" s="300"/>
    </row>
    <row r="703">
      <c r="A703" s="300"/>
      <c r="B703" s="300"/>
      <c r="C703" s="380"/>
      <c r="D703" s="300"/>
      <c r="E703" s="381"/>
      <c r="F703" s="382"/>
      <c r="G703" s="380"/>
      <c r="H703" s="300"/>
      <c r="I703" s="300"/>
      <c r="J703" s="300"/>
      <c r="K703" s="300"/>
      <c r="L703" s="383"/>
      <c r="M703" s="300"/>
      <c r="N703" s="384"/>
      <c r="O703" s="300"/>
      <c r="P703" s="300"/>
      <c r="Q703" s="300"/>
      <c r="R703" s="300"/>
      <c r="S703" s="300"/>
      <c r="T703" s="300"/>
      <c r="U703" s="300"/>
      <c r="V703" s="300"/>
      <c r="W703" s="300"/>
      <c r="X703" s="300"/>
      <c r="Y703" s="300"/>
      <c r="Z703" s="300"/>
      <c r="AA703" s="300"/>
      <c r="AB703" s="300"/>
      <c r="AC703" s="300"/>
    </row>
    <row r="704">
      <c r="A704" s="300"/>
      <c r="B704" s="300"/>
      <c r="C704" s="380"/>
      <c r="D704" s="300"/>
      <c r="E704" s="381"/>
      <c r="F704" s="382"/>
      <c r="G704" s="380"/>
      <c r="H704" s="300"/>
      <c r="I704" s="300"/>
      <c r="J704" s="300"/>
      <c r="K704" s="300"/>
      <c r="L704" s="383"/>
      <c r="M704" s="300"/>
      <c r="N704" s="384"/>
      <c r="O704" s="300"/>
      <c r="P704" s="300"/>
      <c r="Q704" s="300"/>
      <c r="R704" s="300"/>
      <c r="S704" s="300"/>
      <c r="T704" s="300"/>
      <c r="U704" s="300"/>
      <c r="V704" s="300"/>
      <c r="W704" s="300"/>
      <c r="X704" s="300"/>
      <c r="Y704" s="300"/>
      <c r="Z704" s="300"/>
      <c r="AA704" s="300"/>
      <c r="AB704" s="300"/>
      <c r="AC704" s="300"/>
    </row>
    <row r="705">
      <c r="A705" s="300"/>
      <c r="B705" s="300"/>
      <c r="C705" s="380"/>
      <c r="D705" s="300"/>
      <c r="E705" s="381"/>
      <c r="F705" s="382"/>
      <c r="G705" s="380"/>
      <c r="H705" s="300"/>
      <c r="I705" s="300"/>
      <c r="J705" s="300"/>
      <c r="K705" s="300"/>
      <c r="L705" s="383"/>
      <c r="M705" s="300"/>
      <c r="N705" s="384"/>
      <c r="O705" s="300"/>
      <c r="P705" s="300"/>
      <c r="Q705" s="300"/>
      <c r="R705" s="300"/>
      <c r="S705" s="300"/>
      <c r="T705" s="300"/>
      <c r="U705" s="300"/>
      <c r="V705" s="300"/>
      <c r="W705" s="300"/>
      <c r="X705" s="300"/>
      <c r="Y705" s="300"/>
      <c r="Z705" s="300"/>
      <c r="AA705" s="300"/>
      <c r="AB705" s="300"/>
      <c r="AC705" s="300"/>
    </row>
    <row r="706">
      <c r="A706" s="300"/>
      <c r="B706" s="300"/>
      <c r="C706" s="380"/>
      <c r="D706" s="300"/>
      <c r="E706" s="381"/>
      <c r="F706" s="382"/>
      <c r="G706" s="380"/>
      <c r="H706" s="300"/>
      <c r="I706" s="300"/>
      <c r="J706" s="300"/>
      <c r="K706" s="300"/>
      <c r="L706" s="383"/>
      <c r="M706" s="300"/>
      <c r="N706" s="384"/>
      <c r="O706" s="300"/>
      <c r="P706" s="300"/>
      <c r="Q706" s="300"/>
      <c r="R706" s="300"/>
      <c r="S706" s="300"/>
      <c r="T706" s="300"/>
      <c r="U706" s="300"/>
      <c r="V706" s="300"/>
      <c r="W706" s="300"/>
      <c r="X706" s="300"/>
      <c r="Y706" s="300"/>
      <c r="Z706" s="300"/>
      <c r="AA706" s="300"/>
      <c r="AB706" s="300"/>
      <c r="AC706" s="300"/>
    </row>
    <row r="707">
      <c r="A707" s="300"/>
      <c r="B707" s="300"/>
      <c r="C707" s="380"/>
      <c r="D707" s="300"/>
      <c r="E707" s="381"/>
      <c r="F707" s="382"/>
      <c r="G707" s="380"/>
      <c r="H707" s="300"/>
      <c r="I707" s="300"/>
      <c r="J707" s="300"/>
      <c r="K707" s="300"/>
      <c r="L707" s="383"/>
      <c r="M707" s="300"/>
      <c r="N707" s="384"/>
      <c r="O707" s="300"/>
      <c r="P707" s="300"/>
      <c r="Q707" s="300"/>
      <c r="R707" s="300"/>
      <c r="S707" s="300"/>
      <c r="T707" s="300"/>
      <c r="U707" s="300"/>
      <c r="V707" s="300"/>
      <c r="W707" s="300"/>
      <c r="X707" s="300"/>
      <c r="Y707" s="300"/>
      <c r="Z707" s="300"/>
      <c r="AA707" s="300"/>
      <c r="AB707" s="300"/>
      <c r="AC707" s="300"/>
    </row>
    <row r="708">
      <c r="A708" s="300"/>
      <c r="B708" s="300"/>
      <c r="C708" s="380"/>
      <c r="D708" s="300"/>
      <c r="E708" s="381"/>
      <c r="F708" s="382"/>
      <c r="G708" s="380"/>
      <c r="H708" s="300"/>
      <c r="I708" s="300"/>
      <c r="J708" s="300"/>
      <c r="K708" s="300"/>
      <c r="L708" s="383"/>
      <c r="M708" s="300"/>
      <c r="N708" s="384"/>
      <c r="O708" s="300"/>
      <c r="P708" s="300"/>
      <c r="Q708" s="300"/>
      <c r="R708" s="300"/>
      <c r="S708" s="300"/>
      <c r="T708" s="300"/>
      <c r="U708" s="300"/>
      <c r="V708" s="300"/>
      <c r="W708" s="300"/>
      <c r="X708" s="300"/>
      <c r="Y708" s="300"/>
      <c r="Z708" s="300"/>
      <c r="AA708" s="300"/>
      <c r="AB708" s="300"/>
      <c r="AC708" s="300"/>
    </row>
    <row r="709">
      <c r="A709" s="300"/>
      <c r="B709" s="300"/>
      <c r="C709" s="380"/>
      <c r="D709" s="300"/>
      <c r="E709" s="381"/>
      <c r="F709" s="382"/>
      <c r="G709" s="380"/>
      <c r="H709" s="300"/>
      <c r="I709" s="300"/>
      <c r="J709" s="300"/>
      <c r="K709" s="300"/>
      <c r="L709" s="383"/>
      <c r="M709" s="300"/>
      <c r="N709" s="384"/>
      <c r="O709" s="300"/>
      <c r="P709" s="300"/>
      <c r="Q709" s="300"/>
      <c r="R709" s="300"/>
      <c r="S709" s="300"/>
      <c r="T709" s="300"/>
      <c r="U709" s="300"/>
      <c r="V709" s="300"/>
      <c r="W709" s="300"/>
      <c r="X709" s="300"/>
      <c r="Y709" s="300"/>
      <c r="Z709" s="300"/>
      <c r="AA709" s="300"/>
      <c r="AB709" s="300"/>
      <c r="AC709" s="300"/>
    </row>
    <row r="710">
      <c r="A710" s="300"/>
      <c r="B710" s="300"/>
      <c r="C710" s="380"/>
      <c r="D710" s="300"/>
      <c r="E710" s="381"/>
      <c r="F710" s="382"/>
      <c r="G710" s="380"/>
      <c r="H710" s="300"/>
      <c r="I710" s="300"/>
      <c r="J710" s="300"/>
      <c r="K710" s="300"/>
      <c r="L710" s="383"/>
      <c r="M710" s="300"/>
      <c r="N710" s="384"/>
      <c r="O710" s="300"/>
      <c r="P710" s="300"/>
      <c r="Q710" s="300"/>
      <c r="R710" s="300"/>
      <c r="S710" s="300"/>
      <c r="T710" s="300"/>
      <c r="U710" s="300"/>
      <c r="V710" s="300"/>
      <c r="W710" s="300"/>
      <c r="X710" s="300"/>
      <c r="Y710" s="300"/>
      <c r="Z710" s="300"/>
      <c r="AA710" s="300"/>
      <c r="AB710" s="300"/>
      <c r="AC710" s="300"/>
    </row>
    <row r="711">
      <c r="A711" s="300"/>
      <c r="B711" s="300"/>
      <c r="C711" s="380"/>
      <c r="D711" s="300"/>
      <c r="E711" s="381"/>
      <c r="F711" s="382"/>
      <c r="G711" s="380"/>
      <c r="H711" s="300"/>
      <c r="I711" s="300"/>
      <c r="J711" s="300"/>
      <c r="K711" s="300"/>
      <c r="L711" s="383"/>
      <c r="M711" s="300"/>
      <c r="N711" s="384"/>
      <c r="O711" s="300"/>
      <c r="P711" s="300"/>
      <c r="Q711" s="300"/>
      <c r="R711" s="300"/>
      <c r="S711" s="300"/>
      <c r="T711" s="300"/>
      <c r="U711" s="300"/>
      <c r="V711" s="300"/>
      <c r="W711" s="300"/>
      <c r="X711" s="300"/>
      <c r="Y711" s="300"/>
      <c r="Z711" s="300"/>
      <c r="AA711" s="300"/>
      <c r="AB711" s="300"/>
      <c r="AC711" s="300"/>
    </row>
    <row r="712">
      <c r="A712" s="300"/>
      <c r="B712" s="300"/>
      <c r="C712" s="380"/>
      <c r="D712" s="300"/>
      <c r="E712" s="381"/>
      <c r="F712" s="382"/>
      <c r="G712" s="380"/>
      <c r="H712" s="300"/>
      <c r="I712" s="300"/>
      <c r="J712" s="300"/>
      <c r="K712" s="300"/>
      <c r="L712" s="383"/>
      <c r="M712" s="300"/>
      <c r="N712" s="384"/>
      <c r="O712" s="300"/>
      <c r="P712" s="300"/>
      <c r="Q712" s="300"/>
      <c r="R712" s="300"/>
      <c r="S712" s="300"/>
      <c r="T712" s="300"/>
      <c r="U712" s="300"/>
      <c r="V712" s="300"/>
      <c r="W712" s="300"/>
      <c r="X712" s="300"/>
      <c r="Y712" s="300"/>
      <c r="Z712" s="300"/>
      <c r="AA712" s="300"/>
      <c r="AB712" s="300"/>
      <c r="AC712" s="300"/>
    </row>
    <row r="713">
      <c r="A713" s="300"/>
      <c r="B713" s="300"/>
      <c r="C713" s="380"/>
      <c r="D713" s="300"/>
      <c r="E713" s="381"/>
      <c r="F713" s="382"/>
      <c r="G713" s="380"/>
      <c r="H713" s="300"/>
      <c r="I713" s="300"/>
      <c r="J713" s="300"/>
      <c r="K713" s="300"/>
      <c r="L713" s="383"/>
      <c r="M713" s="300"/>
      <c r="N713" s="384"/>
      <c r="O713" s="300"/>
      <c r="P713" s="300"/>
      <c r="Q713" s="300"/>
      <c r="R713" s="300"/>
      <c r="S713" s="300"/>
      <c r="T713" s="300"/>
      <c r="U713" s="300"/>
      <c r="V713" s="300"/>
      <c r="W713" s="300"/>
      <c r="X713" s="300"/>
      <c r="Y713" s="300"/>
      <c r="Z713" s="300"/>
      <c r="AA713" s="300"/>
      <c r="AB713" s="300"/>
      <c r="AC713" s="300"/>
    </row>
    <row r="714">
      <c r="A714" s="300"/>
      <c r="B714" s="300"/>
      <c r="C714" s="380"/>
      <c r="D714" s="300"/>
      <c r="E714" s="381"/>
      <c r="F714" s="382"/>
      <c r="G714" s="380"/>
      <c r="H714" s="300"/>
      <c r="I714" s="300"/>
      <c r="J714" s="300"/>
      <c r="K714" s="300"/>
      <c r="L714" s="383"/>
      <c r="M714" s="300"/>
      <c r="N714" s="384"/>
      <c r="O714" s="300"/>
      <c r="P714" s="300"/>
      <c r="Q714" s="300"/>
      <c r="R714" s="300"/>
      <c r="S714" s="300"/>
      <c r="T714" s="300"/>
      <c r="U714" s="300"/>
      <c r="V714" s="300"/>
      <c r="W714" s="300"/>
      <c r="X714" s="300"/>
      <c r="Y714" s="300"/>
      <c r="Z714" s="300"/>
      <c r="AA714" s="300"/>
      <c r="AB714" s="300"/>
      <c r="AC714" s="300"/>
    </row>
    <row r="715">
      <c r="A715" s="300"/>
      <c r="B715" s="300"/>
      <c r="C715" s="380"/>
      <c r="D715" s="300"/>
      <c r="E715" s="381"/>
      <c r="F715" s="382"/>
      <c r="G715" s="380"/>
      <c r="H715" s="300"/>
      <c r="I715" s="300"/>
      <c r="J715" s="300"/>
      <c r="K715" s="300"/>
      <c r="L715" s="383"/>
      <c r="M715" s="300"/>
      <c r="N715" s="384"/>
      <c r="O715" s="300"/>
      <c r="P715" s="300"/>
      <c r="Q715" s="300"/>
      <c r="R715" s="300"/>
      <c r="S715" s="300"/>
      <c r="T715" s="300"/>
      <c r="U715" s="300"/>
      <c r="V715" s="300"/>
      <c r="W715" s="300"/>
      <c r="X715" s="300"/>
      <c r="Y715" s="300"/>
      <c r="Z715" s="300"/>
      <c r="AA715" s="300"/>
      <c r="AB715" s="300"/>
      <c r="AC715" s="300"/>
    </row>
    <row r="716">
      <c r="A716" s="300"/>
      <c r="B716" s="300"/>
      <c r="C716" s="380"/>
      <c r="D716" s="300"/>
      <c r="E716" s="381"/>
      <c r="F716" s="382"/>
      <c r="G716" s="380"/>
      <c r="H716" s="300"/>
      <c r="I716" s="300"/>
      <c r="J716" s="300"/>
      <c r="K716" s="300"/>
      <c r="L716" s="383"/>
      <c r="M716" s="300"/>
      <c r="N716" s="384"/>
      <c r="O716" s="300"/>
      <c r="P716" s="300"/>
      <c r="Q716" s="300"/>
      <c r="R716" s="300"/>
      <c r="S716" s="300"/>
      <c r="T716" s="300"/>
      <c r="U716" s="300"/>
      <c r="V716" s="300"/>
      <c r="W716" s="300"/>
      <c r="X716" s="300"/>
      <c r="Y716" s="300"/>
      <c r="Z716" s="300"/>
      <c r="AA716" s="300"/>
      <c r="AB716" s="300"/>
      <c r="AC716" s="300"/>
    </row>
    <row r="717">
      <c r="A717" s="300"/>
      <c r="B717" s="300"/>
      <c r="C717" s="380"/>
      <c r="D717" s="300"/>
      <c r="E717" s="381"/>
      <c r="F717" s="382"/>
      <c r="G717" s="380"/>
      <c r="H717" s="300"/>
      <c r="I717" s="300"/>
      <c r="J717" s="300"/>
      <c r="K717" s="300"/>
      <c r="L717" s="383"/>
      <c r="M717" s="300"/>
      <c r="N717" s="384"/>
      <c r="O717" s="300"/>
      <c r="P717" s="300"/>
      <c r="Q717" s="300"/>
      <c r="R717" s="300"/>
      <c r="S717" s="300"/>
      <c r="T717" s="300"/>
      <c r="U717" s="300"/>
      <c r="V717" s="300"/>
      <c r="W717" s="300"/>
      <c r="X717" s="300"/>
      <c r="Y717" s="300"/>
      <c r="Z717" s="300"/>
      <c r="AA717" s="300"/>
      <c r="AB717" s="300"/>
      <c r="AC717" s="300"/>
    </row>
    <row r="718">
      <c r="A718" s="300"/>
      <c r="B718" s="300"/>
      <c r="C718" s="380"/>
      <c r="D718" s="300"/>
      <c r="E718" s="381"/>
      <c r="F718" s="382"/>
      <c r="G718" s="380"/>
      <c r="H718" s="300"/>
      <c r="I718" s="300"/>
      <c r="J718" s="300"/>
      <c r="K718" s="300"/>
      <c r="L718" s="383"/>
      <c r="M718" s="300"/>
      <c r="N718" s="384"/>
      <c r="O718" s="300"/>
      <c r="P718" s="300"/>
      <c r="Q718" s="300"/>
      <c r="R718" s="300"/>
      <c r="S718" s="300"/>
      <c r="T718" s="300"/>
      <c r="U718" s="300"/>
      <c r="V718" s="300"/>
      <c r="W718" s="300"/>
      <c r="X718" s="300"/>
      <c r="Y718" s="300"/>
      <c r="Z718" s="300"/>
      <c r="AA718" s="300"/>
      <c r="AB718" s="300"/>
      <c r="AC718" s="300"/>
    </row>
    <row r="719">
      <c r="A719" s="300"/>
      <c r="B719" s="300"/>
      <c r="C719" s="380"/>
      <c r="D719" s="300"/>
      <c r="E719" s="381"/>
      <c r="F719" s="382"/>
      <c r="G719" s="380"/>
      <c r="H719" s="300"/>
      <c r="I719" s="300"/>
      <c r="J719" s="300"/>
      <c r="K719" s="300"/>
      <c r="L719" s="383"/>
      <c r="M719" s="300"/>
      <c r="N719" s="384"/>
      <c r="O719" s="300"/>
      <c r="P719" s="300"/>
      <c r="Q719" s="300"/>
      <c r="R719" s="300"/>
      <c r="S719" s="300"/>
      <c r="T719" s="300"/>
      <c r="U719" s="300"/>
      <c r="V719" s="300"/>
      <c r="W719" s="300"/>
      <c r="X719" s="300"/>
      <c r="Y719" s="300"/>
      <c r="Z719" s="300"/>
      <c r="AA719" s="300"/>
      <c r="AB719" s="300"/>
      <c r="AC719" s="300"/>
    </row>
    <row r="720">
      <c r="A720" s="300"/>
      <c r="B720" s="300"/>
      <c r="C720" s="380"/>
      <c r="D720" s="300"/>
      <c r="E720" s="381"/>
      <c r="F720" s="382"/>
      <c r="G720" s="380"/>
      <c r="H720" s="300"/>
      <c r="I720" s="300"/>
      <c r="J720" s="300"/>
      <c r="K720" s="300"/>
      <c r="L720" s="383"/>
      <c r="M720" s="300"/>
      <c r="N720" s="384"/>
      <c r="O720" s="300"/>
      <c r="P720" s="300"/>
      <c r="Q720" s="300"/>
      <c r="R720" s="300"/>
      <c r="S720" s="300"/>
      <c r="T720" s="300"/>
      <c r="U720" s="300"/>
      <c r="V720" s="300"/>
      <c r="W720" s="300"/>
      <c r="X720" s="300"/>
      <c r="Y720" s="300"/>
      <c r="Z720" s="300"/>
      <c r="AA720" s="300"/>
      <c r="AB720" s="300"/>
      <c r="AC720" s="300"/>
    </row>
    <row r="721">
      <c r="A721" s="300"/>
      <c r="B721" s="300"/>
      <c r="C721" s="380"/>
      <c r="D721" s="300"/>
      <c r="E721" s="381"/>
      <c r="F721" s="382"/>
      <c r="G721" s="380"/>
      <c r="H721" s="300"/>
      <c r="I721" s="300"/>
      <c r="J721" s="300"/>
      <c r="K721" s="300"/>
      <c r="L721" s="383"/>
      <c r="M721" s="300"/>
      <c r="N721" s="384"/>
      <c r="O721" s="300"/>
      <c r="P721" s="300"/>
      <c r="Q721" s="300"/>
      <c r="R721" s="300"/>
      <c r="S721" s="300"/>
      <c r="T721" s="300"/>
      <c r="U721" s="300"/>
      <c r="V721" s="300"/>
      <c r="W721" s="300"/>
      <c r="X721" s="300"/>
      <c r="Y721" s="300"/>
      <c r="Z721" s="300"/>
      <c r="AA721" s="300"/>
      <c r="AB721" s="300"/>
      <c r="AC721" s="300"/>
    </row>
    <row r="722">
      <c r="A722" s="300"/>
      <c r="B722" s="300"/>
      <c r="C722" s="380"/>
      <c r="D722" s="300"/>
      <c r="E722" s="381"/>
      <c r="F722" s="382"/>
      <c r="G722" s="380"/>
      <c r="H722" s="300"/>
      <c r="I722" s="300"/>
      <c r="J722" s="300"/>
      <c r="K722" s="300"/>
      <c r="L722" s="383"/>
      <c r="M722" s="300"/>
      <c r="N722" s="384"/>
      <c r="O722" s="300"/>
      <c r="P722" s="300"/>
      <c r="Q722" s="300"/>
      <c r="R722" s="300"/>
      <c r="S722" s="300"/>
      <c r="T722" s="300"/>
      <c r="U722" s="300"/>
      <c r="V722" s="300"/>
      <c r="W722" s="300"/>
      <c r="X722" s="300"/>
      <c r="Y722" s="300"/>
      <c r="Z722" s="300"/>
      <c r="AA722" s="300"/>
      <c r="AB722" s="300"/>
      <c r="AC722" s="300"/>
    </row>
    <row r="723">
      <c r="A723" s="300"/>
      <c r="B723" s="300"/>
      <c r="C723" s="380"/>
      <c r="D723" s="300"/>
      <c r="E723" s="381"/>
      <c r="F723" s="382"/>
      <c r="G723" s="380"/>
      <c r="H723" s="300"/>
      <c r="I723" s="300"/>
      <c r="J723" s="300"/>
      <c r="K723" s="300"/>
      <c r="L723" s="383"/>
      <c r="M723" s="300"/>
      <c r="N723" s="384"/>
      <c r="O723" s="300"/>
      <c r="P723" s="300"/>
      <c r="Q723" s="300"/>
      <c r="R723" s="300"/>
      <c r="S723" s="300"/>
      <c r="T723" s="300"/>
      <c r="U723" s="300"/>
      <c r="V723" s="300"/>
      <c r="W723" s="300"/>
      <c r="X723" s="300"/>
      <c r="Y723" s="300"/>
      <c r="Z723" s="300"/>
      <c r="AA723" s="300"/>
      <c r="AB723" s="300"/>
      <c r="AC723" s="300"/>
    </row>
    <row r="724">
      <c r="A724" s="300"/>
      <c r="B724" s="300"/>
      <c r="C724" s="380"/>
      <c r="D724" s="300"/>
      <c r="E724" s="381"/>
      <c r="F724" s="382"/>
      <c r="G724" s="380"/>
      <c r="H724" s="300"/>
      <c r="I724" s="300"/>
      <c r="J724" s="300"/>
      <c r="K724" s="300"/>
      <c r="L724" s="383"/>
      <c r="M724" s="300"/>
      <c r="N724" s="384"/>
      <c r="O724" s="300"/>
      <c r="P724" s="300"/>
      <c r="Q724" s="300"/>
      <c r="R724" s="300"/>
      <c r="S724" s="300"/>
      <c r="T724" s="300"/>
      <c r="U724" s="300"/>
      <c r="V724" s="300"/>
      <c r="W724" s="300"/>
      <c r="X724" s="300"/>
      <c r="Y724" s="300"/>
      <c r="Z724" s="300"/>
      <c r="AA724" s="300"/>
      <c r="AB724" s="300"/>
      <c r="AC724" s="300"/>
    </row>
    <row r="725">
      <c r="A725" s="300"/>
      <c r="B725" s="300"/>
      <c r="C725" s="380"/>
      <c r="D725" s="300"/>
      <c r="E725" s="381"/>
      <c r="F725" s="382"/>
      <c r="G725" s="380"/>
      <c r="H725" s="300"/>
      <c r="I725" s="300"/>
      <c r="J725" s="300"/>
      <c r="K725" s="300"/>
      <c r="L725" s="383"/>
      <c r="M725" s="300"/>
      <c r="N725" s="384"/>
      <c r="O725" s="300"/>
      <c r="P725" s="300"/>
      <c r="Q725" s="300"/>
      <c r="R725" s="300"/>
      <c r="S725" s="300"/>
      <c r="T725" s="300"/>
      <c r="U725" s="300"/>
      <c r="V725" s="300"/>
      <c r="W725" s="300"/>
      <c r="X725" s="300"/>
      <c r="Y725" s="300"/>
      <c r="Z725" s="300"/>
      <c r="AA725" s="300"/>
      <c r="AB725" s="300"/>
      <c r="AC725" s="300"/>
    </row>
    <row r="726">
      <c r="A726" s="300"/>
      <c r="B726" s="300"/>
      <c r="C726" s="380"/>
      <c r="D726" s="300"/>
      <c r="E726" s="381"/>
      <c r="F726" s="382"/>
      <c r="G726" s="380"/>
      <c r="H726" s="300"/>
      <c r="I726" s="300"/>
      <c r="J726" s="300"/>
      <c r="K726" s="300"/>
      <c r="L726" s="383"/>
      <c r="M726" s="300"/>
      <c r="N726" s="384"/>
      <c r="O726" s="300"/>
      <c r="P726" s="300"/>
      <c r="Q726" s="300"/>
      <c r="R726" s="300"/>
      <c r="S726" s="300"/>
      <c r="T726" s="300"/>
      <c r="U726" s="300"/>
      <c r="V726" s="300"/>
      <c r="W726" s="300"/>
      <c r="X726" s="300"/>
      <c r="Y726" s="300"/>
      <c r="Z726" s="300"/>
      <c r="AA726" s="300"/>
      <c r="AB726" s="300"/>
      <c r="AC726" s="300"/>
    </row>
    <row r="727">
      <c r="A727" s="300"/>
      <c r="B727" s="300"/>
      <c r="C727" s="380"/>
      <c r="D727" s="300"/>
      <c r="E727" s="381"/>
      <c r="F727" s="382"/>
      <c r="G727" s="380"/>
      <c r="H727" s="300"/>
      <c r="I727" s="300"/>
      <c r="J727" s="300"/>
      <c r="K727" s="300"/>
      <c r="L727" s="383"/>
      <c r="M727" s="300"/>
      <c r="N727" s="384"/>
      <c r="O727" s="300"/>
      <c r="P727" s="300"/>
      <c r="Q727" s="300"/>
      <c r="R727" s="300"/>
      <c r="S727" s="300"/>
      <c r="T727" s="300"/>
      <c r="U727" s="300"/>
      <c r="V727" s="300"/>
      <c r="W727" s="300"/>
      <c r="X727" s="300"/>
      <c r="Y727" s="300"/>
      <c r="Z727" s="300"/>
      <c r="AA727" s="300"/>
      <c r="AB727" s="300"/>
      <c r="AC727" s="300"/>
    </row>
    <row r="728">
      <c r="A728" s="300"/>
      <c r="B728" s="300"/>
      <c r="C728" s="380"/>
      <c r="D728" s="300"/>
      <c r="E728" s="381"/>
      <c r="F728" s="382"/>
      <c r="G728" s="380"/>
      <c r="H728" s="300"/>
      <c r="I728" s="300"/>
      <c r="J728" s="300"/>
      <c r="K728" s="300"/>
      <c r="L728" s="383"/>
      <c r="M728" s="300"/>
      <c r="N728" s="384"/>
      <c r="O728" s="300"/>
      <c r="P728" s="300"/>
      <c r="Q728" s="300"/>
      <c r="R728" s="300"/>
      <c r="S728" s="300"/>
      <c r="T728" s="300"/>
      <c r="U728" s="300"/>
      <c r="V728" s="300"/>
      <c r="W728" s="300"/>
      <c r="X728" s="300"/>
      <c r="Y728" s="300"/>
      <c r="Z728" s="300"/>
      <c r="AA728" s="300"/>
      <c r="AB728" s="300"/>
      <c r="AC728" s="300"/>
    </row>
    <row r="729">
      <c r="A729" s="300"/>
      <c r="B729" s="300"/>
      <c r="C729" s="380"/>
      <c r="D729" s="300"/>
      <c r="E729" s="381"/>
      <c r="F729" s="382"/>
      <c r="G729" s="380"/>
      <c r="H729" s="300"/>
      <c r="I729" s="300"/>
      <c r="J729" s="300"/>
      <c r="K729" s="300"/>
      <c r="L729" s="383"/>
      <c r="M729" s="300"/>
      <c r="N729" s="384"/>
      <c r="O729" s="300"/>
      <c r="P729" s="300"/>
      <c r="Q729" s="300"/>
      <c r="R729" s="300"/>
      <c r="S729" s="300"/>
      <c r="T729" s="300"/>
      <c r="U729" s="300"/>
      <c r="V729" s="300"/>
      <c r="W729" s="300"/>
      <c r="X729" s="300"/>
      <c r="Y729" s="300"/>
      <c r="Z729" s="300"/>
      <c r="AA729" s="300"/>
      <c r="AB729" s="300"/>
      <c r="AC729" s="300"/>
    </row>
    <row r="730">
      <c r="A730" s="300"/>
      <c r="B730" s="300"/>
      <c r="C730" s="380"/>
      <c r="D730" s="300"/>
      <c r="E730" s="381"/>
      <c r="F730" s="382"/>
      <c r="G730" s="380"/>
      <c r="H730" s="300"/>
      <c r="I730" s="300"/>
      <c r="J730" s="300"/>
      <c r="K730" s="300"/>
      <c r="L730" s="383"/>
      <c r="M730" s="300"/>
      <c r="N730" s="384"/>
      <c r="O730" s="300"/>
      <c r="P730" s="300"/>
      <c r="Q730" s="300"/>
      <c r="R730" s="300"/>
      <c r="S730" s="300"/>
      <c r="T730" s="300"/>
      <c r="U730" s="300"/>
      <c r="V730" s="300"/>
      <c r="W730" s="300"/>
      <c r="X730" s="300"/>
      <c r="Y730" s="300"/>
      <c r="Z730" s="300"/>
      <c r="AA730" s="300"/>
      <c r="AB730" s="300"/>
      <c r="AC730" s="300"/>
    </row>
    <row r="731">
      <c r="A731" s="300"/>
      <c r="B731" s="300"/>
      <c r="C731" s="380"/>
      <c r="D731" s="300"/>
      <c r="E731" s="381"/>
      <c r="F731" s="382"/>
      <c r="G731" s="380"/>
      <c r="H731" s="300"/>
      <c r="I731" s="300"/>
      <c r="J731" s="300"/>
      <c r="K731" s="300"/>
      <c r="L731" s="383"/>
      <c r="M731" s="300"/>
      <c r="N731" s="384"/>
      <c r="O731" s="300"/>
      <c r="P731" s="300"/>
      <c r="Q731" s="300"/>
      <c r="R731" s="300"/>
      <c r="S731" s="300"/>
      <c r="T731" s="300"/>
      <c r="U731" s="300"/>
      <c r="V731" s="300"/>
      <c r="W731" s="300"/>
      <c r="X731" s="300"/>
      <c r="Y731" s="300"/>
      <c r="Z731" s="300"/>
      <c r="AA731" s="300"/>
      <c r="AB731" s="300"/>
      <c r="AC731" s="300"/>
    </row>
    <row r="732">
      <c r="A732" s="300"/>
      <c r="B732" s="300"/>
      <c r="C732" s="380"/>
      <c r="D732" s="300"/>
      <c r="E732" s="381"/>
      <c r="F732" s="382"/>
      <c r="G732" s="380"/>
      <c r="H732" s="300"/>
      <c r="I732" s="300"/>
      <c r="J732" s="300"/>
      <c r="K732" s="300"/>
      <c r="L732" s="383"/>
      <c r="M732" s="300"/>
      <c r="N732" s="384"/>
      <c r="O732" s="300"/>
      <c r="P732" s="300"/>
      <c r="Q732" s="300"/>
      <c r="R732" s="300"/>
      <c r="S732" s="300"/>
      <c r="T732" s="300"/>
      <c r="U732" s="300"/>
      <c r="V732" s="300"/>
      <c r="W732" s="300"/>
      <c r="X732" s="300"/>
      <c r="Y732" s="300"/>
      <c r="Z732" s="300"/>
      <c r="AA732" s="300"/>
      <c r="AB732" s="300"/>
      <c r="AC732" s="300"/>
    </row>
    <row r="733">
      <c r="A733" s="300"/>
      <c r="B733" s="300"/>
      <c r="C733" s="380"/>
      <c r="D733" s="300"/>
      <c r="E733" s="381"/>
      <c r="F733" s="382"/>
      <c r="G733" s="380"/>
      <c r="H733" s="300"/>
      <c r="I733" s="300"/>
      <c r="J733" s="300"/>
      <c r="K733" s="300"/>
      <c r="L733" s="383"/>
      <c r="M733" s="300"/>
      <c r="N733" s="384"/>
      <c r="O733" s="300"/>
      <c r="P733" s="300"/>
      <c r="Q733" s="300"/>
      <c r="R733" s="300"/>
      <c r="S733" s="300"/>
      <c r="T733" s="300"/>
      <c r="U733" s="300"/>
      <c r="V733" s="300"/>
      <c r="W733" s="300"/>
      <c r="X733" s="300"/>
      <c r="Y733" s="300"/>
      <c r="Z733" s="300"/>
      <c r="AA733" s="300"/>
      <c r="AB733" s="300"/>
      <c r="AC733" s="300"/>
    </row>
    <row r="734">
      <c r="A734" s="300"/>
      <c r="B734" s="300"/>
      <c r="C734" s="380"/>
      <c r="D734" s="300"/>
      <c r="E734" s="381"/>
      <c r="F734" s="382"/>
      <c r="G734" s="380"/>
      <c r="H734" s="300"/>
      <c r="I734" s="300"/>
      <c r="J734" s="300"/>
      <c r="K734" s="300"/>
      <c r="L734" s="383"/>
      <c r="M734" s="300"/>
      <c r="N734" s="384"/>
      <c r="O734" s="300"/>
      <c r="P734" s="300"/>
      <c r="Q734" s="300"/>
      <c r="R734" s="300"/>
      <c r="S734" s="300"/>
      <c r="T734" s="300"/>
      <c r="U734" s="300"/>
      <c r="V734" s="300"/>
      <c r="W734" s="300"/>
      <c r="X734" s="300"/>
      <c r="Y734" s="300"/>
      <c r="Z734" s="300"/>
      <c r="AA734" s="300"/>
      <c r="AB734" s="300"/>
      <c r="AC734" s="300"/>
    </row>
    <row r="735">
      <c r="A735" s="300"/>
      <c r="B735" s="300"/>
      <c r="C735" s="380"/>
      <c r="D735" s="300"/>
      <c r="E735" s="381"/>
      <c r="F735" s="382"/>
      <c r="G735" s="380"/>
      <c r="H735" s="300"/>
      <c r="I735" s="300"/>
      <c r="J735" s="300"/>
      <c r="K735" s="300"/>
      <c r="L735" s="383"/>
      <c r="M735" s="300"/>
      <c r="N735" s="384"/>
      <c r="O735" s="300"/>
      <c r="P735" s="300"/>
      <c r="Q735" s="300"/>
      <c r="R735" s="300"/>
      <c r="S735" s="300"/>
      <c r="T735" s="300"/>
      <c r="U735" s="300"/>
      <c r="V735" s="300"/>
      <c r="W735" s="300"/>
      <c r="X735" s="300"/>
      <c r="Y735" s="300"/>
      <c r="Z735" s="300"/>
      <c r="AA735" s="300"/>
      <c r="AB735" s="300"/>
      <c r="AC735" s="300"/>
    </row>
    <row r="736">
      <c r="A736" s="300"/>
      <c r="B736" s="300"/>
      <c r="C736" s="380"/>
      <c r="D736" s="300"/>
      <c r="E736" s="381"/>
      <c r="F736" s="382"/>
      <c r="G736" s="380"/>
      <c r="H736" s="300"/>
      <c r="I736" s="300"/>
      <c r="J736" s="300"/>
      <c r="K736" s="300"/>
      <c r="L736" s="383"/>
      <c r="M736" s="300"/>
      <c r="N736" s="384"/>
      <c r="O736" s="300"/>
      <c r="P736" s="300"/>
      <c r="Q736" s="300"/>
      <c r="R736" s="300"/>
      <c r="S736" s="300"/>
      <c r="T736" s="300"/>
      <c r="U736" s="300"/>
      <c r="V736" s="300"/>
      <c r="W736" s="300"/>
      <c r="X736" s="300"/>
      <c r="Y736" s="300"/>
      <c r="Z736" s="300"/>
      <c r="AA736" s="300"/>
      <c r="AB736" s="300"/>
      <c r="AC736" s="300"/>
    </row>
    <row r="737">
      <c r="A737" s="300"/>
      <c r="B737" s="300"/>
      <c r="C737" s="380"/>
      <c r="D737" s="300"/>
      <c r="E737" s="381"/>
      <c r="F737" s="382"/>
      <c r="G737" s="380"/>
      <c r="H737" s="300"/>
      <c r="I737" s="300"/>
      <c r="J737" s="300"/>
      <c r="K737" s="300"/>
      <c r="L737" s="383"/>
      <c r="M737" s="300"/>
      <c r="N737" s="384"/>
      <c r="O737" s="300"/>
      <c r="P737" s="300"/>
      <c r="Q737" s="300"/>
      <c r="R737" s="300"/>
      <c r="S737" s="300"/>
      <c r="T737" s="300"/>
      <c r="U737" s="300"/>
      <c r="V737" s="300"/>
      <c r="W737" s="300"/>
      <c r="X737" s="300"/>
      <c r="Y737" s="300"/>
      <c r="Z737" s="300"/>
      <c r="AA737" s="300"/>
      <c r="AB737" s="300"/>
      <c r="AC737" s="300"/>
    </row>
    <row r="738">
      <c r="A738" s="300"/>
      <c r="B738" s="300"/>
      <c r="C738" s="380"/>
      <c r="D738" s="300"/>
      <c r="E738" s="381"/>
      <c r="F738" s="382"/>
      <c r="G738" s="380"/>
      <c r="H738" s="300"/>
      <c r="I738" s="300"/>
      <c r="J738" s="300"/>
      <c r="K738" s="300"/>
      <c r="L738" s="383"/>
      <c r="M738" s="300"/>
      <c r="N738" s="384"/>
      <c r="O738" s="300"/>
      <c r="P738" s="300"/>
      <c r="Q738" s="300"/>
      <c r="R738" s="300"/>
      <c r="S738" s="300"/>
      <c r="T738" s="300"/>
      <c r="U738" s="300"/>
      <c r="V738" s="300"/>
      <c r="W738" s="300"/>
      <c r="X738" s="300"/>
      <c r="Y738" s="300"/>
      <c r="Z738" s="300"/>
      <c r="AA738" s="300"/>
      <c r="AB738" s="300"/>
      <c r="AC738" s="300"/>
    </row>
    <row r="739">
      <c r="A739" s="300"/>
      <c r="B739" s="300"/>
      <c r="C739" s="380"/>
      <c r="D739" s="300"/>
      <c r="E739" s="381"/>
      <c r="F739" s="382"/>
      <c r="G739" s="380"/>
      <c r="H739" s="300"/>
      <c r="I739" s="300"/>
      <c r="J739" s="300"/>
      <c r="K739" s="300"/>
      <c r="L739" s="383"/>
      <c r="M739" s="300"/>
      <c r="N739" s="384"/>
      <c r="O739" s="300"/>
      <c r="P739" s="300"/>
      <c r="Q739" s="300"/>
      <c r="R739" s="300"/>
      <c r="S739" s="300"/>
      <c r="T739" s="300"/>
      <c r="U739" s="300"/>
      <c r="V739" s="300"/>
      <c r="W739" s="300"/>
      <c r="X739" s="300"/>
      <c r="Y739" s="300"/>
      <c r="Z739" s="300"/>
      <c r="AA739" s="300"/>
      <c r="AB739" s="300"/>
      <c r="AC739" s="300"/>
    </row>
    <row r="740">
      <c r="A740" s="300"/>
      <c r="B740" s="300"/>
      <c r="C740" s="380"/>
      <c r="D740" s="300"/>
      <c r="E740" s="381"/>
      <c r="F740" s="382"/>
      <c r="G740" s="380"/>
      <c r="H740" s="300"/>
      <c r="I740" s="300"/>
      <c r="J740" s="300"/>
      <c r="K740" s="300"/>
      <c r="L740" s="383"/>
      <c r="M740" s="300"/>
      <c r="N740" s="384"/>
      <c r="O740" s="300"/>
      <c r="P740" s="300"/>
      <c r="Q740" s="300"/>
      <c r="R740" s="300"/>
      <c r="S740" s="300"/>
      <c r="T740" s="300"/>
      <c r="U740" s="300"/>
      <c r="V740" s="300"/>
      <c r="W740" s="300"/>
      <c r="X740" s="300"/>
      <c r="Y740" s="300"/>
      <c r="Z740" s="300"/>
      <c r="AA740" s="300"/>
      <c r="AB740" s="300"/>
      <c r="AC740" s="300"/>
    </row>
    <row r="741">
      <c r="A741" s="300"/>
      <c r="B741" s="300"/>
      <c r="C741" s="380"/>
      <c r="D741" s="300"/>
      <c r="E741" s="381"/>
      <c r="F741" s="382"/>
      <c r="G741" s="380"/>
      <c r="H741" s="300"/>
      <c r="I741" s="300"/>
      <c r="J741" s="300"/>
      <c r="K741" s="300"/>
      <c r="L741" s="383"/>
      <c r="M741" s="300"/>
      <c r="N741" s="384"/>
      <c r="O741" s="300"/>
      <c r="P741" s="300"/>
      <c r="Q741" s="300"/>
      <c r="R741" s="300"/>
      <c r="S741" s="300"/>
      <c r="T741" s="300"/>
      <c r="U741" s="300"/>
      <c r="V741" s="300"/>
      <c r="W741" s="300"/>
      <c r="X741" s="300"/>
      <c r="Y741" s="300"/>
      <c r="Z741" s="300"/>
      <c r="AA741" s="300"/>
      <c r="AB741" s="300"/>
      <c r="AC741" s="300"/>
    </row>
    <row r="742">
      <c r="A742" s="300"/>
      <c r="B742" s="300"/>
      <c r="C742" s="380"/>
      <c r="D742" s="300"/>
      <c r="E742" s="381"/>
      <c r="F742" s="382"/>
      <c r="G742" s="380"/>
      <c r="H742" s="300"/>
      <c r="I742" s="300"/>
      <c r="J742" s="300"/>
      <c r="K742" s="300"/>
      <c r="L742" s="383"/>
      <c r="M742" s="300"/>
      <c r="N742" s="384"/>
      <c r="O742" s="300"/>
      <c r="P742" s="300"/>
      <c r="Q742" s="300"/>
      <c r="R742" s="300"/>
      <c r="S742" s="300"/>
      <c r="T742" s="300"/>
      <c r="U742" s="300"/>
      <c r="V742" s="300"/>
      <c r="W742" s="300"/>
      <c r="X742" s="300"/>
      <c r="Y742" s="300"/>
      <c r="Z742" s="300"/>
      <c r="AA742" s="300"/>
      <c r="AB742" s="300"/>
      <c r="AC742" s="300"/>
    </row>
    <row r="743">
      <c r="A743" s="300"/>
      <c r="B743" s="300"/>
      <c r="C743" s="380"/>
      <c r="D743" s="300"/>
      <c r="E743" s="381"/>
      <c r="F743" s="382"/>
      <c r="G743" s="380"/>
      <c r="H743" s="300"/>
      <c r="I743" s="300"/>
      <c r="J743" s="300"/>
      <c r="K743" s="300"/>
      <c r="L743" s="383"/>
      <c r="M743" s="300"/>
      <c r="N743" s="384"/>
      <c r="O743" s="300"/>
      <c r="P743" s="300"/>
      <c r="Q743" s="300"/>
      <c r="R743" s="300"/>
      <c r="S743" s="300"/>
      <c r="T743" s="300"/>
      <c r="U743" s="300"/>
      <c r="V743" s="300"/>
      <c r="W743" s="300"/>
      <c r="X743" s="300"/>
      <c r="Y743" s="300"/>
      <c r="Z743" s="300"/>
      <c r="AA743" s="300"/>
      <c r="AB743" s="300"/>
      <c r="AC743" s="300"/>
    </row>
    <row r="744">
      <c r="A744" s="300"/>
      <c r="B744" s="300"/>
      <c r="C744" s="380"/>
      <c r="D744" s="300"/>
      <c r="E744" s="381"/>
      <c r="F744" s="382"/>
      <c r="G744" s="380"/>
      <c r="H744" s="300"/>
      <c r="I744" s="300"/>
      <c r="J744" s="300"/>
      <c r="K744" s="300"/>
      <c r="L744" s="383"/>
      <c r="M744" s="300"/>
      <c r="N744" s="384"/>
      <c r="O744" s="300"/>
      <c r="P744" s="300"/>
      <c r="Q744" s="300"/>
      <c r="R744" s="300"/>
      <c r="S744" s="300"/>
      <c r="T744" s="300"/>
      <c r="U744" s="300"/>
      <c r="V744" s="300"/>
      <c r="W744" s="300"/>
      <c r="X744" s="300"/>
      <c r="Y744" s="300"/>
      <c r="Z744" s="300"/>
      <c r="AA744" s="300"/>
      <c r="AB744" s="300"/>
      <c r="AC744" s="300"/>
    </row>
    <row r="745">
      <c r="A745" s="300"/>
      <c r="B745" s="300"/>
      <c r="C745" s="380"/>
      <c r="D745" s="300"/>
      <c r="E745" s="381"/>
      <c r="F745" s="382"/>
      <c r="G745" s="380"/>
      <c r="H745" s="300"/>
      <c r="I745" s="300"/>
      <c r="J745" s="300"/>
      <c r="K745" s="300"/>
      <c r="L745" s="383"/>
      <c r="M745" s="300"/>
      <c r="N745" s="384"/>
      <c r="O745" s="300"/>
      <c r="P745" s="300"/>
      <c r="Q745" s="300"/>
      <c r="R745" s="300"/>
      <c r="S745" s="300"/>
      <c r="T745" s="300"/>
      <c r="U745" s="300"/>
      <c r="V745" s="300"/>
      <c r="W745" s="300"/>
      <c r="X745" s="300"/>
      <c r="Y745" s="300"/>
      <c r="Z745" s="300"/>
      <c r="AA745" s="300"/>
      <c r="AB745" s="300"/>
      <c r="AC745" s="300"/>
    </row>
    <row r="746">
      <c r="A746" s="300"/>
      <c r="B746" s="300"/>
      <c r="C746" s="380"/>
      <c r="D746" s="300"/>
      <c r="E746" s="381"/>
      <c r="F746" s="382"/>
      <c r="G746" s="380"/>
      <c r="H746" s="300"/>
      <c r="I746" s="300"/>
      <c r="J746" s="300"/>
      <c r="K746" s="300"/>
      <c r="L746" s="383"/>
      <c r="M746" s="300"/>
      <c r="N746" s="384"/>
      <c r="O746" s="300"/>
      <c r="P746" s="300"/>
      <c r="Q746" s="300"/>
      <c r="R746" s="300"/>
      <c r="S746" s="300"/>
      <c r="T746" s="300"/>
      <c r="U746" s="300"/>
      <c r="V746" s="300"/>
      <c r="W746" s="300"/>
      <c r="X746" s="300"/>
      <c r="Y746" s="300"/>
      <c r="Z746" s="300"/>
      <c r="AA746" s="300"/>
      <c r="AB746" s="300"/>
      <c r="AC746" s="300"/>
    </row>
    <row r="747">
      <c r="A747" s="300"/>
      <c r="B747" s="300"/>
      <c r="C747" s="380"/>
      <c r="D747" s="300"/>
      <c r="E747" s="381"/>
      <c r="F747" s="382"/>
      <c r="G747" s="380"/>
      <c r="H747" s="300"/>
      <c r="I747" s="300"/>
      <c r="J747" s="300"/>
      <c r="K747" s="300"/>
      <c r="L747" s="383"/>
      <c r="M747" s="300"/>
      <c r="N747" s="384"/>
      <c r="O747" s="300"/>
      <c r="P747" s="300"/>
      <c r="Q747" s="300"/>
      <c r="R747" s="300"/>
      <c r="S747" s="300"/>
      <c r="T747" s="300"/>
      <c r="U747" s="300"/>
      <c r="V747" s="300"/>
      <c r="W747" s="300"/>
      <c r="X747" s="300"/>
      <c r="Y747" s="300"/>
      <c r="Z747" s="300"/>
      <c r="AA747" s="300"/>
      <c r="AB747" s="300"/>
      <c r="AC747" s="300"/>
    </row>
    <row r="748">
      <c r="A748" s="300"/>
      <c r="B748" s="300"/>
      <c r="C748" s="380"/>
      <c r="D748" s="300"/>
      <c r="E748" s="381"/>
      <c r="F748" s="382"/>
      <c r="G748" s="380"/>
      <c r="H748" s="300"/>
      <c r="I748" s="300"/>
      <c r="J748" s="300"/>
      <c r="K748" s="300"/>
      <c r="L748" s="383"/>
      <c r="M748" s="300"/>
      <c r="N748" s="384"/>
      <c r="O748" s="300"/>
      <c r="P748" s="300"/>
      <c r="Q748" s="300"/>
      <c r="R748" s="300"/>
      <c r="S748" s="300"/>
      <c r="T748" s="300"/>
      <c r="U748" s="300"/>
      <c r="V748" s="300"/>
      <c r="W748" s="300"/>
      <c r="X748" s="300"/>
      <c r="Y748" s="300"/>
      <c r="Z748" s="300"/>
      <c r="AA748" s="300"/>
      <c r="AB748" s="300"/>
      <c r="AC748" s="300"/>
    </row>
    <row r="749">
      <c r="A749" s="300"/>
      <c r="B749" s="300"/>
      <c r="C749" s="380"/>
      <c r="D749" s="300"/>
      <c r="E749" s="381"/>
      <c r="F749" s="382"/>
      <c r="G749" s="380"/>
      <c r="H749" s="300"/>
      <c r="I749" s="300"/>
      <c r="J749" s="300"/>
      <c r="K749" s="300"/>
      <c r="L749" s="383"/>
      <c r="M749" s="300"/>
      <c r="N749" s="384"/>
      <c r="O749" s="300"/>
      <c r="P749" s="300"/>
      <c r="Q749" s="300"/>
      <c r="R749" s="300"/>
      <c r="S749" s="300"/>
      <c r="T749" s="300"/>
      <c r="U749" s="300"/>
      <c r="V749" s="300"/>
      <c r="W749" s="300"/>
      <c r="X749" s="300"/>
      <c r="Y749" s="300"/>
      <c r="Z749" s="300"/>
      <c r="AA749" s="300"/>
      <c r="AB749" s="300"/>
      <c r="AC749" s="300"/>
    </row>
    <row r="750">
      <c r="A750" s="300"/>
      <c r="B750" s="300"/>
      <c r="C750" s="380"/>
      <c r="D750" s="300"/>
      <c r="E750" s="381"/>
      <c r="F750" s="382"/>
      <c r="G750" s="380"/>
      <c r="H750" s="300"/>
      <c r="I750" s="300"/>
      <c r="J750" s="300"/>
      <c r="K750" s="300"/>
      <c r="L750" s="383"/>
      <c r="M750" s="300"/>
      <c r="N750" s="384"/>
      <c r="O750" s="300"/>
      <c r="P750" s="300"/>
      <c r="Q750" s="300"/>
      <c r="R750" s="300"/>
      <c r="S750" s="300"/>
      <c r="T750" s="300"/>
      <c r="U750" s="300"/>
      <c r="V750" s="300"/>
      <c r="W750" s="300"/>
      <c r="X750" s="300"/>
      <c r="Y750" s="300"/>
      <c r="Z750" s="300"/>
      <c r="AA750" s="300"/>
      <c r="AB750" s="300"/>
      <c r="AC750" s="300"/>
    </row>
    <row r="751">
      <c r="A751" s="300"/>
      <c r="B751" s="300"/>
      <c r="C751" s="380"/>
      <c r="D751" s="300"/>
      <c r="E751" s="381"/>
      <c r="F751" s="382"/>
      <c r="G751" s="380"/>
      <c r="H751" s="300"/>
      <c r="I751" s="300"/>
      <c r="J751" s="300"/>
      <c r="K751" s="300"/>
      <c r="L751" s="383"/>
      <c r="M751" s="300"/>
      <c r="N751" s="384"/>
      <c r="O751" s="300"/>
      <c r="P751" s="300"/>
      <c r="Q751" s="300"/>
      <c r="R751" s="300"/>
      <c r="S751" s="300"/>
      <c r="T751" s="300"/>
      <c r="U751" s="300"/>
      <c r="V751" s="300"/>
      <c r="W751" s="300"/>
      <c r="X751" s="300"/>
      <c r="Y751" s="300"/>
      <c r="Z751" s="300"/>
      <c r="AA751" s="300"/>
      <c r="AB751" s="300"/>
      <c r="AC751" s="300"/>
    </row>
    <row r="752">
      <c r="A752" s="300"/>
      <c r="B752" s="300"/>
      <c r="C752" s="380"/>
      <c r="D752" s="300"/>
      <c r="E752" s="381"/>
      <c r="F752" s="382"/>
      <c r="G752" s="380"/>
      <c r="H752" s="300"/>
      <c r="I752" s="300"/>
      <c r="J752" s="300"/>
      <c r="K752" s="300"/>
      <c r="L752" s="383"/>
      <c r="M752" s="300"/>
      <c r="N752" s="384"/>
      <c r="O752" s="300"/>
      <c r="P752" s="300"/>
      <c r="Q752" s="300"/>
      <c r="R752" s="300"/>
      <c r="S752" s="300"/>
      <c r="T752" s="300"/>
      <c r="U752" s="300"/>
      <c r="V752" s="300"/>
      <c r="W752" s="300"/>
      <c r="X752" s="300"/>
      <c r="Y752" s="300"/>
      <c r="Z752" s="300"/>
      <c r="AA752" s="300"/>
      <c r="AB752" s="300"/>
      <c r="AC752" s="300"/>
    </row>
    <row r="753">
      <c r="A753" s="300"/>
      <c r="B753" s="300"/>
      <c r="C753" s="380"/>
      <c r="D753" s="300"/>
      <c r="E753" s="381"/>
      <c r="F753" s="382"/>
      <c r="G753" s="380"/>
      <c r="H753" s="300"/>
      <c r="I753" s="300"/>
      <c r="J753" s="300"/>
      <c r="K753" s="300"/>
      <c r="L753" s="383"/>
      <c r="M753" s="300"/>
      <c r="N753" s="384"/>
      <c r="O753" s="300"/>
      <c r="P753" s="300"/>
      <c r="Q753" s="300"/>
      <c r="R753" s="300"/>
      <c r="S753" s="300"/>
      <c r="T753" s="300"/>
      <c r="U753" s="300"/>
      <c r="V753" s="300"/>
      <c r="W753" s="300"/>
      <c r="X753" s="300"/>
      <c r="Y753" s="300"/>
      <c r="Z753" s="300"/>
      <c r="AA753" s="300"/>
      <c r="AB753" s="300"/>
      <c r="AC753" s="300"/>
    </row>
    <row r="754">
      <c r="A754" s="300"/>
      <c r="B754" s="300"/>
      <c r="C754" s="380"/>
      <c r="D754" s="300"/>
      <c r="E754" s="381"/>
      <c r="F754" s="382"/>
      <c r="G754" s="380"/>
      <c r="H754" s="300"/>
      <c r="I754" s="300"/>
      <c r="J754" s="300"/>
      <c r="K754" s="300"/>
      <c r="L754" s="383"/>
      <c r="M754" s="300"/>
      <c r="N754" s="384"/>
      <c r="O754" s="300"/>
      <c r="P754" s="300"/>
      <c r="Q754" s="300"/>
      <c r="R754" s="300"/>
      <c r="S754" s="300"/>
      <c r="T754" s="300"/>
      <c r="U754" s="300"/>
      <c r="V754" s="300"/>
      <c r="W754" s="300"/>
      <c r="X754" s="300"/>
      <c r="Y754" s="300"/>
      <c r="Z754" s="300"/>
      <c r="AA754" s="300"/>
      <c r="AB754" s="300"/>
      <c r="AC754" s="300"/>
    </row>
    <row r="755">
      <c r="A755" s="300"/>
      <c r="B755" s="300"/>
      <c r="C755" s="380"/>
      <c r="D755" s="300"/>
      <c r="E755" s="381"/>
      <c r="F755" s="382"/>
      <c r="G755" s="380"/>
      <c r="H755" s="300"/>
      <c r="I755" s="300"/>
      <c r="J755" s="300"/>
      <c r="K755" s="300"/>
      <c r="L755" s="383"/>
      <c r="M755" s="300"/>
      <c r="N755" s="384"/>
      <c r="O755" s="300"/>
      <c r="P755" s="300"/>
      <c r="Q755" s="300"/>
      <c r="R755" s="300"/>
      <c r="S755" s="300"/>
      <c r="T755" s="300"/>
      <c r="U755" s="300"/>
      <c r="V755" s="300"/>
      <c r="W755" s="300"/>
      <c r="X755" s="300"/>
      <c r="Y755" s="300"/>
      <c r="Z755" s="300"/>
      <c r="AA755" s="300"/>
      <c r="AB755" s="300"/>
      <c r="AC755" s="300"/>
    </row>
    <row r="756">
      <c r="A756" s="300"/>
      <c r="B756" s="300"/>
      <c r="C756" s="380"/>
      <c r="D756" s="300"/>
      <c r="E756" s="381"/>
      <c r="F756" s="382"/>
      <c r="G756" s="380"/>
      <c r="H756" s="300"/>
      <c r="I756" s="300"/>
      <c r="J756" s="300"/>
      <c r="K756" s="300"/>
      <c r="L756" s="383"/>
      <c r="M756" s="300"/>
      <c r="N756" s="384"/>
      <c r="O756" s="300"/>
      <c r="P756" s="300"/>
      <c r="Q756" s="300"/>
      <c r="R756" s="300"/>
      <c r="S756" s="300"/>
      <c r="T756" s="300"/>
      <c r="U756" s="300"/>
      <c r="V756" s="300"/>
      <c r="W756" s="300"/>
      <c r="X756" s="300"/>
      <c r="Y756" s="300"/>
      <c r="Z756" s="300"/>
      <c r="AA756" s="300"/>
      <c r="AB756" s="300"/>
      <c r="AC756" s="300"/>
    </row>
    <row r="757">
      <c r="A757" s="300"/>
      <c r="B757" s="300"/>
      <c r="C757" s="380"/>
      <c r="D757" s="300"/>
      <c r="E757" s="381"/>
      <c r="F757" s="382"/>
      <c r="G757" s="380"/>
      <c r="H757" s="300"/>
      <c r="I757" s="300"/>
      <c r="J757" s="300"/>
      <c r="K757" s="300"/>
      <c r="L757" s="383"/>
      <c r="M757" s="300"/>
      <c r="N757" s="384"/>
      <c r="O757" s="300"/>
      <c r="P757" s="300"/>
      <c r="Q757" s="300"/>
      <c r="R757" s="300"/>
      <c r="S757" s="300"/>
      <c r="T757" s="300"/>
      <c r="U757" s="300"/>
      <c r="V757" s="300"/>
      <c r="W757" s="300"/>
      <c r="X757" s="300"/>
      <c r="Y757" s="300"/>
      <c r="Z757" s="300"/>
      <c r="AA757" s="300"/>
      <c r="AB757" s="300"/>
      <c r="AC757" s="300"/>
    </row>
    <row r="758">
      <c r="A758" s="300"/>
      <c r="B758" s="300"/>
      <c r="C758" s="380"/>
      <c r="D758" s="300"/>
      <c r="E758" s="381"/>
      <c r="F758" s="382"/>
      <c r="G758" s="380"/>
      <c r="H758" s="300"/>
      <c r="I758" s="300"/>
      <c r="J758" s="300"/>
      <c r="K758" s="300"/>
      <c r="L758" s="383"/>
      <c r="M758" s="300"/>
      <c r="N758" s="384"/>
      <c r="O758" s="300"/>
      <c r="P758" s="300"/>
      <c r="Q758" s="300"/>
      <c r="R758" s="300"/>
      <c r="S758" s="300"/>
      <c r="T758" s="300"/>
      <c r="U758" s="300"/>
      <c r="V758" s="300"/>
      <c r="W758" s="300"/>
      <c r="X758" s="300"/>
      <c r="Y758" s="300"/>
      <c r="Z758" s="300"/>
      <c r="AA758" s="300"/>
      <c r="AB758" s="300"/>
      <c r="AC758" s="300"/>
    </row>
    <row r="759">
      <c r="A759" s="300"/>
      <c r="B759" s="300"/>
      <c r="C759" s="380"/>
      <c r="D759" s="300"/>
      <c r="E759" s="381"/>
      <c r="F759" s="382"/>
      <c r="G759" s="380"/>
      <c r="H759" s="300"/>
      <c r="I759" s="300"/>
      <c r="J759" s="300"/>
      <c r="K759" s="300"/>
      <c r="L759" s="383"/>
      <c r="M759" s="300"/>
      <c r="N759" s="384"/>
      <c r="O759" s="300"/>
      <c r="P759" s="300"/>
      <c r="Q759" s="300"/>
      <c r="R759" s="300"/>
      <c r="S759" s="300"/>
      <c r="T759" s="300"/>
      <c r="U759" s="300"/>
      <c r="V759" s="300"/>
      <c r="W759" s="300"/>
      <c r="X759" s="300"/>
      <c r="Y759" s="300"/>
      <c r="Z759" s="300"/>
      <c r="AA759" s="300"/>
      <c r="AB759" s="300"/>
      <c r="AC759" s="300"/>
    </row>
    <row r="760">
      <c r="A760" s="300"/>
      <c r="B760" s="300"/>
      <c r="C760" s="380"/>
      <c r="D760" s="300"/>
      <c r="E760" s="381"/>
      <c r="F760" s="382"/>
      <c r="G760" s="380"/>
      <c r="H760" s="300"/>
      <c r="I760" s="300"/>
      <c r="J760" s="300"/>
      <c r="K760" s="300"/>
      <c r="L760" s="383"/>
      <c r="M760" s="300"/>
      <c r="N760" s="384"/>
      <c r="O760" s="300"/>
      <c r="P760" s="300"/>
      <c r="Q760" s="300"/>
      <c r="R760" s="300"/>
      <c r="S760" s="300"/>
      <c r="T760" s="300"/>
      <c r="U760" s="300"/>
      <c r="V760" s="300"/>
      <c r="W760" s="300"/>
      <c r="X760" s="300"/>
      <c r="Y760" s="300"/>
      <c r="Z760" s="300"/>
      <c r="AA760" s="300"/>
      <c r="AB760" s="300"/>
      <c r="AC760" s="300"/>
    </row>
    <row r="761">
      <c r="A761" s="300"/>
      <c r="B761" s="300"/>
      <c r="C761" s="380"/>
      <c r="D761" s="300"/>
      <c r="E761" s="381"/>
      <c r="F761" s="382"/>
      <c r="G761" s="380"/>
      <c r="H761" s="300"/>
      <c r="I761" s="300"/>
      <c r="J761" s="300"/>
      <c r="K761" s="300"/>
      <c r="L761" s="383"/>
      <c r="M761" s="300"/>
      <c r="N761" s="384"/>
      <c r="O761" s="300"/>
      <c r="P761" s="300"/>
      <c r="Q761" s="300"/>
      <c r="R761" s="300"/>
      <c r="S761" s="300"/>
      <c r="T761" s="300"/>
      <c r="U761" s="300"/>
      <c r="V761" s="300"/>
      <c r="W761" s="300"/>
      <c r="X761" s="300"/>
      <c r="Y761" s="300"/>
      <c r="Z761" s="300"/>
      <c r="AA761" s="300"/>
      <c r="AB761" s="300"/>
      <c r="AC761" s="300"/>
    </row>
    <row r="762">
      <c r="A762" s="300"/>
      <c r="B762" s="300"/>
      <c r="C762" s="380"/>
      <c r="D762" s="300"/>
      <c r="E762" s="381"/>
      <c r="F762" s="382"/>
      <c r="G762" s="380"/>
      <c r="H762" s="300"/>
      <c r="I762" s="300"/>
      <c r="J762" s="300"/>
      <c r="K762" s="300"/>
      <c r="L762" s="383"/>
      <c r="M762" s="300"/>
      <c r="N762" s="384"/>
      <c r="O762" s="300"/>
      <c r="P762" s="300"/>
      <c r="Q762" s="300"/>
      <c r="R762" s="300"/>
      <c r="S762" s="300"/>
      <c r="T762" s="300"/>
      <c r="U762" s="300"/>
      <c r="V762" s="300"/>
      <c r="W762" s="300"/>
      <c r="X762" s="300"/>
      <c r="Y762" s="300"/>
      <c r="Z762" s="300"/>
      <c r="AA762" s="300"/>
      <c r="AB762" s="300"/>
      <c r="AC762" s="300"/>
    </row>
    <row r="763">
      <c r="A763" s="300"/>
      <c r="B763" s="300"/>
      <c r="C763" s="380"/>
      <c r="D763" s="300"/>
      <c r="E763" s="381"/>
      <c r="F763" s="382"/>
      <c r="G763" s="380"/>
      <c r="H763" s="300"/>
      <c r="I763" s="300"/>
      <c r="J763" s="300"/>
      <c r="K763" s="300"/>
      <c r="L763" s="383"/>
      <c r="M763" s="300"/>
      <c r="N763" s="384"/>
      <c r="O763" s="300"/>
      <c r="P763" s="300"/>
      <c r="Q763" s="300"/>
      <c r="R763" s="300"/>
      <c r="S763" s="300"/>
      <c r="T763" s="300"/>
      <c r="U763" s="300"/>
      <c r="V763" s="300"/>
      <c r="W763" s="300"/>
      <c r="X763" s="300"/>
      <c r="Y763" s="300"/>
      <c r="Z763" s="300"/>
      <c r="AA763" s="300"/>
      <c r="AB763" s="300"/>
      <c r="AC763" s="300"/>
    </row>
    <row r="764">
      <c r="A764" s="300"/>
      <c r="B764" s="300"/>
      <c r="C764" s="380"/>
      <c r="D764" s="300"/>
      <c r="E764" s="381"/>
      <c r="F764" s="382"/>
      <c r="G764" s="380"/>
      <c r="H764" s="300"/>
      <c r="I764" s="300"/>
      <c r="J764" s="300"/>
      <c r="K764" s="300"/>
      <c r="L764" s="383"/>
      <c r="M764" s="300"/>
      <c r="N764" s="384"/>
      <c r="O764" s="300"/>
      <c r="P764" s="300"/>
      <c r="Q764" s="300"/>
      <c r="R764" s="300"/>
      <c r="S764" s="300"/>
      <c r="T764" s="300"/>
      <c r="U764" s="300"/>
      <c r="V764" s="300"/>
      <c r="W764" s="300"/>
      <c r="X764" s="300"/>
      <c r="Y764" s="300"/>
      <c r="Z764" s="300"/>
      <c r="AA764" s="300"/>
      <c r="AB764" s="300"/>
      <c r="AC764" s="300"/>
    </row>
    <row r="765">
      <c r="A765" s="300"/>
      <c r="B765" s="300"/>
      <c r="C765" s="380"/>
      <c r="D765" s="300"/>
      <c r="E765" s="381"/>
      <c r="F765" s="382"/>
      <c r="G765" s="380"/>
      <c r="H765" s="300"/>
      <c r="I765" s="300"/>
      <c r="J765" s="300"/>
      <c r="K765" s="300"/>
      <c r="L765" s="383"/>
      <c r="M765" s="300"/>
      <c r="N765" s="384"/>
      <c r="O765" s="300"/>
      <c r="P765" s="300"/>
      <c r="Q765" s="300"/>
      <c r="R765" s="300"/>
      <c r="S765" s="300"/>
      <c r="T765" s="300"/>
      <c r="U765" s="300"/>
      <c r="V765" s="300"/>
      <c r="W765" s="300"/>
      <c r="X765" s="300"/>
      <c r="Y765" s="300"/>
      <c r="Z765" s="300"/>
      <c r="AA765" s="300"/>
      <c r="AB765" s="300"/>
      <c r="AC765" s="300"/>
    </row>
    <row r="766">
      <c r="A766" s="300"/>
      <c r="B766" s="300"/>
      <c r="C766" s="380"/>
      <c r="D766" s="300"/>
      <c r="E766" s="381"/>
      <c r="F766" s="382"/>
      <c r="G766" s="380"/>
      <c r="H766" s="300"/>
      <c r="I766" s="300"/>
      <c r="J766" s="300"/>
      <c r="K766" s="300"/>
      <c r="L766" s="383"/>
      <c r="M766" s="300"/>
      <c r="N766" s="384"/>
      <c r="O766" s="300"/>
      <c r="P766" s="300"/>
      <c r="Q766" s="300"/>
      <c r="R766" s="300"/>
      <c r="S766" s="300"/>
      <c r="T766" s="300"/>
      <c r="U766" s="300"/>
      <c r="V766" s="300"/>
      <c r="W766" s="300"/>
      <c r="X766" s="300"/>
      <c r="Y766" s="300"/>
      <c r="Z766" s="300"/>
      <c r="AA766" s="300"/>
      <c r="AB766" s="300"/>
      <c r="AC766" s="300"/>
    </row>
    <row r="767">
      <c r="A767" s="300"/>
      <c r="B767" s="300"/>
      <c r="C767" s="380"/>
      <c r="D767" s="300"/>
      <c r="E767" s="381"/>
      <c r="F767" s="382"/>
      <c r="G767" s="380"/>
      <c r="H767" s="300"/>
      <c r="I767" s="300"/>
      <c r="J767" s="300"/>
      <c r="K767" s="300"/>
      <c r="L767" s="383"/>
      <c r="M767" s="300"/>
      <c r="N767" s="384"/>
      <c r="O767" s="300"/>
      <c r="P767" s="300"/>
      <c r="Q767" s="300"/>
      <c r="R767" s="300"/>
      <c r="S767" s="300"/>
      <c r="T767" s="300"/>
      <c r="U767" s="300"/>
      <c r="V767" s="300"/>
      <c r="W767" s="300"/>
      <c r="X767" s="300"/>
      <c r="Y767" s="300"/>
      <c r="Z767" s="300"/>
      <c r="AA767" s="300"/>
      <c r="AB767" s="300"/>
      <c r="AC767" s="300"/>
    </row>
    <row r="768">
      <c r="A768" s="300"/>
      <c r="B768" s="300"/>
      <c r="C768" s="380"/>
      <c r="D768" s="300"/>
      <c r="E768" s="381"/>
      <c r="F768" s="382"/>
      <c r="G768" s="380"/>
      <c r="H768" s="300"/>
      <c r="I768" s="300"/>
      <c r="J768" s="300"/>
      <c r="K768" s="300"/>
      <c r="L768" s="383"/>
      <c r="M768" s="300"/>
      <c r="N768" s="384"/>
      <c r="O768" s="300"/>
      <c r="P768" s="300"/>
      <c r="Q768" s="300"/>
      <c r="R768" s="300"/>
      <c r="S768" s="300"/>
      <c r="T768" s="300"/>
      <c r="U768" s="300"/>
      <c r="V768" s="300"/>
      <c r="W768" s="300"/>
      <c r="X768" s="300"/>
      <c r="Y768" s="300"/>
      <c r="Z768" s="300"/>
      <c r="AA768" s="300"/>
      <c r="AB768" s="300"/>
      <c r="AC768" s="300"/>
    </row>
    <row r="769">
      <c r="A769" s="300"/>
      <c r="B769" s="300"/>
      <c r="C769" s="380"/>
      <c r="D769" s="300"/>
      <c r="E769" s="381"/>
      <c r="F769" s="382"/>
      <c r="G769" s="380"/>
      <c r="H769" s="300"/>
      <c r="I769" s="300"/>
      <c r="J769" s="300"/>
      <c r="K769" s="300"/>
      <c r="L769" s="383"/>
      <c r="M769" s="300"/>
      <c r="N769" s="384"/>
      <c r="O769" s="300"/>
      <c r="P769" s="300"/>
      <c r="Q769" s="300"/>
      <c r="R769" s="300"/>
      <c r="S769" s="300"/>
      <c r="T769" s="300"/>
      <c r="U769" s="300"/>
      <c r="V769" s="300"/>
      <c r="W769" s="300"/>
      <c r="X769" s="300"/>
      <c r="Y769" s="300"/>
      <c r="Z769" s="300"/>
      <c r="AA769" s="300"/>
      <c r="AB769" s="300"/>
      <c r="AC769" s="300"/>
    </row>
    <row r="770">
      <c r="A770" s="300"/>
      <c r="B770" s="300"/>
      <c r="C770" s="380"/>
      <c r="D770" s="300"/>
      <c r="E770" s="381"/>
      <c r="F770" s="382"/>
      <c r="G770" s="380"/>
      <c r="H770" s="300"/>
      <c r="I770" s="300"/>
      <c r="J770" s="300"/>
      <c r="K770" s="300"/>
      <c r="L770" s="383"/>
      <c r="M770" s="300"/>
      <c r="N770" s="384"/>
      <c r="O770" s="300"/>
      <c r="P770" s="300"/>
      <c r="Q770" s="300"/>
      <c r="R770" s="300"/>
      <c r="S770" s="300"/>
      <c r="T770" s="300"/>
      <c r="U770" s="300"/>
      <c r="V770" s="300"/>
      <c r="W770" s="300"/>
      <c r="X770" s="300"/>
      <c r="Y770" s="300"/>
      <c r="Z770" s="300"/>
      <c r="AA770" s="300"/>
      <c r="AB770" s="300"/>
      <c r="AC770" s="300"/>
    </row>
    <row r="771">
      <c r="A771" s="300"/>
      <c r="B771" s="300"/>
      <c r="C771" s="380"/>
      <c r="D771" s="300"/>
      <c r="E771" s="381"/>
      <c r="F771" s="382"/>
      <c r="G771" s="380"/>
      <c r="H771" s="300"/>
      <c r="I771" s="300"/>
      <c r="J771" s="300"/>
      <c r="K771" s="300"/>
      <c r="L771" s="383"/>
      <c r="M771" s="300"/>
      <c r="N771" s="384"/>
      <c r="O771" s="300"/>
      <c r="P771" s="300"/>
      <c r="Q771" s="300"/>
      <c r="R771" s="300"/>
      <c r="S771" s="300"/>
      <c r="T771" s="300"/>
      <c r="U771" s="300"/>
      <c r="V771" s="300"/>
      <c r="W771" s="300"/>
      <c r="X771" s="300"/>
      <c r="Y771" s="300"/>
      <c r="Z771" s="300"/>
      <c r="AA771" s="300"/>
      <c r="AB771" s="300"/>
      <c r="AC771" s="300"/>
    </row>
    <row r="772">
      <c r="A772" s="300"/>
      <c r="B772" s="300"/>
      <c r="C772" s="380"/>
      <c r="D772" s="300"/>
      <c r="E772" s="381"/>
      <c r="F772" s="382"/>
      <c r="G772" s="380"/>
      <c r="H772" s="300"/>
      <c r="I772" s="300"/>
      <c r="J772" s="300"/>
      <c r="K772" s="300"/>
      <c r="L772" s="383"/>
      <c r="M772" s="300"/>
      <c r="N772" s="384"/>
      <c r="O772" s="300"/>
      <c r="P772" s="300"/>
      <c r="Q772" s="300"/>
      <c r="R772" s="300"/>
      <c r="S772" s="300"/>
      <c r="T772" s="300"/>
      <c r="U772" s="300"/>
      <c r="V772" s="300"/>
      <c r="W772" s="300"/>
      <c r="X772" s="300"/>
      <c r="Y772" s="300"/>
      <c r="Z772" s="300"/>
      <c r="AA772" s="300"/>
      <c r="AB772" s="300"/>
      <c r="AC772" s="300"/>
    </row>
    <row r="773">
      <c r="A773" s="300"/>
      <c r="B773" s="300"/>
      <c r="C773" s="380"/>
      <c r="D773" s="300"/>
      <c r="E773" s="381"/>
      <c r="F773" s="382"/>
      <c r="G773" s="380"/>
      <c r="H773" s="300"/>
      <c r="I773" s="300"/>
      <c r="J773" s="300"/>
      <c r="K773" s="300"/>
      <c r="L773" s="383"/>
      <c r="M773" s="300"/>
      <c r="N773" s="384"/>
      <c r="O773" s="300"/>
      <c r="P773" s="300"/>
      <c r="Q773" s="300"/>
      <c r="R773" s="300"/>
      <c r="S773" s="300"/>
      <c r="T773" s="300"/>
      <c r="U773" s="300"/>
      <c r="V773" s="300"/>
      <c r="W773" s="300"/>
      <c r="X773" s="300"/>
      <c r="Y773" s="300"/>
      <c r="Z773" s="300"/>
      <c r="AA773" s="300"/>
      <c r="AB773" s="300"/>
      <c r="AC773" s="300"/>
    </row>
    <row r="774">
      <c r="A774" s="300"/>
      <c r="B774" s="300"/>
      <c r="C774" s="380"/>
      <c r="D774" s="300"/>
      <c r="E774" s="381"/>
      <c r="F774" s="382"/>
      <c r="G774" s="380"/>
      <c r="H774" s="300"/>
      <c r="I774" s="300"/>
      <c r="J774" s="300"/>
      <c r="K774" s="300"/>
      <c r="L774" s="383"/>
      <c r="M774" s="300"/>
      <c r="N774" s="384"/>
      <c r="O774" s="300"/>
      <c r="P774" s="300"/>
      <c r="Q774" s="300"/>
      <c r="R774" s="300"/>
      <c r="S774" s="300"/>
      <c r="T774" s="300"/>
      <c r="U774" s="300"/>
      <c r="V774" s="300"/>
      <c r="W774" s="300"/>
      <c r="X774" s="300"/>
      <c r="Y774" s="300"/>
      <c r="Z774" s="300"/>
      <c r="AA774" s="300"/>
      <c r="AB774" s="300"/>
      <c r="AC774" s="300"/>
    </row>
    <row r="775">
      <c r="A775" s="300"/>
      <c r="B775" s="300"/>
      <c r="C775" s="380"/>
      <c r="D775" s="300"/>
      <c r="E775" s="381"/>
      <c r="F775" s="382"/>
      <c r="G775" s="380"/>
      <c r="H775" s="300"/>
      <c r="I775" s="300"/>
      <c r="J775" s="300"/>
      <c r="K775" s="300"/>
      <c r="L775" s="383"/>
      <c r="M775" s="300"/>
      <c r="N775" s="384"/>
      <c r="O775" s="300"/>
      <c r="P775" s="300"/>
      <c r="Q775" s="300"/>
      <c r="R775" s="300"/>
      <c r="S775" s="300"/>
      <c r="T775" s="300"/>
      <c r="U775" s="300"/>
      <c r="V775" s="300"/>
      <c r="W775" s="300"/>
      <c r="X775" s="300"/>
      <c r="Y775" s="300"/>
      <c r="Z775" s="300"/>
      <c r="AA775" s="300"/>
      <c r="AB775" s="300"/>
      <c r="AC775" s="300"/>
    </row>
    <row r="776">
      <c r="A776" s="300"/>
      <c r="B776" s="300"/>
      <c r="C776" s="380"/>
      <c r="D776" s="300"/>
      <c r="E776" s="381"/>
      <c r="F776" s="382"/>
      <c r="G776" s="380"/>
      <c r="H776" s="300"/>
      <c r="I776" s="300"/>
      <c r="J776" s="300"/>
      <c r="K776" s="300"/>
      <c r="L776" s="383"/>
      <c r="M776" s="300"/>
      <c r="N776" s="384"/>
      <c r="O776" s="300"/>
      <c r="P776" s="300"/>
      <c r="Q776" s="300"/>
      <c r="R776" s="300"/>
      <c r="S776" s="300"/>
      <c r="T776" s="300"/>
      <c r="U776" s="300"/>
      <c r="V776" s="300"/>
      <c r="W776" s="300"/>
      <c r="X776" s="300"/>
      <c r="Y776" s="300"/>
      <c r="Z776" s="300"/>
      <c r="AA776" s="300"/>
      <c r="AB776" s="300"/>
      <c r="AC776" s="300"/>
    </row>
    <row r="777">
      <c r="A777" s="300"/>
      <c r="B777" s="300"/>
      <c r="C777" s="380"/>
      <c r="D777" s="300"/>
      <c r="E777" s="381"/>
      <c r="F777" s="382"/>
      <c r="G777" s="380"/>
      <c r="H777" s="300"/>
      <c r="I777" s="300"/>
      <c r="J777" s="300"/>
      <c r="K777" s="300"/>
      <c r="L777" s="383"/>
      <c r="M777" s="300"/>
      <c r="N777" s="384"/>
      <c r="O777" s="300"/>
      <c r="P777" s="300"/>
      <c r="Q777" s="300"/>
      <c r="R777" s="300"/>
      <c r="S777" s="300"/>
      <c r="T777" s="300"/>
      <c r="U777" s="300"/>
      <c r="V777" s="300"/>
      <c r="W777" s="300"/>
      <c r="X777" s="300"/>
      <c r="Y777" s="300"/>
      <c r="Z777" s="300"/>
      <c r="AA777" s="300"/>
      <c r="AB777" s="300"/>
      <c r="AC777" s="300"/>
    </row>
    <row r="778">
      <c r="A778" s="300"/>
      <c r="B778" s="300"/>
      <c r="C778" s="380"/>
      <c r="D778" s="300"/>
      <c r="E778" s="381"/>
      <c r="F778" s="382"/>
      <c r="G778" s="380"/>
      <c r="H778" s="300"/>
      <c r="I778" s="300"/>
      <c r="J778" s="300"/>
      <c r="K778" s="300"/>
      <c r="L778" s="383"/>
      <c r="M778" s="300"/>
      <c r="N778" s="384"/>
      <c r="O778" s="300"/>
      <c r="P778" s="300"/>
      <c r="Q778" s="300"/>
      <c r="R778" s="300"/>
      <c r="S778" s="300"/>
      <c r="T778" s="300"/>
      <c r="U778" s="300"/>
      <c r="V778" s="300"/>
      <c r="W778" s="300"/>
      <c r="X778" s="300"/>
      <c r="Y778" s="300"/>
      <c r="Z778" s="300"/>
      <c r="AA778" s="300"/>
      <c r="AB778" s="300"/>
      <c r="AC778" s="300"/>
    </row>
    <row r="779">
      <c r="A779" s="300"/>
      <c r="B779" s="300"/>
      <c r="C779" s="380"/>
      <c r="D779" s="300"/>
      <c r="E779" s="381"/>
      <c r="F779" s="382"/>
      <c r="G779" s="380"/>
      <c r="H779" s="300"/>
      <c r="I779" s="300"/>
      <c r="J779" s="300"/>
      <c r="K779" s="300"/>
      <c r="L779" s="383"/>
      <c r="M779" s="300"/>
      <c r="N779" s="384"/>
      <c r="O779" s="300"/>
      <c r="P779" s="300"/>
      <c r="Q779" s="300"/>
      <c r="R779" s="300"/>
      <c r="S779" s="300"/>
      <c r="T779" s="300"/>
      <c r="U779" s="300"/>
      <c r="V779" s="300"/>
      <c r="W779" s="300"/>
      <c r="X779" s="300"/>
      <c r="Y779" s="300"/>
      <c r="Z779" s="300"/>
      <c r="AA779" s="300"/>
      <c r="AB779" s="300"/>
      <c r="AC779" s="300"/>
    </row>
    <row r="780">
      <c r="A780" s="300"/>
      <c r="B780" s="300"/>
      <c r="C780" s="380"/>
      <c r="D780" s="300"/>
      <c r="E780" s="381"/>
      <c r="F780" s="382"/>
      <c r="G780" s="380"/>
      <c r="H780" s="300"/>
      <c r="I780" s="300"/>
      <c r="J780" s="300"/>
      <c r="K780" s="300"/>
      <c r="L780" s="383"/>
      <c r="M780" s="300"/>
      <c r="N780" s="384"/>
      <c r="O780" s="300"/>
      <c r="P780" s="300"/>
      <c r="Q780" s="300"/>
      <c r="R780" s="300"/>
      <c r="S780" s="300"/>
      <c r="T780" s="300"/>
      <c r="U780" s="300"/>
      <c r="V780" s="300"/>
      <c r="W780" s="300"/>
      <c r="X780" s="300"/>
      <c r="Y780" s="300"/>
      <c r="Z780" s="300"/>
      <c r="AA780" s="300"/>
      <c r="AB780" s="300"/>
      <c r="AC780" s="300"/>
    </row>
    <row r="781">
      <c r="A781" s="300"/>
      <c r="B781" s="300"/>
      <c r="C781" s="380"/>
      <c r="D781" s="300"/>
      <c r="E781" s="381"/>
      <c r="F781" s="382"/>
      <c r="G781" s="380"/>
      <c r="H781" s="300"/>
      <c r="I781" s="300"/>
      <c r="J781" s="300"/>
      <c r="K781" s="300"/>
      <c r="L781" s="383"/>
      <c r="M781" s="300"/>
      <c r="N781" s="384"/>
      <c r="O781" s="300"/>
      <c r="P781" s="300"/>
      <c r="Q781" s="300"/>
      <c r="R781" s="300"/>
      <c r="S781" s="300"/>
      <c r="T781" s="300"/>
      <c r="U781" s="300"/>
      <c r="V781" s="300"/>
      <c r="W781" s="300"/>
      <c r="X781" s="300"/>
      <c r="Y781" s="300"/>
      <c r="Z781" s="300"/>
      <c r="AA781" s="300"/>
      <c r="AB781" s="300"/>
      <c r="AC781" s="300"/>
    </row>
    <row r="782">
      <c r="A782" s="300"/>
      <c r="B782" s="300"/>
      <c r="C782" s="380"/>
      <c r="D782" s="300"/>
      <c r="E782" s="381"/>
      <c r="F782" s="382"/>
      <c r="G782" s="380"/>
      <c r="H782" s="300"/>
      <c r="I782" s="300"/>
      <c r="J782" s="300"/>
      <c r="K782" s="300"/>
      <c r="L782" s="383"/>
      <c r="M782" s="300"/>
      <c r="N782" s="384"/>
      <c r="O782" s="300"/>
      <c r="P782" s="300"/>
      <c r="Q782" s="300"/>
      <c r="R782" s="300"/>
      <c r="S782" s="300"/>
      <c r="T782" s="300"/>
      <c r="U782" s="300"/>
      <c r="V782" s="300"/>
      <c r="W782" s="300"/>
      <c r="X782" s="300"/>
      <c r="Y782" s="300"/>
      <c r="Z782" s="300"/>
      <c r="AA782" s="300"/>
      <c r="AB782" s="300"/>
      <c r="AC782" s="300"/>
    </row>
    <row r="783">
      <c r="A783" s="300"/>
      <c r="B783" s="300"/>
      <c r="C783" s="380"/>
      <c r="D783" s="300"/>
      <c r="E783" s="381"/>
      <c r="F783" s="382"/>
      <c r="G783" s="380"/>
      <c r="H783" s="300"/>
      <c r="I783" s="300"/>
      <c r="J783" s="300"/>
      <c r="K783" s="300"/>
      <c r="L783" s="383"/>
      <c r="M783" s="300"/>
      <c r="N783" s="384"/>
      <c r="O783" s="300"/>
      <c r="P783" s="300"/>
      <c r="Q783" s="300"/>
      <c r="R783" s="300"/>
      <c r="S783" s="300"/>
      <c r="T783" s="300"/>
      <c r="U783" s="300"/>
      <c r="V783" s="300"/>
      <c r="W783" s="300"/>
      <c r="X783" s="300"/>
      <c r="Y783" s="300"/>
      <c r="Z783" s="300"/>
      <c r="AA783" s="300"/>
      <c r="AB783" s="300"/>
      <c r="AC783" s="300"/>
    </row>
    <row r="784">
      <c r="A784" s="300"/>
      <c r="B784" s="300"/>
      <c r="C784" s="380"/>
      <c r="D784" s="300"/>
      <c r="E784" s="381"/>
      <c r="F784" s="382"/>
      <c r="G784" s="380"/>
      <c r="H784" s="300"/>
      <c r="I784" s="300"/>
      <c r="J784" s="300"/>
      <c r="K784" s="300"/>
      <c r="L784" s="383"/>
      <c r="M784" s="300"/>
      <c r="N784" s="384"/>
      <c r="O784" s="300"/>
      <c r="P784" s="300"/>
      <c r="Q784" s="300"/>
      <c r="R784" s="300"/>
      <c r="S784" s="300"/>
      <c r="T784" s="300"/>
      <c r="U784" s="300"/>
      <c r="V784" s="300"/>
      <c r="W784" s="300"/>
      <c r="X784" s="300"/>
      <c r="Y784" s="300"/>
      <c r="Z784" s="300"/>
      <c r="AA784" s="300"/>
      <c r="AB784" s="300"/>
      <c r="AC784" s="300"/>
    </row>
    <row r="785">
      <c r="A785" s="300"/>
      <c r="B785" s="300"/>
      <c r="C785" s="380"/>
      <c r="D785" s="300"/>
      <c r="E785" s="381"/>
      <c r="F785" s="382"/>
      <c r="G785" s="380"/>
      <c r="H785" s="300"/>
      <c r="I785" s="300"/>
      <c r="J785" s="300"/>
      <c r="K785" s="300"/>
      <c r="L785" s="383"/>
      <c r="M785" s="300"/>
      <c r="N785" s="384"/>
      <c r="O785" s="300"/>
      <c r="P785" s="300"/>
      <c r="Q785" s="300"/>
      <c r="R785" s="300"/>
      <c r="S785" s="300"/>
      <c r="T785" s="300"/>
      <c r="U785" s="300"/>
      <c r="V785" s="300"/>
      <c r="W785" s="300"/>
      <c r="X785" s="300"/>
      <c r="Y785" s="300"/>
      <c r="Z785" s="300"/>
      <c r="AA785" s="300"/>
      <c r="AB785" s="300"/>
      <c r="AC785" s="300"/>
    </row>
    <row r="786">
      <c r="A786" s="300"/>
      <c r="B786" s="300"/>
      <c r="C786" s="380"/>
      <c r="D786" s="300"/>
      <c r="E786" s="381"/>
      <c r="F786" s="382"/>
      <c r="G786" s="380"/>
      <c r="H786" s="300"/>
      <c r="I786" s="300"/>
      <c r="J786" s="300"/>
      <c r="K786" s="300"/>
      <c r="L786" s="383"/>
      <c r="M786" s="300"/>
      <c r="N786" s="384"/>
      <c r="O786" s="300"/>
      <c r="P786" s="300"/>
      <c r="Q786" s="300"/>
      <c r="R786" s="300"/>
      <c r="S786" s="300"/>
      <c r="T786" s="300"/>
      <c r="U786" s="300"/>
      <c r="V786" s="300"/>
      <c r="W786" s="300"/>
      <c r="X786" s="300"/>
      <c r="Y786" s="300"/>
      <c r="Z786" s="300"/>
      <c r="AA786" s="300"/>
      <c r="AB786" s="300"/>
      <c r="AC786" s="300"/>
    </row>
    <row r="787">
      <c r="A787" s="300"/>
      <c r="B787" s="300"/>
      <c r="C787" s="380"/>
      <c r="D787" s="300"/>
      <c r="E787" s="381"/>
      <c r="F787" s="382"/>
      <c r="G787" s="380"/>
      <c r="H787" s="300"/>
      <c r="I787" s="300"/>
      <c r="J787" s="300"/>
      <c r="K787" s="300"/>
      <c r="L787" s="383"/>
      <c r="M787" s="300"/>
      <c r="N787" s="384"/>
      <c r="O787" s="300"/>
      <c r="P787" s="300"/>
      <c r="Q787" s="300"/>
      <c r="R787" s="300"/>
      <c r="S787" s="300"/>
      <c r="T787" s="300"/>
      <c r="U787" s="300"/>
      <c r="V787" s="300"/>
      <c r="W787" s="300"/>
      <c r="X787" s="300"/>
      <c r="Y787" s="300"/>
      <c r="Z787" s="300"/>
      <c r="AA787" s="300"/>
      <c r="AB787" s="300"/>
      <c r="AC787" s="300"/>
    </row>
    <row r="788">
      <c r="A788" s="300"/>
      <c r="B788" s="300"/>
      <c r="C788" s="380"/>
      <c r="D788" s="300"/>
      <c r="E788" s="381"/>
      <c r="F788" s="382"/>
      <c r="G788" s="380"/>
      <c r="H788" s="300"/>
      <c r="I788" s="300"/>
      <c r="J788" s="300"/>
      <c r="K788" s="300"/>
      <c r="L788" s="383"/>
      <c r="M788" s="300"/>
      <c r="N788" s="384"/>
      <c r="O788" s="300"/>
      <c r="P788" s="300"/>
      <c r="Q788" s="300"/>
      <c r="R788" s="300"/>
      <c r="S788" s="300"/>
      <c r="T788" s="300"/>
      <c r="U788" s="300"/>
      <c r="V788" s="300"/>
      <c r="W788" s="300"/>
      <c r="X788" s="300"/>
      <c r="Y788" s="300"/>
      <c r="Z788" s="300"/>
      <c r="AA788" s="300"/>
      <c r="AB788" s="300"/>
      <c r="AC788" s="300"/>
    </row>
    <row r="789">
      <c r="A789" s="300"/>
      <c r="B789" s="300"/>
      <c r="C789" s="380"/>
      <c r="D789" s="300"/>
      <c r="E789" s="381"/>
      <c r="F789" s="382"/>
      <c r="G789" s="380"/>
      <c r="H789" s="300"/>
      <c r="I789" s="300"/>
      <c r="J789" s="300"/>
      <c r="K789" s="300"/>
      <c r="L789" s="383"/>
      <c r="M789" s="300"/>
      <c r="N789" s="384"/>
      <c r="O789" s="300"/>
      <c r="P789" s="300"/>
      <c r="Q789" s="300"/>
      <c r="R789" s="300"/>
      <c r="S789" s="300"/>
      <c r="T789" s="300"/>
      <c r="U789" s="300"/>
      <c r="V789" s="300"/>
      <c r="W789" s="300"/>
      <c r="X789" s="300"/>
      <c r="Y789" s="300"/>
      <c r="Z789" s="300"/>
      <c r="AA789" s="300"/>
      <c r="AB789" s="300"/>
      <c r="AC789" s="300"/>
    </row>
    <row r="790">
      <c r="A790" s="300"/>
      <c r="B790" s="300"/>
      <c r="C790" s="380"/>
      <c r="D790" s="300"/>
      <c r="E790" s="381"/>
      <c r="F790" s="382"/>
      <c r="G790" s="380"/>
      <c r="H790" s="300"/>
      <c r="I790" s="300"/>
      <c r="J790" s="300"/>
      <c r="K790" s="300"/>
      <c r="L790" s="383"/>
      <c r="M790" s="300"/>
      <c r="N790" s="384"/>
      <c r="O790" s="300"/>
      <c r="P790" s="300"/>
      <c r="Q790" s="300"/>
      <c r="R790" s="300"/>
      <c r="S790" s="300"/>
      <c r="T790" s="300"/>
      <c r="U790" s="300"/>
      <c r="V790" s="300"/>
      <c r="W790" s="300"/>
      <c r="X790" s="300"/>
      <c r="Y790" s="300"/>
      <c r="Z790" s="300"/>
      <c r="AA790" s="300"/>
      <c r="AB790" s="300"/>
      <c r="AC790" s="300"/>
    </row>
    <row r="791">
      <c r="A791" s="300"/>
      <c r="B791" s="300"/>
      <c r="C791" s="380"/>
      <c r="D791" s="300"/>
      <c r="E791" s="381"/>
      <c r="F791" s="382"/>
      <c r="G791" s="380"/>
      <c r="H791" s="300"/>
      <c r="I791" s="300"/>
      <c r="J791" s="300"/>
      <c r="K791" s="300"/>
      <c r="L791" s="383"/>
      <c r="M791" s="300"/>
      <c r="N791" s="384"/>
      <c r="O791" s="300"/>
      <c r="P791" s="300"/>
      <c r="Q791" s="300"/>
      <c r="R791" s="300"/>
      <c r="S791" s="300"/>
      <c r="T791" s="300"/>
      <c r="U791" s="300"/>
      <c r="V791" s="300"/>
      <c r="W791" s="300"/>
      <c r="X791" s="300"/>
      <c r="Y791" s="300"/>
      <c r="Z791" s="300"/>
      <c r="AA791" s="300"/>
      <c r="AB791" s="300"/>
      <c r="AC791" s="300"/>
    </row>
    <row r="792">
      <c r="A792" s="300"/>
      <c r="B792" s="300"/>
      <c r="C792" s="380"/>
      <c r="D792" s="300"/>
      <c r="E792" s="381"/>
      <c r="F792" s="382"/>
      <c r="G792" s="380"/>
      <c r="H792" s="300"/>
      <c r="I792" s="300"/>
      <c r="J792" s="300"/>
      <c r="K792" s="300"/>
      <c r="L792" s="383"/>
      <c r="M792" s="300"/>
      <c r="N792" s="384"/>
      <c r="O792" s="300"/>
      <c r="P792" s="300"/>
      <c r="Q792" s="300"/>
      <c r="R792" s="300"/>
      <c r="S792" s="300"/>
      <c r="T792" s="300"/>
      <c r="U792" s="300"/>
      <c r="V792" s="300"/>
      <c r="W792" s="300"/>
      <c r="X792" s="300"/>
      <c r="Y792" s="300"/>
      <c r="Z792" s="300"/>
      <c r="AA792" s="300"/>
      <c r="AB792" s="300"/>
      <c r="AC792" s="300"/>
    </row>
    <row r="793">
      <c r="A793" s="300"/>
      <c r="B793" s="300"/>
      <c r="C793" s="380"/>
      <c r="D793" s="300"/>
      <c r="E793" s="381"/>
      <c r="F793" s="382"/>
      <c r="G793" s="380"/>
      <c r="H793" s="300"/>
      <c r="I793" s="300"/>
      <c r="J793" s="300"/>
      <c r="K793" s="300"/>
      <c r="L793" s="383"/>
      <c r="M793" s="300"/>
      <c r="N793" s="384"/>
      <c r="O793" s="300"/>
      <c r="P793" s="300"/>
      <c r="Q793" s="300"/>
      <c r="R793" s="300"/>
      <c r="S793" s="300"/>
      <c r="T793" s="300"/>
      <c r="U793" s="300"/>
      <c r="V793" s="300"/>
      <c r="W793" s="300"/>
      <c r="X793" s="300"/>
      <c r="Y793" s="300"/>
      <c r="Z793" s="300"/>
      <c r="AA793" s="300"/>
      <c r="AB793" s="300"/>
      <c r="AC793" s="300"/>
    </row>
    <row r="794">
      <c r="A794" s="300"/>
      <c r="B794" s="300"/>
      <c r="C794" s="380"/>
      <c r="D794" s="300"/>
      <c r="E794" s="381"/>
      <c r="F794" s="382"/>
      <c r="G794" s="380"/>
      <c r="H794" s="300"/>
      <c r="I794" s="300"/>
      <c r="J794" s="300"/>
      <c r="K794" s="300"/>
      <c r="L794" s="383"/>
      <c r="M794" s="300"/>
      <c r="N794" s="384"/>
      <c r="O794" s="300"/>
      <c r="P794" s="300"/>
      <c r="Q794" s="300"/>
      <c r="R794" s="300"/>
      <c r="S794" s="300"/>
      <c r="T794" s="300"/>
      <c r="U794" s="300"/>
      <c r="V794" s="300"/>
      <c r="W794" s="300"/>
      <c r="X794" s="300"/>
      <c r="Y794" s="300"/>
      <c r="Z794" s="300"/>
      <c r="AA794" s="300"/>
      <c r="AB794" s="300"/>
      <c r="AC794" s="300"/>
    </row>
    <row r="795">
      <c r="A795" s="300"/>
      <c r="B795" s="300"/>
      <c r="C795" s="380"/>
      <c r="D795" s="300"/>
      <c r="E795" s="381"/>
      <c r="F795" s="382"/>
      <c r="G795" s="380"/>
      <c r="H795" s="300"/>
      <c r="I795" s="300"/>
      <c r="J795" s="300"/>
      <c r="K795" s="300"/>
      <c r="L795" s="383"/>
      <c r="M795" s="300"/>
      <c r="N795" s="384"/>
      <c r="O795" s="300"/>
      <c r="P795" s="300"/>
      <c r="Q795" s="300"/>
      <c r="R795" s="300"/>
      <c r="S795" s="300"/>
      <c r="T795" s="300"/>
      <c r="U795" s="300"/>
      <c r="V795" s="300"/>
      <c r="W795" s="300"/>
      <c r="X795" s="300"/>
      <c r="Y795" s="300"/>
      <c r="Z795" s="300"/>
      <c r="AA795" s="300"/>
      <c r="AB795" s="300"/>
      <c r="AC795" s="300"/>
    </row>
    <row r="796">
      <c r="A796" s="300"/>
      <c r="B796" s="300"/>
      <c r="C796" s="380"/>
      <c r="D796" s="300"/>
      <c r="E796" s="381"/>
      <c r="F796" s="382"/>
      <c r="G796" s="380"/>
      <c r="H796" s="300"/>
      <c r="I796" s="300"/>
      <c r="J796" s="300"/>
      <c r="K796" s="300"/>
      <c r="L796" s="383"/>
      <c r="M796" s="300"/>
      <c r="N796" s="384"/>
      <c r="O796" s="300"/>
      <c r="P796" s="300"/>
      <c r="Q796" s="300"/>
      <c r="R796" s="300"/>
      <c r="S796" s="300"/>
      <c r="T796" s="300"/>
      <c r="U796" s="300"/>
      <c r="V796" s="300"/>
      <c r="W796" s="300"/>
      <c r="X796" s="300"/>
      <c r="Y796" s="300"/>
      <c r="Z796" s="300"/>
      <c r="AA796" s="300"/>
      <c r="AB796" s="300"/>
      <c r="AC796" s="300"/>
    </row>
    <row r="797">
      <c r="A797" s="300"/>
      <c r="B797" s="300"/>
      <c r="C797" s="380"/>
      <c r="D797" s="300"/>
      <c r="E797" s="381"/>
      <c r="F797" s="382"/>
      <c r="G797" s="380"/>
      <c r="H797" s="300"/>
      <c r="I797" s="300"/>
      <c r="J797" s="300"/>
      <c r="K797" s="300"/>
      <c r="L797" s="383"/>
      <c r="M797" s="300"/>
      <c r="N797" s="384"/>
      <c r="O797" s="300"/>
      <c r="P797" s="300"/>
      <c r="Q797" s="300"/>
      <c r="R797" s="300"/>
      <c r="S797" s="300"/>
      <c r="T797" s="300"/>
      <c r="U797" s="300"/>
      <c r="V797" s="300"/>
      <c r="W797" s="300"/>
      <c r="X797" s="300"/>
      <c r="Y797" s="300"/>
      <c r="Z797" s="300"/>
      <c r="AA797" s="300"/>
      <c r="AB797" s="300"/>
      <c r="AC797" s="300"/>
    </row>
    <row r="798">
      <c r="A798" s="300"/>
      <c r="B798" s="300"/>
      <c r="C798" s="380"/>
      <c r="D798" s="300"/>
      <c r="E798" s="381"/>
      <c r="F798" s="382"/>
      <c r="G798" s="380"/>
      <c r="H798" s="300"/>
      <c r="I798" s="300"/>
      <c r="J798" s="300"/>
      <c r="K798" s="300"/>
      <c r="L798" s="383"/>
      <c r="M798" s="300"/>
      <c r="N798" s="384"/>
      <c r="O798" s="300"/>
      <c r="P798" s="300"/>
      <c r="Q798" s="300"/>
      <c r="R798" s="300"/>
      <c r="S798" s="300"/>
      <c r="T798" s="300"/>
      <c r="U798" s="300"/>
      <c r="V798" s="300"/>
      <c r="W798" s="300"/>
      <c r="X798" s="300"/>
      <c r="Y798" s="300"/>
      <c r="Z798" s="300"/>
      <c r="AA798" s="300"/>
      <c r="AB798" s="300"/>
      <c r="AC798" s="300"/>
    </row>
    <row r="799">
      <c r="A799" s="300"/>
      <c r="B799" s="300"/>
      <c r="C799" s="380"/>
      <c r="D799" s="300"/>
      <c r="E799" s="381"/>
      <c r="F799" s="382"/>
      <c r="G799" s="380"/>
      <c r="H799" s="300"/>
      <c r="I799" s="300"/>
      <c r="J799" s="300"/>
      <c r="K799" s="300"/>
      <c r="L799" s="383"/>
      <c r="M799" s="300"/>
      <c r="N799" s="384"/>
      <c r="O799" s="300"/>
      <c r="P799" s="300"/>
      <c r="Q799" s="300"/>
      <c r="R799" s="300"/>
      <c r="S799" s="300"/>
      <c r="T799" s="300"/>
      <c r="U799" s="300"/>
      <c r="V799" s="300"/>
      <c r="W799" s="300"/>
      <c r="X799" s="300"/>
      <c r="Y799" s="300"/>
      <c r="Z799" s="300"/>
      <c r="AA799" s="300"/>
      <c r="AB799" s="300"/>
      <c r="AC799" s="300"/>
    </row>
    <row r="800">
      <c r="A800" s="300"/>
      <c r="B800" s="300"/>
      <c r="C800" s="380"/>
      <c r="D800" s="300"/>
      <c r="E800" s="381"/>
      <c r="F800" s="382"/>
      <c r="G800" s="380"/>
      <c r="H800" s="300"/>
      <c r="I800" s="300"/>
      <c r="J800" s="300"/>
      <c r="K800" s="300"/>
      <c r="L800" s="383"/>
      <c r="M800" s="300"/>
      <c r="N800" s="384"/>
      <c r="O800" s="300"/>
      <c r="P800" s="300"/>
      <c r="Q800" s="300"/>
      <c r="R800" s="300"/>
      <c r="S800" s="300"/>
      <c r="T800" s="300"/>
      <c r="U800" s="300"/>
      <c r="V800" s="300"/>
      <c r="W800" s="300"/>
      <c r="X800" s="300"/>
      <c r="Y800" s="300"/>
      <c r="Z800" s="300"/>
      <c r="AA800" s="300"/>
      <c r="AB800" s="300"/>
      <c r="AC800" s="300"/>
    </row>
    <row r="801">
      <c r="A801" s="300"/>
      <c r="B801" s="300"/>
      <c r="C801" s="380"/>
      <c r="D801" s="300"/>
      <c r="E801" s="381"/>
      <c r="F801" s="382"/>
      <c r="G801" s="380"/>
      <c r="H801" s="300"/>
      <c r="I801" s="300"/>
      <c r="J801" s="300"/>
      <c r="K801" s="300"/>
      <c r="L801" s="383"/>
      <c r="M801" s="300"/>
      <c r="N801" s="384"/>
      <c r="O801" s="300"/>
      <c r="P801" s="300"/>
      <c r="Q801" s="300"/>
      <c r="R801" s="300"/>
      <c r="S801" s="300"/>
      <c r="T801" s="300"/>
      <c r="U801" s="300"/>
      <c r="V801" s="300"/>
      <c r="W801" s="300"/>
      <c r="X801" s="300"/>
      <c r="Y801" s="300"/>
      <c r="Z801" s="300"/>
      <c r="AA801" s="300"/>
      <c r="AB801" s="300"/>
      <c r="AC801" s="300"/>
    </row>
    <row r="802">
      <c r="A802" s="300"/>
      <c r="B802" s="300"/>
      <c r="C802" s="380"/>
      <c r="D802" s="300"/>
      <c r="E802" s="381"/>
      <c r="F802" s="382"/>
      <c r="G802" s="380"/>
      <c r="H802" s="300"/>
      <c r="I802" s="300"/>
      <c r="J802" s="300"/>
      <c r="K802" s="300"/>
      <c r="L802" s="383"/>
      <c r="M802" s="300"/>
      <c r="N802" s="384"/>
      <c r="O802" s="300"/>
      <c r="P802" s="300"/>
      <c r="Q802" s="300"/>
      <c r="R802" s="300"/>
      <c r="S802" s="300"/>
      <c r="T802" s="300"/>
      <c r="U802" s="300"/>
      <c r="V802" s="300"/>
      <c r="W802" s="300"/>
      <c r="X802" s="300"/>
      <c r="Y802" s="300"/>
      <c r="Z802" s="300"/>
      <c r="AA802" s="300"/>
      <c r="AB802" s="300"/>
      <c r="AC802" s="300"/>
    </row>
    <row r="803">
      <c r="A803" s="300"/>
      <c r="B803" s="300"/>
      <c r="C803" s="380"/>
      <c r="D803" s="300"/>
      <c r="E803" s="381"/>
      <c r="F803" s="382"/>
      <c r="G803" s="380"/>
      <c r="H803" s="300"/>
      <c r="I803" s="300"/>
      <c r="J803" s="300"/>
      <c r="K803" s="300"/>
      <c r="L803" s="383"/>
      <c r="M803" s="300"/>
      <c r="N803" s="384"/>
      <c r="O803" s="300"/>
      <c r="P803" s="300"/>
      <c r="Q803" s="300"/>
      <c r="R803" s="300"/>
      <c r="S803" s="300"/>
      <c r="T803" s="300"/>
      <c r="U803" s="300"/>
      <c r="V803" s="300"/>
      <c r="W803" s="300"/>
      <c r="X803" s="300"/>
      <c r="Y803" s="300"/>
      <c r="Z803" s="300"/>
      <c r="AA803" s="300"/>
      <c r="AB803" s="300"/>
      <c r="AC803" s="300"/>
    </row>
    <row r="804">
      <c r="A804" s="300"/>
      <c r="B804" s="300"/>
      <c r="C804" s="380"/>
      <c r="D804" s="300"/>
      <c r="E804" s="381"/>
      <c r="F804" s="382"/>
      <c r="G804" s="380"/>
      <c r="H804" s="300"/>
      <c r="I804" s="300"/>
      <c r="J804" s="300"/>
      <c r="K804" s="300"/>
      <c r="L804" s="383"/>
      <c r="M804" s="300"/>
      <c r="N804" s="384"/>
      <c r="O804" s="300"/>
      <c r="P804" s="300"/>
      <c r="Q804" s="300"/>
      <c r="R804" s="300"/>
      <c r="S804" s="300"/>
      <c r="T804" s="300"/>
      <c r="U804" s="300"/>
      <c r="V804" s="300"/>
      <c r="W804" s="300"/>
      <c r="X804" s="300"/>
      <c r="Y804" s="300"/>
      <c r="Z804" s="300"/>
      <c r="AA804" s="300"/>
      <c r="AB804" s="300"/>
      <c r="AC804" s="300"/>
    </row>
    <row r="805">
      <c r="A805" s="300"/>
      <c r="B805" s="300"/>
      <c r="C805" s="380"/>
      <c r="D805" s="300"/>
      <c r="E805" s="381"/>
      <c r="F805" s="382"/>
      <c r="G805" s="380"/>
      <c r="H805" s="300"/>
      <c r="I805" s="300"/>
      <c r="J805" s="300"/>
      <c r="K805" s="300"/>
      <c r="L805" s="383"/>
      <c r="M805" s="300"/>
      <c r="N805" s="384"/>
      <c r="O805" s="300"/>
      <c r="P805" s="300"/>
      <c r="Q805" s="300"/>
      <c r="R805" s="300"/>
      <c r="S805" s="300"/>
      <c r="T805" s="300"/>
      <c r="U805" s="300"/>
      <c r="V805" s="300"/>
      <c r="W805" s="300"/>
      <c r="X805" s="300"/>
      <c r="Y805" s="300"/>
      <c r="Z805" s="300"/>
      <c r="AA805" s="300"/>
      <c r="AB805" s="300"/>
      <c r="AC805" s="300"/>
    </row>
    <row r="806">
      <c r="A806" s="300"/>
      <c r="B806" s="300"/>
      <c r="C806" s="380"/>
      <c r="D806" s="300"/>
      <c r="E806" s="381"/>
      <c r="F806" s="382"/>
      <c r="G806" s="380"/>
      <c r="H806" s="300"/>
      <c r="I806" s="300"/>
      <c r="J806" s="300"/>
      <c r="K806" s="300"/>
      <c r="L806" s="383"/>
      <c r="M806" s="300"/>
      <c r="N806" s="384"/>
      <c r="O806" s="300"/>
      <c r="P806" s="300"/>
      <c r="Q806" s="300"/>
      <c r="R806" s="300"/>
      <c r="S806" s="300"/>
      <c r="T806" s="300"/>
      <c r="U806" s="300"/>
      <c r="V806" s="300"/>
      <c r="W806" s="300"/>
      <c r="X806" s="300"/>
      <c r="Y806" s="300"/>
      <c r="Z806" s="300"/>
      <c r="AA806" s="300"/>
      <c r="AB806" s="300"/>
      <c r="AC806" s="300"/>
    </row>
    <row r="807">
      <c r="A807" s="300"/>
      <c r="B807" s="300"/>
      <c r="C807" s="380"/>
      <c r="D807" s="300"/>
      <c r="E807" s="381"/>
      <c r="F807" s="382"/>
      <c r="G807" s="380"/>
      <c r="H807" s="300"/>
      <c r="I807" s="300"/>
      <c r="J807" s="300"/>
      <c r="K807" s="300"/>
      <c r="L807" s="383"/>
      <c r="M807" s="300"/>
      <c r="N807" s="384"/>
      <c r="O807" s="300"/>
      <c r="P807" s="300"/>
      <c r="Q807" s="300"/>
      <c r="R807" s="300"/>
      <c r="S807" s="300"/>
      <c r="T807" s="300"/>
      <c r="U807" s="300"/>
      <c r="V807" s="300"/>
      <c r="W807" s="300"/>
      <c r="X807" s="300"/>
      <c r="Y807" s="300"/>
      <c r="Z807" s="300"/>
      <c r="AA807" s="300"/>
      <c r="AB807" s="300"/>
      <c r="AC807" s="300"/>
    </row>
    <row r="808">
      <c r="A808" s="300"/>
      <c r="B808" s="300"/>
      <c r="C808" s="380"/>
      <c r="D808" s="300"/>
      <c r="E808" s="381"/>
      <c r="F808" s="382"/>
      <c r="G808" s="380"/>
      <c r="H808" s="300"/>
      <c r="I808" s="300"/>
      <c r="J808" s="300"/>
      <c r="K808" s="300"/>
      <c r="L808" s="383"/>
      <c r="M808" s="300"/>
      <c r="N808" s="384"/>
      <c r="O808" s="300"/>
      <c r="P808" s="300"/>
      <c r="Q808" s="300"/>
      <c r="R808" s="300"/>
      <c r="S808" s="300"/>
      <c r="T808" s="300"/>
      <c r="U808" s="300"/>
      <c r="V808" s="300"/>
      <c r="W808" s="300"/>
      <c r="X808" s="300"/>
      <c r="Y808" s="300"/>
      <c r="Z808" s="300"/>
      <c r="AA808" s="300"/>
      <c r="AB808" s="300"/>
      <c r="AC808" s="300"/>
    </row>
    <row r="809">
      <c r="A809" s="300"/>
      <c r="B809" s="300"/>
      <c r="C809" s="380"/>
      <c r="D809" s="300"/>
      <c r="E809" s="381"/>
      <c r="F809" s="382"/>
      <c r="G809" s="380"/>
      <c r="H809" s="300"/>
      <c r="I809" s="300"/>
      <c r="J809" s="300"/>
      <c r="K809" s="300"/>
      <c r="L809" s="383"/>
      <c r="M809" s="300"/>
      <c r="N809" s="384"/>
      <c r="O809" s="300"/>
      <c r="P809" s="300"/>
      <c r="Q809" s="300"/>
      <c r="R809" s="300"/>
      <c r="S809" s="300"/>
      <c r="T809" s="300"/>
      <c r="U809" s="300"/>
      <c r="V809" s="300"/>
      <c r="W809" s="300"/>
      <c r="X809" s="300"/>
      <c r="Y809" s="300"/>
      <c r="Z809" s="300"/>
      <c r="AA809" s="300"/>
      <c r="AB809" s="300"/>
      <c r="AC809" s="300"/>
    </row>
    <row r="810">
      <c r="A810" s="300"/>
      <c r="B810" s="300"/>
      <c r="C810" s="380"/>
      <c r="D810" s="300"/>
      <c r="E810" s="381"/>
      <c r="F810" s="382"/>
      <c r="G810" s="380"/>
      <c r="H810" s="300"/>
      <c r="I810" s="300"/>
      <c r="J810" s="300"/>
      <c r="K810" s="300"/>
      <c r="L810" s="383"/>
      <c r="M810" s="300"/>
      <c r="N810" s="384"/>
      <c r="O810" s="300"/>
      <c r="P810" s="300"/>
      <c r="Q810" s="300"/>
      <c r="R810" s="300"/>
      <c r="S810" s="300"/>
      <c r="T810" s="300"/>
      <c r="U810" s="300"/>
      <c r="V810" s="300"/>
      <c r="W810" s="300"/>
      <c r="X810" s="300"/>
      <c r="Y810" s="300"/>
      <c r="Z810" s="300"/>
      <c r="AA810" s="300"/>
      <c r="AB810" s="300"/>
      <c r="AC810" s="300"/>
    </row>
    <row r="811">
      <c r="A811" s="300"/>
      <c r="B811" s="300"/>
      <c r="C811" s="380"/>
      <c r="D811" s="300"/>
      <c r="E811" s="381"/>
      <c r="F811" s="382"/>
      <c r="G811" s="380"/>
      <c r="H811" s="300"/>
      <c r="I811" s="300"/>
      <c r="J811" s="300"/>
      <c r="K811" s="300"/>
      <c r="L811" s="383"/>
      <c r="M811" s="300"/>
      <c r="N811" s="384"/>
      <c r="O811" s="300"/>
      <c r="P811" s="300"/>
      <c r="Q811" s="300"/>
      <c r="R811" s="300"/>
      <c r="S811" s="300"/>
      <c r="T811" s="300"/>
      <c r="U811" s="300"/>
      <c r="V811" s="300"/>
      <c r="W811" s="300"/>
      <c r="X811" s="300"/>
      <c r="Y811" s="300"/>
      <c r="Z811" s="300"/>
      <c r="AA811" s="300"/>
      <c r="AB811" s="300"/>
      <c r="AC811" s="300"/>
    </row>
    <row r="812">
      <c r="A812" s="300"/>
      <c r="B812" s="300"/>
      <c r="C812" s="380"/>
      <c r="D812" s="300"/>
      <c r="E812" s="381"/>
      <c r="F812" s="382"/>
      <c r="G812" s="380"/>
      <c r="H812" s="300"/>
      <c r="I812" s="300"/>
      <c r="J812" s="300"/>
      <c r="K812" s="300"/>
      <c r="L812" s="383"/>
      <c r="M812" s="300"/>
      <c r="N812" s="384"/>
      <c r="O812" s="300"/>
      <c r="P812" s="300"/>
      <c r="Q812" s="300"/>
      <c r="R812" s="300"/>
      <c r="S812" s="300"/>
      <c r="T812" s="300"/>
      <c r="U812" s="300"/>
      <c r="V812" s="300"/>
      <c r="W812" s="300"/>
      <c r="X812" s="300"/>
      <c r="Y812" s="300"/>
      <c r="Z812" s="300"/>
      <c r="AA812" s="300"/>
      <c r="AB812" s="300"/>
      <c r="AC812" s="300"/>
    </row>
    <row r="813">
      <c r="A813" s="300"/>
      <c r="B813" s="300"/>
      <c r="C813" s="380"/>
      <c r="D813" s="300"/>
      <c r="E813" s="381"/>
      <c r="F813" s="382"/>
      <c r="G813" s="380"/>
      <c r="H813" s="300"/>
      <c r="I813" s="300"/>
      <c r="J813" s="300"/>
      <c r="K813" s="300"/>
      <c r="L813" s="383"/>
      <c r="M813" s="300"/>
      <c r="N813" s="384"/>
      <c r="O813" s="300"/>
      <c r="P813" s="300"/>
      <c r="Q813" s="300"/>
      <c r="R813" s="300"/>
      <c r="S813" s="300"/>
      <c r="T813" s="300"/>
      <c r="U813" s="300"/>
      <c r="V813" s="300"/>
      <c r="W813" s="300"/>
      <c r="X813" s="300"/>
      <c r="Y813" s="300"/>
      <c r="Z813" s="300"/>
      <c r="AA813" s="300"/>
      <c r="AB813" s="300"/>
      <c r="AC813" s="300"/>
    </row>
    <row r="814">
      <c r="A814" s="300"/>
      <c r="B814" s="300"/>
      <c r="C814" s="380"/>
      <c r="D814" s="300"/>
      <c r="E814" s="381"/>
      <c r="F814" s="382"/>
      <c r="G814" s="380"/>
      <c r="H814" s="300"/>
      <c r="I814" s="300"/>
      <c r="J814" s="300"/>
      <c r="K814" s="300"/>
      <c r="L814" s="383"/>
      <c r="M814" s="300"/>
      <c r="N814" s="384"/>
      <c r="O814" s="300"/>
      <c r="P814" s="300"/>
      <c r="Q814" s="300"/>
      <c r="R814" s="300"/>
      <c r="S814" s="300"/>
      <c r="T814" s="300"/>
      <c r="U814" s="300"/>
      <c r="V814" s="300"/>
      <c r="W814" s="300"/>
      <c r="X814" s="300"/>
      <c r="Y814" s="300"/>
      <c r="Z814" s="300"/>
      <c r="AA814" s="300"/>
      <c r="AB814" s="300"/>
      <c r="AC814" s="300"/>
    </row>
    <row r="815">
      <c r="A815" s="300"/>
      <c r="B815" s="300"/>
      <c r="C815" s="380"/>
      <c r="D815" s="300"/>
      <c r="E815" s="381"/>
      <c r="F815" s="382"/>
      <c r="G815" s="380"/>
      <c r="H815" s="300"/>
      <c r="I815" s="300"/>
      <c r="J815" s="300"/>
      <c r="K815" s="300"/>
      <c r="L815" s="383"/>
      <c r="M815" s="300"/>
      <c r="N815" s="384"/>
      <c r="O815" s="300"/>
      <c r="P815" s="300"/>
      <c r="Q815" s="300"/>
      <c r="R815" s="300"/>
      <c r="S815" s="300"/>
      <c r="T815" s="300"/>
      <c r="U815" s="300"/>
      <c r="V815" s="300"/>
      <c r="W815" s="300"/>
      <c r="X815" s="300"/>
      <c r="Y815" s="300"/>
      <c r="Z815" s="300"/>
      <c r="AA815" s="300"/>
      <c r="AB815" s="300"/>
      <c r="AC815" s="300"/>
    </row>
    <row r="816">
      <c r="A816" s="300"/>
      <c r="B816" s="300"/>
      <c r="C816" s="380"/>
      <c r="D816" s="300"/>
      <c r="E816" s="381"/>
      <c r="F816" s="382"/>
      <c r="G816" s="380"/>
      <c r="H816" s="300"/>
      <c r="I816" s="300"/>
      <c r="J816" s="300"/>
      <c r="K816" s="300"/>
      <c r="L816" s="383"/>
      <c r="M816" s="300"/>
      <c r="N816" s="384"/>
      <c r="O816" s="300"/>
      <c r="P816" s="300"/>
      <c r="Q816" s="300"/>
      <c r="R816" s="300"/>
      <c r="S816" s="300"/>
      <c r="T816" s="300"/>
      <c r="U816" s="300"/>
      <c r="V816" s="300"/>
      <c r="W816" s="300"/>
      <c r="X816" s="300"/>
      <c r="Y816" s="300"/>
      <c r="Z816" s="300"/>
      <c r="AA816" s="300"/>
      <c r="AB816" s="300"/>
      <c r="AC816" s="300"/>
    </row>
    <row r="817">
      <c r="A817" s="300"/>
      <c r="B817" s="300"/>
      <c r="C817" s="380"/>
      <c r="D817" s="300"/>
      <c r="E817" s="381"/>
      <c r="F817" s="382"/>
      <c r="G817" s="380"/>
      <c r="H817" s="300"/>
      <c r="I817" s="300"/>
      <c r="J817" s="300"/>
      <c r="K817" s="300"/>
      <c r="L817" s="383"/>
      <c r="M817" s="300"/>
      <c r="N817" s="384"/>
      <c r="O817" s="300"/>
      <c r="P817" s="300"/>
      <c r="Q817" s="300"/>
      <c r="R817" s="300"/>
      <c r="S817" s="300"/>
      <c r="T817" s="300"/>
      <c r="U817" s="300"/>
      <c r="V817" s="300"/>
      <c r="W817" s="300"/>
      <c r="X817" s="300"/>
      <c r="Y817" s="300"/>
      <c r="Z817" s="300"/>
      <c r="AA817" s="300"/>
      <c r="AB817" s="300"/>
      <c r="AC817" s="300"/>
    </row>
    <row r="818">
      <c r="A818" s="300"/>
      <c r="B818" s="300"/>
      <c r="C818" s="380"/>
      <c r="D818" s="300"/>
      <c r="E818" s="381"/>
      <c r="F818" s="382"/>
      <c r="G818" s="380"/>
      <c r="H818" s="300"/>
      <c r="I818" s="300"/>
      <c r="J818" s="300"/>
      <c r="K818" s="300"/>
      <c r="L818" s="383"/>
      <c r="M818" s="300"/>
      <c r="N818" s="384"/>
      <c r="O818" s="300"/>
      <c r="P818" s="300"/>
      <c r="Q818" s="300"/>
      <c r="R818" s="300"/>
      <c r="S818" s="300"/>
      <c r="T818" s="300"/>
      <c r="U818" s="300"/>
      <c r="V818" s="300"/>
      <c r="W818" s="300"/>
      <c r="X818" s="300"/>
      <c r="Y818" s="300"/>
      <c r="Z818" s="300"/>
      <c r="AA818" s="300"/>
      <c r="AB818" s="300"/>
      <c r="AC818" s="300"/>
    </row>
    <row r="819">
      <c r="A819" s="300"/>
      <c r="B819" s="300"/>
      <c r="C819" s="380"/>
      <c r="D819" s="300"/>
      <c r="E819" s="381"/>
      <c r="F819" s="382"/>
      <c r="G819" s="380"/>
      <c r="H819" s="300"/>
      <c r="I819" s="300"/>
      <c r="J819" s="300"/>
      <c r="K819" s="300"/>
      <c r="L819" s="383"/>
      <c r="M819" s="300"/>
      <c r="N819" s="384"/>
      <c r="O819" s="300"/>
      <c r="P819" s="300"/>
      <c r="Q819" s="300"/>
      <c r="R819" s="300"/>
      <c r="S819" s="300"/>
      <c r="T819" s="300"/>
      <c r="U819" s="300"/>
      <c r="V819" s="300"/>
      <c r="W819" s="300"/>
      <c r="X819" s="300"/>
      <c r="Y819" s="300"/>
      <c r="Z819" s="300"/>
      <c r="AA819" s="300"/>
      <c r="AB819" s="300"/>
      <c r="AC819" s="300"/>
    </row>
    <row r="820">
      <c r="A820" s="300"/>
      <c r="B820" s="300"/>
      <c r="C820" s="380"/>
      <c r="D820" s="300"/>
      <c r="E820" s="381"/>
      <c r="F820" s="382"/>
      <c r="G820" s="380"/>
      <c r="H820" s="300"/>
      <c r="I820" s="300"/>
      <c r="J820" s="300"/>
      <c r="K820" s="300"/>
      <c r="L820" s="383"/>
      <c r="M820" s="300"/>
      <c r="N820" s="384"/>
      <c r="O820" s="300"/>
      <c r="P820" s="300"/>
      <c r="Q820" s="300"/>
      <c r="R820" s="300"/>
      <c r="S820" s="300"/>
      <c r="T820" s="300"/>
      <c r="U820" s="300"/>
      <c r="V820" s="300"/>
      <c r="W820" s="300"/>
      <c r="X820" s="300"/>
      <c r="Y820" s="300"/>
      <c r="Z820" s="300"/>
      <c r="AA820" s="300"/>
      <c r="AB820" s="300"/>
      <c r="AC820" s="300"/>
    </row>
    <row r="821">
      <c r="A821" s="300"/>
      <c r="B821" s="300"/>
      <c r="C821" s="380"/>
      <c r="D821" s="300"/>
      <c r="E821" s="381"/>
      <c r="F821" s="382"/>
      <c r="G821" s="380"/>
      <c r="H821" s="300"/>
      <c r="I821" s="300"/>
      <c r="J821" s="300"/>
      <c r="K821" s="300"/>
      <c r="L821" s="383"/>
      <c r="M821" s="300"/>
      <c r="N821" s="384"/>
      <c r="O821" s="300"/>
      <c r="P821" s="300"/>
      <c r="Q821" s="300"/>
      <c r="R821" s="300"/>
      <c r="S821" s="300"/>
      <c r="T821" s="300"/>
      <c r="U821" s="300"/>
      <c r="V821" s="300"/>
      <c r="W821" s="300"/>
      <c r="X821" s="300"/>
      <c r="Y821" s="300"/>
      <c r="Z821" s="300"/>
      <c r="AA821" s="300"/>
      <c r="AB821" s="300"/>
      <c r="AC821" s="300"/>
    </row>
    <row r="822">
      <c r="A822" s="300"/>
      <c r="B822" s="300"/>
      <c r="C822" s="380"/>
      <c r="D822" s="300"/>
      <c r="E822" s="381"/>
      <c r="F822" s="382"/>
      <c r="G822" s="380"/>
      <c r="H822" s="300"/>
      <c r="I822" s="300"/>
      <c r="J822" s="300"/>
      <c r="K822" s="300"/>
      <c r="L822" s="383"/>
      <c r="M822" s="300"/>
      <c r="N822" s="384"/>
      <c r="O822" s="300"/>
      <c r="P822" s="300"/>
      <c r="Q822" s="300"/>
      <c r="R822" s="300"/>
      <c r="S822" s="300"/>
      <c r="T822" s="300"/>
      <c r="U822" s="300"/>
      <c r="V822" s="300"/>
      <c r="W822" s="300"/>
      <c r="X822" s="300"/>
      <c r="Y822" s="300"/>
      <c r="Z822" s="300"/>
      <c r="AA822" s="300"/>
      <c r="AB822" s="300"/>
      <c r="AC822" s="300"/>
    </row>
    <row r="823">
      <c r="A823" s="300"/>
      <c r="B823" s="300"/>
      <c r="C823" s="380"/>
      <c r="D823" s="300"/>
      <c r="E823" s="381"/>
      <c r="F823" s="382"/>
      <c r="G823" s="380"/>
      <c r="H823" s="300"/>
      <c r="I823" s="300"/>
      <c r="J823" s="300"/>
      <c r="K823" s="300"/>
      <c r="L823" s="383"/>
      <c r="M823" s="300"/>
      <c r="N823" s="384"/>
      <c r="O823" s="300"/>
      <c r="P823" s="300"/>
      <c r="Q823" s="300"/>
      <c r="R823" s="300"/>
      <c r="S823" s="300"/>
      <c r="T823" s="300"/>
      <c r="U823" s="300"/>
      <c r="V823" s="300"/>
      <c r="W823" s="300"/>
      <c r="X823" s="300"/>
      <c r="Y823" s="300"/>
      <c r="Z823" s="300"/>
      <c r="AA823" s="300"/>
      <c r="AB823" s="300"/>
      <c r="AC823" s="300"/>
    </row>
    <row r="824">
      <c r="A824" s="300"/>
      <c r="B824" s="300"/>
      <c r="C824" s="380"/>
      <c r="D824" s="300"/>
      <c r="E824" s="381"/>
      <c r="F824" s="382"/>
      <c r="G824" s="380"/>
      <c r="H824" s="300"/>
      <c r="I824" s="300"/>
      <c r="J824" s="300"/>
      <c r="K824" s="300"/>
      <c r="L824" s="383"/>
      <c r="M824" s="300"/>
      <c r="N824" s="384"/>
      <c r="O824" s="300"/>
      <c r="P824" s="300"/>
      <c r="Q824" s="300"/>
      <c r="R824" s="300"/>
      <c r="S824" s="300"/>
      <c r="T824" s="300"/>
      <c r="U824" s="300"/>
      <c r="V824" s="300"/>
      <c r="W824" s="300"/>
      <c r="X824" s="300"/>
      <c r="Y824" s="300"/>
      <c r="Z824" s="300"/>
      <c r="AA824" s="300"/>
      <c r="AB824" s="300"/>
      <c r="AC824" s="300"/>
    </row>
    <row r="825">
      <c r="A825" s="300"/>
      <c r="B825" s="300"/>
      <c r="C825" s="380"/>
      <c r="D825" s="300"/>
      <c r="E825" s="381"/>
      <c r="F825" s="382"/>
      <c r="G825" s="380"/>
      <c r="H825" s="300"/>
      <c r="I825" s="300"/>
      <c r="J825" s="300"/>
      <c r="K825" s="300"/>
      <c r="L825" s="383"/>
      <c r="M825" s="300"/>
      <c r="N825" s="384"/>
      <c r="O825" s="300"/>
      <c r="P825" s="300"/>
      <c r="Q825" s="300"/>
      <c r="R825" s="300"/>
      <c r="S825" s="300"/>
      <c r="T825" s="300"/>
      <c r="U825" s="300"/>
      <c r="V825" s="300"/>
      <c r="W825" s="300"/>
      <c r="X825" s="300"/>
      <c r="Y825" s="300"/>
      <c r="Z825" s="300"/>
      <c r="AA825" s="300"/>
      <c r="AB825" s="300"/>
      <c r="AC825" s="300"/>
    </row>
    <row r="826">
      <c r="A826" s="300"/>
      <c r="B826" s="300"/>
      <c r="C826" s="380"/>
      <c r="D826" s="300"/>
      <c r="E826" s="381"/>
      <c r="F826" s="382"/>
      <c r="G826" s="380"/>
      <c r="H826" s="300"/>
      <c r="I826" s="300"/>
      <c r="J826" s="300"/>
      <c r="K826" s="300"/>
      <c r="L826" s="383"/>
      <c r="M826" s="300"/>
      <c r="N826" s="384"/>
      <c r="O826" s="300"/>
      <c r="P826" s="300"/>
      <c r="Q826" s="300"/>
      <c r="R826" s="300"/>
      <c r="S826" s="300"/>
      <c r="T826" s="300"/>
      <c r="U826" s="300"/>
      <c r="V826" s="300"/>
      <c r="W826" s="300"/>
      <c r="X826" s="300"/>
      <c r="Y826" s="300"/>
      <c r="Z826" s="300"/>
      <c r="AA826" s="300"/>
      <c r="AB826" s="300"/>
      <c r="AC826" s="300"/>
    </row>
    <row r="827">
      <c r="A827" s="300"/>
      <c r="B827" s="300"/>
      <c r="C827" s="380"/>
      <c r="D827" s="300"/>
      <c r="E827" s="381"/>
      <c r="F827" s="382"/>
      <c r="G827" s="380"/>
      <c r="H827" s="300"/>
      <c r="I827" s="300"/>
      <c r="J827" s="300"/>
      <c r="K827" s="300"/>
      <c r="L827" s="383"/>
      <c r="M827" s="300"/>
      <c r="N827" s="384"/>
      <c r="O827" s="300"/>
      <c r="P827" s="300"/>
      <c r="Q827" s="300"/>
      <c r="R827" s="300"/>
      <c r="S827" s="300"/>
      <c r="T827" s="300"/>
      <c r="U827" s="300"/>
      <c r="V827" s="300"/>
      <c r="W827" s="300"/>
      <c r="X827" s="300"/>
      <c r="Y827" s="300"/>
      <c r="Z827" s="300"/>
      <c r="AA827" s="300"/>
      <c r="AB827" s="300"/>
      <c r="AC827" s="300"/>
    </row>
    <row r="828">
      <c r="A828" s="300"/>
      <c r="B828" s="300"/>
      <c r="C828" s="380"/>
      <c r="D828" s="300"/>
      <c r="E828" s="381"/>
      <c r="F828" s="382"/>
      <c r="G828" s="380"/>
      <c r="H828" s="300"/>
      <c r="I828" s="300"/>
      <c r="J828" s="300"/>
      <c r="K828" s="300"/>
      <c r="L828" s="383"/>
      <c r="M828" s="300"/>
      <c r="N828" s="384"/>
      <c r="O828" s="300"/>
      <c r="P828" s="300"/>
      <c r="Q828" s="300"/>
      <c r="R828" s="300"/>
      <c r="S828" s="300"/>
      <c r="T828" s="300"/>
      <c r="U828" s="300"/>
      <c r="V828" s="300"/>
      <c r="W828" s="300"/>
      <c r="X828" s="300"/>
      <c r="Y828" s="300"/>
      <c r="Z828" s="300"/>
      <c r="AA828" s="300"/>
      <c r="AB828" s="300"/>
      <c r="AC828" s="300"/>
    </row>
    <row r="829">
      <c r="A829" s="300"/>
      <c r="B829" s="300"/>
      <c r="C829" s="380"/>
      <c r="D829" s="300"/>
      <c r="E829" s="381"/>
      <c r="F829" s="382"/>
      <c r="G829" s="380"/>
      <c r="H829" s="300"/>
      <c r="I829" s="300"/>
      <c r="J829" s="300"/>
      <c r="K829" s="300"/>
      <c r="L829" s="383"/>
      <c r="M829" s="300"/>
      <c r="N829" s="384"/>
      <c r="O829" s="300"/>
      <c r="P829" s="300"/>
      <c r="Q829" s="300"/>
      <c r="R829" s="300"/>
      <c r="S829" s="300"/>
      <c r="T829" s="300"/>
      <c r="U829" s="300"/>
      <c r="V829" s="300"/>
      <c r="W829" s="300"/>
      <c r="X829" s="300"/>
      <c r="Y829" s="300"/>
      <c r="Z829" s="300"/>
      <c r="AA829" s="300"/>
      <c r="AB829" s="300"/>
      <c r="AC829" s="300"/>
    </row>
    <row r="830">
      <c r="A830" s="300"/>
      <c r="B830" s="300"/>
      <c r="C830" s="380"/>
      <c r="D830" s="300"/>
      <c r="E830" s="381"/>
      <c r="F830" s="382"/>
      <c r="G830" s="380"/>
      <c r="H830" s="300"/>
      <c r="I830" s="300"/>
      <c r="J830" s="300"/>
      <c r="K830" s="300"/>
      <c r="L830" s="383"/>
      <c r="M830" s="300"/>
      <c r="N830" s="384"/>
      <c r="O830" s="300"/>
      <c r="P830" s="300"/>
      <c r="Q830" s="300"/>
      <c r="R830" s="300"/>
      <c r="S830" s="300"/>
      <c r="T830" s="300"/>
      <c r="U830" s="300"/>
      <c r="V830" s="300"/>
      <c r="W830" s="300"/>
      <c r="X830" s="300"/>
      <c r="Y830" s="300"/>
      <c r="Z830" s="300"/>
      <c r="AA830" s="300"/>
      <c r="AB830" s="300"/>
      <c r="AC830" s="300"/>
    </row>
    <row r="831">
      <c r="A831" s="300"/>
      <c r="B831" s="300"/>
      <c r="C831" s="380"/>
      <c r="D831" s="300"/>
      <c r="E831" s="381"/>
      <c r="F831" s="382"/>
      <c r="G831" s="380"/>
      <c r="H831" s="300"/>
      <c r="I831" s="300"/>
      <c r="J831" s="300"/>
      <c r="K831" s="300"/>
      <c r="L831" s="383"/>
      <c r="M831" s="300"/>
      <c r="N831" s="384"/>
      <c r="O831" s="300"/>
      <c r="P831" s="300"/>
      <c r="Q831" s="300"/>
      <c r="R831" s="300"/>
      <c r="S831" s="300"/>
      <c r="T831" s="300"/>
      <c r="U831" s="300"/>
      <c r="V831" s="300"/>
      <c r="W831" s="300"/>
      <c r="X831" s="300"/>
      <c r="Y831" s="300"/>
      <c r="Z831" s="300"/>
      <c r="AA831" s="300"/>
      <c r="AB831" s="300"/>
      <c r="AC831" s="300"/>
    </row>
    <row r="832">
      <c r="A832" s="300"/>
      <c r="B832" s="300"/>
      <c r="C832" s="380"/>
      <c r="D832" s="300"/>
      <c r="E832" s="381"/>
      <c r="F832" s="382"/>
      <c r="G832" s="380"/>
      <c r="H832" s="300"/>
      <c r="I832" s="300"/>
      <c r="J832" s="300"/>
      <c r="K832" s="300"/>
      <c r="L832" s="383"/>
      <c r="M832" s="300"/>
      <c r="N832" s="384"/>
      <c r="O832" s="300"/>
      <c r="P832" s="300"/>
      <c r="Q832" s="300"/>
      <c r="R832" s="300"/>
      <c r="S832" s="300"/>
      <c r="T832" s="300"/>
      <c r="U832" s="300"/>
      <c r="V832" s="300"/>
      <c r="W832" s="300"/>
      <c r="X832" s="300"/>
      <c r="Y832" s="300"/>
      <c r="Z832" s="300"/>
      <c r="AA832" s="300"/>
      <c r="AB832" s="300"/>
      <c r="AC832" s="300"/>
    </row>
    <row r="833">
      <c r="A833" s="300"/>
      <c r="B833" s="300"/>
      <c r="C833" s="380"/>
      <c r="D833" s="300"/>
      <c r="E833" s="381"/>
      <c r="F833" s="382"/>
      <c r="G833" s="380"/>
      <c r="H833" s="300"/>
      <c r="I833" s="300"/>
      <c r="J833" s="300"/>
      <c r="K833" s="300"/>
      <c r="L833" s="383"/>
      <c r="M833" s="300"/>
      <c r="N833" s="384"/>
      <c r="O833" s="300"/>
      <c r="P833" s="300"/>
      <c r="Q833" s="300"/>
      <c r="R833" s="300"/>
      <c r="S833" s="300"/>
      <c r="T833" s="300"/>
      <c r="U833" s="300"/>
      <c r="V833" s="300"/>
      <c r="W833" s="300"/>
      <c r="X833" s="300"/>
      <c r="Y833" s="300"/>
      <c r="Z833" s="300"/>
      <c r="AA833" s="300"/>
      <c r="AB833" s="300"/>
      <c r="AC833" s="300"/>
    </row>
    <row r="834">
      <c r="A834" s="300"/>
      <c r="B834" s="300"/>
      <c r="C834" s="380"/>
      <c r="D834" s="300"/>
      <c r="E834" s="381"/>
      <c r="F834" s="382"/>
      <c r="G834" s="380"/>
      <c r="H834" s="300"/>
      <c r="I834" s="300"/>
      <c r="J834" s="300"/>
      <c r="K834" s="300"/>
      <c r="L834" s="383"/>
      <c r="M834" s="300"/>
      <c r="N834" s="384"/>
      <c r="O834" s="300"/>
      <c r="P834" s="300"/>
      <c r="Q834" s="300"/>
      <c r="R834" s="300"/>
      <c r="S834" s="300"/>
      <c r="T834" s="300"/>
      <c r="U834" s="300"/>
      <c r="V834" s="300"/>
      <c r="W834" s="300"/>
      <c r="X834" s="300"/>
      <c r="Y834" s="300"/>
      <c r="Z834" s="300"/>
      <c r="AA834" s="300"/>
      <c r="AB834" s="300"/>
      <c r="AC834" s="300"/>
    </row>
    <row r="835">
      <c r="A835" s="300"/>
      <c r="B835" s="300"/>
      <c r="C835" s="380"/>
      <c r="D835" s="300"/>
      <c r="E835" s="381"/>
      <c r="F835" s="382"/>
      <c r="G835" s="380"/>
      <c r="H835" s="300"/>
      <c r="I835" s="300"/>
      <c r="J835" s="300"/>
      <c r="K835" s="300"/>
      <c r="L835" s="383"/>
      <c r="M835" s="300"/>
      <c r="N835" s="384"/>
      <c r="O835" s="300"/>
      <c r="P835" s="300"/>
      <c r="Q835" s="300"/>
      <c r="R835" s="300"/>
      <c r="S835" s="300"/>
      <c r="T835" s="300"/>
      <c r="U835" s="300"/>
      <c r="V835" s="300"/>
      <c r="W835" s="300"/>
      <c r="X835" s="300"/>
      <c r="Y835" s="300"/>
      <c r="Z835" s="300"/>
      <c r="AA835" s="300"/>
      <c r="AB835" s="300"/>
      <c r="AC835" s="300"/>
    </row>
    <row r="836">
      <c r="A836" s="300"/>
      <c r="B836" s="300"/>
      <c r="C836" s="380"/>
      <c r="D836" s="300"/>
      <c r="E836" s="381"/>
      <c r="F836" s="382"/>
      <c r="G836" s="380"/>
      <c r="H836" s="300"/>
      <c r="I836" s="300"/>
      <c r="J836" s="300"/>
      <c r="K836" s="300"/>
      <c r="L836" s="383"/>
      <c r="M836" s="300"/>
      <c r="N836" s="384"/>
      <c r="O836" s="300"/>
      <c r="P836" s="300"/>
      <c r="Q836" s="300"/>
      <c r="R836" s="300"/>
      <c r="S836" s="300"/>
      <c r="T836" s="300"/>
      <c r="U836" s="300"/>
      <c r="V836" s="300"/>
      <c r="W836" s="300"/>
      <c r="X836" s="300"/>
      <c r="Y836" s="300"/>
      <c r="Z836" s="300"/>
      <c r="AA836" s="300"/>
      <c r="AB836" s="300"/>
      <c r="AC836" s="300"/>
    </row>
    <row r="837">
      <c r="A837" s="300"/>
      <c r="B837" s="300"/>
      <c r="C837" s="380"/>
      <c r="D837" s="300"/>
      <c r="E837" s="381"/>
      <c r="F837" s="382"/>
      <c r="G837" s="380"/>
      <c r="H837" s="300"/>
      <c r="I837" s="300"/>
      <c r="J837" s="300"/>
      <c r="K837" s="300"/>
      <c r="L837" s="383"/>
      <c r="M837" s="300"/>
      <c r="N837" s="384"/>
      <c r="O837" s="300"/>
      <c r="P837" s="300"/>
      <c r="Q837" s="300"/>
      <c r="R837" s="300"/>
      <c r="S837" s="300"/>
      <c r="T837" s="300"/>
      <c r="U837" s="300"/>
      <c r="V837" s="300"/>
      <c r="W837" s="300"/>
      <c r="X837" s="300"/>
      <c r="Y837" s="300"/>
      <c r="Z837" s="300"/>
      <c r="AA837" s="300"/>
      <c r="AB837" s="300"/>
      <c r="AC837" s="300"/>
    </row>
    <row r="838">
      <c r="A838" s="300"/>
      <c r="B838" s="300"/>
      <c r="C838" s="380"/>
      <c r="D838" s="300"/>
      <c r="E838" s="381"/>
      <c r="F838" s="382"/>
      <c r="G838" s="380"/>
      <c r="H838" s="300"/>
      <c r="I838" s="300"/>
      <c r="J838" s="300"/>
      <c r="K838" s="300"/>
      <c r="L838" s="383"/>
      <c r="M838" s="300"/>
      <c r="N838" s="384"/>
      <c r="O838" s="300"/>
      <c r="P838" s="300"/>
      <c r="Q838" s="300"/>
      <c r="R838" s="300"/>
      <c r="S838" s="300"/>
      <c r="T838" s="300"/>
      <c r="U838" s="300"/>
      <c r="V838" s="300"/>
      <c r="W838" s="300"/>
      <c r="X838" s="300"/>
      <c r="Y838" s="300"/>
      <c r="Z838" s="300"/>
      <c r="AA838" s="300"/>
      <c r="AB838" s="300"/>
      <c r="AC838" s="300"/>
    </row>
    <row r="839">
      <c r="A839" s="300"/>
      <c r="B839" s="300"/>
      <c r="C839" s="380"/>
      <c r="D839" s="300"/>
      <c r="E839" s="381"/>
      <c r="F839" s="382"/>
      <c r="G839" s="380"/>
      <c r="H839" s="300"/>
      <c r="I839" s="300"/>
      <c r="J839" s="300"/>
      <c r="K839" s="300"/>
      <c r="L839" s="383"/>
      <c r="M839" s="300"/>
      <c r="N839" s="384"/>
      <c r="O839" s="300"/>
      <c r="P839" s="300"/>
      <c r="Q839" s="300"/>
      <c r="R839" s="300"/>
      <c r="S839" s="300"/>
      <c r="T839" s="300"/>
      <c r="U839" s="300"/>
      <c r="V839" s="300"/>
      <c r="W839" s="300"/>
      <c r="X839" s="300"/>
      <c r="Y839" s="300"/>
      <c r="Z839" s="300"/>
      <c r="AA839" s="300"/>
      <c r="AB839" s="300"/>
      <c r="AC839" s="300"/>
    </row>
    <row r="840">
      <c r="A840" s="300"/>
      <c r="B840" s="300"/>
      <c r="C840" s="380"/>
      <c r="D840" s="300"/>
      <c r="E840" s="381"/>
      <c r="F840" s="382"/>
      <c r="G840" s="380"/>
      <c r="H840" s="300"/>
      <c r="I840" s="300"/>
      <c r="J840" s="300"/>
      <c r="K840" s="300"/>
      <c r="L840" s="383"/>
      <c r="M840" s="300"/>
      <c r="N840" s="384"/>
      <c r="O840" s="300"/>
      <c r="P840" s="300"/>
      <c r="Q840" s="300"/>
      <c r="R840" s="300"/>
      <c r="S840" s="300"/>
      <c r="T840" s="300"/>
      <c r="U840" s="300"/>
      <c r="V840" s="300"/>
      <c r="W840" s="300"/>
      <c r="X840" s="300"/>
      <c r="Y840" s="300"/>
      <c r="Z840" s="300"/>
      <c r="AA840" s="300"/>
      <c r="AB840" s="300"/>
      <c r="AC840" s="300"/>
    </row>
    <row r="841">
      <c r="A841" s="300"/>
      <c r="B841" s="300"/>
      <c r="C841" s="380"/>
      <c r="D841" s="300"/>
      <c r="E841" s="381"/>
      <c r="F841" s="382"/>
      <c r="G841" s="380"/>
      <c r="H841" s="300"/>
      <c r="I841" s="300"/>
      <c r="J841" s="300"/>
      <c r="K841" s="300"/>
      <c r="L841" s="383"/>
      <c r="M841" s="300"/>
      <c r="N841" s="384"/>
      <c r="O841" s="300"/>
      <c r="P841" s="300"/>
      <c r="Q841" s="300"/>
      <c r="R841" s="300"/>
      <c r="S841" s="300"/>
      <c r="T841" s="300"/>
      <c r="U841" s="300"/>
      <c r="V841" s="300"/>
      <c r="W841" s="300"/>
      <c r="X841" s="300"/>
      <c r="Y841" s="300"/>
      <c r="Z841" s="300"/>
      <c r="AA841" s="300"/>
      <c r="AB841" s="300"/>
      <c r="AC841" s="300"/>
    </row>
    <row r="842">
      <c r="A842" s="300"/>
      <c r="B842" s="300"/>
      <c r="C842" s="380"/>
      <c r="D842" s="300"/>
      <c r="E842" s="381"/>
      <c r="F842" s="382"/>
      <c r="G842" s="380"/>
      <c r="H842" s="300"/>
      <c r="I842" s="300"/>
      <c r="J842" s="300"/>
      <c r="K842" s="300"/>
      <c r="L842" s="383"/>
      <c r="M842" s="300"/>
      <c r="N842" s="384"/>
      <c r="O842" s="300"/>
      <c r="P842" s="300"/>
      <c r="Q842" s="300"/>
      <c r="R842" s="300"/>
      <c r="S842" s="300"/>
      <c r="T842" s="300"/>
      <c r="U842" s="300"/>
      <c r="V842" s="300"/>
      <c r="W842" s="300"/>
      <c r="X842" s="300"/>
      <c r="Y842" s="300"/>
      <c r="Z842" s="300"/>
      <c r="AA842" s="300"/>
      <c r="AB842" s="300"/>
      <c r="AC842" s="300"/>
    </row>
    <row r="843">
      <c r="A843" s="300"/>
      <c r="B843" s="300"/>
      <c r="C843" s="380"/>
      <c r="D843" s="300"/>
      <c r="E843" s="381"/>
      <c r="F843" s="382"/>
      <c r="G843" s="380"/>
      <c r="H843" s="300"/>
      <c r="I843" s="300"/>
      <c r="J843" s="300"/>
      <c r="K843" s="300"/>
      <c r="L843" s="383"/>
      <c r="M843" s="300"/>
      <c r="N843" s="384"/>
      <c r="O843" s="300"/>
      <c r="P843" s="300"/>
      <c r="Q843" s="300"/>
      <c r="R843" s="300"/>
      <c r="S843" s="300"/>
      <c r="T843" s="300"/>
      <c r="U843" s="300"/>
      <c r="V843" s="300"/>
      <c r="W843" s="300"/>
      <c r="X843" s="300"/>
      <c r="Y843" s="300"/>
      <c r="Z843" s="300"/>
      <c r="AA843" s="300"/>
      <c r="AB843" s="300"/>
      <c r="AC843" s="300"/>
    </row>
    <row r="844">
      <c r="A844" s="300"/>
      <c r="B844" s="300"/>
      <c r="C844" s="380"/>
      <c r="D844" s="300"/>
      <c r="E844" s="381"/>
      <c r="F844" s="382"/>
      <c r="G844" s="380"/>
      <c r="H844" s="300"/>
      <c r="I844" s="300"/>
      <c r="J844" s="300"/>
      <c r="K844" s="300"/>
      <c r="L844" s="383"/>
      <c r="M844" s="300"/>
      <c r="N844" s="384"/>
      <c r="O844" s="300"/>
      <c r="P844" s="300"/>
      <c r="Q844" s="300"/>
      <c r="R844" s="300"/>
      <c r="S844" s="300"/>
      <c r="T844" s="300"/>
      <c r="U844" s="300"/>
      <c r="V844" s="300"/>
      <c r="W844" s="300"/>
      <c r="X844" s="300"/>
      <c r="Y844" s="300"/>
      <c r="Z844" s="300"/>
      <c r="AA844" s="300"/>
      <c r="AB844" s="300"/>
      <c r="AC844" s="300"/>
    </row>
    <row r="845">
      <c r="A845" s="300"/>
      <c r="B845" s="300"/>
      <c r="C845" s="380"/>
      <c r="D845" s="300"/>
      <c r="E845" s="381"/>
      <c r="F845" s="382"/>
      <c r="G845" s="380"/>
      <c r="H845" s="300"/>
      <c r="I845" s="300"/>
      <c r="J845" s="300"/>
      <c r="K845" s="300"/>
      <c r="L845" s="383"/>
      <c r="M845" s="300"/>
      <c r="N845" s="384"/>
      <c r="O845" s="300"/>
      <c r="P845" s="300"/>
      <c r="Q845" s="300"/>
      <c r="R845" s="300"/>
      <c r="S845" s="300"/>
      <c r="T845" s="300"/>
      <c r="U845" s="300"/>
      <c r="V845" s="300"/>
      <c r="W845" s="300"/>
      <c r="X845" s="300"/>
      <c r="Y845" s="300"/>
      <c r="Z845" s="300"/>
      <c r="AA845" s="300"/>
      <c r="AB845" s="300"/>
      <c r="AC845" s="300"/>
    </row>
    <row r="846">
      <c r="A846" s="300"/>
      <c r="B846" s="300"/>
      <c r="C846" s="380"/>
      <c r="D846" s="300"/>
      <c r="E846" s="381"/>
      <c r="F846" s="382"/>
      <c r="G846" s="380"/>
      <c r="H846" s="300"/>
      <c r="I846" s="300"/>
      <c r="J846" s="300"/>
      <c r="K846" s="300"/>
      <c r="L846" s="383"/>
      <c r="M846" s="300"/>
      <c r="N846" s="384"/>
      <c r="O846" s="300"/>
      <c r="P846" s="300"/>
      <c r="Q846" s="300"/>
      <c r="R846" s="300"/>
      <c r="S846" s="300"/>
      <c r="T846" s="300"/>
      <c r="U846" s="300"/>
      <c r="V846" s="300"/>
      <c r="W846" s="300"/>
      <c r="X846" s="300"/>
      <c r="Y846" s="300"/>
      <c r="Z846" s="300"/>
      <c r="AA846" s="300"/>
      <c r="AB846" s="300"/>
      <c r="AC846" s="300"/>
    </row>
    <row r="847">
      <c r="A847" s="300"/>
      <c r="B847" s="300"/>
      <c r="C847" s="380"/>
      <c r="D847" s="300"/>
      <c r="E847" s="381"/>
      <c r="F847" s="382"/>
      <c r="G847" s="380"/>
      <c r="H847" s="300"/>
      <c r="I847" s="300"/>
      <c r="J847" s="300"/>
      <c r="K847" s="300"/>
      <c r="L847" s="383"/>
      <c r="M847" s="300"/>
      <c r="N847" s="384"/>
      <c r="O847" s="300"/>
      <c r="P847" s="300"/>
      <c r="Q847" s="300"/>
      <c r="R847" s="300"/>
      <c r="S847" s="300"/>
      <c r="T847" s="300"/>
      <c r="U847" s="300"/>
      <c r="V847" s="300"/>
      <c r="W847" s="300"/>
      <c r="X847" s="300"/>
      <c r="Y847" s="300"/>
      <c r="Z847" s="300"/>
      <c r="AA847" s="300"/>
      <c r="AB847" s="300"/>
      <c r="AC847" s="300"/>
    </row>
    <row r="848">
      <c r="A848" s="300"/>
      <c r="B848" s="300"/>
      <c r="C848" s="380"/>
      <c r="D848" s="300"/>
      <c r="E848" s="381"/>
      <c r="F848" s="382"/>
      <c r="G848" s="380"/>
      <c r="H848" s="300"/>
      <c r="I848" s="300"/>
      <c r="J848" s="300"/>
      <c r="K848" s="300"/>
      <c r="L848" s="383"/>
      <c r="M848" s="300"/>
      <c r="N848" s="384"/>
      <c r="O848" s="300"/>
      <c r="P848" s="300"/>
      <c r="Q848" s="300"/>
      <c r="R848" s="300"/>
      <c r="S848" s="300"/>
      <c r="T848" s="300"/>
      <c r="U848" s="300"/>
      <c r="V848" s="300"/>
      <c r="W848" s="300"/>
      <c r="X848" s="300"/>
      <c r="Y848" s="300"/>
      <c r="Z848" s="300"/>
      <c r="AA848" s="300"/>
      <c r="AB848" s="300"/>
      <c r="AC848" s="300"/>
    </row>
    <row r="849">
      <c r="A849" s="300"/>
      <c r="B849" s="300"/>
      <c r="C849" s="380"/>
      <c r="D849" s="300"/>
      <c r="E849" s="381"/>
      <c r="F849" s="382"/>
      <c r="G849" s="380"/>
      <c r="H849" s="300"/>
      <c r="I849" s="300"/>
      <c r="J849" s="300"/>
      <c r="K849" s="300"/>
      <c r="L849" s="383"/>
      <c r="M849" s="300"/>
      <c r="N849" s="384"/>
      <c r="O849" s="300"/>
      <c r="P849" s="300"/>
      <c r="Q849" s="300"/>
      <c r="R849" s="300"/>
      <c r="S849" s="300"/>
      <c r="T849" s="300"/>
      <c r="U849" s="300"/>
      <c r="V849" s="300"/>
      <c r="W849" s="300"/>
      <c r="X849" s="300"/>
      <c r="Y849" s="300"/>
      <c r="Z849" s="300"/>
      <c r="AA849" s="300"/>
      <c r="AB849" s="300"/>
      <c r="AC849" s="300"/>
    </row>
    <row r="850">
      <c r="A850" s="300"/>
      <c r="B850" s="300"/>
      <c r="C850" s="380"/>
      <c r="D850" s="300"/>
      <c r="E850" s="381"/>
      <c r="F850" s="382"/>
      <c r="G850" s="380"/>
      <c r="H850" s="300"/>
      <c r="I850" s="300"/>
      <c r="J850" s="300"/>
      <c r="K850" s="300"/>
      <c r="L850" s="383"/>
      <c r="M850" s="300"/>
      <c r="N850" s="384"/>
      <c r="O850" s="300"/>
      <c r="P850" s="300"/>
      <c r="Q850" s="300"/>
      <c r="R850" s="300"/>
      <c r="S850" s="300"/>
      <c r="T850" s="300"/>
      <c r="U850" s="300"/>
      <c r="V850" s="300"/>
      <c r="W850" s="300"/>
      <c r="X850" s="300"/>
      <c r="Y850" s="300"/>
      <c r="Z850" s="300"/>
      <c r="AA850" s="300"/>
      <c r="AB850" s="300"/>
      <c r="AC850" s="300"/>
    </row>
    <row r="851">
      <c r="A851" s="300"/>
      <c r="B851" s="300"/>
      <c r="C851" s="380"/>
      <c r="D851" s="300"/>
      <c r="E851" s="381"/>
      <c r="F851" s="382"/>
      <c r="G851" s="380"/>
      <c r="H851" s="300"/>
      <c r="I851" s="300"/>
      <c r="J851" s="300"/>
      <c r="K851" s="300"/>
      <c r="L851" s="383"/>
      <c r="M851" s="300"/>
      <c r="N851" s="384"/>
      <c r="O851" s="300"/>
      <c r="P851" s="300"/>
      <c r="Q851" s="300"/>
      <c r="R851" s="300"/>
      <c r="S851" s="300"/>
      <c r="T851" s="300"/>
      <c r="U851" s="300"/>
      <c r="V851" s="300"/>
      <c r="W851" s="300"/>
      <c r="X851" s="300"/>
      <c r="Y851" s="300"/>
      <c r="Z851" s="300"/>
      <c r="AA851" s="300"/>
      <c r="AB851" s="300"/>
      <c r="AC851" s="300"/>
    </row>
    <row r="852">
      <c r="A852" s="300"/>
      <c r="B852" s="300"/>
      <c r="C852" s="380"/>
      <c r="D852" s="300"/>
      <c r="E852" s="381"/>
      <c r="F852" s="382"/>
      <c r="G852" s="380"/>
      <c r="H852" s="300"/>
      <c r="I852" s="300"/>
      <c r="J852" s="300"/>
      <c r="K852" s="300"/>
      <c r="L852" s="383"/>
      <c r="M852" s="300"/>
      <c r="N852" s="384"/>
      <c r="O852" s="300"/>
      <c r="P852" s="300"/>
      <c r="Q852" s="300"/>
      <c r="R852" s="300"/>
      <c r="S852" s="300"/>
      <c r="T852" s="300"/>
      <c r="U852" s="300"/>
      <c r="V852" s="300"/>
      <c r="W852" s="300"/>
      <c r="X852" s="300"/>
      <c r="Y852" s="300"/>
      <c r="Z852" s="300"/>
      <c r="AA852" s="300"/>
      <c r="AB852" s="300"/>
      <c r="AC852" s="300"/>
    </row>
    <row r="853">
      <c r="A853" s="300"/>
      <c r="B853" s="300"/>
      <c r="C853" s="380"/>
      <c r="D853" s="300"/>
      <c r="E853" s="381"/>
      <c r="F853" s="382"/>
      <c r="G853" s="380"/>
      <c r="H853" s="300"/>
      <c r="I853" s="300"/>
      <c r="J853" s="300"/>
      <c r="K853" s="300"/>
      <c r="L853" s="383"/>
      <c r="M853" s="300"/>
      <c r="N853" s="384"/>
      <c r="O853" s="300"/>
      <c r="P853" s="300"/>
      <c r="Q853" s="300"/>
      <c r="R853" s="300"/>
      <c r="S853" s="300"/>
      <c r="T853" s="300"/>
      <c r="U853" s="300"/>
      <c r="V853" s="300"/>
      <c r="W853" s="300"/>
      <c r="X853" s="300"/>
      <c r="Y853" s="300"/>
      <c r="Z853" s="300"/>
      <c r="AA853" s="300"/>
      <c r="AB853" s="300"/>
      <c r="AC853" s="300"/>
    </row>
    <row r="854">
      <c r="A854" s="300"/>
      <c r="B854" s="300"/>
      <c r="C854" s="380"/>
      <c r="D854" s="300"/>
      <c r="E854" s="381"/>
      <c r="F854" s="382"/>
      <c r="G854" s="380"/>
      <c r="H854" s="300"/>
      <c r="I854" s="300"/>
      <c r="J854" s="300"/>
      <c r="K854" s="300"/>
      <c r="L854" s="383"/>
      <c r="M854" s="300"/>
      <c r="N854" s="384"/>
      <c r="O854" s="300"/>
      <c r="P854" s="300"/>
      <c r="Q854" s="300"/>
      <c r="R854" s="300"/>
      <c r="S854" s="300"/>
      <c r="T854" s="300"/>
      <c r="U854" s="300"/>
      <c r="V854" s="300"/>
      <c r="W854" s="300"/>
      <c r="X854" s="300"/>
      <c r="Y854" s="300"/>
      <c r="Z854" s="300"/>
      <c r="AA854" s="300"/>
      <c r="AB854" s="300"/>
      <c r="AC854" s="300"/>
    </row>
    <row r="855">
      <c r="A855" s="300"/>
      <c r="B855" s="300"/>
      <c r="C855" s="380"/>
      <c r="D855" s="300"/>
      <c r="E855" s="381"/>
      <c r="F855" s="382"/>
      <c r="G855" s="380"/>
      <c r="H855" s="300"/>
      <c r="I855" s="300"/>
      <c r="J855" s="300"/>
      <c r="K855" s="300"/>
      <c r="L855" s="383"/>
      <c r="M855" s="300"/>
      <c r="N855" s="384"/>
      <c r="O855" s="300"/>
      <c r="P855" s="300"/>
      <c r="Q855" s="300"/>
      <c r="R855" s="300"/>
      <c r="S855" s="300"/>
      <c r="T855" s="300"/>
      <c r="U855" s="300"/>
      <c r="V855" s="300"/>
      <c r="W855" s="300"/>
      <c r="X855" s="300"/>
      <c r="Y855" s="300"/>
      <c r="Z855" s="300"/>
      <c r="AA855" s="300"/>
      <c r="AB855" s="300"/>
      <c r="AC855" s="300"/>
    </row>
    <row r="856">
      <c r="A856" s="300"/>
      <c r="B856" s="300"/>
      <c r="C856" s="380"/>
      <c r="D856" s="300"/>
      <c r="E856" s="381"/>
      <c r="F856" s="382"/>
      <c r="G856" s="380"/>
      <c r="H856" s="300"/>
      <c r="I856" s="300"/>
      <c r="J856" s="300"/>
      <c r="K856" s="300"/>
      <c r="L856" s="383"/>
      <c r="M856" s="300"/>
      <c r="N856" s="384"/>
      <c r="O856" s="300"/>
      <c r="P856" s="300"/>
      <c r="Q856" s="300"/>
      <c r="R856" s="300"/>
      <c r="S856" s="300"/>
      <c r="T856" s="300"/>
      <c r="U856" s="300"/>
      <c r="V856" s="300"/>
      <c r="W856" s="300"/>
      <c r="X856" s="300"/>
      <c r="Y856" s="300"/>
      <c r="Z856" s="300"/>
      <c r="AA856" s="300"/>
      <c r="AB856" s="300"/>
      <c r="AC856" s="300"/>
    </row>
    <row r="857">
      <c r="A857" s="300"/>
      <c r="B857" s="300"/>
      <c r="C857" s="380"/>
      <c r="D857" s="300"/>
      <c r="E857" s="381"/>
      <c r="F857" s="382"/>
      <c r="G857" s="380"/>
      <c r="H857" s="300"/>
      <c r="I857" s="300"/>
      <c r="J857" s="300"/>
      <c r="K857" s="300"/>
      <c r="L857" s="383"/>
      <c r="M857" s="300"/>
      <c r="N857" s="384"/>
      <c r="O857" s="300"/>
      <c r="P857" s="300"/>
      <c r="Q857" s="300"/>
      <c r="R857" s="300"/>
      <c r="S857" s="300"/>
      <c r="T857" s="300"/>
      <c r="U857" s="300"/>
      <c r="V857" s="300"/>
      <c r="W857" s="300"/>
      <c r="X857" s="300"/>
      <c r="Y857" s="300"/>
      <c r="Z857" s="300"/>
      <c r="AA857" s="300"/>
      <c r="AB857" s="300"/>
      <c r="AC857" s="300"/>
    </row>
    <row r="858">
      <c r="A858" s="300"/>
      <c r="B858" s="300"/>
      <c r="C858" s="380"/>
      <c r="D858" s="300"/>
      <c r="E858" s="381"/>
      <c r="F858" s="382"/>
      <c r="G858" s="380"/>
      <c r="H858" s="300"/>
      <c r="I858" s="300"/>
      <c r="J858" s="300"/>
      <c r="K858" s="300"/>
      <c r="L858" s="383"/>
      <c r="M858" s="300"/>
      <c r="N858" s="384"/>
      <c r="O858" s="300"/>
      <c r="P858" s="300"/>
      <c r="Q858" s="300"/>
      <c r="R858" s="300"/>
      <c r="S858" s="300"/>
      <c r="T858" s="300"/>
      <c r="U858" s="300"/>
      <c r="V858" s="300"/>
      <c r="W858" s="300"/>
      <c r="X858" s="300"/>
      <c r="Y858" s="300"/>
      <c r="Z858" s="300"/>
      <c r="AA858" s="300"/>
      <c r="AB858" s="300"/>
      <c r="AC858" s="300"/>
    </row>
    <row r="859">
      <c r="A859" s="300"/>
      <c r="B859" s="300"/>
      <c r="C859" s="380"/>
      <c r="D859" s="300"/>
      <c r="E859" s="381"/>
      <c r="F859" s="382"/>
      <c r="G859" s="380"/>
      <c r="H859" s="300"/>
      <c r="I859" s="300"/>
      <c r="J859" s="300"/>
      <c r="K859" s="300"/>
      <c r="L859" s="383"/>
      <c r="M859" s="300"/>
      <c r="N859" s="384"/>
      <c r="O859" s="300"/>
      <c r="P859" s="300"/>
      <c r="Q859" s="300"/>
      <c r="R859" s="300"/>
      <c r="S859" s="300"/>
      <c r="T859" s="300"/>
      <c r="U859" s="300"/>
      <c r="V859" s="300"/>
      <c r="W859" s="300"/>
      <c r="X859" s="300"/>
      <c r="Y859" s="300"/>
      <c r="Z859" s="300"/>
      <c r="AA859" s="300"/>
      <c r="AB859" s="300"/>
      <c r="AC859" s="300"/>
    </row>
    <row r="860">
      <c r="A860" s="300"/>
      <c r="B860" s="300"/>
      <c r="C860" s="380"/>
      <c r="D860" s="300"/>
      <c r="E860" s="381"/>
      <c r="F860" s="382"/>
      <c r="G860" s="380"/>
      <c r="H860" s="300"/>
      <c r="I860" s="300"/>
      <c r="J860" s="300"/>
      <c r="K860" s="300"/>
      <c r="L860" s="383"/>
      <c r="M860" s="300"/>
      <c r="N860" s="384"/>
      <c r="O860" s="300"/>
      <c r="P860" s="300"/>
      <c r="Q860" s="300"/>
      <c r="R860" s="300"/>
      <c r="S860" s="300"/>
      <c r="T860" s="300"/>
      <c r="U860" s="300"/>
      <c r="V860" s="300"/>
      <c r="W860" s="300"/>
      <c r="X860" s="300"/>
      <c r="Y860" s="300"/>
      <c r="Z860" s="300"/>
      <c r="AA860" s="300"/>
      <c r="AB860" s="300"/>
      <c r="AC860" s="300"/>
    </row>
    <row r="861">
      <c r="A861" s="300"/>
      <c r="B861" s="300"/>
      <c r="C861" s="380"/>
      <c r="D861" s="300"/>
      <c r="E861" s="381"/>
      <c r="F861" s="382"/>
      <c r="G861" s="380"/>
      <c r="H861" s="300"/>
      <c r="I861" s="300"/>
      <c r="J861" s="300"/>
      <c r="K861" s="300"/>
      <c r="L861" s="383"/>
      <c r="M861" s="300"/>
      <c r="N861" s="384"/>
      <c r="O861" s="300"/>
      <c r="P861" s="300"/>
      <c r="Q861" s="300"/>
      <c r="R861" s="300"/>
      <c r="S861" s="300"/>
      <c r="T861" s="300"/>
      <c r="U861" s="300"/>
      <c r="V861" s="300"/>
      <c r="W861" s="300"/>
      <c r="X861" s="300"/>
      <c r="Y861" s="300"/>
      <c r="Z861" s="300"/>
      <c r="AA861" s="300"/>
      <c r="AB861" s="300"/>
      <c r="AC861" s="300"/>
    </row>
    <row r="862">
      <c r="A862" s="300"/>
      <c r="B862" s="300"/>
      <c r="C862" s="380"/>
      <c r="D862" s="300"/>
      <c r="E862" s="381"/>
      <c r="F862" s="382"/>
      <c r="G862" s="380"/>
      <c r="H862" s="300"/>
      <c r="I862" s="300"/>
      <c r="J862" s="300"/>
      <c r="K862" s="300"/>
      <c r="L862" s="383"/>
      <c r="M862" s="300"/>
      <c r="N862" s="384"/>
      <c r="O862" s="300"/>
      <c r="P862" s="300"/>
      <c r="Q862" s="300"/>
      <c r="R862" s="300"/>
      <c r="S862" s="300"/>
      <c r="T862" s="300"/>
      <c r="U862" s="300"/>
      <c r="V862" s="300"/>
      <c r="W862" s="300"/>
      <c r="X862" s="300"/>
      <c r="Y862" s="300"/>
      <c r="Z862" s="300"/>
      <c r="AA862" s="300"/>
      <c r="AB862" s="300"/>
      <c r="AC862" s="300"/>
    </row>
    <row r="863">
      <c r="A863" s="300"/>
      <c r="B863" s="300"/>
      <c r="C863" s="380"/>
      <c r="D863" s="300"/>
      <c r="E863" s="381"/>
      <c r="F863" s="382"/>
      <c r="G863" s="380"/>
      <c r="H863" s="300"/>
      <c r="I863" s="300"/>
      <c r="J863" s="300"/>
      <c r="K863" s="300"/>
      <c r="L863" s="383"/>
      <c r="M863" s="300"/>
      <c r="N863" s="384"/>
      <c r="O863" s="300"/>
      <c r="P863" s="300"/>
      <c r="Q863" s="300"/>
      <c r="R863" s="300"/>
      <c r="S863" s="300"/>
      <c r="T863" s="300"/>
      <c r="U863" s="300"/>
      <c r="V863" s="300"/>
      <c r="W863" s="300"/>
      <c r="X863" s="300"/>
      <c r="Y863" s="300"/>
      <c r="Z863" s="300"/>
      <c r="AA863" s="300"/>
      <c r="AB863" s="300"/>
      <c r="AC863" s="300"/>
    </row>
    <row r="864">
      <c r="A864" s="300"/>
      <c r="B864" s="300"/>
      <c r="C864" s="380"/>
      <c r="D864" s="300"/>
      <c r="E864" s="381"/>
      <c r="F864" s="382"/>
      <c r="G864" s="380"/>
      <c r="H864" s="300"/>
      <c r="I864" s="300"/>
      <c r="J864" s="300"/>
      <c r="K864" s="300"/>
      <c r="L864" s="383"/>
      <c r="M864" s="300"/>
      <c r="N864" s="384"/>
      <c r="O864" s="300"/>
      <c r="P864" s="300"/>
      <c r="Q864" s="300"/>
      <c r="R864" s="300"/>
      <c r="S864" s="300"/>
      <c r="T864" s="300"/>
      <c r="U864" s="300"/>
      <c r="V864" s="300"/>
      <c r="W864" s="300"/>
      <c r="X864" s="300"/>
      <c r="Y864" s="300"/>
      <c r="Z864" s="300"/>
      <c r="AA864" s="300"/>
      <c r="AB864" s="300"/>
      <c r="AC864" s="300"/>
    </row>
    <row r="865">
      <c r="A865" s="300"/>
      <c r="B865" s="300"/>
      <c r="C865" s="380"/>
      <c r="D865" s="300"/>
      <c r="E865" s="381"/>
      <c r="F865" s="382"/>
      <c r="G865" s="380"/>
      <c r="H865" s="300"/>
      <c r="I865" s="300"/>
      <c r="J865" s="300"/>
      <c r="K865" s="300"/>
      <c r="L865" s="383"/>
      <c r="M865" s="300"/>
      <c r="N865" s="384"/>
      <c r="O865" s="300"/>
      <c r="P865" s="300"/>
      <c r="Q865" s="300"/>
      <c r="R865" s="300"/>
      <c r="S865" s="300"/>
      <c r="T865" s="300"/>
      <c r="U865" s="300"/>
      <c r="V865" s="300"/>
      <c r="W865" s="300"/>
      <c r="X865" s="300"/>
      <c r="Y865" s="300"/>
      <c r="Z865" s="300"/>
      <c r="AA865" s="300"/>
      <c r="AB865" s="300"/>
      <c r="AC865" s="300"/>
    </row>
    <row r="866">
      <c r="A866" s="300"/>
      <c r="B866" s="300"/>
      <c r="C866" s="380"/>
      <c r="D866" s="300"/>
      <c r="E866" s="381"/>
      <c r="F866" s="382"/>
      <c r="G866" s="380"/>
      <c r="H866" s="300"/>
      <c r="I866" s="300"/>
      <c r="J866" s="300"/>
      <c r="K866" s="300"/>
      <c r="L866" s="383"/>
      <c r="M866" s="300"/>
      <c r="N866" s="384"/>
      <c r="O866" s="300"/>
      <c r="P866" s="300"/>
      <c r="Q866" s="300"/>
      <c r="R866" s="300"/>
      <c r="S866" s="300"/>
      <c r="T866" s="300"/>
      <c r="U866" s="300"/>
      <c r="V866" s="300"/>
      <c r="W866" s="300"/>
      <c r="X866" s="300"/>
      <c r="Y866" s="300"/>
      <c r="Z866" s="300"/>
      <c r="AA866" s="300"/>
      <c r="AB866" s="300"/>
      <c r="AC866" s="300"/>
    </row>
    <row r="867">
      <c r="A867" s="300"/>
      <c r="B867" s="300"/>
      <c r="C867" s="380"/>
      <c r="D867" s="300"/>
      <c r="E867" s="381"/>
      <c r="F867" s="382"/>
      <c r="G867" s="380"/>
      <c r="H867" s="300"/>
      <c r="I867" s="300"/>
      <c r="J867" s="300"/>
      <c r="K867" s="300"/>
      <c r="L867" s="383"/>
      <c r="M867" s="300"/>
      <c r="N867" s="384"/>
      <c r="O867" s="300"/>
      <c r="P867" s="300"/>
      <c r="Q867" s="300"/>
      <c r="R867" s="300"/>
      <c r="S867" s="300"/>
      <c r="T867" s="300"/>
      <c r="U867" s="300"/>
      <c r="V867" s="300"/>
      <c r="W867" s="300"/>
      <c r="X867" s="300"/>
      <c r="Y867" s="300"/>
      <c r="Z867" s="300"/>
      <c r="AA867" s="300"/>
      <c r="AB867" s="300"/>
      <c r="AC867" s="300"/>
    </row>
    <row r="868">
      <c r="A868" s="300"/>
      <c r="B868" s="300"/>
      <c r="C868" s="380"/>
      <c r="D868" s="300"/>
      <c r="E868" s="381"/>
      <c r="F868" s="382"/>
      <c r="G868" s="380"/>
      <c r="H868" s="300"/>
      <c r="I868" s="300"/>
      <c r="J868" s="300"/>
      <c r="K868" s="300"/>
      <c r="L868" s="383"/>
      <c r="M868" s="300"/>
      <c r="N868" s="384"/>
      <c r="O868" s="300"/>
      <c r="P868" s="300"/>
      <c r="Q868" s="300"/>
      <c r="R868" s="300"/>
      <c r="S868" s="300"/>
      <c r="T868" s="300"/>
      <c r="U868" s="300"/>
      <c r="V868" s="300"/>
      <c r="W868" s="300"/>
      <c r="X868" s="300"/>
      <c r="Y868" s="300"/>
      <c r="Z868" s="300"/>
      <c r="AA868" s="300"/>
      <c r="AB868" s="300"/>
      <c r="AC868" s="300"/>
    </row>
    <row r="869">
      <c r="A869" s="300"/>
      <c r="B869" s="300"/>
      <c r="C869" s="380"/>
      <c r="D869" s="300"/>
      <c r="E869" s="381"/>
      <c r="F869" s="382"/>
      <c r="G869" s="380"/>
      <c r="H869" s="300"/>
      <c r="I869" s="300"/>
      <c r="J869" s="300"/>
      <c r="K869" s="300"/>
      <c r="L869" s="383"/>
      <c r="M869" s="300"/>
      <c r="N869" s="384"/>
      <c r="O869" s="300"/>
      <c r="P869" s="300"/>
      <c r="Q869" s="300"/>
      <c r="R869" s="300"/>
      <c r="S869" s="300"/>
      <c r="T869" s="300"/>
      <c r="U869" s="300"/>
      <c r="V869" s="300"/>
      <c r="W869" s="300"/>
      <c r="X869" s="300"/>
      <c r="Y869" s="300"/>
      <c r="Z869" s="300"/>
      <c r="AA869" s="300"/>
      <c r="AB869" s="300"/>
      <c r="AC869" s="300"/>
    </row>
    <row r="870">
      <c r="A870" s="300"/>
      <c r="B870" s="300"/>
      <c r="C870" s="380"/>
      <c r="D870" s="300"/>
      <c r="E870" s="381"/>
      <c r="F870" s="382"/>
      <c r="G870" s="380"/>
      <c r="H870" s="300"/>
      <c r="I870" s="300"/>
      <c r="J870" s="300"/>
      <c r="K870" s="300"/>
      <c r="L870" s="383"/>
      <c r="M870" s="300"/>
      <c r="N870" s="384"/>
      <c r="O870" s="300"/>
      <c r="P870" s="300"/>
      <c r="Q870" s="300"/>
      <c r="R870" s="300"/>
      <c r="S870" s="300"/>
      <c r="T870" s="300"/>
      <c r="U870" s="300"/>
      <c r="V870" s="300"/>
      <c r="W870" s="300"/>
      <c r="X870" s="300"/>
      <c r="Y870" s="300"/>
      <c r="Z870" s="300"/>
      <c r="AA870" s="300"/>
      <c r="AB870" s="300"/>
      <c r="AC870" s="300"/>
    </row>
    <row r="871">
      <c r="A871" s="300"/>
      <c r="B871" s="300"/>
      <c r="C871" s="380"/>
      <c r="D871" s="300"/>
      <c r="E871" s="381"/>
      <c r="F871" s="382"/>
      <c r="G871" s="380"/>
      <c r="H871" s="300"/>
      <c r="I871" s="300"/>
      <c r="J871" s="300"/>
      <c r="K871" s="300"/>
      <c r="L871" s="383"/>
      <c r="M871" s="300"/>
      <c r="N871" s="384"/>
      <c r="O871" s="300"/>
      <c r="P871" s="300"/>
      <c r="Q871" s="300"/>
      <c r="R871" s="300"/>
      <c r="S871" s="300"/>
      <c r="T871" s="300"/>
      <c r="U871" s="300"/>
      <c r="V871" s="300"/>
      <c r="W871" s="300"/>
      <c r="X871" s="300"/>
      <c r="Y871" s="300"/>
      <c r="Z871" s="300"/>
      <c r="AA871" s="300"/>
      <c r="AB871" s="300"/>
      <c r="AC871" s="300"/>
    </row>
    <row r="872">
      <c r="A872" s="300"/>
      <c r="B872" s="300"/>
      <c r="C872" s="380"/>
      <c r="D872" s="300"/>
      <c r="E872" s="381"/>
      <c r="F872" s="382"/>
      <c r="G872" s="380"/>
      <c r="H872" s="300"/>
      <c r="I872" s="300"/>
      <c r="J872" s="300"/>
      <c r="K872" s="300"/>
      <c r="L872" s="383"/>
      <c r="M872" s="300"/>
      <c r="N872" s="384"/>
      <c r="O872" s="300"/>
      <c r="P872" s="300"/>
      <c r="Q872" s="300"/>
      <c r="R872" s="300"/>
      <c r="S872" s="300"/>
      <c r="T872" s="300"/>
      <c r="U872" s="300"/>
      <c r="V872" s="300"/>
      <c r="W872" s="300"/>
      <c r="X872" s="300"/>
      <c r="Y872" s="300"/>
      <c r="Z872" s="300"/>
      <c r="AA872" s="300"/>
      <c r="AB872" s="300"/>
      <c r="AC872" s="300"/>
    </row>
    <row r="873">
      <c r="A873" s="300"/>
      <c r="B873" s="300"/>
      <c r="C873" s="380"/>
      <c r="D873" s="300"/>
      <c r="E873" s="381"/>
      <c r="F873" s="382"/>
      <c r="G873" s="380"/>
      <c r="H873" s="300"/>
      <c r="I873" s="300"/>
      <c r="J873" s="300"/>
      <c r="K873" s="300"/>
      <c r="L873" s="383"/>
      <c r="M873" s="300"/>
      <c r="N873" s="384"/>
      <c r="O873" s="300"/>
      <c r="P873" s="300"/>
      <c r="Q873" s="300"/>
      <c r="R873" s="300"/>
      <c r="S873" s="300"/>
      <c r="T873" s="300"/>
      <c r="U873" s="300"/>
      <c r="V873" s="300"/>
      <c r="W873" s="300"/>
      <c r="X873" s="300"/>
      <c r="Y873" s="300"/>
      <c r="Z873" s="300"/>
      <c r="AA873" s="300"/>
      <c r="AB873" s="300"/>
      <c r="AC873" s="300"/>
    </row>
    <row r="874">
      <c r="A874" s="300"/>
      <c r="B874" s="300"/>
      <c r="C874" s="380"/>
      <c r="D874" s="300"/>
      <c r="E874" s="381"/>
      <c r="F874" s="382"/>
      <c r="G874" s="380"/>
      <c r="H874" s="300"/>
      <c r="I874" s="300"/>
      <c r="J874" s="300"/>
      <c r="K874" s="300"/>
      <c r="L874" s="383"/>
      <c r="M874" s="300"/>
      <c r="N874" s="384"/>
      <c r="O874" s="300"/>
      <c r="P874" s="300"/>
      <c r="Q874" s="300"/>
      <c r="R874" s="300"/>
      <c r="S874" s="300"/>
      <c r="T874" s="300"/>
      <c r="U874" s="300"/>
      <c r="V874" s="300"/>
      <c r="W874" s="300"/>
      <c r="X874" s="300"/>
      <c r="Y874" s="300"/>
      <c r="Z874" s="300"/>
      <c r="AA874" s="300"/>
      <c r="AB874" s="300"/>
      <c r="AC874" s="300"/>
    </row>
    <row r="875">
      <c r="A875" s="300"/>
      <c r="B875" s="300"/>
      <c r="C875" s="380"/>
      <c r="D875" s="300"/>
      <c r="E875" s="381"/>
      <c r="F875" s="382"/>
      <c r="G875" s="380"/>
      <c r="H875" s="300"/>
      <c r="I875" s="300"/>
      <c r="J875" s="300"/>
      <c r="K875" s="300"/>
      <c r="L875" s="383"/>
      <c r="M875" s="300"/>
      <c r="N875" s="384"/>
      <c r="O875" s="300"/>
      <c r="P875" s="300"/>
      <c r="Q875" s="300"/>
      <c r="R875" s="300"/>
      <c r="S875" s="300"/>
      <c r="T875" s="300"/>
      <c r="U875" s="300"/>
      <c r="V875" s="300"/>
      <c r="W875" s="300"/>
      <c r="X875" s="300"/>
      <c r="Y875" s="300"/>
      <c r="Z875" s="300"/>
      <c r="AA875" s="300"/>
      <c r="AB875" s="300"/>
      <c r="AC875" s="300"/>
    </row>
    <row r="876">
      <c r="A876" s="300"/>
      <c r="B876" s="300"/>
      <c r="C876" s="380"/>
      <c r="D876" s="300"/>
      <c r="E876" s="381"/>
      <c r="F876" s="382"/>
      <c r="G876" s="380"/>
      <c r="H876" s="300"/>
      <c r="I876" s="300"/>
      <c r="J876" s="300"/>
      <c r="K876" s="300"/>
      <c r="L876" s="383"/>
      <c r="M876" s="300"/>
      <c r="N876" s="384"/>
      <c r="O876" s="300"/>
      <c r="P876" s="300"/>
      <c r="Q876" s="300"/>
      <c r="R876" s="300"/>
      <c r="S876" s="300"/>
      <c r="T876" s="300"/>
      <c r="U876" s="300"/>
      <c r="V876" s="300"/>
      <c r="W876" s="300"/>
      <c r="X876" s="300"/>
      <c r="Y876" s="300"/>
      <c r="Z876" s="300"/>
      <c r="AA876" s="300"/>
      <c r="AB876" s="300"/>
      <c r="AC876" s="300"/>
    </row>
    <row r="877">
      <c r="A877" s="300"/>
      <c r="B877" s="300"/>
      <c r="C877" s="380"/>
      <c r="D877" s="300"/>
      <c r="E877" s="381"/>
      <c r="F877" s="382"/>
      <c r="G877" s="380"/>
      <c r="H877" s="300"/>
      <c r="I877" s="300"/>
      <c r="J877" s="300"/>
      <c r="K877" s="300"/>
      <c r="L877" s="383"/>
      <c r="M877" s="300"/>
      <c r="N877" s="384"/>
      <c r="O877" s="300"/>
      <c r="P877" s="300"/>
      <c r="Q877" s="300"/>
      <c r="R877" s="300"/>
      <c r="S877" s="300"/>
      <c r="T877" s="300"/>
      <c r="U877" s="300"/>
      <c r="V877" s="300"/>
      <c r="W877" s="300"/>
      <c r="X877" s="300"/>
      <c r="Y877" s="300"/>
      <c r="Z877" s="300"/>
      <c r="AA877" s="300"/>
      <c r="AB877" s="300"/>
      <c r="AC877" s="300"/>
    </row>
    <row r="878">
      <c r="A878" s="300"/>
      <c r="B878" s="300"/>
      <c r="C878" s="380"/>
      <c r="D878" s="300"/>
      <c r="E878" s="381"/>
      <c r="F878" s="382"/>
      <c r="G878" s="380"/>
      <c r="H878" s="300"/>
      <c r="I878" s="300"/>
      <c r="J878" s="300"/>
      <c r="K878" s="300"/>
      <c r="L878" s="383"/>
      <c r="M878" s="300"/>
      <c r="N878" s="384"/>
      <c r="O878" s="300"/>
      <c r="P878" s="300"/>
      <c r="Q878" s="300"/>
      <c r="R878" s="300"/>
      <c r="S878" s="300"/>
      <c r="T878" s="300"/>
      <c r="U878" s="300"/>
      <c r="V878" s="300"/>
      <c r="W878" s="300"/>
      <c r="X878" s="300"/>
      <c r="Y878" s="300"/>
      <c r="Z878" s="300"/>
      <c r="AA878" s="300"/>
      <c r="AB878" s="300"/>
      <c r="AC878" s="300"/>
    </row>
    <row r="879">
      <c r="A879" s="300"/>
      <c r="B879" s="300"/>
      <c r="C879" s="380"/>
      <c r="D879" s="300"/>
      <c r="E879" s="381"/>
      <c r="F879" s="382"/>
      <c r="G879" s="380"/>
      <c r="H879" s="300"/>
      <c r="I879" s="300"/>
      <c r="J879" s="300"/>
      <c r="K879" s="300"/>
      <c r="L879" s="383"/>
      <c r="M879" s="300"/>
      <c r="N879" s="384"/>
      <c r="O879" s="300"/>
      <c r="P879" s="300"/>
      <c r="Q879" s="300"/>
      <c r="R879" s="300"/>
      <c r="S879" s="300"/>
      <c r="T879" s="300"/>
      <c r="U879" s="300"/>
      <c r="V879" s="300"/>
      <c r="W879" s="300"/>
      <c r="X879" s="300"/>
      <c r="Y879" s="300"/>
      <c r="Z879" s="300"/>
      <c r="AA879" s="300"/>
      <c r="AB879" s="300"/>
      <c r="AC879" s="300"/>
    </row>
    <row r="880">
      <c r="A880" s="300"/>
      <c r="B880" s="300"/>
      <c r="C880" s="380"/>
      <c r="D880" s="300"/>
      <c r="E880" s="381"/>
      <c r="F880" s="382"/>
      <c r="G880" s="380"/>
      <c r="H880" s="300"/>
      <c r="I880" s="300"/>
      <c r="J880" s="300"/>
      <c r="K880" s="300"/>
      <c r="L880" s="383"/>
      <c r="M880" s="300"/>
      <c r="N880" s="384"/>
      <c r="O880" s="300"/>
      <c r="P880" s="300"/>
      <c r="Q880" s="300"/>
      <c r="R880" s="300"/>
      <c r="S880" s="300"/>
      <c r="T880" s="300"/>
      <c r="U880" s="300"/>
      <c r="V880" s="300"/>
      <c r="W880" s="300"/>
      <c r="X880" s="300"/>
      <c r="Y880" s="300"/>
      <c r="Z880" s="300"/>
      <c r="AA880" s="300"/>
      <c r="AB880" s="300"/>
      <c r="AC880" s="300"/>
    </row>
    <row r="881">
      <c r="A881" s="300"/>
      <c r="B881" s="300"/>
      <c r="C881" s="380"/>
      <c r="D881" s="300"/>
      <c r="E881" s="381"/>
      <c r="F881" s="382"/>
      <c r="G881" s="380"/>
      <c r="H881" s="300"/>
      <c r="I881" s="300"/>
      <c r="J881" s="300"/>
      <c r="K881" s="300"/>
      <c r="L881" s="383"/>
      <c r="M881" s="300"/>
      <c r="N881" s="384"/>
      <c r="O881" s="300"/>
      <c r="P881" s="300"/>
      <c r="Q881" s="300"/>
      <c r="R881" s="300"/>
      <c r="S881" s="300"/>
      <c r="T881" s="300"/>
      <c r="U881" s="300"/>
      <c r="V881" s="300"/>
      <c r="W881" s="300"/>
      <c r="X881" s="300"/>
      <c r="Y881" s="300"/>
      <c r="Z881" s="300"/>
      <c r="AA881" s="300"/>
      <c r="AB881" s="300"/>
      <c r="AC881" s="300"/>
    </row>
    <row r="882">
      <c r="A882" s="300"/>
      <c r="B882" s="300"/>
      <c r="C882" s="380"/>
      <c r="D882" s="300"/>
      <c r="E882" s="381"/>
      <c r="F882" s="382"/>
      <c r="G882" s="380"/>
      <c r="H882" s="300"/>
      <c r="I882" s="300"/>
      <c r="J882" s="300"/>
      <c r="K882" s="300"/>
      <c r="L882" s="383"/>
      <c r="M882" s="300"/>
      <c r="N882" s="384"/>
      <c r="O882" s="300"/>
      <c r="P882" s="300"/>
      <c r="Q882" s="300"/>
      <c r="R882" s="300"/>
      <c r="S882" s="300"/>
      <c r="T882" s="300"/>
      <c r="U882" s="300"/>
      <c r="V882" s="300"/>
      <c r="W882" s="300"/>
      <c r="X882" s="300"/>
      <c r="Y882" s="300"/>
      <c r="Z882" s="300"/>
      <c r="AA882" s="300"/>
      <c r="AB882" s="300"/>
      <c r="AC882" s="300"/>
    </row>
    <row r="883">
      <c r="A883" s="300"/>
      <c r="B883" s="300"/>
      <c r="C883" s="380"/>
      <c r="D883" s="300"/>
      <c r="E883" s="381"/>
      <c r="F883" s="382"/>
      <c r="G883" s="380"/>
      <c r="H883" s="300"/>
      <c r="I883" s="300"/>
      <c r="J883" s="300"/>
      <c r="K883" s="300"/>
      <c r="L883" s="383"/>
      <c r="M883" s="300"/>
      <c r="N883" s="384"/>
      <c r="O883" s="300"/>
      <c r="P883" s="300"/>
      <c r="Q883" s="300"/>
      <c r="R883" s="300"/>
      <c r="S883" s="300"/>
      <c r="T883" s="300"/>
      <c r="U883" s="300"/>
      <c r="V883" s="300"/>
      <c r="W883" s="300"/>
      <c r="X883" s="300"/>
      <c r="Y883" s="300"/>
      <c r="Z883" s="300"/>
      <c r="AA883" s="300"/>
      <c r="AB883" s="300"/>
      <c r="AC883" s="300"/>
    </row>
    <row r="884">
      <c r="A884" s="300"/>
      <c r="B884" s="300"/>
      <c r="C884" s="380"/>
      <c r="D884" s="300"/>
      <c r="E884" s="381"/>
      <c r="F884" s="382"/>
      <c r="G884" s="380"/>
      <c r="H884" s="300"/>
      <c r="I884" s="300"/>
      <c r="J884" s="300"/>
      <c r="K884" s="300"/>
      <c r="L884" s="383"/>
      <c r="M884" s="300"/>
      <c r="N884" s="384"/>
      <c r="O884" s="300"/>
      <c r="P884" s="300"/>
      <c r="Q884" s="300"/>
      <c r="R884" s="300"/>
      <c r="S884" s="300"/>
      <c r="T884" s="300"/>
      <c r="U884" s="300"/>
      <c r="V884" s="300"/>
      <c r="W884" s="300"/>
      <c r="X884" s="300"/>
      <c r="Y884" s="300"/>
      <c r="Z884" s="300"/>
      <c r="AA884" s="300"/>
      <c r="AB884" s="300"/>
      <c r="AC884" s="300"/>
    </row>
    <row r="885">
      <c r="A885" s="300"/>
      <c r="B885" s="300"/>
      <c r="C885" s="380"/>
      <c r="D885" s="300"/>
      <c r="E885" s="381"/>
      <c r="F885" s="382"/>
      <c r="G885" s="380"/>
      <c r="H885" s="300"/>
      <c r="I885" s="300"/>
      <c r="J885" s="300"/>
      <c r="K885" s="300"/>
      <c r="L885" s="383"/>
      <c r="M885" s="300"/>
      <c r="N885" s="384"/>
      <c r="O885" s="300"/>
      <c r="P885" s="300"/>
      <c r="Q885" s="300"/>
      <c r="R885" s="300"/>
      <c r="S885" s="300"/>
      <c r="T885" s="300"/>
      <c r="U885" s="300"/>
      <c r="V885" s="300"/>
      <c r="W885" s="300"/>
      <c r="X885" s="300"/>
      <c r="Y885" s="300"/>
      <c r="Z885" s="300"/>
      <c r="AA885" s="300"/>
      <c r="AB885" s="300"/>
      <c r="AC885" s="300"/>
    </row>
    <row r="886">
      <c r="A886" s="300"/>
      <c r="B886" s="300"/>
      <c r="C886" s="380"/>
      <c r="D886" s="300"/>
      <c r="E886" s="381"/>
      <c r="F886" s="382"/>
      <c r="G886" s="380"/>
      <c r="H886" s="300"/>
      <c r="I886" s="300"/>
      <c r="J886" s="300"/>
      <c r="K886" s="300"/>
      <c r="L886" s="383"/>
      <c r="M886" s="300"/>
      <c r="N886" s="384"/>
      <c r="O886" s="300"/>
      <c r="P886" s="300"/>
      <c r="Q886" s="300"/>
      <c r="R886" s="300"/>
      <c r="S886" s="300"/>
      <c r="T886" s="300"/>
      <c r="U886" s="300"/>
      <c r="V886" s="300"/>
      <c r="W886" s="300"/>
      <c r="X886" s="300"/>
      <c r="Y886" s="300"/>
      <c r="Z886" s="300"/>
      <c r="AA886" s="300"/>
      <c r="AB886" s="300"/>
      <c r="AC886" s="300"/>
    </row>
    <row r="887">
      <c r="A887" s="300"/>
      <c r="B887" s="300"/>
      <c r="C887" s="380"/>
      <c r="D887" s="300"/>
      <c r="E887" s="381"/>
      <c r="F887" s="382"/>
      <c r="G887" s="380"/>
      <c r="H887" s="300"/>
      <c r="I887" s="300"/>
      <c r="J887" s="300"/>
      <c r="K887" s="300"/>
      <c r="L887" s="383"/>
      <c r="M887" s="300"/>
      <c r="N887" s="384"/>
      <c r="O887" s="300"/>
      <c r="P887" s="300"/>
      <c r="Q887" s="300"/>
      <c r="R887" s="300"/>
      <c r="S887" s="300"/>
      <c r="T887" s="300"/>
      <c r="U887" s="300"/>
      <c r="V887" s="300"/>
      <c r="W887" s="300"/>
      <c r="X887" s="300"/>
      <c r="Y887" s="300"/>
      <c r="Z887" s="300"/>
      <c r="AA887" s="300"/>
      <c r="AB887" s="300"/>
      <c r="AC887" s="300"/>
    </row>
    <row r="888">
      <c r="A888" s="300"/>
      <c r="B888" s="300"/>
      <c r="C888" s="380"/>
      <c r="D888" s="300"/>
      <c r="E888" s="381"/>
      <c r="F888" s="382"/>
      <c r="G888" s="380"/>
      <c r="H888" s="300"/>
      <c r="I888" s="300"/>
      <c r="J888" s="300"/>
      <c r="K888" s="300"/>
      <c r="L888" s="383"/>
      <c r="M888" s="300"/>
      <c r="N888" s="384"/>
      <c r="O888" s="300"/>
      <c r="P888" s="300"/>
      <c r="Q888" s="300"/>
      <c r="R888" s="300"/>
      <c r="S888" s="300"/>
      <c r="T888" s="300"/>
      <c r="U888" s="300"/>
      <c r="V888" s="300"/>
      <c r="W888" s="300"/>
      <c r="X888" s="300"/>
      <c r="Y888" s="300"/>
      <c r="Z888" s="300"/>
      <c r="AA888" s="300"/>
      <c r="AB888" s="300"/>
      <c r="AC888" s="300"/>
    </row>
    <row r="889">
      <c r="A889" s="300"/>
      <c r="B889" s="300"/>
      <c r="C889" s="380"/>
      <c r="D889" s="300"/>
      <c r="E889" s="381"/>
      <c r="F889" s="382"/>
      <c r="G889" s="380"/>
      <c r="H889" s="300"/>
      <c r="I889" s="300"/>
      <c r="J889" s="300"/>
      <c r="K889" s="300"/>
      <c r="L889" s="383"/>
      <c r="M889" s="300"/>
      <c r="N889" s="384"/>
      <c r="O889" s="300"/>
      <c r="P889" s="300"/>
      <c r="Q889" s="300"/>
      <c r="R889" s="300"/>
      <c r="S889" s="300"/>
      <c r="T889" s="300"/>
      <c r="U889" s="300"/>
      <c r="V889" s="300"/>
      <c r="W889" s="300"/>
      <c r="X889" s="300"/>
      <c r="Y889" s="300"/>
      <c r="Z889" s="300"/>
      <c r="AA889" s="300"/>
      <c r="AB889" s="300"/>
      <c r="AC889" s="300"/>
    </row>
    <row r="890">
      <c r="A890" s="300"/>
      <c r="B890" s="300"/>
      <c r="C890" s="380"/>
      <c r="D890" s="300"/>
      <c r="E890" s="381"/>
      <c r="F890" s="382"/>
      <c r="G890" s="380"/>
      <c r="H890" s="300"/>
      <c r="I890" s="300"/>
      <c r="J890" s="300"/>
      <c r="K890" s="300"/>
      <c r="L890" s="383"/>
      <c r="M890" s="300"/>
      <c r="N890" s="384"/>
      <c r="O890" s="300"/>
      <c r="P890" s="300"/>
      <c r="Q890" s="300"/>
      <c r="R890" s="300"/>
      <c r="S890" s="300"/>
      <c r="T890" s="300"/>
      <c r="U890" s="300"/>
      <c r="V890" s="300"/>
      <c r="W890" s="300"/>
      <c r="X890" s="300"/>
      <c r="Y890" s="300"/>
      <c r="Z890" s="300"/>
      <c r="AA890" s="300"/>
      <c r="AB890" s="300"/>
      <c r="AC890" s="300"/>
    </row>
    <row r="891">
      <c r="A891" s="300"/>
      <c r="B891" s="300"/>
      <c r="C891" s="380"/>
      <c r="D891" s="300"/>
      <c r="E891" s="381"/>
      <c r="F891" s="382"/>
      <c r="G891" s="380"/>
      <c r="H891" s="300"/>
      <c r="I891" s="300"/>
      <c r="J891" s="300"/>
      <c r="K891" s="300"/>
      <c r="L891" s="383"/>
      <c r="M891" s="300"/>
      <c r="N891" s="384"/>
      <c r="O891" s="300"/>
      <c r="P891" s="300"/>
      <c r="Q891" s="300"/>
      <c r="R891" s="300"/>
      <c r="S891" s="300"/>
      <c r="T891" s="300"/>
      <c r="U891" s="300"/>
      <c r="V891" s="300"/>
      <c r="W891" s="300"/>
      <c r="X891" s="300"/>
      <c r="Y891" s="300"/>
      <c r="Z891" s="300"/>
      <c r="AA891" s="300"/>
      <c r="AB891" s="300"/>
      <c r="AC891" s="300"/>
    </row>
    <row r="892">
      <c r="A892" s="300"/>
      <c r="B892" s="300"/>
      <c r="C892" s="380"/>
      <c r="D892" s="300"/>
      <c r="E892" s="381"/>
      <c r="F892" s="382"/>
      <c r="G892" s="380"/>
      <c r="H892" s="300"/>
      <c r="I892" s="300"/>
      <c r="J892" s="300"/>
      <c r="K892" s="300"/>
      <c r="L892" s="383"/>
      <c r="M892" s="300"/>
      <c r="N892" s="384"/>
      <c r="O892" s="300"/>
      <c r="P892" s="300"/>
      <c r="Q892" s="300"/>
      <c r="R892" s="300"/>
      <c r="S892" s="300"/>
      <c r="T892" s="300"/>
      <c r="U892" s="300"/>
      <c r="V892" s="300"/>
      <c r="W892" s="300"/>
      <c r="X892" s="300"/>
      <c r="Y892" s="300"/>
      <c r="Z892" s="300"/>
      <c r="AA892" s="300"/>
      <c r="AB892" s="300"/>
      <c r="AC892" s="300"/>
    </row>
    <row r="893">
      <c r="A893" s="300"/>
      <c r="B893" s="300"/>
      <c r="C893" s="380"/>
      <c r="D893" s="300"/>
      <c r="E893" s="381"/>
      <c r="F893" s="382"/>
      <c r="G893" s="380"/>
      <c r="H893" s="300"/>
      <c r="I893" s="300"/>
      <c r="J893" s="300"/>
      <c r="K893" s="300"/>
      <c r="L893" s="383"/>
      <c r="M893" s="300"/>
      <c r="N893" s="384"/>
      <c r="O893" s="300"/>
      <c r="P893" s="300"/>
      <c r="Q893" s="300"/>
      <c r="R893" s="300"/>
      <c r="S893" s="300"/>
      <c r="T893" s="300"/>
      <c r="U893" s="300"/>
      <c r="V893" s="300"/>
      <c r="W893" s="300"/>
      <c r="X893" s="300"/>
      <c r="Y893" s="300"/>
      <c r="Z893" s="300"/>
      <c r="AA893" s="300"/>
      <c r="AB893" s="300"/>
      <c r="AC893" s="300"/>
    </row>
    <row r="894">
      <c r="A894" s="300"/>
      <c r="B894" s="300"/>
      <c r="C894" s="380"/>
      <c r="D894" s="300"/>
      <c r="E894" s="381"/>
      <c r="F894" s="382"/>
      <c r="G894" s="380"/>
      <c r="H894" s="300"/>
      <c r="I894" s="300"/>
      <c r="J894" s="300"/>
      <c r="K894" s="300"/>
      <c r="L894" s="383"/>
      <c r="M894" s="300"/>
      <c r="N894" s="384"/>
      <c r="O894" s="300"/>
      <c r="P894" s="300"/>
      <c r="Q894" s="300"/>
      <c r="R894" s="300"/>
      <c r="S894" s="300"/>
      <c r="T894" s="300"/>
      <c r="U894" s="300"/>
      <c r="V894" s="300"/>
      <c r="W894" s="300"/>
      <c r="X894" s="300"/>
      <c r="Y894" s="300"/>
      <c r="Z894" s="300"/>
      <c r="AA894" s="300"/>
      <c r="AB894" s="300"/>
      <c r="AC894" s="300"/>
    </row>
    <row r="895">
      <c r="A895" s="300"/>
      <c r="B895" s="300"/>
      <c r="C895" s="380"/>
      <c r="D895" s="300"/>
      <c r="E895" s="381"/>
      <c r="F895" s="382"/>
      <c r="G895" s="380"/>
      <c r="H895" s="300"/>
      <c r="I895" s="300"/>
      <c r="J895" s="300"/>
      <c r="K895" s="300"/>
      <c r="L895" s="383"/>
      <c r="M895" s="300"/>
      <c r="N895" s="384"/>
      <c r="O895" s="300"/>
      <c r="P895" s="300"/>
      <c r="Q895" s="300"/>
      <c r="R895" s="300"/>
      <c r="S895" s="300"/>
      <c r="T895" s="300"/>
      <c r="U895" s="300"/>
      <c r="V895" s="300"/>
      <c r="W895" s="300"/>
      <c r="X895" s="300"/>
      <c r="Y895" s="300"/>
      <c r="Z895" s="300"/>
      <c r="AA895" s="300"/>
      <c r="AB895" s="300"/>
      <c r="AC895" s="300"/>
    </row>
    <row r="896">
      <c r="A896" s="300"/>
      <c r="B896" s="300"/>
      <c r="C896" s="380"/>
      <c r="D896" s="300"/>
      <c r="E896" s="381"/>
      <c r="F896" s="382"/>
      <c r="G896" s="380"/>
      <c r="H896" s="300"/>
      <c r="I896" s="300"/>
      <c r="J896" s="300"/>
      <c r="K896" s="300"/>
      <c r="L896" s="383"/>
      <c r="M896" s="300"/>
      <c r="N896" s="384"/>
      <c r="O896" s="300"/>
      <c r="P896" s="300"/>
      <c r="Q896" s="300"/>
      <c r="R896" s="300"/>
      <c r="S896" s="300"/>
      <c r="T896" s="300"/>
      <c r="U896" s="300"/>
      <c r="V896" s="300"/>
      <c r="W896" s="300"/>
      <c r="X896" s="300"/>
      <c r="Y896" s="300"/>
      <c r="Z896" s="300"/>
      <c r="AA896" s="300"/>
      <c r="AB896" s="300"/>
      <c r="AC896" s="300"/>
    </row>
    <row r="897">
      <c r="A897" s="300"/>
      <c r="B897" s="300"/>
      <c r="C897" s="380"/>
      <c r="D897" s="300"/>
      <c r="E897" s="381"/>
      <c r="F897" s="382"/>
      <c r="G897" s="380"/>
      <c r="H897" s="300"/>
      <c r="I897" s="300"/>
      <c r="J897" s="300"/>
      <c r="K897" s="300"/>
      <c r="L897" s="383"/>
      <c r="M897" s="300"/>
      <c r="N897" s="384"/>
      <c r="O897" s="300"/>
      <c r="P897" s="300"/>
      <c r="Q897" s="300"/>
      <c r="R897" s="300"/>
      <c r="S897" s="300"/>
      <c r="T897" s="300"/>
      <c r="U897" s="300"/>
      <c r="V897" s="300"/>
      <c r="W897" s="300"/>
      <c r="X897" s="300"/>
      <c r="Y897" s="300"/>
      <c r="Z897" s="300"/>
      <c r="AA897" s="300"/>
      <c r="AB897" s="300"/>
      <c r="AC897" s="300"/>
    </row>
    <row r="898">
      <c r="A898" s="300"/>
      <c r="B898" s="300"/>
      <c r="C898" s="380"/>
      <c r="D898" s="300"/>
      <c r="E898" s="381"/>
      <c r="F898" s="382"/>
      <c r="G898" s="380"/>
      <c r="H898" s="300"/>
      <c r="I898" s="300"/>
      <c r="J898" s="300"/>
      <c r="K898" s="300"/>
      <c r="L898" s="383"/>
      <c r="M898" s="300"/>
      <c r="N898" s="384"/>
      <c r="O898" s="300"/>
      <c r="P898" s="300"/>
      <c r="Q898" s="300"/>
      <c r="R898" s="300"/>
      <c r="S898" s="300"/>
      <c r="T898" s="300"/>
      <c r="U898" s="300"/>
      <c r="V898" s="300"/>
      <c r="W898" s="300"/>
      <c r="X898" s="300"/>
      <c r="Y898" s="300"/>
      <c r="Z898" s="300"/>
      <c r="AA898" s="300"/>
      <c r="AB898" s="300"/>
      <c r="AC898" s="300"/>
    </row>
    <row r="899">
      <c r="A899" s="300"/>
      <c r="B899" s="300"/>
      <c r="C899" s="380"/>
      <c r="D899" s="300"/>
      <c r="E899" s="381"/>
      <c r="F899" s="382"/>
      <c r="G899" s="380"/>
      <c r="H899" s="300"/>
      <c r="I899" s="300"/>
      <c r="J899" s="300"/>
      <c r="K899" s="300"/>
      <c r="L899" s="383"/>
      <c r="M899" s="300"/>
      <c r="N899" s="384"/>
      <c r="O899" s="300"/>
      <c r="P899" s="300"/>
      <c r="Q899" s="300"/>
      <c r="R899" s="300"/>
      <c r="S899" s="300"/>
      <c r="T899" s="300"/>
      <c r="U899" s="300"/>
      <c r="V899" s="300"/>
      <c r="W899" s="300"/>
      <c r="X899" s="300"/>
      <c r="Y899" s="300"/>
      <c r="Z899" s="300"/>
      <c r="AA899" s="300"/>
      <c r="AB899" s="300"/>
      <c r="AC899" s="300"/>
    </row>
    <row r="900">
      <c r="A900" s="300"/>
      <c r="B900" s="300"/>
      <c r="C900" s="380"/>
      <c r="D900" s="300"/>
      <c r="E900" s="381"/>
      <c r="F900" s="382"/>
      <c r="G900" s="380"/>
      <c r="H900" s="300"/>
      <c r="I900" s="300"/>
      <c r="J900" s="300"/>
      <c r="K900" s="300"/>
      <c r="L900" s="383"/>
      <c r="M900" s="300"/>
      <c r="N900" s="384"/>
      <c r="O900" s="300"/>
      <c r="P900" s="300"/>
      <c r="Q900" s="300"/>
      <c r="R900" s="300"/>
      <c r="S900" s="300"/>
      <c r="T900" s="300"/>
      <c r="U900" s="300"/>
      <c r="V900" s="300"/>
      <c r="W900" s="300"/>
      <c r="X900" s="300"/>
      <c r="Y900" s="300"/>
      <c r="Z900" s="300"/>
      <c r="AA900" s="300"/>
      <c r="AB900" s="300"/>
      <c r="AC900" s="300"/>
    </row>
    <row r="901">
      <c r="A901" s="300"/>
      <c r="B901" s="300"/>
      <c r="C901" s="380"/>
      <c r="D901" s="300"/>
      <c r="E901" s="381"/>
      <c r="F901" s="382"/>
      <c r="G901" s="380"/>
      <c r="H901" s="300"/>
      <c r="I901" s="300"/>
      <c r="J901" s="300"/>
      <c r="K901" s="300"/>
      <c r="L901" s="383"/>
      <c r="M901" s="300"/>
      <c r="N901" s="384"/>
      <c r="O901" s="300"/>
      <c r="P901" s="300"/>
      <c r="Q901" s="300"/>
      <c r="R901" s="300"/>
      <c r="S901" s="300"/>
      <c r="T901" s="300"/>
      <c r="U901" s="300"/>
      <c r="V901" s="300"/>
      <c r="W901" s="300"/>
      <c r="X901" s="300"/>
      <c r="Y901" s="300"/>
      <c r="Z901" s="300"/>
      <c r="AA901" s="300"/>
      <c r="AB901" s="300"/>
      <c r="AC901" s="300"/>
    </row>
    <row r="902">
      <c r="A902" s="300"/>
      <c r="B902" s="300"/>
      <c r="C902" s="380"/>
      <c r="D902" s="300"/>
      <c r="E902" s="381"/>
      <c r="F902" s="382"/>
      <c r="G902" s="380"/>
      <c r="H902" s="300"/>
      <c r="I902" s="300"/>
      <c r="J902" s="300"/>
      <c r="K902" s="300"/>
      <c r="L902" s="383"/>
      <c r="M902" s="300"/>
      <c r="N902" s="384"/>
      <c r="O902" s="300"/>
      <c r="P902" s="300"/>
      <c r="Q902" s="300"/>
      <c r="R902" s="300"/>
      <c r="S902" s="300"/>
      <c r="T902" s="300"/>
      <c r="U902" s="300"/>
      <c r="V902" s="300"/>
      <c r="W902" s="300"/>
      <c r="X902" s="300"/>
      <c r="Y902" s="300"/>
      <c r="Z902" s="300"/>
      <c r="AA902" s="300"/>
      <c r="AB902" s="300"/>
      <c r="AC902" s="300"/>
    </row>
    <row r="903">
      <c r="A903" s="300"/>
      <c r="B903" s="300"/>
      <c r="C903" s="380"/>
      <c r="D903" s="300"/>
      <c r="E903" s="381"/>
      <c r="F903" s="382"/>
      <c r="G903" s="380"/>
      <c r="H903" s="300"/>
      <c r="I903" s="300"/>
      <c r="J903" s="300"/>
      <c r="K903" s="300"/>
      <c r="L903" s="383"/>
      <c r="M903" s="300"/>
      <c r="N903" s="384"/>
      <c r="O903" s="300"/>
      <c r="P903" s="300"/>
      <c r="Q903" s="300"/>
      <c r="R903" s="300"/>
      <c r="S903" s="300"/>
      <c r="T903" s="300"/>
      <c r="U903" s="300"/>
      <c r="V903" s="300"/>
      <c r="W903" s="300"/>
      <c r="X903" s="300"/>
      <c r="Y903" s="300"/>
      <c r="Z903" s="300"/>
      <c r="AA903" s="300"/>
      <c r="AB903" s="300"/>
      <c r="AC903" s="300"/>
    </row>
    <row r="904">
      <c r="A904" s="300"/>
      <c r="B904" s="300"/>
      <c r="C904" s="380"/>
      <c r="D904" s="300"/>
      <c r="E904" s="381"/>
      <c r="F904" s="382"/>
      <c r="G904" s="380"/>
      <c r="H904" s="300"/>
      <c r="I904" s="300"/>
      <c r="J904" s="300"/>
      <c r="K904" s="300"/>
      <c r="L904" s="383"/>
      <c r="M904" s="300"/>
      <c r="N904" s="384"/>
      <c r="O904" s="300"/>
      <c r="P904" s="300"/>
      <c r="Q904" s="300"/>
      <c r="R904" s="300"/>
      <c r="S904" s="300"/>
      <c r="T904" s="300"/>
      <c r="U904" s="300"/>
      <c r="V904" s="300"/>
      <c r="W904" s="300"/>
      <c r="X904" s="300"/>
      <c r="Y904" s="300"/>
      <c r="Z904" s="300"/>
      <c r="AA904" s="300"/>
      <c r="AB904" s="300"/>
      <c r="AC904" s="300"/>
    </row>
    <row r="905">
      <c r="A905" s="300"/>
      <c r="B905" s="300"/>
      <c r="C905" s="380"/>
      <c r="D905" s="300"/>
      <c r="E905" s="381"/>
      <c r="F905" s="382"/>
      <c r="G905" s="380"/>
      <c r="H905" s="300"/>
      <c r="I905" s="300"/>
      <c r="J905" s="300"/>
      <c r="K905" s="300"/>
      <c r="L905" s="383"/>
      <c r="M905" s="300"/>
      <c r="N905" s="384"/>
      <c r="O905" s="300"/>
      <c r="P905" s="300"/>
      <c r="Q905" s="300"/>
      <c r="R905" s="300"/>
      <c r="S905" s="300"/>
      <c r="T905" s="300"/>
      <c r="U905" s="300"/>
      <c r="V905" s="300"/>
      <c r="W905" s="300"/>
      <c r="X905" s="300"/>
      <c r="Y905" s="300"/>
      <c r="Z905" s="300"/>
      <c r="AA905" s="300"/>
      <c r="AB905" s="300"/>
      <c r="AC905" s="300"/>
    </row>
    <row r="906">
      <c r="A906" s="300"/>
      <c r="B906" s="300"/>
      <c r="C906" s="380"/>
      <c r="D906" s="300"/>
      <c r="E906" s="381"/>
      <c r="F906" s="382"/>
      <c r="G906" s="380"/>
      <c r="H906" s="300"/>
      <c r="I906" s="300"/>
      <c r="J906" s="300"/>
      <c r="K906" s="300"/>
      <c r="L906" s="383"/>
      <c r="M906" s="300"/>
      <c r="N906" s="384"/>
      <c r="O906" s="300"/>
      <c r="P906" s="300"/>
      <c r="Q906" s="300"/>
      <c r="R906" s="300"/>
      <c r="S906" s="300"/>
      <c r="T906" s="300"/>
      <c r="U906" s="300"/>
      <c r="V906" s="300"/>
      <c r="W906" s="300"/>
      <c r="X906" s="300"/>
      <c r="Y906" s="300"/>
      <c r="Z906" s="300"/>
      <c r="AA906" s="300"/>
      <c r="AB906" s="300"/>
      <c r="AC906" s="300"/>
    </row>
    <row r="907">
      <c r="A907" s="300"/>
      <c r="B907" s="300"/>
      <c r="C907" s="380"/>
      <c r="D907" s="300"/>
      <c r="E907" s="381"/>
      <c r="F907" s="382"/>
      <c r="G907" s="380"/>
      <c r="H907" s="300"/>
      <c r="I907" s="300"/>
      <c r="J907" s="300"/>
      <c r="K907" s="300"/>
      <c r="L907" s="383"/>
      <c r="M907" s="300"/>
      <c r="N907" s="384"/>
      <c r="O907" s="300"/>
      <c r="P907" s="300"/>
      <c r="Q907" s="300"/>
      <c r="R907" s="300"/>
      <c r="S907" s="300"/>
      <c r="T907" s="300"/>
      <c r="U907" s="300"/>
      <c r="V907" s="300"/>
      <c r="W907" s="300"/>
      <c r="X907" s="300"/>
      <c r="Y907" s="300"/>
      <c r="Z907" s="300"/>
      <c r="AA907" s="300"/>
      <c r="AB907" s="300"/>
      <c r="AC907" s="300"/>
    </row>
    <row r="908">
      <c r="A908" s="300"/>
      <c r="B908" s="300"/>
      <c r="C908" s="380"/>
      <c r="D908" s="300"/>
      <c r="E908" s="381"/>
      <c r="F908" s="382"/>
      <c r="G908" s="380"/>
      <c r="H908" s="300"/>
      <c r="I908" s="300"/>
      <c r="J908" s="300"/>
      <c r="K908" s="300"/>
      <c r="L908" s="383"/>
      <c r="M908" s="300"/>
      <c r="N908" s="384"/>
      <c r="O908" s="300"/>
      <c r="P908" s="300"/>
      <c r="Q908" s="300"/>
      <c r="R908" s="300"/>
      <c r="S908" s="300"/>
      <c r="T908" s="300"/>
      <c r="U908" s="300"/>
      <c r="V908" s="300"/>
      <c r="W908" s="300"/>
      <c r="X908" s="300"/>
      <c r="Y908" s="300"/>
      <c r="Z908" s="300"/>
      <c r="AA908" s="300"/>
      <c r="AB908" s="300"/>
      <c r="AC908" s="300"/>
    </row>
    <row r="909">
      <c r="A909" s="300"/>
      <c r="B909" s="300"/>
      <c r="C909" s="380"/>
      <c r="D909" s="300"/>
      <c r="E909" s="381"/>
      <c r="F909" s="382"/>
      <c r="G909" s="380"/>
      <c r="H909" s="300"/>
      <c r="I909" s="300"/>
      <c r="J909" s="300"/>
      <c r="K909" s="300"/>
      <c r="L909" s="383"/>
      <c r="M909" s="300"/>
      <c r="N909" s="384"/>
      <c r="O909" s="300"/>
      <c r="P909" s="300"/>
      <c r="Q909" s="300"/>
      <c r="R909" s="300"/>
      <c r="S909" s="300"/>
      <c r="T909" s="300"/>
      <c r="U909" s="300"/>
      <c r="V909" s="300"/>
      <c r="W909" s="300"/>
      <c r="X909" s="300"/>
      <c r="Y909" s="300"/>
      <c r="Z909" s="300"/>
      <c r="AA909" s="300"/>
      <c r="AB909" s="300"/>
      <c r="AC909" s="300"/>
    </row>
    <row r="910">
      <c r="A910" s="300"/>
      <c r="B910" s="300"/>
      <c r="C910" s="380"/>
      <c r="D910" s="300"/>
      <c r="E910" s="381"/>
      <c r="F910" s="382"/>
      <c r="G910" s="380"/>
      <c r="H910" s="300"/>
      <c r="I910" s="300"/>
      <c r="J910" s="300"/>
      <c r="K910" s="300"/>
      <c r="L910" s="383"/>
      <c r="M910" s="300"/>
      <c r="N910" s="384"/>
      <c r="O910" s="300"/>
      <c r="P910" s="300"/>
      <c r="Q910" s="300"/>
      <c r="R910" s="300"/>
      <c r="S910" s="300"/>
      <c r="T910" s="300"/>
      <c r="U910" s="300"/>
      <c r="V910" s="300"/>
      <c r="W910" s="300"/>
      <c r="X910" s="300"/>
      <c r="Y910" s="300"/>
      <c r="Z910" s="300"/>
      <c r="AA910" s="300"/>
      <c r="AB910" s="300"/>
      <c r="AC910" s="300"/>
    </row>
    <row r="911">
      <c r="A911" s="300"/>
      <c r="B911" s="300"/>
      <c r="C911" s="380"/>
      <c r="D911" s="300"/>
      <c r="E911" s="381"/>
      <c r="F911" s="382"/>
      <c r="G911" s="380"/>
      <c r="H911" s="300"/>
      <c r="I911" s="300"/>
      <c r="J911" s="300"/>
      <c r="K911" s="300"/>
      <c r="L911" s="383"/>
      <c r="M911" s="300"/>
      <c r="N911" s="384"/>
      <c r="O911" s="300"/>
      <c r="P911" s="300"/>
      <c r="Q911" s="300"/>
      <c r="R911" s="300"/>
      <c r="S911" s="300"/>
      <c r="T911" s="300"/>
      <c r="U911" s="300"/>
      <c r="V911" s="300"/>
      <c r="W911" s="300"/>
      <c r="X911" s="300"/>
      <c r="Y911" s="300"/>
      <c r="Z911" s="300"/>
      <c r="AA911" s="300"/>
      <c r="AB911" s="300"/>
      <c r="AC911" s="300"/>
    </row>
    <row r="912">
      <c r="A912" s="300"/>
      <c r="B912" s="300"/>
      <c r="C912" s="380"/>
      <c r="D912" s="300"/>
      <c r="E912" s="381"/>
      <c r="F912" s="382"/>
      <c r="G912" s="380"/>
      <c r="H912" s="300"/>
      <c r="I912" s="300"/>
      <c r="J912" s="300"/>
      <c r="K912" s="300"/>
      <c r="L912" s="383"/>
      <c r="M912" s="300"/>
      <c r="N912" s="384"/>
      <c r="O912" s="300"/>
      <c r="P912" s="300"/>
      <c r="Q912" s="300"/>
      <c r="R912" s="300"/>
      <c r="S912" s="300"/>
      <c r="T912" s="300"/>
      <c r="U912" s="300"/>
      <c r="V912" s="300"/>
      <c r="W912" s="300"/>
      <c r="X912" s="300"/>
      <c r="Y912" s="300"/>
      <c r="Z912" s="300"/>
      <c r="AA912" s="300"/>
      <c r="AB912" s="300"/>
      <c r="AC912" s="300"/>
    </row>
    <row r="913">
      <c r="A913" s="300"/>
      <c r="B913" s="300"/>
      <c r="C913" s="380"/>
      <c r="D913" s="300"/>
      <c r="E913" s="381"/>
      <c r="F913" s="382"/>
      <c r="G913" s="380"/>
      <c r="H913" s="300"/>
      <c r="I913" s="300"/>
      <c r="J913" s="300"/>
      <c r="K913" s="300"/>
      <c r="L913" s="383"/>
      <c r="M913" s="300"/>
      <c r="N913" s="384"/>
      <c r="O913" s="300"/>
      <c r="P913" s="300"/>
      <c r="Q913" s="300"/>
      <c r="R913" s="300"/>
      <c r="S913" s="300"/>
      <c r="T913" s="300"/>
      <c r="U913" s="300"/>
      <c r="V913" s="300"/>
      <c r="W913" s="300"/>
      <c r="X913" s="300"/>
      <c r="Y913" s="300"/>
      <c r="Z913" s="300"/>
      <c r="AA913" s="300"/>
      <c r="AB913" s="300"/>
      <c r="AC913" s="300"/>
    </row>
    <row r="914">
      <c r="A914" s="300"/>
      <c r="B914" s="300"/>
      <c r="C914" s="380"/>
      <c r="D914" s="300"/>
      <c r="E914" s="381"/>
      <c r="F914" s="382"/>
      <c r="G914" s="380"/>
      <c r="H914" s="300"/>
      <c r="I914" s="300"/>
      <c r="J914" s="300"/>
      <c r="K914" s="300"/>
      <c r="L914" s="383"/>
      <c r="M914" s="300"/>
      <c r="N914" s="384"/>
      <c r="O914" s="300"/>
      <c r="P914" s="300"/>
      <c r="Q914" s="300"/>
      <c r="R914" s="300"/>
      <c r="S914" s="300"/>
      <c r="T914" s="300"/>
      <c r="U914" s="300"/>
      <c r="V914" s="300"/>
      <c r="W914" s="300"/>
      <c r="X914" s="300"/>
      <c r="Y914" s="300"/>
      <c r="Z914" s="300"/>
      <c r="AA914" s="300"/>
      <c r="AB914" s="300"/>
      <c r="AC914" s="300"/>
    </row>
    <row r="915">
      <c r="A915" s="300"/>
      <c r="B915" s="300"/>
      <c r="C915" s="380"/>
      <c r="D915" s="300"/>
      <c r="E915" s="381"/>
      <c r="F915" s="382"/>
      <c r="G915" s="380"/>
      <c r="H915" s="300"/>
      <c r="I915" s="300"/>
      <c r="J915" s="300"/>
      <c r="K915" s="300"/>
      <c r="L915" s="383"/>
      <c r="M915" s="300"/>
      <c r="N915" s="384"/>
      <c r="O915" s="300"/>
      <c r="P915" s="300"/>
      <c r="Q915" s="300"/>
      <c r="R915" s="300"/>
      <c r="S915" s="300"/>
      <c r="T915" s="300"/>
      <c r="U915" s="300"/>
      <c r="V915" s="300"/>
      <c r="W915" s="300"/>
      <c r="X915" s="300"/>
      <c r="Y915" s="300"/>
      <c r="Z915" s="300"/>
      <c r="AA915" s="300"/>
      <c r="AB915" s="300"/>
      <c r="AC915" s="300"/>
    </row>
    <row r="916">
      <c r="A916" s="300"/>
      <c r="B916" s="300"/>
      <c r="C916" s="380"/>
      <c r="D916" s="300"/>
      <c r="E916" s="381"/>
      <c r="F916" s="382"/>
      <c r="G916" s="380"/>
      <c r="H916" s="300"/>
      <c r="I916" s="300"/>
      <c r="J916" s="300"/>
      <c r="K916" s="300"/>
      <c r="L916" s="383"/>
      <c r="M916" s="300"/>
      <c r="N916" s="384"/>
      <c r="O916" s="300"/>
      <c r="P916" s="300"/>
      <c r="Q916" s="300"/>
      <c r="R916" s="300"/>
      <c r="S916" s="300"/>
      <c r="T916" s="300"/>
      <c r="U916" s="300"/>
      <c r="V916" s="300"/>
      <c r="W916" s="300"/>
      <c r="X916" s="300"/>
      <c r="Y916" s="300"/>
      <c r="Z916" s="300"/>
      <c r="AA916" s="300"/>
      <c r="AB916" s="300"/>
      <c r="AC916" s="300"/>
    </row>
    <row r="917">
      <c r="A917" s="300"/>
      <c r="B917" s="300"/>
      <c r="C917" s="380"/>
      <c r="D917" s="300"/>
      <c r="E917" s="381"/>
      <c r="F917" s="382"/>
      <c r="G917" s="380"/>
      <c r="H917" s="300"/>
      <c r="I917" s="300"/>
      <c r="J917" s="300"/>
      <c r="K917" s="300"/>
      <c r="L917" s="383"/>
      <c r="M917" s="300"/>
      <c r="N917" s="384"/>
      <c r="O917" s="300"/>
      <c r="P917" s="300"/>
      <c r="Q917" s="300"/>
      <c r="R917" s="300"/>
      <c r="S917" s="300"/>
      <c r="T917" s="300"/>
      <c r="U917" s="300"/>
      <c r="V917" s="300"/>
      <c r="W917" s="300"/>
      <c r="X917" s="300"/>
      <c r="Y917" s="300"/>
      <c r="Z917" s="300"/>
      <c r="AA917" s="300"/>
      <c r="AB917" s="300"/>
      <c r="AC917" s="300"/>
    </row>
    <row r="918">
      <c r="A918" s="300"/>
      <c r="B918" s="300"/>
      <c r="C918" s="380"/>
      <c r="D918" s="300"/>
      <c r="E918" s="381"/>
      <c r="F918" s="382"/>
      <c r="G918" s="380"/>
      <c r="H918" s="300"/>
      <c r="I918" s="300"/>
      <c r="J918" s="300"/>
      <c r="K918" s="300"/>
      <c r="L918" s="383"/>
      <c r="M918" s="300"/>
      <c r="N918" s="384"/>
      <c r="O918" s="300"/>
      <c r="P918" s="300"/>
      <c r="Q918" s="300"/>
      <c r="R918" s="300"/>
      <c r="S918" s="300"/>
      <c r="T918" s="300"/>
      <c r="U918" s="300"/>
      <c r="V918" s="300"/>
      <c r="W918" s="300"/>
      <c r="X918" s="300"/>
      <c r="Y918" s="300"/>
      <c r="Z918" s="300"/>
      <c r="AA918" s="300"/>
      <c r="AB918" s="300"/>
      <c r="AC918" s="300"/>
    </row>
    <row r="919">
      <c r="A919" s="300"/>
      <c r="B919" s="300"/>
      <c r="C919" s="380"/>
      <c r="D919" s="300"/>
      <c r="E919" s="381"/>
      <c r="F919" s="382"/>
      <c r="G919" s="380"/>
      <c r="H919" s="300"/>
      <c r="I919" s="300"/>
      <c r="J919" s="300"/>
      <c r="K919" s="300"/>
      <c r="L919" s="383"/>
      <c r="M919" s="300"/>
      <c r="N919" s="384"/>
      <c r="O919" s="300"/>
      <c r="P919" s="300"/>
      <c r="Q919" s="300"/>
      <c r="R919" s="300"/>
      <c r="S919" s="300"/>
      <c r="T919" s="300"/>
      <c r="U919" s="300"/>
      <c r="V919" s="300"/>
      <c r="W919" s="300"/>
      <c r="X919" s="300"/>
      <c r="Y919" s="300"/>
      <c r="Z919" s="300"/>
      <c r="AA919" s="300"/>
      <c r="AB919" s="300"/>
      <c r="AC919" s="300"/>
    </row>
    <row r="920">
      <c r="A920" s="300"/>
      <c r="B920" s="300"/>
      <c r="C920" s="380"/>
      <c r="D920" s="300"/>
      <c r="E920" s="381"/>
      <c r="F920" s="382"/>
      <c r="G920" s="380"/>
      <c r="H920" s="300"/>
      <c r="I920" s="300"/>
      <c r="J920" s="300"/>
      <c r="K920" s="300"/>
      <c r="L920" s="383"/>
      <c r="M920" s="300"/>
      <c r="N920" s="384"/>
      <c r="O920" s="300"/>
      <c r="P920" s="300"/>
      <c r="Q920" s="300"/>
      <c r="R920" s="300"/>
      <c r="S920" s="300"/>
      <c r="T920" s="300"/>
      <c r="U920" s="300"/>
      <c r="V920" s="300"/>
      <c r="W920" s="300"/>
      <c r="X920" s="300"/>
      <c r="Y920" s="300"/>
      <c r="Z920" s="300"/>
      <c r="AA920" s="300"/>
      <c r="AB920" s="300"/>
      <c r="AC920" s="300"/>
    </row>
    <row r="921">
      <c r="A921" s="300"/>
      <c r="B921" s="300"/>
      <c r="C921" s="380"/>
      <c r="D921" s="300"/>
      <c r="E921" s="381"/>
      <c r="F921" s="382"/>
      <c r="G921" s="380"/>
      <c r="H921" s="300"/>
      <c r="I921" s="300"/>
      <c r="J921" s="300"/>
      <c r="K921" s="300"/>
      <c r="L921" s="383"/>
      <c r="M921" s="300"/>
      <c r="N921" s="384"/>
      <c r="O921" s="300"/>
      <c r="P921" s="300"/>
      <c r="Q921" s="300"/>
      <c r="R921" s="300"/>
      <c r="S921" s="300"/>
      <c r="T921" s="300"/>
      <c r="U921" s="300"/>
      <c r="V921" s="300"/>
      <c r="W921" s="300"/>
      <c r="X921" s="300"/>
      <c r="Y921" s="300"/>
      <c r="Z921" s="300"/>
      <c r="AA921" s="300"/>
      <c r="AB921" s="300"/>
      <c r="AC921" s="300"/>
    </row>
    <row r="922">
      <c r="A922" s="300"/>
      <c r="B922" s="300"/>
      <c r="C922" s="380"/>
      <c r="D922" s="300"/>
      <c r="E922" s="381"/>
      <c r="F922" s="382"/>
      <c r="G922" s="380"/>
      <c r="H922" s="300"/>
      <c r="I922" s="300"/>
      <c r="J922" s="300"/>
      <c r="K922" s="300"/>
      <c r="L922" s="383"/>
      <c r="M922" s="300"/>
      <c r="N922" s="384"/>
      <c r="O922" s="300"/>
      <c r="P922" s="300"/>
      <c r="Q922" s="300"/>
      <c r="R922" s="300"/>
      <c r="S922" s="300"/>
      <c r="T922" s="300"/>
      <c r="U922" s="300"/>
      <c r="V922" s="300"/>
      <c r="W922" s="300"/>
      <c r="X922" s="300"/>
      <c r="Y922" s="300"/>
      <c r="Z922" s="300"/>
      <c r="AA922" s="300"/>
      <c r="AB922" s="300"/>
      <c r="AC922" s="300"/>
    </row>
    <row r="923">
      <c r="A923" s="300"/>
      <c r="B923" s="300"/>
      <c r="C923" s="380"/>
      <c r="D923" s="300"/>
      <c r="E923" s="381"/>
      <c r="F923" s="382"/>
      <c r="G923" s="380"/>
      <c r="H923" s="300"/>
      <c r="I923" s="300"/>
      <c r="J923" s="300"/>
      <c r="K923" s="300"/>
      <c r="L923" s="383"/>
      <c r="M923" s="300"/>
      <c r="N923" s="384"/>
      <c r="O923" s="300"/>
      <c r="P923" s="300"/>
      <c r="Q923" s="300"/>
      <c r="R923" s="300"/>
      <c r="S923" s="300"/>
      <c r="T923" s="300"/>
      <c r="U923" s="300"/>
      <c r="V923" s="300"/>
      <c r="W923" s="300"/>
      <c r="X923" s="300"/>
      <c r="Y923" s="300"/>
      <c r="Z923" s="300"/>
      <c r="AA923" s="300"/>
      <c r="AB923" s="300"/>
      <c r="AC923" s="300"/>
    </row>
    <row r="924">
      <c r="A924" s="300"/>
      <c r="B924" s="300"/>
      <c r="C924" s="380"/>
      <c r="D924" s="300"/>
      <c r="E924" s="381"/>
      <c r="F924" s="382"/>
      <c r="G924" s="380"/>
      <c r="H924" s="300"/>
      <c r="I924" s="300"/>
      <c r="J924" s="300"/>
      <c r="K924" s="300"/>
      <c r="L924" s="383"/>
      <c r="M924" s="300"/>
      <c r="N924" s="384"/>
      <c r="O924" s="300"/>
      <c r="P924" s="300"/>
      <c r="Q924" s="300"/>
      <c r="R924" s="300"/>
      <c r="S924" s="300"/>
      <c r="T924" s="300"/>
      <c r="U924" s="300"/>
      <c r="V924" s="300"/>
      <c r="W924" s="300"/>
      <c r="X924" s="300"/>
      <c r="Y924" s="300"/>
      <c r="Z924" s="300"/>
      <c r="AA924" s="300"/>
      <c r="AB924" s="300"/>
      <c r="AC924" s="300"/>
    </row>
    <row r="925">
      <c r="A925" s="300"/>
      <c r="B925" s="300"/>
      <c r="C925" s="380"/>
      <c r="D925" s="300"/>
      <c r="E925" s="381"/>
      <c r="F925" s="382"/>
      <c r="G925" s="380"/>
      <c r="H925" s="300"/>
      <c r="I925" s="300"/>
      <c r="J925" s="300"/>
      <c r="K925" s="300"/>
      <c r="L925" s="383"/>
      <c r="M925" s="300"/>
      <c r="N925" s="384"/>
      <c r="O925" s="300"/>
      <c r="P925" s="300"/>
      <c r="Q925" s="300"/>
      <c r="R925" s="300"/>
      <c r="S925" s="300"/>
      <c r="T925" s="300"/>
      <c r="U925" s="300"/>
      <c r="V925" s="300"/>
      <c r="W925" s="300"/>
      <c r="X925" s="300"/>
      <c r="Y925" s="300"/>
      <c r="Z925" s="300"/>
      <c r="AA925" s="300"/>
      <c r="AB925" s="300"/>
      <c r="AC925" s="300"/>
    </row>
    <row r="926">
      <c r="A926" s="300"/>
      <c r="B926" s="300"/>
      <c r="C926" s="380"/>
      <c r="D926" s="300"/>
      <c r="E926" s="381"/>
      <c r="F926" s="382"/>
      <c r="G926" s="380"/>
      <c r="H926" s="300"/>
      <c r="I926" s="300"/>
      <c r="J926" s="300"/>
      <c r="K926" s="300"/>
      <c r="L926" s="383"/>
      <c r="M926" s="300"/>
      <c r="N926" s="384"/>
      <c r="O926" s="300"/>
      <c r="P926" s="300"/>
      <c r="Q926" s="300"/>
      <c r="R926" s="300"/>
      <c r="S926" s="300"/>
      <c r="T926" s="300"/>
      <c r="U926" s="300"/>
      <c r="V926" s="300"/>
      <c r="W926" s="300"/>
      <c r="X926" s="300"/>
      <c r="Y926" s="300"/>
      <c r="Z926" s="300"/>
      <c r="AA926" s="300"/>
      <c r="AB926" s="300"/>
      <c r="AC926" s="300"/>
    </row>
    <row r="927">
      <c r="A927" s="300"/>
      <c r="B927" s="300"/>
      <c r="C927" s="380"/>
      <c r="D927" s="300"/>
      <c r="E927" s="381"/>
      <c r="F927" s="382"/>
      <c r="G927" s="380"/>
      <c r="H927" s="300"/>
      <c r="I927" s="300"/>
      <c r="J927" s="300"/>
      <c r="K927" s="300"/>
      <c r="L927" s="383"/>
      <c r="M927" s="300"/>
      <c r="N927" s="384"/>
      <c r="O927" s="300"/>
      <c r="P927" s="300"/>
      <c r="Q927" s="300"/>
      <c r="R927" s="300"/>
      <c r="S927" s="300"/>
      <c r="T927" s="300"/>
      <c r="U927" s="300"/>
      <c r="V927" s="300"/>
      <c r="W927" s="300"/>
      <c r="X927" s="300"/>
      <c r="Y927" s="300"/>
      <c r="Z927" s="300"/>
      <c r="AA927" s="300"/>
      <c r="AB927" s="300"/>
      <c r="AC927" s="300"/>
    </row>
    <row r="928">
      <c r="A928" s="300"/>
      <c r="B928" s="300"/>
      <c r="C928" s="380"/>
      <c r="D928" s="300"/>
      <c r="E928" s="381"/>
      <c r="F928" s="382"/>
      <c r="G928" s="380"/>
      <c r="H928" s="300"/>
      <c r="I928" s="300"/>
      <c r="J928" s="300"/>
      <c r="K928" s="300"/>
      <c r="L928" s="383"/>
      <c r="M928" s="300"/>
      <c r="N928" s="384"/>
      <c r="O928" s="300"/>
      <c r="P928" s="300"/>
      <c r="Q928" s="300"/>
      <c r="R928" s="300"/>
      <c r="S928" s="300"/>
      <c r="T928" s="300"/>
      <c r="U928" s="300"/>
      <c r="V928" s="300"/>
      <c r="W928" s="300"/>
      <c r="X928" s="300"/>
      <c r="Y928" s="300"/>
      <c r="Z928" s="300"/>
      <c r="AA928" s="300"/>
      <c r="AB928" s="300"/>
      <c r="AC928" s="300"/>
    </row>
    <row r="929">
      <c r="A929" s="300"/>
      <c r="B929" s="300"/>
      <c r="C929" s="380"/>
      <c r="D929" s="300"/>
      <c r="E929" s="381"/>
      <c r="F929" s="382"/>
      <c r="G929" s="380"/>
      <c r="H929" s="300"/>
      <c r="I929" s="300"/>
      <c r="J929" s="300"/>
      <c r="K929" s="300"/>
      <c r="L929" s="383"/>
      <c r="M929" s="300"/>
      <c r="N929" s="384"/>
      <c r="O929" s="300"/>
      <c r="P929" s="300"/>
      <c r="Q929" s="300"/>
      <c r="R929" s="300"/>
      <c r="S929" s="300"/>
      <c r="T929" s="300"/>
      <c r="U929" s="300"/>
      <c r="V929" s="300"/>
      <c r="W929" s="300"/>
      <c r="X929" s="300"/>
      <c r="Y929" s="300"/>
      <c r="Z929" s="300"/>
      <c r="AA929" s="300"/>
      <c r="AB929" s="300"/>
      <c r="AC929" s="300"/>
    </row>
    <row r="930">
      <c r="A930" s="300"/>
      <c r="B930" s="300"/>
      <c r="C930" s="380"/>
      <c r="D930" s="300"/>
      <c r="E930" s="381"/>
      <c r="F930" s="382"/>
      <c r="G930" s="380"/>
      <c r="H930" s="300"/>
      <c r="I930" s="300"/>
      <c r="J930" s="300"/>
      <c r="K930" s="300"/>
      <c r="L930" s="383"/>
      <c r="M930" s="300"/>
      <c r="N930" s="384"/>
      <c r="O930" s="300"/>
      <c r="P930" s="300"/>
      <c r="Q930" s="300"/>
      <c r="R930" s="300"/>
      <c r="S930" s="300"/>
      <c r="T930" s="300"/>
      <c r="U930" s="300"/>
      <c r="V930" s="300"/>
      <c r="W930" s="300"/>
      <c r="X930" s="300"/>
      <c r="Y930" s="300"/>
      <c r="Z930" s="300"/>
      <c r="AA930" s="300"/>
      <c r="AB930" s="300"/>
      <c r="AC930" s="300"/>
    </row>
    <row r="931">
      <c r="A931" s="300"/>
      <c r="B931" s="300"/>
      <c r="C931" s="380"/>
      <c r="D931" s="300"/>
      <c r="E931" s="381"/>
      <c r="F931" s="382"/>
      <c r="G931" s="380"/>
      <c r="H931" s="300"/>
      <c r="I931" s="300"/>
      <c r="J931" s="300"/>
      <c r="K931" s="300"/>
      <c r="L931" s="383"/>
      <c r="M931" s="300"/>
      <c r="N931" s="384"/>
      <c r="O931" s="300"/>
      <c r="P931" s="300"/>
      <c r="Q931" s="300"/>
      <c r="R931" s="300"/>
      <c r="S931" s="300"/>
      <c r="T931" s="300"/>
      <c r="U931" s="300"/>
      <c r="V931" s="300"/>
      <c r="W931" s="300"/>
      <c r="X931" s="300"/>
      <c r="Y931" s="300"/>
      <c r="Z931" s="300"/>
      <c r="AA931" s="300"/>
      <c r="AB931" s="300"/>
      <c r="AC931" s="300"/>
    </row>
    <row r="932">
      <c r="A932" s="300"/>
      <c r="B932" s="300"/>
      <c r="C932" s="380"/>
      <c r="D932" s="300"/>
      <c r="E932" s="381"/>
      <c r="F932" s="382"/>
      <c r="G932" s="380"/>
      <c r="H932" s="300"/>
      <c r="I932" s="300"/>
      <c r="J932" s="300"/>
      <c r="K932" s="300"/>
      <c r="L932" s="383"/>
      <c r="M932" s="300"/>
      <c r="N932" s="384"/>
      <c r="O932" s="300"/>
      <c r="P932" s="300"/>
      <c r="Q932" s="300"/>
      <c r="R932" s="300"/>
      <c r="S932" s="300"/>
      <c r="T932" s="300"/>
      <c r="U932" s="300"/>
      <c r="V932" s="300"/>
      <c r="W932" s="300"/>
      <c r="X932" s="300"/>
      <c r="Y932" s="300"/>
      <c r="Z932" s="300"/>
      <c r="AA932" s="300"/>
      <c r="AB932" s="300"/>
      <c r="AC932" s="300"/>
    </row>
    <row r="933">
      <c r="A933" s="300"/>
      <c r="B933" s="300"/>
      <c r="C933" s="380"/>
      <c r="D933" s="300"/>
      <c r="E933" s="381"/>
      <c r="F933" s="382"/>
      <c r="G933" s="380"/>
      <c r="H933" s="300"/>
      <c r="I933" s="300"/>
      <c r="J933" s="300"/>
      <c r="K933" s="300"/>
      <c r="L933" s="383"/>
      <c r="M933" s="300"/>
      <c r="N933" s="384"/>
      <c r="O933" s="300"/>
      <c r="P933" s="300"/>
      <c r="Q933" s="300"/>
      <c r="R933" s="300"/>
      <c r="S933" s="300"/>
      <c r="T933" s="300"/>
      <c r="U933" s="300"/>
      <c r="V933" s="300"/>
      <c r="W933" s="300"/>
      <c r="X933" s="300"/>
      <c r="Y933" s="300"/>
      <c r="Z933" s="300"/>
      <c r="AA933" s="300"/>
      <c r="AB933" s="300"/>
      <c r="AC933" s="300"/>
    </row>
    <row r="934">
      <c r="A934" s="300"/>
      <c r="B934" s="300"/>
      <c r="C934" s="380"/>
      <c r="D934" s="300"/>
      <c r="E934" s="381"/>
      <c r="F934" s="382"/>
      <c r="G934" s="380"/>
      <c r="H934" s="300"/>
      <c r="I934" s="300"/>
      <c r="J934" s="300"/>
      <c r="K934" s="300"/>
      <c r="L934" s="383"/>
      <c r="M934" s="300"/>
      <c r="N934" s="384"/>
      <c r="O934" s="300"/>
      <c r="P934" s="300"/>
      <c r="Q934" s="300"/>
      <c r="R934" s="300"/>
      <c r="S934" s="300"/>
      <c r="T934" s="300"/>
      <c r="U934" s="300"/>
      <c r="V934" s="300"/>
      <c r="W934" s="300"/>
      <c r="X934" s="300"/>
      <c r="Y934" s="300"/>
      <c r="Z934" s="300"/>
      <c r="AA934" s="300"/>
      <c r="AB934" s="300"/>
      <c r="AC934" s="300"/>
    </row>
    <row r="935">
      <c r="A935" s="300"/>
      <c r="B935" s="300"/>
      <c r="C935" s="380"/>
      <c r="D935" s="300"/>
      <c r="E935" s="381"/>
      <c r="F935" s="382"/>
      <c r="G935" s="380"/>
      <c r="H935" s="300"/>
      <c r="I935" s="300"/>
      <c r="J935" s="300"/>
      <c r="K935" s="300"/>
      <c r="L935" s="383"/>
      <c r="M935" s="300"/>
      <c r="N935" s="384"/>
      <c r="O935" s="300"/>
      <c r="P935" s="300"/>
      <c r="Q935" s="300"/>
      <c r="R935" s="300"/>
      <c r="S935" s="300"/>
      <c r="T935" s="300"/>
      <c r="U935" s="300"/>
      <c r="V935" s="300"/>
      <c r="W935" s="300"/>
      <c r="X935" s="300"/>
      <c r="Y935" s="300"/>
      <c r="Z935" s="300"/>
      <c r="AA935" s="300"/>
      <c r="AB935" s="300"/>
      <c r="AC935" s="300"/>
    </row>
    <row r="936">
      <c r="A936" s="300"/>
      <c r="B936" s="300"/>
      <c r="C936" s="380"/>
      <c r="D936" s="300"/>
      <c r="E936" s="381"/>
      <c r="F936" s="382"/>
      <c r="G936" s="380"/>
      <c r="H936" s="300"/>
      <c r="I936" s="300"/>
      <c r="J936" s="300"/>
      <c r="K936" s="300"/>
      <c r="L936" s="383"/>
      <c r="M936" s="300"/>
      <c r="N936" s="384"/>
      <c r="O936" s="300"/>
      <c r="P936" s="300"/>
      <c r="Q936" s="300"/>
      <c r="R936" s="300"/>
      <c r="S936" s="300"/>
      <c r="T936" s="300"/>
      <c r="U936" s="300"/>
      <c r="V936" s="300"/>
      <c r="W936" s="300"/>
      <c r="X936" s="300"/>
      <c r="Y936" s="300"/>
      <c r="Z936" s="300"/>
      <c r="AA936" s="300"/>
      <c r="AB936" s="300"/>
      <c r="AC936" s="300"/>
    </row>
    <row r="937">
      <c r="A937" s="300"/>
      <c r="B937" s="300"/>
      <c r="C937" s="380"/>
      <c r="D937" s="300"/>
      <c r="E937" s="381"/>
      <c r="F937" s="382"/>
      <c r="G937" s="380"/>
      <c r="H937" s="300"/>
      <c r="I937" s="300"/>
      <c r="J937" s="300"/>
      <c r="K937" s="300"/>
      <c r="L937" s="383"/>
      <c r="M937" s="300"/>
      <c r="N937" s="384"/>
      <c r="O937" s="300"/>
      <c r="P937" s="300"/>
      <c r="Q937" s="300"/>
      <c r="R937" s="300"/>
      <c r="S937" s="300"/>
      <c r="T937" s="300"/>
      <c r="U937" s="300"/>
      <c r="V937" s="300"/>
      <c r="W937" s="300"/>
      <c r="X937" s="300"/>
      <c r="Y937" s="300"/>
      <c r="Z937" s="300"/>
      <c r="AA937" s="300"/>
      <c r="AB937" s="300"/>
      <c r="AC937" s="300"/>
    </row>
    <row r="938">
      <c r="A938" s="300"/>
      <c r="B938" s="300"/>
      <c r="C938" s="380"/>
      <c r="D938" s="300"/>
      <c r="E938" s="381"/>
      <c r="F938" s="382"/>
      <c r="G938" s="380"/>
      <c r="H938" s="300"/>
      <c r="I938" s="300"/>
      <c r="J938" s="300"/>
      <c r="K938" s="300"/>
      <c r="L938" s="383"/>
      <c r="M938" s="300"/>
      <c r="N938" s="384"/>
      <c r="O938" s="300"/>
      <c r="P938" s="300"/>
      <c r="Q938" s="300"/>
      <c r="R938" s="300"/>
      <c r="S938" s="300"/>
      <c r="T938" s="300"/>
      <c r="U938" s="300"/>
      <c r="V938" s="300"/>
      <c r="W938" s="300"/>
      <c r="X938" s="300"/>
      <c r="Y938" s="300"/>
      <c r="Z938" s="300"/>
      <c r="AA938" s="300"/>
      <c r="AB938" s="300"/>
      <c r="AC938" s="300"/>
    </row>
    <row r="939">
      <c r="A939" s="300"/>
      <c r="B939" s="300"/>
      <c r="C939" s="380"/>
      <c r="D939" s="300"/>
      <c r="E939" s="381"/>
      <c r="F939" s="382"/>
      <c r="G939" s="380"/>
      <c r="H939" s="300"/>
      <c r="I939" s="300"/>
      <c r="J939" s="300"/>
      <c r="K939" s="300"/>
      <c r="L939" s="383"/>
      <c r="M939" s="300"/>
      <c r="N939" s="384"/>
      <c r="O939" s="300"/>
      <c r="P939" s="300"/>
      <c r="Q939" s="300"/>
      <c r="R939" s="300"/>
      <c r="S939" s="300"/>
      <c r="T939" s="300"/>
      <c r="U939" s="300"/>
      <c r="V939" s="300"/>
      <c r="W939" s="300"/>
      <c r="X939" s="300"/>
      <c r="Y939" s="300"/>
      <c r="Z939" s="300"/>
      <c r="AA939" s="300"/>
      <c r="AB939" s="300"/>
      <c r="AC939" s="300"/>
    </row>
    <row r="940">
      <c r="A940" s="300"/>
      <c r="B940" s="300"/>
      <c r="C940" s="380"/>
      <c r="D940" s="300"/>
      <c r="E940" s="381"/>
      <c r="F940" s="382"/>
      <c r="G940" s="380"/>
      <c r="H940" s="300"/>
      <c r="I940" s="300"/>
      <c r="J940" s="300"/>
      <c r="K940" s="300"/>
      <c r="L940" s="383"/>
      <c r="M940" s="300"/>
      <c r="N940" s="384"/>
      <c r="O940" s="300"/>
      <c r="P940" s="300"/>
      <c r="Q940" s="300"/>
      <c r="R940" s="300"/>
      <c r="S940" s="300"/>
      <c r="T940" s="300"/>
      <c r="U940" s="300"/>
      <c r="V940" s="300"/>
      <c r="W940" s="300"/>
      <c r="X940" s="300"/>
      <c r="Y940" s="300"/>
      <c r="Z940" s="300"/>
      <c r="AA940" s="300"/>
      <c r="AB940" s="300"/>
      <c r="AC940" s="300"/>
    </row>
    <row r="941">
      <c r="A941" s="300"/>
      <c r="B941" s="300"/>
      <c r="C941" s="380"/>
      <c r="D941" s="300"/>
      <c r="E941" s="381"/>
      <c r="F941" s="382"/>
      <c r="G941" s="380"/>
      <c r="H941" s="300"/>
      <c r="I941" s="300"/>
      <c r="J941" s="300"/>
      <c r="K941" s="300"/>
      <c r="L941" s="383"/>
      <c r="M941" s="300"/>
      <c r="N941" s="384"/>
      <c r="O941" s="300"/>
      <c r="P941" s="300"/>
      <c r="Q941" s="300"/>
      <c r="R941" s="300"/>
      <c r="S941" s="300"/>
      <c r="T941" s="300"/>
      <c r="U941" s="300"/>
      <c r="V941" s="300"/>
      <c r="W941" s="300"/>
      <c r="X941" s="300"/>
      <c r="Y941" s="300"/>
      <c r="Z941" s="300"/>
      <c r="AA941" s="300"/>
      <c r="AB941" s="300"/>
      <c r="AC941" s="300"/>
    </row>
    <row r="942">
      <c r="A942" s="300"/>
      <c r="B942" s="300"/>
      <c r="C942" s="380"/>
      <c r="D942" s="300"/>
      <c r="E942" s="381"/>
      <c r="F942" s="382"/>
      <c r="G942" s="380"/>
      <c r="H942" s="300"/>
      <c r="I942" s="300"/>
      <c r="J942" s="300"/>
      <c r="K942" s="300"/>
      <c r="L942" s="383"/>
      <c r="M942" s="300"/>
      <c r="N942" s="384"/>
      <c r="O942" s="300"/>
      <c r="P942" s="300"/>
      <c r="Q942" s="300"/>
      <c r="R942" s="300"/>
      <c r="S942" s="300"/>
      <c r="T942" s="300"/>
      <c r="U942" s="300"/>
      <c r="V942" s="300"/>
      <c r="W942" s="300"/>
      <c r="X942" s="300"/>
      <c r="Y942" s="300"/>
      <c r="Z942" s="300"/>
      <c r="AA942" s="300"/>
      <c r="AB942" s="300"/>
      <c r="AC942" s="300"/>
    </row>
    <row r="943">
      <c r="A943" s="300"/>
      <c r="B943" s="300"/>
      <c r="C943" s="380"/>
      <c r="D943" s="300"/>
      <c r="E943" s="381"/>
      <c r="F943" s="382"/>
      <c r="G943" s="380"/>
      <c r="H943" s="300"/>
      <c r="I943" s="300"/>
      <c r="J943" s="300"/>
      <c r="K943" s="300"/>
      <c r="L943" s="383"/>
      <c r="M943" s="300"/>
      <c r="N943" s="384"/>
      <c r="O943" s="300"/>
      <c r="P943" s="300"/>
      <c r="Q943" s="300"/>
      <c r="R943" s="300"/>
      <c r="S943" s="300"/>
      <c r="T943" s="300"/>
      <c r="U943" s="300"/>
      <c r="V943" s="300"/>
      <c r="W943" s="300"/>
      <c r="X943" s="300"/>
      <c r="Y943" s="300"/>
      <c r="Z943" s="300"/>
      <c r="AA943" s="300"/>
      <c r="AB943" s="300"/>
      <c r="AC943" s="300"/>
    </row>
    <row r="944">
      <c r="A944" s="300"/>
      <c r="B944" s="300"/>
      <c r="C944" s="380"/>
      <c r="D944" s="300"/>
      <c r="E944" s="381"/>
      <c r="F944" s="382"/>
      <c r="G944" s="380"/>
      <c r="H944" s="300"/>
      <c r="I944" s="300"/>
      <c r="J944" s="300"/>
      <c r="K944" s="300"/>
      <c r="L944" s="383"/>
      <c r="M944" s="300"/>
      <c r="N944" s="384"/>
      <c r="O944" s="300"/>
      <c r="P944" s="300"/>
      <c r="Q944" s="300"/>
      <c r="R944" s="300"/>
      <c r="S944" s="300"/>
      <c r="T944" s="300"/>
      <c r="U944" s="300"/>
      <c r="V944" s="300"/>
      <c r="W944" s="300"/>
      <c r="X944" s="300"/>
      <c r="Y944" s="300"/>
      <c r="Z944" s="300"/>
      <c r="AA944" s="300"/>
      <c r="AB944" s="300"/>
      <c r="AC944" s="300"/>
    </row>
    <row r="945">
      <c r="A945" s="300"/>
      <c r="B945" s="300"/>
      <c r="C945" s="380"/>
      <c r="D945" s="300"/>
      <c r="E945" s="381"/>
      <c r="F945" s="382"/>
      <c r="G945" s="380"/>
      <c r="H945" s="300"/>
      <c r="I945" s="300"/>
      <c r="J945" s="300"/>
      <c r="K945" s="300"/>
      <c r="L945" s="383"/>
      <c r="M945" s="300"/>
      <c r="N945" s="384"/>
      <c r="O945" s="300"/>
      <c r="P945" s="300"/>
      <c r="Q945" s="300"/>
      <c r="R945" s="300"/>
      <c r="S945" s="300"/>
      <c r="T945" s="300"/>
      <c r="U945" s="300"/>
      <c r="V945" s="300"/>
      <c r="W945" s="300"/>
      <c r="X945" s="300"/>
      <c r="Y945" s="300"/>
      <c r="Z945" s="300"/>
      <c r="AA945" s="300"/>
      <c r="AB945" s="300"/>
      <c r="AC945" s="300"/>
    </row>
    <row r="946">
      <c r="A946" s="300"/>
      <c r="B946" s="300"/>
      <c r="C946" s="380"/>
      <c r="D946" s="300"/>
      <c r="E946" s="381"/>
      <c r="F946" s="382"/>
      <c r="G946" s="380"/>
      <c r="H946" s="300"/>
      <c r="I946" s="300"/>
      <c r="J946" s="300"/>
      <c r="K946" s="300"/>
      <c r="L946" s="383"/>
      <c r="M946" s="300"/>
      <c r="N946" s="384"/>
      <c r="O946" s="300"/>
      <c r="P946" s="300"/>
      <c r="Q946" s="300"/>
      <c r="R946" s="300"/>
      <c r="S946" s="300"/>
      <c r="T946" s="300"/>
      <c r="U946" s="300"/>
      <c r="V946" s="300"/>
      <c r="W946" s="300"/>
      <c r="X946" s="300"/>
      <c r="Y946" s="300"/>
      <c r="Z946" s="300"/>
      <c r="AA946" s="300"/>
      <c r="AB946" s="300"/>
      <c r="AC946" s="300"/>
    </row>
    <row r="947">
      <c r="A947" s="300"/>
      <c r="B947" s="300"/>
      <c r="C947" s="380"/>
      <c r="D947" s="300"/>
      <c r="E947" s="381"/>
      <c r="F947" s="382"/>
      <c r="G947" s="380"/>
      <c r="H947" s="300"/>
      <c r="I947" s="300"/>
      <c r="J947" s="300"/>
      <c r="K947" s="300"/>
      <c r="L947" s="383"/>
      <c r="M947" s="300"/>
      <c r="N947" s="384"/>
      <c r="O947" s="300"/>
      <c r="P947" s="300"/>
      <c r="Q947" s="300"/>
      <c r="R947" s="300"/>
      <c r="S947" s="300"/>
      <c r="T947" s="300"/>
      <c r="U947" s="300"/>
      <c r="V947" s="300"/>
      <c r="W947" s="300"/>
      <c r="X947" s="300"/>
      <c r="Y947" s="300"/>
      <c r="Z947" s="300"/>
      <c r="AA947" s="300"/>
      <c r="AB947" s="300"/>
      <c r="AC947" s="300"/>
    </row>
    <row r="948">
      <c r="A948" s="300"/>
      <c r="B948" s="300"/>
      <c r="C948" s="380"/>
      <c r="D948" s="300"/>
      <c r="E948" s="381"/>
      <c r="F948" s="382"/>
      <c r="G948" s="380"/>
      <c r="H948" s="300"/>
      <c r="I948" s="300"/>
      <c r="J948" s="300"/>
      <c r="K948" s="300"/>
      <c r="L948" s="383"/>
      <c r="M948" s="300"/>
      <c r="N948" s="384"/>
      <c r="O948" s="300"/>
      <c r="P948" s="300"/>
      <c r="Q948" s="300"/>
      <c r="R948" s="300"/>
      <c r="S948" s="300"/>
      <c r="T948" s="300"/>
      <c r="U948" s="300"/>
      <c r="V948" s="300"/>
      <c r="W948" s="300"/>
      <c r="X948" s="300"/>
      <c r="Y948" s="300"/>
      <c r="Z948" s="300"/>
      <c r="AA948" s="300"/>
      <c r="AB948" s="300"/>
      <c r="AC948" s="300"/>
    </row>
    <row r="949">
      <c r="A949" s="300"/>
      <c r="B949" s="300"/>
      <c r="C949" s="380"/>
      <c r="D949" s="300"/>
      <c r="E949" s="381"/>
      <c r="F949" s="382"/>
      <c r="G949" s="380"/>
      <c r="H949" s="300"/>
      <c r="I949" s="300"/>
      <c r="J949" s="300"/>
      <c r="K949" s="300"/>
      <c r="L949" s="383"/>
      <c r="M949" s="300"/>
      <c r="N949" s="384"/>
      <c r="O949" s="300"/>
      <c r="P949" s="300"/>
      <c r="Q949" s="300"/>
      <c r="R949" s="300"/>
      <c r="S949" s="300"/>
      <c r="T949" s="300"/>
      <c r="U949" s="300"/>
      <c r="V949" s="300"/>
      <c r="W949" s="300"/>
      <c r="X949" s="300"/>
      <c r="Y949" s="300"/>
      <c r="Z949" s="300"/>
      <c r="AA949" s="300"/>
      <c r="AB949" s="300"/>
      <c r="AC949" s="300"/>
    </row>
    <row r="950">
      <c r="A950" s="300"/>
      <c r="B950" s="300"/>
      <c r="C950" s="380"/>
      <c r="D950" s="300"/>
      <c r="E950" s="381"/>
      <c r="F950" s="382"/>
      <c r="G950" s="380"/>
      <c r="H950" s="300"/>
      <c r="I950" s="300"/>
      <c r="J950" s="300"/>
      <c r="K950" s="300"/>
      <c r="L950" s="383"/>
      <c r="M950" s="300"/>
      <c r="N950" s="384"/>
      <c r="O950" s="300"/>
      <c r="P950" s="300"/>
      <c r="Q950" s="300"/>
      <c r="R950" s="300"/>
      <c r="S950" s="300"/>
      <c r="T950" s="300"/>
      <c r="U950" s="300"/>
      <c r="V950" s="300"/>
      <c r="W950" s="300"/>
      <c r="X950" s="300"/>
      <c r="Y950" s="300"/>
      <c r="Z950" s="300"/>
      <c r="AA950" s="300"/>
      <c r="AB950" s="300"/>
      <c r="AC950" s="300"/>
    </row>
    <row r="951">
      <c r="A951" s="300"/>
      <c r="B951" s="300"/>
      <c r="C951" s="380"/>
      <c r="D951" s="300"/>
      <c r="E951" s="381"/>
      <c r="F951" s="382"/>
      <c r="G951" s="380"/>
      <c r="H951" s="300"/>
      <c r="I951" s="300"/>
      <c r="J951" s="300"/>
      <c r="K951" s="300"/>
      <c r="L951" s="383"/>
      <c r="M951" s="300"/>
      <c r="N951" s="384"/>
      <c r="O951" s="300"/>
      <c r="P951" s="300"/>
      <c r="Q951" s="300"/>
      <c r="R951" s="300"/>
      <c r="S951" s="300"/>
      <c r="T951" s="300"/>
      <c r="U951" s="300"/>
      <c r="V951" s="300"/>
      <c r="W951" s="300"/>
      <c r="X951" s="300"/>
      <c r="Y951" s="300"/>
      <c r="Z951" s="300"/>
      <c r="AA951" s="300"/>
      <c r="AB951" s="300"/>
      <c r="AC951" s="300"/>
    </row>
    <row r="952">
      <c r="A952" s="300"/>
      <c r="B952" s="300"/>
      <c r="C952" s="380"/>
      <c r="D952" s="300"/>
      <c r="E952" s="381"/>
      <c r="F952" s="382"/>
      <c r="G952" s="380"/>
      <c r="H952" s="300"/>
      <c r="I952" s="300"/>
      <c r="J952" s="300"/>
      <c r="K952" s="300"/>
      <c r="L952" s="383"/>
      <c r="M952" s="300"/>
      <c r="N952" s="384"/>
      <c r="O952" s="300"/>
      <c r="P952" s="300"/>
      <c r="Q952" s="300"/>
      <c r="R952" s="300"/>
      <c r="S952" s="300"/>
      <c r="T952" s="300"/>
      <c r="U952" s="300"/>
      <c r="V952" s="300"/>
      <c r="W952" s="300"/>
      <c r="X952" s="300"/>
      <c r="Y952" s="300"/>
      <c r="Z952" s="300"/>
      <c r="AA952" s="300"/>
      <c r="AB952" s="300"/>
      <c r="AC952" s="300"/>
    </row>
    <row r="953">
      <c r="A953" s="300"/>
      <c r="B953" s="300"/>
      <c r="C953" s="380"/>
      <c r="D953" s="300"/>
      <c r="E953" s="381"/>
      <c r="F953" s="382"/>
      <c r="G953" s="380"/>
      <c r="H953" s="300"/>
      <c r="I953" s="300"/>
      <c r="J953" s="300"/>
      <c r="K953" s="300"/>
      <c r="L953" s="383"/>
      <c r="M953" s="300"/>
      <c r="N953" s="384"/>
      <c r="O953" s="300"/>
      <c r="P953" s="300"/>
      <c r="Q953" s="300"/>
      <c r="R953" s="300"/>
      <c r="S953" s="300"/>
      <c r="T953" s="300"/>
      <c r="U953" s="300"/>
      <c r="V953" s="300"/>
      <c r="W953" s="300"/>
      <c r="X953" s="300"/>
      <c r="Y953" s="300"/>
      <c r="Z953" s="300"/>
      <c r="AA953" s="300"/>
      <c r="AB953" s="300"/>
      <c r="AC953" s="300"/>
    </row>
    <row r="954">
      <c r="A954" s="300"/>
      <c r="B954" s="300"/>
      <c r="C954" s="380"/>
      <c r="D954" s="300"/>
      <c r="E954" s="381"/>
      <c r="F954" s="382"/>
      <c r="G954" s="380"/>
      <c r="H954" s="300"/>
      <c r="I954" s="300"/>
      <c r="J954" s="300"/>
      <c r="K954" s="300"/>
      <c r="L954" s="383"/>
      <c r="M954" s="300"/>
      <c r="N954" s="384"/>
      <c r="O954" s="300"/>
      <c r="P954" s="300"/>
      <c r="Q954" s="300"/>
      <c r="R954" s="300"/>
      <c r="S954" s="300"/>
      <c r="T954" s="300"/>
      <c r="U954" s="300"/>
      <c r="V954" s="300"/>
      <c r="W954" s="300"/>
      <c r="X954" s="300"/>
      <c r="Y954" s="300"/>
      <c r="Z954" s="300"/>
      <c r="AA954" s="300"/>
      <c r="AB954" s="300"/>
      <c r="AC954" s="300"/>
    </row>
    <row r="955">
      <c r="A955" s="300"/>
      <c r="B955" s="300"/>
      <c r="C955" s="380"/>
      <c r="D955" s="300"/>
      <c r="E955" s="381"/>
      <c r="F955" s="382"/>
      <c r="G955" s="380"/>
      <c r="H955" s="300"/>
      <c r="I955" s="300"/>
      <c r="J955" s="300"/>
      <c r="K955" s="300"/>
      <c r="L955" s="383"/>
      <c r="M955" s="300"/>
      <c r="N955" s="384"/>
      <c r="O955" s="300"/>
      <c r="P955" s="300"/>
      <c r="Q955" s="300"/>
      <c r="R955" s="300"/>
      <c r="S955" s="300"/>
      <c r="T955" s="300"/>
      <c r="U955" s="300"/>
      <c r="V955" s="300"/>
      <c r="W955" s="300"/>
      <c r="X955" s="300"/>
      <c r="Y955" s="300"/>
      <c r="Z955" s="300"/>
      <c r="AA955" s="300"/>
      <c r="AB955" s="300"/>
      <c r="AC955" s="300"/>
    </row>
    <row r="956">
      <c r="A956" s="300"/>
      <c r="B956" s="300"/>
      <c r="C956" s="380"/>
      <c r="D956" s="300"/>
      <c r="E956" s="381"/>
      <c r="F956" s="382"/>
      <c r="G956" s="380"/>
      <c r="H956" s="300"/>
      <c r="I956" s="300"/>
      <c r="J956" s="300"/>
      <c r="K956" s="300"/>
      <c r="L956" s="383"/>
      <c r="M956" s="300"/>
      <c r="N956" s="384"/>
      <c r="O956" s="300"/>
      <c r="P956" s="300"/>
      <c r="Q956" s="300"/>
      <c r="R956" s="300"/>
      <c r="S956" s="300"/>
      <c r="T956" s="300"/>
      <c r="U956" s="300"/>
      <c r="V956" s="300"/>
      <c r="W956" s="300"/>
      <c r="X956" s="300"/>
      <c r="Y956" s="300"/>
      <c r="Z956" s="300"/>
      <c r="AA956" s="300"/>
      <c r="AB956" s="300"/>
      <c r="AC956" s="300"/>
    </row>
    <row r="957">
      <c r="A957" s="300"/>
      <c r="B957" s="300"/>
      <c r="C957" s="380"/>
      <c r="D957" s="300"/>
      <c r="E957" s="381"/>
      <c r="F957" s="382"/>
      <c r="G957" s="380"/>
      <c r="H957" s="300"/>
      <c r="I957" s="300"/>
      <c r="J957" s="300"/>
      <c r="K957" s="300"/>
      <c r="L957" s="383"/>
      <c r="M957" s="300"/>
      <c r="N957" s="384"/>
      <c r="O957" s="300"/>
      <c r="P957" s="300"/>
      <c r="Q957" s="300"/>
      <c r="R957" s="300"/>
      <c r="S957" s="300"/>
      <c r="T957" s="300"/>
      <c r="U957" s="300"/>
      <c r="V957" s="300"/>
      <c r="W957" s="300"/>
      <c r="X957" s="300"/>
      <c r="Y957" s="300"/>
      <c r="Z957" s="300"/>
      <c r="AA957" s="300"/>
      <c r="AB957" s="300"/>
      <c r="AC957" s="300"/>
    </row>
    <row r="958">
      <c r="A958" s="300"/>
      <c r="B958" s="300"/>
      <c r="C958" s="380"/>
      <c r="D958" s="300"/>
      <c r="E958" s="381"/>
      <c r="F958" s="382"/>
      <c r="G958" s="380"/>
      <c r="H958" s="300"/>
      <c r="I958" s="300"/>
      <c r="J958" s="300"/>
      <c r="K958" s="300"/>
      <c r="L958" s="383"/>
      <c r="M958" s="300"/>
      <c r="N958" s="384"/>
      <c r="O958" s="300"/>
      <c r="P958" s="300"/>
      <c r="Q958" s="300"/>
      <c r="R958" s="300"/>
      <c r="S958" s="300"/>
      <c r="T958" s="300"/>
      <c r="U958" s="300"/>
      <c r="V958" s="300"/>
      <c r="W958" s="300"/>
      <c r="X958" s="300"/>
      <c r="Y958" s="300"/>
      <c r="Z958" s="300"/>
      <c r="AA958" s="300"/>
      <c r="AB958" s="300"/>
      <c r="AC958" s="300"/>
    </row>
    <row r="959">
      <c r="A959" s="300"/>
      <c r="B959" s="300"/>
      <c r="C959" s="380"/>
      <c r="D959" s="300"/>
      <c r="E959" s="381"/>
      <c r="F959" s="382"/>
      <c r="G959" s="380"/>
      <c r="H959" s="300"/>
      <c r="I959" s="300"/>
      <c r="J959" s="300"/>
      <c r="K959" s="300"/>
      <c r="L959" s="383"/>
      <c r="M959" s="300"/>
      <c r="N959" s="384"/>
      <c r="O959" s="300"/>
      <c r="P959" s="300"/>
      <c r="Q959" s="300"/>
      <c r="R959" s="300"/>
      <c r="S959" s="300"/>
      <c r="T959" s="300"/>
      <c r="U959" s="300"/>
      <c r="V959" s="300"/>
      <c r="W959" s="300"/>
      <c r="X959" s="300"/>
      <c r="Y959" s="300"/>
      <c r="Z959" s="300"/>
      <c r="AA959" s="300"/>
      <c r="AB959" s="300"/>
      <c r="AC959" s="300"/>
    </row>
    <row r="960">
      <c r="A960" s="300"/>
      <c r="B960" s="300"/>
      <c r="C960" s="380"/>
      <c r="D960" s="300"/>
      <c r="E960" s="381"/>
      <c r="F960" s="382"/>
      <c r="G960" s="380"/>
      <c r="H960" s="300"/>
      <c r="I960" s="300"/>
      <c r="J960" s="300"/>
      <c r="K960" s="300"/>
      <c r="L960" s="383"/>
      <c r="M960" s="300"/>
      <c r="N960" s="384"/>
      <c r="O960" s="300"/>
      <c r="P960" s="300"/>
      <c r="Q960" s="300"/>
      <c r="R960" s="300"/>
      <c r="S960" s="300"/>
      <c r="T960" s="300"/>
      <c r="U960" s="300"/>
      <c r="V960" s="300"/>
      <c r="W960" s="300"/>
      <c r="X960" s="300"/>
      <c r="Y960" s="300"/>
      <c r="Z960" s="300"/>
      <c r="AA960" s="300"/>
      <c r="AB960" s="300"/>
      <c r="AC960" s="300"/>
    </row>
    <row r="961">
      <c r="A961" s="300"/>
      <c r="B961" s="300"/>
      <c r="C961" s="380"/>
      <c r="D961" s="300"/>
      <c r="E961" s="381"/>
      <c r="F961" s="382"/>
      <c r="G961" s="380"/>
      <c r="H961" s="300"/>
      <c r="I961" s="300"/>
      <c r="J961" s="300"/>
      <c r="K961" s="300"/>
      <c r="L961" s="383"/>
      <c r="M961" s="300"/>
      <c r="N961" s="384"/>
      <c r="O961" s="300"/>
      <c r="P961" s="300"/>
      <c r="Q961" s="300"/>
      <c r="R961" s="300"/>
      <c r="S961" s="300"/>
      <c r="T961" s="300"/>
      <c r="U961" s="300"/>
      <c r="V961" s="300"/>
      <c r="W961" s="300"/>
      <c r="X961" s="300"/>
      <c r="Y961" s="300"/>
      <c r="Z961" s="300"/>
      <c r="AA961" s="300"/>
      <c r="AB961" s="300"/>
      <c r="AC961" s="300"/>
    </row>
    <row r="962">
      <c r="A962" s="300"/>
      <c r="B962" s="300"/>
      <c r="C962" s="380"/>
      <c r="D962" s="300"/>
      <c r="E962" s="381"/>
      <c r="F962" s="382"/>
      <c r="G962" s="380"/>
      <c r="H962" s="300"/>
      <c r="I962" s="300"/>
      <c r="J962" s="300"/>
      <c r="K962" s="300"/>
      <c r="L962" s="383"/>
      <c r="M962" s="300"/>
      <c r="N962" s="384"/>
      <c r="O962" s="300"/>
      <c r="P962" s="300"/>
      <c r="Q962" s="300"/>
      <c r="R962" s="300"/>
      <c r="S962" s="300"/>
      <c r="T962" s="300"/>
      <c r="U962" s="300"/>
      <c r="V962" s="300"/>
      <c r="W962" s="300"/>
      <c r="X962" s="300"/>
      <c r="Y962" s="300"/>
      <c r="Z962" s="300"/>
      <c r="AA962" s="300"/>
      <c r="AB962" s="300"/>
      <c r="AC962" s="300"/>
    </row>
    <row r="963">
      <c r="A963" s="300"/>
      <c r="B963" s="300"/>
      <c r="C963" s="380"/>
      <c r="D963" s="300"/>
      <c r="E963" s="381"/>
      <c r="F963" s="382"/>
      <c r="G963" s="380"/>
      <c r="H963" s="300"/>
      <c r="I963" s="300"/>
      <c r="J963" s="300"/>
      <c r="K963" s="300"/>
      <c r="L963" s="383"/>
      <c r="M963" s="300"/>
      <c r="N963" s="384"/>
      <c r="O963" s="300"/>
      <c r="P963" s="300"/>
      <c r="Q963" s="300"/>
      <c r="R963" s="300"/>
      <c r="S963" s="300"/>
      <c r="T963" s="300"/>
      <c r="U963" s="300"/>
      <c r="V963" s="300"/>
      <c r="W963" s="300"/>
      <c r="X963" s="300"/>
      <c r="Y963" s="300"/>
      <c r="Z963" s="300"/>
      <c r="AA963" s="300"/>
      <c r="AB963" s="300"/>
      <c r="AC963" s="300"/>
    </row>
    <row r="964">
      <c r="A964" s="300"/>
      <c r="B964" s="300"/>
      <c r="C964" s="380"/>
      <c r="D964" s="300"/>
      <c r="E964" s="381"/>
      <c r="F964" s="382"/>
      <c r="G964" s="380"/>
      <c r="H964" s="300"/>
      <c r="I964" s="300"/>
      <c r="J964" s="300"/>
      <c r="K964" s="300"/>
      <c r="L964" s="383"/>
      <c r="M964" s="300"/>
      <c r="N964" s="384"/>
      <c r="O964" s="300"/>
      <c r="P964" s="300"/>
      <c r="Q964" s="300"/>
      <c r="R964" s="300"/>
      <c r="S964" s="300"/>
      <c r="T964" s="300"/>
      <c r="U964" s="300"/>
      <c r="V964" s="300"/>
      <c r="W964" s="300"/>
      <c r="X964" s="300"/>
      <c r="Y964" s="300"/>
      <c r="Z964" s="300"/>
      <c r="AA964" s="300"/>
      <c r="AB964" s="300"/>
      <c r="AC964" s="300"/>
    </row>
    <row r="965">
      <c r="A965" s="300"/>
      <c r="B965" s="300"/>
      <c r="C965" s="380"/>
      <c r="D965" s="300"/>
      <c r="E965" s="381"/>
      <c r="F965" s="382"/>
      <c r="G965" s="380"/>
      <c r="H965" s="300"/>
      <c r="I965" s="300"/>
      <c r="J965" s="300"/>
      <c r="K965" s="300"/>
      <c r="L965" s="383"/>
      <c r="M965" s="300"/>
      <c r="N965" s="384"/>
      <c r="O965" s="300"/>
      <c r="P965" s="300"/>
      <c r="Q965" s="300"/>
      <c r="R965" s="300"/>
      <c r="S965" s="300"/>
      <c r="T965" s="300"/>
      <c r="U965" s="300"/>
      <c r="V965" s="300"/>
      <c r="W965" s="300"/>
      <c r="X965" s="300"/>
      <c r="Y965" s="300"/>
      <c r="Z965" s="300"/>
      <c r="AA965" s="300"/>
      <c r="AB965" s="300"/>
      <c r="AC965" s="300"/>
    </row>
    <row r="966">
      <c r="A966" s="300"/>
      <c r="B966" s="300"/>
      <c r="C966" s="380"/>
      <c r="D966" s="300"/>
      <c r="E966" s="381"/>
      <c r="F966" s="382"/>
      <c r="G966" s="380"/>
      <c r="H966" s="300"/>
      <c r="I966" s="300"/>
      <c r="J966" s="300"/>
      <c r="K966" s="300"/>
      <c r="L966" s="383"/>
      <c r="M966" s="300"/>
      <c r="N966" s="384"/>
      <c r="O966" s="300"/>
      <c r="P966" s="300"/>
      <c r="Q966" s="300"/>
      <c r="R966" s="300"/>
      <c r="S966" s="300"/>
      <c r="T966" s="300"/>
      <c r="U966" s="300"/>
      <c r="V966" s="300"/>
      <c r="W966" s="300"/>
      <c r="X966" s="300"/>
      <c r="Y966" s="300"/>
      <c r="Z966" s="300"/>
      <c r="AA966" s="300"/>
      <c r="AB966" s="300"/>
      <c r="AC966" s="300"/>
    </row>
    <row r="967">
      <c r="A967" s="300"/>
      <c r="B967" s="300"/>
      <c r="C967" s="380"/>
      <c r="D967" s="300"/>
      <c r="E967" s="381"/>
      <c r="F967" s="382"/>
      <c r="G967" s="380"/>
      <c r="H967" s="300"/>
      <c r="I967" s="300"/>
      <c r="J967" s="300"/>
      <c r="K967" s="300"/>
      <c r="L967" s="383"/>
      <c r="M967" s="300"/>
      <c r="N967" s="384"/>
      <c r="O967" s="300"/>
      <c r="P967" s="300"/>
      <c r="Q967" s="300"/>
      <c r="R967" s="300"/>
      <c r="S967" s="300"/>
      <c r="T967" s="300"/>
      <c r="U967" s="300"/>
      <c r="V967" s="300"/>
      <c r="W967" s="300"/>
      <c r="X967" s="300"/>
      <c r="Y967" s="300"/>
      <c r="Z967" s="300"/>
      <c r="AA967" s="300"/>
      <c r="AB967" s="300"/>
      <c r="AC967" s="300"/>
    </row>
    <row r="968">
      <c r="A968" s="300"/>
      <c r="B968" s="300"/>
      <c r="C968" s="380"/>
      <c r="D968" s="300"/>
      <c r="E968" s="381"/>
      <c r="F968" s="382"/>
      <c r="G968" s="380"/>
      <c r="H968" s="300"/>
      <c r="I968" s="300"/>
      <c r="J968" s="300"/>
      <c r="K968" s="300"/>
      <c r="L968" s="383"/>
      <c r="M968" s="300"/>
      <c r="N968" s="384"/>
      <c r="O968" s="300"/>
      <c r="P968" s="300"/>
      <c r="Q968" s="300"/>
      <c r="R968" s="300"/>
      <c r="S968" s="300"/>
      <c r="T968" s="300"/>
      <c r="U968" s="300"/>
      <c r="V968" s="300"/>
      <c r="W968" s="300"/>
      <c r="X968" s="300"/>
      <c r="Y968" s="300"/>
      <c r="Z968" s="300"/>
      <c r="AA968" s="300"/>
      <c r="AB968" s="300"/>
      <c r="AC968" s="300"/>
    </row>
    <row r="969">
      <c r="A969" s="300"/>
      <c r="B969" s="300"/>
      <c r="C969" s="380"/>
      <c r="D969" s="300"/>
      <c r="E969" s="381"/>
      <c r="F969" s="382"/>
      <c r="G969" s="380"/>
      <c r="H969" s="300"/>
      <c r="I969" s="300"/>
      <c r="J969" s="300"/>
      <c r="K969" s="300"/>
      <c r="L969" s="383"/>
      <c r="M969" s="300"/>
      <c r="N969" s="384"/>
      <c r="O969" s="300"/>
      <c r="P969" s="300"/>
      <c r="Q969" s="300"/>
      <c r="R969" s="300"/>
      <c r="S969" s="300"/>
      <c r="T969" s="300"/>
      <c r="U969" s="300"/>
      <c r="V969" s="300"/>
      <c r="W969" s="300"/>
      <c r="X969" s="300"/>
      <c r="Y969" s="300"/>
      <c r="Z969" s="300"/>
      <c r="AA969" s="300"/>
      <c r="AB969" s="300"/>
      <c r="AC969" s="300"/>
    </row>
    <row r="970">
      <c r="A970" s="300"/>
      <c r="B970" s="300"/>
      <c r="C970" s="380"/>
      <c r="D970" s="300"/>
      <c r="E970" s="381"/>
      <c r="F970" s="382"/>
      <c r="G970" s="380"/>
      <c r="H970" s="300"/>
      <c r="I970" s="300"/>
      <c r="J970" s="300"/>
      <c r="K970" s="300"/>
      <c r="L970" s="383"/>
      <c r="M970" s="300"/>
      <c r="N970" s="384"/>
      <c r="O970" s="300"/>
      <c r="P970" s="300"/>
      <c r="Q970" s="300"/>
      <c r="R970" s="300"/>
      <c r="S970" s="300"/>
      <c r="T970" s="300"/>
      <c r="U970" s="300"/>
      <c r="V970" s="300"/>
      <c r="W970" s="300"/>
      <c r="X970" s="300"/>
      <c r="Y970" s="300"/>
      <c r="Z970" s="300"/>
      <c r="AA970" s="300"/>
      <c r="AB970" s="300"/>
      <c r="AC970" s="300"/>
    </row>
    <row r="971">
      <c r="A971" s="300"/>
      <c r="B971" s="300"/>
      <c r="C971" s="380"/>
      <c r="D971" s="300"/>
      <c r="E971" s="381"/>
      <c r="F971" s="382"/>
      <c r="G971" s="380"/>
      <c r="H971" s="300"/>
      <c r="I971" s="300"/>
      <c r="J971" s="300"/>
      <c r="K971" s="300"/>
      <c r="L971" s="383"/>
      <c r="M971" s="300"/>
      <c r="N971" s="384"/>
      <c r="O971" s="300"/>
      <c r="P971" s="300"/>
      <c r="Q971" s="300"/>
      <c r="R971" s="300"/>
      <c r="S971" s="300"/>
      <c r="T971" s="300"/>
      <c r="U971" s="300"/>
      <c r="V971" s="300"/>
      <c r="W971" s="300"/>
      <c r="X971" s="300"/>
      <c r="Y971" s="300"/>
      <c r="Z971" s="300"/>
      <c r="AA971" s="300"/>
      <c r="AB971" s="300"/>
      <c r="AC971" s="300"/>
    </row>
    <row r="972">
      <c r="A972" s="300"/>
      <c r="B972" s="300"/>
      <c r="C972" s="380"/>
      <c r="D972" s="300"/>
      <c r="E972" s="381"/>
      <c r="F972" s="382"/>
      <c r="G972" s="380"/>
      <c r="H972" s="300"/>
      <c r="I972" s="300"/>
      <c r="J972" s="300"/>
      <c r="K972" s="300"/>
      <c r="L972" s="383"/>
      <c r="M972" s="300"/>
      <c r="N972" s="384"/>
      <c r="O972" s="300"/>
      <c r="P972" s="300"/>
      <c r="Q972" s="300"/>
      <c r="R972" s="300"/>
      <c r="S972" s="300"/>
      <c r="T972" s="300"/>
      <c r="U972" s="300"/>
      <c r="V972" s="300"/>
      <c r="W972" s="300"/>
      <c r="X972" s="300"/>
      <c r="Y972" s="300"/>
      <c r="Z972" s="300"/>
      <c r="AA972" s="300"/>
      <c r="AB972" s="300"/>
      <c r="AC972" s="300"/>
    </row>
    <row r="973">
      <c r="A973" s="300"/>
      <c r="B973" s="300"/>
      <c r="C973" s="380"/>
      <c r="D973" s="300"/>
      <c r="E973" s="381"/>
      <c r="F973" s="382"/>
      <c r="G973" s="380"/>
      <c r="H973" s="300"/>
      <c r="I973" s="300"/>
      <c r="J973" s="300"/>
      <c r="K973" s="300"/>
      <c r="L973" s="383"/>
      <c r="M973" s="300"/>
      <c r="N973" s="384"/>
      <c r="O973" s="300"/>
      <c r="P973" s="300"/>
      <c r="Q973" s="300"/>
      <c r="R973" s="300"/>
      <c r="S973" s="300"/>
      <c r="T973" s="300"/>
      <c r="U973" s="300"/>
      <c r="V973" s="300"/>
      <c r="W973" s="300"/>
      <c r="X973" s="300"/>
      <c r="Y973" s="300"/>
      <c r="Z973" s="300"/>
      <c r="AA973" s="300"/>
      <c r="AB973" s="300"/>
      <c r="AC973" s="300"/>
    </row>
    <row r="974">
      <c r="A974" s="300"/>
      <c r="B974" s="300"/>
      <c r="C974" s="380"/>
      <c r="D974" s="300"/>
      <c r="E974" s="381"/>
      <c r="F974" s="382"/>
      <c r="G974" s="380"/>
      <c r="H974" s="300"/>
      <c r="I974" s="300"/>
      <c r="J974" s="300"/>
      <c r="K974" s="300"/>
      <c r="L974" s="383"/>
      <c r="M974" s="300"/>
      <c r="N974" s="384"/>
      <c r="O974" s="300"/>
      <c r="P974" s="300"/>
      <c r="Q974" s="300"/>
      <c r="R974" s="300"/>
      <c r="S974" s="300"/>
      <c r="T974" s="300"/>
      <c r="U974" s="300"/>
      <c r="V974" s="300"/>
      <c r="W974" s="300"/>
      <c r="X974" s="300"/>
      <c r="Y974" s="300"/>
      <c r="Z974" s="300"/>
      <c r="AA974" s="300"/>
      <c r="AB974" s="300"/>
      <c r="AC974" s="300"/>
    </row>
    <row r="975">
      <c r="A975" s="300"/>
      <c r="B975" s="300"/>
      <c r="C975" s="380"/>
      <c r="D975" s="300"/>
      <c r="E975" s="381"/>
      <c r="F975" s="382"/>
      <c r="G975" s="380"/>
      <c r="H975" s="300"/>
      <c r="I975" s="300"/>
      <c r="J975" s="300"/>
      <c r="K975" s="300"/>
      <c r="L975" s="383"/>
      <c r="M975" s="300"/>
      <c r="N975" s="384"/>
      <c r="O975" s="300"/>
      <c r="P975" s="300"/>
      <c r="Q975" s="300"/>
      <c r="R975" s="300"/>
      <c r="S975" s="300"/>
      <c r="T975" s="300"/>
      <c r="U975" s="300"/>
      <c r="V975" s="300"/>
      <c r="W975" s="300"/>
      <c r="X975" s="300"/>
      <c r="Y975" s="300"/>
      <c r="Z975" s="300"/>
      <c r="AA975" s="300"/>
      <c r="AB975" s="300"/>
      <c r="AC975" s="300"/>
    </row>
    <row r="976">
      <c r="A976" s="300"/>
      <c r="B976" s="300"/>
      <c r="C976" s="380"/>
      <c r="D976" s="300"/>
      <c r="E976" s="381"/>
      <c r="F976" s="382"/>
      <c r="G976" s="380"/>
      <c r="H976" s="300"/>
      <c r="I976" s="300"/>
      <c r="J976" s="300"/>
      <c r="K976" s="300"/>
      <c r="L976" s="383"/>
      <c r="M976" s="300"/>
      <c r="N976" s="384"/>
      <c r="O976" s="300"/>
      <c r="P976" s="300"/>
      <c r="Q976" s="300"/>
      <c r="R976" s="300"/>
      <c r="S976" s="300"/>
      <c r="T976" s="300"/>
      <c r="U976" s="300"/>
      <c r="V976" s="300"/>
      <c r="W976" s="300"/>
      <c r="X976" s="300"/>
      <c r="Y976" s="300"/>
      <c r="Z976" s="300"/>
      <c r="AA976" s="300"/>
      <c r="AB976" s="300"/>
      <c r="AC976" s="300"/>
    </row>
    <row r="977">
      <c r="A977" s="300"/>
      <c r="B977" s="300"/>
      <c r="C977" s="380"/>
      <c r="D977" s="300"/>
      <c r="E977" s="381"/>
      <c r="F977" s="382"/>
      <c r="G977" s="380"/>
      <c r="H977" s="300"/>
      <c r="I977" s="300"/>
      <c r="J977" s="300"/>
      <c r="K977" s="300"/>
      <c r="L977" s="383"/>
      <c r="M977" s="300"/>
      <c r="N977" s="384"/>
      <c r="O977" s="300"/>
      <c r="P977" s="300"/>
      <c r="Q977" s="300"/>
      <c r="R977" s="300"/>
      <c r="S977" s="300"/>
      <c r="T977" s="300"/>
      <c r="U977" s="300"/>
      <c r="V977" s="300"/>
      <c r="W977" s="300"/>
      <c r="X977" s="300"/>
      <c r="Y977" s="300"/>
      <c r="Z977" s="300"/>
      <c r="AA977" s="300"/>
      <c r="AB977" s="300"/>
      <c r="AC977" s="300"/>
    </row>
    <row r="978">
      <c r="A978" s="300"/>
      <c r="B978" s="300"/>
      <c r="C978" s="380"/>
      <c r="D978" s="300"/>
      <c r="E978" s="381"/>
      <c r="F978" s="382"/>
      <c r="G978" s="380"/>
      <c r="H978" s="300"/>
      <c r="I978" s="300"/>
      <c r="J978" s="300"/>
      <c r="K978" s="300"/>
      <c r="L978" s="383"/>
      <c r="M978" s="300"/>
      <c r="N978" s="384"/>
      <c r="O978" s="300"/>
      <c r="P978" s="300"/>
      <c r="Q978" s="300"/>
      <c r="R978" s="300"/>
      <c r="S978" s="300"/>
      <c r="T978" s="300"/>
      <c r="U978" s="300"/>
      <c r="V978" s="300"/>
      <c r="W978" s="300"/>
      <c r="X978" s="300"/>
      <c r="Y978" s="300"/>
      <c r="Z978" s="300"/>
      <c r="AA978" s="300"/>
      <c r="AB978" s="300"/>
      <c r="AC978" s="300"/>
    </row>
    <row r="979">
      <c r="A979" s="300"/>
      <c r="B979" s="300"/>
      <c r="C979" s="380"/>
      <c r="D979" s="300"/>
      <c r="E979" s="381"/>
      <c r="F979" s="382"/>
      <c r="G979" s="380"/>
      <c r="H979" s="300"/>
      <c r="I979" s="300"/>
      <c r="J979" s="300"/>
      <c r="K979" s="300"/>
      <c r="L979" s="383"/>
      <c r="M979" s="300"/>
      <c r="N979" s="384"/>
      <c r="O979" s="300"/>
      <c r="P979" s="300"/>
      <c r="Q979" s="300"/>
      <c r="R979" s="300"/>
      <c r="S979" s="300"/>
      <c r="T979" s="300"/>
      <c r="U979" s="300"/>
      <c r="V979" s="300"/>
      <c r="W979" s="300"/>
      <c r="X979" s="300"/>
      <c r="Y979" s="300"/>
      <c r="Z979" s="300"/>
      <c r="AA979" s="300"/>
      <c r="AB979" s="300"/>
      <c r="AC979" s="300"/>
    </row>
    <row r="980">
      <c r="A980" s="300"/>
      <c r="B980" s="300"/>
      <c r="C980" s="380"/>
      <c r="D980" s="300"/>
      <c r="E980" s="381"/>
      <c r="F980" s="382"/>
      <c r="G980" s="380"/>
      <c r="H980" s="300"/>
      <c r="I980" s="300"/>
      <c r="J980" s="300"/>
      <c r="K980" s="300"/>
      <c r="L980" s="383"/>
      <c r="M980" s="300"/>
      <c r="N980" s="384"/>
      <c r="O980" s="300"/>
      <c r="P980" s="300"/>
      <c r="Q980" s="300"/>
      <c r="R980" s="300"/>
      <c r="S980" s="300"/>
      <c r="T980" s="300"/>
      <c r="U980" s="300"/>
      <c r="V980" s="300"/>
      <c r="W980" s="300"/>
      <c r="X980" s="300"/>
      <c r="Y980" s="300"/>
      <c r="Z980" s="300"/>
      <c r="AA980" s="300"/>
      <c r="AB980" s="300"/>
      <c r="AC980" s="300"/>
    </row>
    <row r="981">
      <c r="A981" s="300"/>
      <c r="B981" s="300"/>
      <c r="C981" s="380"/>
      <c r="D981" s="300"/>
      <c r="E981" s="381"/>
      <c r="F981" s="382"/>
      <c r="G981" s="380"/>
      <c r="H981" s="300"/>
      <c r="I981" s="300"/>
      <c r="J981" s="300"/>
      <c r="K981" s="300"/>
      <c r="L981" s="383"/>
      <c r="M981" s="300"/>
      <c r="N981" s="384"/>
      <c r="O981" s="300"/>
      <c r="P981" s="300"/>
      <c r="Q981" s="300"/>
      <c r="R981" s="300"/>
      <c r="S981" s="300"/>
      <c r="T981" s="300"/>
      <c r="U981" s="300"/>
      <c r="V981" s="300"/>
      <c r="W981" s="300"/>
      <c r="X981" s="300"/>
      <c r="Y981" s="300"/>
      <c r="Z981" s="300"/>
      <c r="AA981" s="300"/>
      <c r="AB981" s="300"/>
      <c r="AC981" s="300"/>
    </row>
    <row r="982">
      <c r="A982" s="300"/>
      <c r="B982" s="300"/>
      <c r="C982" s="380"/>
      <c r="D982" s="300"/>
      <c r="E982" s="381"/>
      <c r="F982" s="382"/>
      <c r="G982" s="380"/>
      <c r="H982" s="300"/>
      <c r="I982" s="300"/>
      <c r="J982" s="300"/>
      <c r="K982" s="300"/>
      <c r="L982" s="383"/>
      <c r="M982" s="300"/>
      <c r="N982" s="384"/>
      <c r="O982" s="300"/>
      <c r="P982" s="300"/>
      <c r="Q982" s="300"/>
      <c r="R982" s="300"/>
      <c r="S982" s="300"/>
      <c r="T982" s="300"/>
      <c r="U982" s="300"/>
      <c r="V982" s="300"/>
      <c r="W982" s="300"/>
      <c r="X982" s="300"/>
      <c r="Y982" s="300"/>
      <c r="Z982" s="300"/>
      <c r="AA982" s="300"/>
      <c r="AB982" s="300"/>
      <c r="AC982" s="300"/>
    </row>
    <row r="983">
      <c r="A983" s="300"/>
      <c r="B983" s="300"/>
      <c r="C983" s="380"/>
      <c r="D983" s="300"/>
      <c r="E983" s="381"/>
      <c r="F983" s="382"/>
      <c r="G983" s="380"/>
      <c r="H983" s="300"/>
      <c r="I983" s="300"/>
      <c r="J983" s="300"/>
      <c r="K983" s="300"/>
      <c r="L983" s="383"/>
      <c r="M983" s="300"/>
      <c r="N983" s="384"/>
      <c r="O983" s="300"/>
      <c r="P983" s="300"/>
      <c r="Q983" s="300"/>
      <c r="R983" s="300"/>
      <c r="S983" s="300"/>
      <c r="T983" s="300"/>
      <c r="U983" s="300"/>
      <c r="V983" s="300"/>
      <c r="W983" s="300"/>
      <c r="X983" s="300"/>
      <c r="Y983" s="300"/>
      <c r="Z983" s="300"/>
      <c r="AA983" s="300"/>
      <c r="AB983" s="300"/>
      <c r="AC983" s="300"/>
    </row>
    <row r="984">
      <c r="A984" s="300"/>
      <c r="B984" s="300"/>
      <c r="C984" s="380"/>
      <c r="D984" s="300"/>
      <c r="E984" s="381"/>
      <c r="F984" s="382"/>
      <c r="G984" s="380"/>
      <c r="H984" s="300"/>
      <c r="I984" s="300"/>
      <c r="J984" s="300"/>
      <c r="K984" s="300"/>
      <c r="L984" s="383"/>
      <c r="M984" s="300"/>
      <c r="N984" s="384"/>
      <c r="O984" s="300"/>
      <c r="P984" s="300"/>
      <c r="Q984" s="300"/>
      <c r="R984" s="300"/>
      <c r="S984" s="300"/>
      <c r="T984" s="300"/>
      <c r="U984" s="300"/>
      <c r="V984" s="300"/>
      <c r="W984" s="300"/>
      <c r="X984" s="300"/>
      <c r="Y984" s="300"/>
      <c r="Z984" s="300"/>
      <c r="AA984" s="300"/>
      <c r="AB984" s="300"/>
      <c r="AC984" s="300"/>
    </row>
    <row r="985">
      <c r="A985" s="300"/>
      <c r="B985" s="300"/>
      <c r="C985" s="380"/>
      <c r="D985" s="300"/>
      <c r="E985" s="381"/>
      <c r="F985" s="382"/>
      <c r="G985" s="380"/>
      <c r="H985" s="300"/>
      <c r="I985" s="300"/>
      <c r="J985" s="300"/>
      <c r="K985" s="300"/>
      <c r="L985" s="383"/>
      <c r="M985" s="300"/>
      <c r="N985" s="384"/>
      <c r="O985" s="300"/>
      <c r="P985" s="300"/>
      <c r="Q985" s="300"/>
      <c r="R985" s="300"/>
      <c r="S985" s="300"/>
      <c r="T985" s="300"/>
      <c r="U985" s="300"/>
      <c r="V985" s="300"/>
      <c r="W985" s="300"/>
      <c r="X985" s="300"/>
      <c r="Y985" s="300"/>
      <c r="Z985" s="300"/>
      <c r="AA985" s="300"/>
      <c r="AB985" s="300"/>
      <c r="AC985" s="300"/>
    </row>
    <row r="986">
      <c r="A986" s="300"/>
      <c r="B986" s="300"/>
      <c r="C986" s="380"/>
      <c r="D986" s="300"/>
      <c r="E986" s="381"/>
      <c r="F986" s="382"/>
      <c r="G986" s="380"/>
      <c r="H986" s="300"/>
      <c r="I986" s="300"/>
      <c r="J986" s="300"/>
      <c r="K986" s="300"/>
      <c r="L986" s="383"/>
      <c r="M986" s="300"/>
      <c r="N986" s="384"/>
      <c r="O986" s="300"/>
      <c r="P986" s="300"/>
      <c r="Q986" s="300"/>
      <c r="R986" s="300"/>
      <c r="S986" s="300"/>
      <c r="T986" s="300"/>
      <c r="U986" s="300"/>
      <c r="V986" s="300"/>
      <c r="W986" s="300"/>
      <c r="X986" s="300"/>
      <c r="Y986" s="300"/>
      <c r="Z986" s="300"/>
      <c r="AA986" s="300"/>
      <c r="AB986" s="300"/>
      <c r="AC986" s="300"/>
    </row>
    <row r="987">
      <c r="A987" s="300"/>
      <c r="B987" s="300"/>
      <c r="C987" s="380"/>
      <c r="D987" s="300"/>
      <c r="E987" s="381"/>
      <c r="F987" s="382"/>
      <c r="G987" s="380"/>
      <c r="H987" s="300"/>
      <c r="I987" s="300"/>
      <c r="J987" s="300"/>
      <c r="K987" s="300"/>
      <c r="L987" s="383"/>
      <c r="M987" s="300"/>
      <c r="N987" s="384"/>
      <c r="O987" s="300"/>
      <c r="P987" s="300"/>
      <c r="Q987" s="300"/>
      <c r="R987" s="300"/>
      <c r="S987" s="300"/>
      <c r="T987" s="300"/>
      <c r="U987" s="300"/>
      <c r="V987" s="300"/>
      <c r="W987" s="300"/>
      <c r="X987" s="300"/>
      <c r="Y987" s="300"/>
      <c r="Z987" s="300"/>
      <c r="AA987" s="300"/>
      <c r="AB987" s="300"/>
      <c r="AC987" s="300"/>
    </row>
    <row r="988">
      <c r="A988" s="300"/>
      <c r="B988" s="300"/>
      <c r="C988" s="380"/>
      <c r="D988" s="300"/>
      <c r="E988" s="381"/>
      <c r="F988" s="382"/>
      <c r="G988" s="380"/>
      <c r="H988" s="300"/>
      <c r="I988" s="300"/>
      <c r="J988" s="300"/>
      <c r="K988" s="300"/>
      <c r="L988" s="383"/>
      <c r="M988" s="300"/>
      <c r="N988" s="384"/>
      <c r="O988" s="300"/>
      <c r="P988" s="300"/>
      <c r="Q988" s="300"/>
      <c r="R988" s="300"/>
      <c r="S988" s="300"/>
      <c r="T988" s="300"/>
      <c r="U988" s="300"/>
      <c r="V988" s="300"/>
      <c r="W988" s="300"/>
      <c r="X988" s="300"/>
      <c r="Y988" s="300"/>
      <c r="Z988" s="300"/>
      <c r="AA988" s="300"/>
      <c r="AB988" s="300"/>
      <c r="AC988" s="300"/>
    </row>
    <row r="989">
      <c r="A989" s="300"/>
      <c r="B989" s="300"/>
      <c r="C989" s="380"/>
      <c r="D989" s="300"/>
      <c r="E989" s="381"/>
      <c r="F989" s="382"/>
      <c r="G989" s="380"/>
      <c r="H989" s="300"/>
      <c r="I989" s="300"/>
      <c r="J989" s="300"/>
      <c r="K989" s="300"/>
      <c r="L989" s="383"/>
      <c r="M989" s="300"/>
      <c r="N989" s="384"/>
      <c r="O989" s="300"/>
      <c r="P989" s="300"/>
      <c r="Q989" s="300"/>
      <c r="R989" s="300"/>
      <c r="S989" s="300"/>
      <c r="T989" s="300"/>
      <c r="U989" s="300"/>
      <c r="V989" s="300"/>
      <c r="W989" s="300"/>
      <c r="X989" s="300"/>
      <c r="Y989" s="300"/>
      <c r="Z989" s="300"/>
      <c r="AA989" s="300"/>
      <c r="AB989" s="300"/>
      <c r="AC989" s="300"/>
    </row>
    <row r="990">
      <c r="A990" s="300"/>
      <c r="B990" s="300"/>
      <c r="C990" s="380"/>
      <c r="D990" s="300"/>
      <c r="E990" s="381"/>
      <c r="F990" s="382"/>
      <c r="G990" s="380"/>
      <c r="H990" s="300"/>
      <c r="I990" s="300"/>
      <c r="J990" s="300"/>
      <c r="K990" s="300"/>
      <c r="L990" s="383"/>
      <c r="M990" s="300"/>
      <c r="N990" s="384"/>
      <c r="O990" s="300"/>
      <c r="P990" s="300"/>
      <c r="Q990" s="300"/>
      <c r="R990" s="300"/>
      <c r="S990" s="300"/>
      <c r="T990" s="300"/>
      <c r="U990" s="300"/>
      <c r="V990" s="300"/>
      <c r="W990" s="300"/>
      <c r="X990" s="300"/>
      <c r="Y990" s="300"/>
      <c r="Z990" s="300"/>
      <c r="AA990" s="300"/>
      <c r="AB990" s="300"/>
      <c r="AC990" s="300"/>
    </row>
    <row r="991">
      <c r="A991" s="300"/>
      <c r="B991" s="300"/>
      <c r="C991" s="380"/>
      <c r="D991" s="300"/>
      <c r="E991" s="381"/>
      <c r="F991" s="382"/>
      <c r="G991" s="380"/>
      <c r="H991" s="300"/>
      <c r="I991" s="300"/>
      <c r="J991" s="300"/>
      <c r="K991" s="300"/>
      <c r="L991" s="383"/>
      <c r="M991" s="300"/>
      <c r="N991" s="384"/>
      <c r="O991" s="300"/>
      <c r="P991" s="300"/>
      <c r="Q991" s="300"/>
      <c r="R991" s="300"/>
      <c r="S991" s="300"/>
      <c r="T991" s="300"/>
      <c r="U991" s="300"/>
      <c r="V991" s="300"/>
      <c r="W991" s="300"/>
      <c r="X991" s="300"/>
      <c r="Y991" s="300"/>
      <c r="Z991" s="300"/>
      <c r="AA991" s="300"/>
      <c r="AB991" s="300"/>
      <c r="AC991" s="300"/>
    </row>
    <row r="992">
      <c r="A992" s="300"/>
      <c r="B992" s="300"/>
      <c r="C992" s="380"/>
      <c r="D992" s="300"/>
      <c r="E992" s="381"/>
      <c r="F992" s="382"/>
      <c r="G992" s="380"/>
      <c r="H992" s="300"/>
      <c r="I992" s="300"/>
      <c r="J992" s="300"/>
      <c r="K992" s="300"/>
      <c r="L992" s="383"/>
      <c r="M992" s="300"/>
      <c r="N992" s="384"/>
      <c r="O992" s="300"/>
      <c r="P992" s="300"/>
      <c r="Q992" s="300"/>
      <c r="R992" s="300"/>
      <c r="S992" s="300"/>
      <c r="T992" s="300"/>
      <c r="U992" s="300"/>
      <c r="V992" s="300"/>
      <c r="W992" s="300"/>
      <c r="X992" s="300"/>
      <c r="Y992" s="300"/>
      <c r="Z992" s="300"/>
      <c r="AA992" s="300"/>
      <c r="AB992" s="300"/>
      <c r="AC992" s="300"/>
    </row>
    <row r="993">
      <c r="A993" s="300"/>
      <c r="B993" s="300"/>
      <c r="C993" s="380"/>
      <c r="D993" s="300"/>
      <c r="E993" s="381"/>
      <c r="F993" s="382"/>
      <c r="G993" s="380"/>
      <c r="H993" s="300"/>
      <c r="I993" s="300"/>
      <c r="J993" s="300"/>
      <c r="K993" s="300"/>
      <c r="L993" s="383"/>
      <c r="M993" s="300"/>
      <c r="N993" s="384"/>
      <c r="O993" s="300"/>
      <c r="P993" s="300"/>
      <c r="Q993" s="300"/>
      <c r="R993" s="300"/>
      <c r="S993" s="300"/>
      <c r="T993" s="300"/>
      <c r="U993" s="300"/>
      <c r="V993" s="300"/>
      <c r="W993" s="300"/>
      <c r="X993" s="300"/>
      <c r="Y993" s="300"/>
      <c r="Z993" s="300"/>
      <c r="AA993" s="300"/>
      <c r="AB993" s="300"/>
      <c r="AC993" s="300"/>
    </row>
    <row r="994">
      <c r="A994" s="300"/>
      <c r="B994" s="300"/>
      <c r="C994" s="380"/>
      <c r="D994" s="300"/>
      <c r="E994" s="381"/>
      <c r="F994" s="382"/>
      <c r="G994" s="380"/>
      <c r="H994" s="300"/>
      <c r="I994" s="300"/>
      <c r="J994" s="300"/>
      <c r="K994" s="300"/>
      <c r="L994" s="383"/>
      <c r="M994" s="300"/>
      <c r="N994" s="384"/>
      <c r="O994" s="300"/>
      <c r="P994" s="300"/>
      <c r="Q994" s="300"/>
      <c r="R994" s="300"/>
      <c r="S994" s="300"/>
      <c r="T994" s="300"/>
      <c r="U994" s="300"/>
      <c r="V994" s="300"/>
      <c r="W994" s="300"/>
      <c r="X994" s="300"/>
      <c r="Y994" s="300"/>
      <c r="Z994" s="300"/>
      <c r="AA994" s="300"/>
      <c r="AB994" s="300"/>
      <c r="AC994" s="300"/>
    </row>
    <row r="995">
      <c r="A995" s="300"/>
      <c r="B995" s="300"/>
      <c r="C995" s="380"/>
      <c r="D995" s="300"/>
      <c r="E995" s="381"/>
      <c r="F995" s="382"/>
      <c r="G995" s="380"/>
      <c r="H995" s="300"/>
      <c r="I995" s="300"/>
      <c r="J995" s="300"/>
      <c r="K995" s="300"/>
      <c r="L995" s="383"/>
      <c r="M995" s="300"/>
      <c r="N995" s="384"/>
      <c r="O995" s="300"/>
      <c r="P995" s="300"/>
      <c r="Q995" s="300"/>
      <c r="R995" s="300"/>
      <c r="S995" s="300"/>
      <c r="T995" s="300"/>
      <c r="U995" s="300"/>
      <c r="V995" s="300"/>
      <c r="W995" s="300"/>
      <c r="X995" s="300"/>
      <c r="Y995" s="300"/>
      <c r="Z995" s="300"/>
      <c r="AA995" s="300"/>
      <c r="AB995" s="300"/>
      <c r="AC995" s="300"/>
    </row>
    <row r="996">
      <c r="A996" s="300"/>
      <c r="B996" s="300"/>
      <c r="C996" s="380"/>
      <c r="D996" s="300"/>
      <c r="E996" s="381"/>
      <c r="F996" s="382"/>
      <c r="G996" s="380"/>
      <c r="H996" s="300"/>
      <c r="I996" s="300"/>
      <c r="J996" s="300"/>
      <c r="K996" s="300"/>
      <c r="L996" s="383"/>
      <c r="M996" s="300"/>
      <c r="N996" s="384"/>
      <c r="O996" s="300"/>
      <c r="P996" s="300"/>
      <c r="Q996" s="300"/>
      <c r="R996" s="300"/>
      <c r="S996" s="300"/>
      <c r="T996" s="300"/>
      <c r="U996" s="300"/>
      <c r="V996" s="300"/>
      <c r="W996" s="300"/>
      <c r="X996" s="300"/>
      <c r="Y996" s="300"/>
      <c r="Z996" s="300"/>
      <c r="AA996" s="300"/>
      <c r="AB996" s="300"/>
      <c r="AC996" s="300"/>
    </row>
    <row r="997">
      <c r="A997" s="300"/>
      <c r="B997" s="300"/>
      <c r="C997" s="380"/>
      <c r="D997" s="300"/>
      <c r="E997" s="381"/>
      <c r="F997" s="382"/>
      <c r="G997" s="380"/>
      <c r="H997" s="300"/>
      <c r="I997" s="300"/>
      <c r="J997" s="300"/>
      <c r="K997" s="300"/>
      <c r="L997" s="383"/>
      <c r="M997" s="300"/>
      <c r="N997" s="384"/>
      <c r="O997" s="300"/>
      <c r="P997" s="300"/>
      <c r="Q997" s="300"/>
      <c r="R997" s="300"/>
      <c r="S997" s="300"/>
      <c r="T997" s="300"/>
      <c r="U997" s="300"/>
      <c r="V997" s="300"/>
      <c r="W997" s="300"/>
      <c r="X997" s="300"/>
      <c r="Y997" s="300"/>
      <c r="Z997" s="300"/>
      <c r="AA997" s="300"/>
      <c r="AB997" s="300"/>
      <c r="AC997" s="300"/>
    </row>
    <row r="998">
      <c r="A998" s="300"/>
      <c r="B998" s="300"/>
      <c r="C998" s="380"/>
      <c r="D998" s="300"/>
      <c r="E998" s="381"/>
      <c r="F998" s="382"/>
      <c r="G998" s="380"/>
      <c r="H998" s="300"/>
      <c r="I998" s="300"/>
      <c r="J998" s="300"/>
      <c r="K998" s="300"/>
      <c r="L998" s="383"/>
      <c r="M998" s="300"/>
      <c r="N998" s="384"/>
      <c r="O998" s="300"/>
      <c r="P998" s="300"/>
      <c r="Q998" s="300"/>
      <c r="R998" s="300"/>
      <c r="S998" s="300"/>
      <c r="T998" s="300"/>
      <c r="U998" s="300"/>
      <c r="V998" s="300"/>
      <c r="W998" s="300"/>
      <c r="X998" s="300"/>
      <c r="Y998" s="300"/>
      <c r="Z998" s="300"/>
      <c r="AA998" s="300"/>
      <c r="AB998" s="300"/>
      <c r="AC998" s="300"/>
    </row>
    <row r="999">
      <c r="A999" s="300"/>
      <c r="B999" s="300"/>
      <c r="C999" s="380"/>
      <c r="D999" s="300"/>
      <c r="E999" s="381"/>
      <c r="F999" s="382"/>
      <c r="G999" s="380"/>
      <c r="H999" s="300"/>
      <c r="I999" s="300"/>
      <c r="J999" s="300"/>
      <c r="K999" s="300"/>
      <c r="L999" s="383"/>
      <c r="M999" s="300"/>
      <c r="N999" s="384"/>
      <c r="O999" s="300"/>
      <c r="P999" s="300"/>
      <c r="Q999" s="300"/>
      <c r="R999" s="300"/>
      <c r="S999" s="300"/>
      <c r="T999" s="300"/>
      <c r="U999" s="300"/>
      <c r="V999" s="300"/>
      <c r="W999" s="300"/>
      <c r="X999" s="300"/>
      <c r="Y999" s="300"/>
      <c r="Z999" s="300"/>
      <c r="AA999" s="300"/>
      <c r="AB999" s="300"/>
      <c r="AC999" s="300"/>
    </row>
    <row r="1000">
      <c r="A1000" s="300"/>
      <c r="B1000" s="300"/>
      <c r="C1000" s="380"/>
      <c r="D1000" s="300"/>
      <c r="E1000" s="381"/>
      <c r="F1000" s="382"/>
      <c r="G1000" s="380"/>
      <c r="H1000" s="300"/>
      <c r="I1000" s="300"/>
      <c r="J1000" s="300"/>
      <c r="K1000" s="300"/>
      <c r="L1000" s="383"/>
      <c r="M1000" s="300"/>
      <c r="N1000" s="384"/>
      <c r="O1000" s="300"/>
      <c r="P1000" s="300"/>
      <c r="Q1000" s="300"/>
      <c r="R1000" s="300"/>
      <c r="S1000" s="300"/>
      <c r="T1000" s="300"/>
      <c r="U1000" s="300"/>
      <c r="V1000" s="300"/>
      <c r="W1000" s="300"/>
      <c r="X1000" s="300"/>
      <c r="Y1000" s="300"/>
      <c r="Z1000" s="300"/>
      <c r="AA1000" s="300"/>
      <c r="AB1000" s="300"/>
      <c r="AC1000" s="300"/>
    </row>
    <row r="1001">
      <c r="A1001" s="300"/>
      <c r="B1001" s="300"/>
      <c r="C1001" s="380"/>
      <c r="D1001" s="300"/>
      <c r="E1001" s="381"/>
      <c r="F1001" s="382"/>
      <c r="G1001" s="380"/>
      <c r="H1001" s="300"/>
      <c r="I1001" s="300"/>
      <c r="J1001" s="300"/>
      <c r="K1001" s="300"/>
      <c r="L1001" s="383"/>
      <c r="M1001" s="300"/>
      <c r="N1001" s="384"/>
      <c r="O1001" s="300"/>
      <c r="P1001" s="300"/>
      <c r="Q1001" s="300"/>
      <c r="R1001" s="300"/>
      <c r="S1001" s="300"/>
      <c r="T1001" s="300"/>
      <c r="U1001" s="300"/>
      <c r="V1001" s="300"/>
      <c r="W1001" s="300"/>
      <c r="X1001" s="300"/>
      <c r="Y1001" s="300"/>
      <c r="Z1001" s="300"/>
      <c r="AA1001" s="300"/>
      <c r="AB1001" s="300"/>
      <c r="AC1001" s="300"/>
    </row>
    <row r="1002">
      <c r="A1002" s="300"/>
      <c r="B1002" s="300"/>
      <c r="C1002" s="380"/>
      <c r="D1002" s="300"/>
      <c r="E1002" s="381"/>
      <c r="F1002" s="382"/>
      <c r="G1002" s="380"/>
      <c r="H1002" s="300"/>
      <c r="I1002" s="300"/>
      <c r="J1002" s="300"/>
      <c r="K1002" s="300"/>
      <c r="L1002" s="383"/>
      <c r="M1002" s="300"/>
      <c r="N1002" s="384"/>
      <c r="O1002" s="300"/>
      <c r="P1002" s="300"/>
      <c r="Q1002" s="300"/>
      <c r="R1002" s="300"/>
      <c r="S1002" s="300"/>
      <c r="T1002" s="300"/>
      <c r="U1002" s="300"/>
      <c r="V1002" s="300"/>
      <c r="W1002" s="300"/>
      <c r="X1002" s="300"/>
      <c r="Y1002" s="300"/>
      <c r="Z1002" s="300"/>
      <c r="AA1002" s="300"/>
      <c r="AB1002" s="300"/>
      <c r="AC1002" s="300"/>
    </row>
    <row r="1003">
      <c r="A1003" s="300"/>
      <c r="B1003" s="300"/>
      <c r="C1003" s="380"/>
      <c r="D1003" s="300"/>
      <c r="E1003" s="381"/>
      <c r="F1003" s="382"/>
      <c r="G1003" s="380"/>
      <c r="H1003" s="300"/>
      <c r="I1003" s="300"/>
      <c r="J1003" s="300"/>
      <c r="K1003" s="300"/>
      <c r="L1003" s="383"/>
      <c r="M1003" s="300"/>
      <c r="N1003" s="384"/>
      <c r="O1003" s="300"/>
      <c r="P1003" s="300"/>
      <c r="Q1003" s="300"/>
      <c r="R1003" s="300"/>
      <c r="S1003" s="300"/>
      <c r="T1003" s="300"/>
      <c r="U1003" s="300"/>
      <c r="V1003" s="300"/>
      <c r="W1003" s="300"/>
      <c r="X1003" s="300"/>
      <c r="Y1003" s="300"/>
      <c r="Z1003" s="300"/>
      <c r="AA1003" s="300"/>
      <c r="AB1003" s="300"/>
      <c r="AC1003" s="300"/>
    </row>
    <row r="1004">
      <c r="A1004" s="300"/>
      <c r="B1004" s="300"/>
      <c r="C1004" s="380"/>
      <c r="D1004" s="300"/>
      <c r="E1004" s="381"/>
      <c r="F1004" s="382"/>
      <c r="G1004" s="380"/>
      <c r="H1004" s="300"/>
      <c r="I1004" s="300"/>
      <c r="J1004" s="300"/>
      <c r="K1004" s="300"/>
      <c r="L1004" s="383"/>
      <c r="M1004" s="300"/>
      <c r="N1004" s="384"/>
      <c r="O1004" s="300"/>
      <c r="P1004" s="300"/>
      <c r="Q1004" s="300"/>
      <c r="R1004" s="300"/>
      <c r="S1004" s="300"/>
      <c r="T1004" s="300"/>
      <c r="U1004" s="300"/>
      <c r="V1004" s="300"/>
      <c r="W1004" s="300"/>
      <c r="X1004" s="300"/>
      <c r="Y1004" s="300"/>
      <c r="Z1004" s="300"/>
      <c r="AA1004" s="300"/>
      <c r="AB1004" s="300"/>
      <c r="AC1004" s="300"/>
    </row>
    <row r="1005">
      <c r="A1005" s="300"/>
      <c r="B1005" s="300"/>
      <c r="C1005" s="380"/>
      <c r="D1005" s="300"/>
      <c r="E1005" s="381"/>
      <c r="F1005" s="382"/>
      <c r="G1005" s="380"/>
      <c r="H1005" s="300"/>
      <c r="I1005" s="300"/>
      <c r="J1005" s="300"/>
      <c r="K1005" s="300"/>
      <c r="L1005" s="383"/>
      <c r="M1005" s="300"/>
      <c r="N1005" s="384"/>
      <c r="O1005" s="300"/>
      <c r="P1005" s="300"/>
      <c r="Q1005" s="300"/>
      <c r="R1005" s="300"/>
      <c r="S1005" s="300"/>
      <c r="T1005" s="300"/>
      <c r="U1005" s="300"/>
      <c r="V1005" s="300"/>
      <c r="W1005" s="300"/>
      <c r="X1005" s="300"/>
      <c r="Y1005" s="300"/>
      <c r="Z1005" s="300"/>
      <c r="AA1005" s="300"/>
      <c r="AB1005" s="300"/>
      <c r="AC1005" s="300"/>
    </row>
    <row r="1006">
      <c r="A1006" s="300"/>
      <c r="B1006" s="300"/>
      <c r="C1006" s="380"/>
      <c r="D1006" s="300"/>
      <c r="E1006" s="381"/>
      <c r="F1006" s="382"/>
      <c r="G1006" s="380"/>
      <c r="H1006" s="300"/>
      <c r="I1006" s="300"/>
      <c r="J1006" s="300"/>
      <c r="K1006" s="300"/>
      <c r="L1006" s="383"/>
      <c r="M1006" s="300"/>
      <c r="N1006" s="384"/>
      <c r="O1006" s="300"/>
      <c r="P1006" s="300"/>
      <c r="Q1006" s="300"/>
      <c r="R1006" s="300"/>
      <c r="S1006" s="300"/>
      <c r="T1006" s="300"/>
      <c r="U1006" s="300"/>
      <c r="V1006" s="300"/>
      <c r="W1006" s="300"/>
      <c r="X1006" s="300"/>
      <c r="Y1006" s="300"/>
      <c r="Z1006" s="300"/>
      <c r="AA1006" s="300"/>
      <c r="AB1006" s="300"/>
      <c r="AC1006" s="300"/>
    </row>
    <row r="1007">
      <c r="A1007" s="300"/>
      <c r="B1007" s="300"/>
      <c r="C1007" s="380"/>
      <c r="D1007" s="300"/>
      <c r="E1007" s="381"/>
      <c r="F1007" s="382"/>
      <c r="G1007" s="380"/>
      <c r="H1007" s="300"/>
      <c r="I1007" s="300"/>
      <c r="J1007" s="300"/>
      <c r="K1007" s="300"/>
      <c r="L1007" s="383"/>
      <c r="M1007" s="300"/>
      <c r="N1007" s="384"/>
      <c r="O1007" s="300"/>
      <c r="P1007" s="300"/>
      <c r="Q1007" s="300"/>
      <c r="R1007" s="300"/>
      <c r="S1007" s="300"/>
      <c r="T1007" s="300"/>
      <c r="U1007" s="300"/>
      <c r="V1007" s="300"/>
      <c r="W1007" s="300"/>
      <c r="X1007" s="300"/>
      <c r="Y1007" s="300"/>
      <c r="Z1007" s="300"/>
      <c r="AA1007" s="300"/>
      <c r="AB1007" s="300"/>
      <c r="AC1007" s="300"/>
    </row>
    <row r="1008">
      <c r="A1008" s="300"/>
      <c r="B1008" s="300"/>
      <c r="C1008" s="380"/>
      <c r="D1008" s="300"/>
      <c r="E1008" s="381"/>
      <c r="F1008" s="382"/>
      <c r="G1008" s="380"/>
      <c r="H1008" s="300"/>
      <c r="I1008" s="300"/>
      <c r="J1008" s="300"/>
      <c r="K1008" s="300"/>
      <c r="L1008" s="383"/>
      <c r="M1008" s="300"/>
      <c r="N1008" s="384"/>
      <c r="O1008" s="300"/>
      <c r="P1008" s="300"/>
      <c r="Q1008" s="300"/>
      <c r="R1008" s="300"/>
      <c r="S1008" s="300"/>
      <c r="T1008" s="300"/>
      <c r="U1008" s="300"/>
      <c r="V1008" s="300"/>
      <c r="W1008" s="300"/>
      <c r="X1008" s="300"/>
      <c r="Y1008" s="300"/>
      <c r="Z1008" s="300"/>
      <c r="AA1008" s="300"/>
      <c r="AB1008" s="300"/>
      <c r="AC1008" s="300"/>
    </row>
    <row r="1009">
      <c r="A1009" s="300"/>
      <c r="B1009" s="300"/>
      <c r="C1009" s="380"/>
      <c r="D1009" s="300"/>
      <c r="E1009" s="381"/>
      <c r="F1009" s="382"/>
      <c r="G1009" s="380"/>
      <c r="H1009" s="300"/>
      <c r="I1009" s="300"/>
      <c r="J1009" s="300"/>
      <c r="K1009" s="300"/>
      <c r="L1009" s="383"/>
      <c r="M1009" s="300"/>
      <c r="N1009" s="384"/>
      <c r="O1009" s="300"/>
      <c r="P1009" s="300"/>
      <c r="Q1009" s="300"/>
      <c r="R1009" s="300"/>
      <c r="S1009" s="300"/>
      <c r="T1009" s="300"/>
      <c r="U1009" s="300"/>
      <c r="V1009" s="300"/>
      <c r="W1009" s="300"/>
      <c r="X1009" s="300"/>
      <c r="Y1009" s="300"/>
      <c r="Z1009" s="300"/>
      <c r="AA1009" s="300"/>
      <c r="AB1009" s="300"/>
      <c r="AC1009" s="300"/>
    </row>
    <row r="1010">
      <c r="A1010" s="300"/>
      <c r="B1010" s="300"/>
      <c r="C1010" s="380"/>
      <c r="D1010" s="300"/>
      <c r="E1010" s="381"/>
      <c r="F1010" s="382"/>
      <c r="G1010" s="380"/>
      <c r="H1010" s="300"/>
      <c r="I1010" s="300"/>
      <c r="J1010" s="300"/>
      <c r="K1010" s="300"/>
      <c r="L1010" s="383"/>
      <c r="M1010" s="300"/>
      <c r="N1010" s="384"/>
      <c r="O1010" s="300"/>
      <c r="P1010" s="300"/>
      <c r="Q1010" s="300"/>
      <c r="R1010" s="300"/>
      <c r="S1010" s="300"/>
      <c r="T1010" s="300"/>
      <c r="U1010" s="300"/>
      <c r="V1010" s="300"/>
      <c r="W1010" s="300"/>
      <c r="X1010" s="300"/>
      <c r="Y1010" s="300"/>
      <c r="Z1010" s="300"/>
      <c r="AA1010" s="300"/>
      <c r="AB1010" s="300"/>
      <c r="AC1010" s="300"/>
    </row>
    <row r="1011">
      <c r="A1011" s="300"/>
      <c r="B1011" s="300"/>
      <c r="C1011" s="380"/>
      <c r="D1011" s="300"/>
      <c r="E1011" s="381"/>
      <c r="F1011" s="382"/>
      <c r="G1011" s="380"/>
      <c r="H1011" s="300"/>
      <c r="I1011" s="300"/>
      <c r="J1011" s="300"/>
      <c r="K1011" s="300"/>
      <c r="L1011" s="383"/>
      <c r="M1011" s="300"/>
      <c r="N1011" s="384"/>
      <c r="O1011" s="300"/>
      <c r="P1011" s="300"/>
      <c r="Q1011" s="300"/>
      <c r="R1011" s="300"/>
      <c r="S1011" s="300"/>
      <c r="T1011" s="300"/>
      <c r="U1011" s="300"/>
      <c r="V1011" s="300"/>
      <c r="W1011" s="300"/>
      <c r="X1011" s="300"/>
      <c r="Y1011" s="300"/>
      <c r="Z1011" s="300"/>
      <c r="AA1011" s="300"/>
      <c r="AB1011" s="300"/>
      <c r="AC1011" s="300"/>
    </row>
    <row r="1012">
      <c r="A1012" s="300"/>
      <c r="B1012" s="300"/>
      <c r="C1012" s="380"/>
      <c r="D1012" s="300"/>
      <c r="E1012" s="381"/>
      <c r="F1012" s="382"/>
      <c r="G1012" s="380"/>
      <c r="H1012" s="300"/>
      <c r="I1012" s="300"/>
      <c r="J1012" s="300"/>
      <c r="K1012" s="300"/>
      <c r="L1012" s="383"/>
      <c r="M1012" s="300"/>
      <c r="N1012" s="384"/>
      <c r="O1012" s="300"/>
      <c r="P1012" s="300"/>
      <c r="Q1012" s="300"/>
      <c r="R1012" s="300"/>
      <c r="S1012" s="300"/>
      <c r="T1012" s="300"/>
      <c r="U1012" s="300"/>
      <c r="V1012" s="300"/>
      <c r="W1012" s="300"/>
      <c r="X1012" s="300"/>
      <c r="Y1012" s="300"/>
      <c r="Z1012" s="300"/>
      <c r="AA1012" s="300"/>
      <c r="AB1012" s="300"/>
      <c r="AC1012" s="300"/>
    </row>
    <row r="1013">
      <c r="A1013" s="300"/>
      <c r="B1013" s="300"/>
      <c r="C1013" s="380"/>
      <c r="D1013" s="300"/>
      <c r="E1013" s="381"/>
      <c r="F1013" s="382"/>
      <c r="G1013" s="380"/>
      <c r="H1013" s="300"/>
      <c r="I1013" s="300"/>
      <c r="J1013" s="300"/>
      <c r="K1013" s="300"/>
      <c r="L1013" s="383"/>
      <c r="M1013" s="300"/>
      <c r="N1013" s="384"/>
      <c r="O1013" s="300"/>
      <c r="P1013" s="300"/>
      <c r="Q1013" s="300"/>
      <c r="R1013" s="300"/>
      <c r="S1013" s="300"/>
      <c r="T1013" s="300"/>
      <c r="U1013" s="300"/>
      <c r="V1013" s="300"/>
      <c r="W1013" s="300"/>
      <c r="X1013" s="300"/>
      <c r="Y1013" s="300"/>
      <c r="Z1013" s="300"/>
      <c r="AA1013" s="300"/>
      <c r="AB1013" s="300"/>
      <c r="AC1013" s="300"/>
    </row>
    <row r="1014">
      <c r="A1014" s="300"/>
      <c r="B1014" s="300"/>
      <c r="C1014" s="380"/>
      <c r="D1014" s="300"/>
      <c r="E1014" s="381"/>
      <c r="F1014" s="382"/>
      <c r="G1014" s="380"/>
      <c r="H1014" s="300"/>
      <c r="I1014" s="300"/>
      <c r="J1014" s="300"/>
      <c r="K1014" s="300"/>
      <c r="L1014" s="383"/>
      <c r="M1014" s="300"/>
      <c r="N1014" s="384"/>
      <c r="O1014" s="300"/>
      <c r="P1014" s="300"/>
      <c r="Q1014" s="300"/>
      <c r="R1014" s="300"/>
      <c r="S1014" s="300"/>
      <c r="T1014" s="300"/>
      <c r="U1014" s="300"/>
      <c r="V1014" s="300"/>
      <c r="W1014" s="300"/>
      <c r="X1014" s="300"/>
      <c r="Y1014" s="300"/>
      <c r="Z1014" s="300"/>
      <c r="AA1014" s="300"/>
      <c r="AB1014" s="300"/>
      <c r="AC1014" s="300"/>
    </row>
    <row r="1015">
      <c r="A1015" s="300"/>
      <c r="B1015" s="300"/>
      <c r="C1015" s="380"/>
      <c r="D1015" s="300"/>
      <c r="E1015" s="381"/>
      <c r="F1015" s="382"/>
      <c r="G1015" s="380"/>
      <c r="H1015" s="300"/>
      <c r="I1015" s="300"/>
      <c r="J1015" s="300"/>
      <c r="K1015" s="300"/>
      <c r="L1015" s="383"/>
      <c r="M1015" s="300"/>
      <c r="N1015" s="384"/>
      <c r="O1015" s="300"/>
      <c r="P1015" s="300"/>
      <c r="Q1015" s="300"/>
      <c r="R1015" s="300"/>
      <c r="S1015" s="300"/>
      <c r="T1015" s="300"/>
      <c r="U1015" s="300"/>
      <c r="V1015" s="300"/>
      <c r="W1015" s="300"/>
      <c r="X1015" s="300"/>
      <c r="Y1015" s="300"/>
      <c r="Z1015" s="300"/>
      <c r="AA1015" s="300"/>
      <c r="AB1015" s="300"/>
      <c r="AC1015" s="300"/>
    </row>
    <row r="1016">
      <c r="A1016" s="300"/>
      <c r="B1016" s="300"/>
      <c r="C1016" s="380"/>
      <c r="D1016" s="300"/>
      <c r="E1016" s="381"/>
      <c r="F1016" s="382"/>
      <c r="G1016" s="380"/>
      <c r="H1016" s="300"/>
      <c r="I1016" s="300"/>
      <c r="J1016" s="300"/>
      <c r="K1016" s="300"/>
      <c r="L1016" s="383"/>
      <c r="M1016" s="300"/>
      <c r="N1016" s="384"/>
      <c r="O1016" s="300"/>
      <c r="P1016" s="300"/>
      <c r="Q1016" s="300"/>
      <c r="R1016" s="300"/>
      <c r="S1016" s="300"/>
      <c r="T1016" s="300"/>
      <c r="U1016" s="300"/>
      <c r="V1016" s="300"/>
      <c r="W1016" s="300"/>
      <c r="X1016" s="300"/>
      <c r="Y1016" s="300"/>
      <c r="Z1016" s="300"/>
      <c r="AA1016" s="300"/>
      <c r="AB1016" s="300"/>
      <c r="AC1016" s="300"/>
    </row>
    <row r="1017">
      <c r="A1017" s="300"/>
      <c r="B1017" s="300"/>
      <c r="C1017" s="380"/>
      <c r="D1017" s="300"/>
      <c r="E1017" s="381"/>
      <c r="F1017" s="382"/>
      <c r="G1017" s="380"/>
      <c r="H1017" s="300"/>
      <c r="I1017" s="300"/>
      <c r="J1017" s="300"/>
      <c r="K1017" s="300"/>
      <c r="L1017" s="383"/>
      <c r="M1017" s="300"/>
      <c r="N1017" s="384"/>
      <c r="O1017" s="300"/>
      <c r="P1017" s="300"/>
      <c r="Q1017" s="300"/>
      <c r="R1017" s="300"/>
      <c r="S1017" s="300"/>
      <c r="T1017" s="300"/>
      <c r="U1017" s="300"/>
      <c r="V1017" s="300"/>
      <c r="W1017" s="300"/>
      <c r="X1017" s="300"/>
      <c r="Y1017" s="300"/>
      <c r="Z1017" s="300"/>
      <c r="AA1017" s="300"/>
      <c r="AB1017" s="300"/>
      <c r="AC1017" s="300"/>
    </row>
    <row r="1018">
      <c r="A1018" s="300"/>
      <c r="B1018" s="300"/>
      <c r="C1018" s="380"/>
      <c r="D1018" s="300"/>
      <c r="E1018" s="381"/>
      <c r="F1018" s="382"/>
      <c r="G1018" s="380"/>
      <c r="H1018" s="300"/>
      <c r="I1018" s="300"/>
      <c r="J1018" s="300"/>
      <c r="K1018" s="300"/>
      <c r="L1018" s="383"/>
      <c r="M1018" s="300"/>
      <c r="N1018" s="384"/>
      <c r="O1018" s="300"/>
      <c r="P1018" s="300"/>
      <c r="Q1018" s="300"/>
      <c r="R1018" s="300"/>
      <c r="S1018" s="300"/>
      <c r="T1018" s="300"/>
      <c r="U1018" s="300"/>
      <c r="V1018" s="300"/>
      <c r="W1018" s="300"/>
      <c r="X1018" s="300"/>
      <c r="Y1018" s="300"/>
      <c r="Z1018" s="300"/>
      <c r="AA1018" s="300"/>
      <c r="AB1018" s="300"/>
      <c r="AC1018" s="300"/>
    </row>
    <row r="1019">
      <c r="A1019" s="300"/>
      <c r="B1019" s="300"/>
      <c r="C1019" s="380"/>
      <c r="D1019" s="300"/>
      <c r="E1019" s="381"/>
      <c r="F1019" s="382"/>
      <c r="G1019" s="380"/>
      <c r="H1019" s="300"/>
      <c r="I1019" s="300"/>
      <c r="J1019" s="300"/>
      <c r="K1019" s="300"/>
      <c r="L1019" s="383"/>
      <c r="M1019" s="300"/>
      <c r="N1019" s="384"/>
      <c r="O1019" s="300"/>
      <c r="P1019" s="300"/>
      <c r="Q1019" s="300"/>
      <c r="R1019" s="300"/>
      <c r="S1019" s="300"/>
      <c r="T1019" s="300"/>
      <c r="U1019" s="300"/>
      <c r="V1019" s="300"/>
      <c r="W1019" s="300"/>
      <c r="X1019" s="300"/>
      <c r="Y1019" s="300"/>
      <c r="Z1019" s="300"/>
      <c r="AA1019" s="300"/>
      <c r="AB1019" s="300"/>
      <c r="AC1019" s="300"/>
    </row>
    <row r="1020">
      <c r="A1020" s="300"/>
      <c r="B1020" s="300"/>
      <c r="C1020" s="380"/>
      <c r="D1020" s="300"/>
      <c r="E1020" s="381"/>
      <c r="F1020" s="382"/>
      <c r="G1020" s="380"/>
      <c r="H1020" s="300"/>
      <c r="I1020" s="300"/>
      <c r="J1020" s="300"/>
      <c r="K1020" s="300"/>
      <c r="L1020" s="383"/>
      <c r="M1020" s="300"/>
      <c r="N1020" s="384"/>
      <c r="O1020" s="300"/>
      <c r="P1020" s="300"/>
      <c r="Q1020" s="300"/>
      <c r="R1020" s="300"/>
      <c r="S1020" s="300"/>
      <c r="T1020" s="300"/>
      <c r="U1020" s="300"/>
      <c r="V1020" s="300"/>
      <c r="W1020" s="300"/>
      <c r="X1020" s="300"/>
      <c r="Y1020" s="300"/>
      <c r="Z1020" s="300"/>
      <c r="AA1020" s="300"/>
      <c r="AB1020" s="300"/>
      <c r="AC1020" s="300"/>
    </row>
    <row r="1021">
      <c r="A1021" s="300"/>
      <c r="B1021" s="300"/>
      <c r="C1021" s="380"/>
      <c r="D1021" s="300"/>
      <c r="E1021" s="381"/>
      <c r="F1021" s="382"/>
      <c r="G1021" s="380"/>
      <c r="H1021" s="300"/>
      <c r="I1021" s="300"/>
      <c r="J1021" s="300"/>
      <c r="K1021" s="300"/>
      <c r="L1021" s="383"/>
      <c r="M1021" s="300"/>
      <c r="N1021" s="384"/>
      <c r="O1021" s="300"/>
      <c r="P1021" s="300"/>
      <c r="Q1021" s="300"/>
      <c r="R1021" s="300"/>
      <c r="S1021" s="300"/>
      <c r="T1021" s="300"/>
      <c r="U1021" s="300"/>
      <c r="V1021" s="300"/>
      <c r="W1021" s="300"/>
      <c r="X1021" s="300"/>
      <c r="Y1021" s="300"/>
      <c r="Z1021" s="300"/>
      <c r="AA1021" s="300"/>
      <c r="AB1021" s="300"/>
      <c r="AC1021" s="300"/>
    </row>
    <row r="1022">
      <c r="A1022" s="300"/>
      <c r="B1022" s="300"/>
      <c r="C1022" s="380"/>
      <c r="D1022" s="300"/>
      <c r="E1022" s="381"/>
      <c r="F1022" s="382"/>
      <c r="G1022" s="380"/>
      <c r="H1022" s="300"/>
      <c r="I1022" s="300"/>
      <c r="J1022" s="300"/>
      <c r="K1022" s="300"/>
      <c r="L1022" s="383"/>
      <c r="M1022" s="300"/>
      <c r="N1022" s="384"/>
      <c r="O1022" s="300"/>
      <c r="P1022" s="300"/>
      <c r="Q1022" s="300"/>
      <c r="R1022" s="300"/>
      <c r="S1022" s="300"/>
      <c r="T1022" s="300"/>
      <c r="U1022" s="300"/>
      <c r="V1022" s="300"/>
      <c r="W1022" s="300"/>
      <c r="X1022" s="300"/>
      <c r="Y1022" s="300"/>
      <c r="Z1022" s="300"/>
      <c r="AA1022" s="300"/>
      <c r="AB1022" s="300"/>
      <c r="AC1022" s="300"/>
    </row>
    <row r="1023">
      <c r="A1023" s="300"/>
      <c r="B1023" s="300"/>
      <c r="C1023" s="380"/>
      <c r="D1023" s="300"/>
      <c r="E1023" s="381"/>
      <c r="F1023" s="382"/>
      <c r="G1023" s="380"/>
      <c r="H1023" s="300"/>
      <c r="I1023" s="300"/>
      <c r="J1023" s="300"/>
      <c r="K1023" s="300"/>
      <c r="L1023" s="383"/>
      <c r="M1023" s="300"/>
      <c r="N1023" s="384"/>
      <c r="O1023" s="300"/>
      <c r="P1023" s="300"/>
      <c r="Q1023" s="300"/>
      <c r="R1023" s="300"/>
      <c r="S1023" s="300"/>
      <c r="T1023" s="300"/>
      <c r="U1023" s="300"/>
      <c r="V1023" s="300"/>
      <c r="W1023" s="300"/>
      <c r="X1023" s="300"/>
      <c r="Y1023" s="300"/>
      <c r="Z1023" s="300"/>
      <c r="AA1023" s="300"/>
      <c r="AB1023" s="300"/>
      <c r="AC1023" s="300"/>
    </row>
    <row r="1024">
      <c r="A1024" s="300"/>
      <c r="B1024" s="300"/>
      <c r="C1024" s="380"/>
      <c r="D1024" s="300"/>
      <c r="E1024" s="381"/>
      <c r="F1024" s="382"/>
      <c r="G1024" s="380"/>
      <c r="H1024" s="300"/>
      <c r="I1024" s="300"/>
      <c r="J1024" s="300"/>
      <c r="K1024" s="300"/>
      <c r="L1024" s="383"/>
      <c r="M1024" s="300"/>
      <c r="N1024" s="384"/>
      <c r="O1024" s="300"/>
      <c r="P1024" s="300"/>
      <c r="Q1024" s="300"/>
      <c r="R1024" s="300"/>
      <c r="S1024" s="300"/>
      <c r="T1024" s="300"/>
      <c r="U1024" s="300"/>
      <c r="V1024" s="300"/>
      <c r="W1024" s="300"/>
      <c r="X1024" s="300"/>
      <c r="Y1024" s="300"/>
      <c r="Z1024" s="300"/>
      <c r="AA1024" s="300"/>
      <c r="AB1024" s="300"/>
      <c r="AC1024" s="300"/>
    </row>
    <row r="1025">
      <c r="A1025" s="300"/>
      <c r="B1025" s="300"/>
      <c r="C1025" s="380"/>
      <c r="D1025" s="300"/>
      <c r="E1025" s="381"/>
      <c r="F1025" s="382"/>
      <c r="G1025" s="380"/>
      <c r="H1025" s="300"/>
      <c r="I1025" s="300"/>
      <c r="J1025" s="300"/>
      <c r="K1025" s="300"/>
      <c r="L1025" s="383"/>
      <c r="M1025" s="300"/>
      <c r="N1025" s="384"/>
      <c r="O1025" s="300"/>
      <c r="P1025" s="300"/>
      <c r="Q1025" s="300"/>
      <c r="R1025" s="300"/>
      <c r="S1025" s="300"/>
      <c r="T1025" s="300"/>
      <c r="U1025" s="300"/>
      <c r="V1025" s="300"/>
      <c r="W1025" s="300"/>
      <c r="X1025" s="300"/>
      <c r="Y1025" s="300"/>
      <c r="Z1025" s="300"/>
      <c r="AA1025" s="300"/>
      <c r="AB1025" s="300"/>
      <c r="AC1025" s="300"/>
    </row>
    <row r="1026">
      <c r="A1026" s="300"/>
      <c r="B1026" s="300"/>
      <c r="C1026" s="380"/>
      <c r="D1026" s="300"/>
      <c r="E1026" s="381"/>
      <c r="F1026" s="382"/>
      <c r="G1026" s="380"/>
      <c r="H1026" s="300"/>
      <c r="I1026" s="300"/>
      <c r="J1026" s="300"/>
      <c r="K1026" s="300"/>
      <c r="L1026" s="383"/>
      <c r="M1026" s="300"/>
      <c r="N1026" s="384"/>
      <c r="O1026" s="300"/>
      <c r="P1026" s="300"/>
      <c r="Q1026" s="300"/>
      <c r="R1026" s="300"/>
      <c r="S1026" s="300"/>
      <c r="T1026" s="300"/>
      <c r="U1026" s="300"/>
      <c r="V1026" s="300"/>
      <c r="W1026" s="300"/>
      <c r="X1026" s="300"/>
      <c r="Y1026" s="300"/>
      <c r="Z1026" s="300"/>
      <c r="AA1026" s="300"/>
      <c r="AB1026" s="300"/>
      <c r="AC1026" s="300"/>
    </row>
    <row r="1027">
      <c r="A1027" s="300"/>
      <c r="B1027" s="300"/>
      <c r="C1027" s="380"/>
      <c r="D1027" s="300"/>
      <c r="E1027" s="381"/>
      <c r="F1027" s="382"/>
      <c r="G1027" s="380"/>
      <c r="H1027" s="300"/>
      <c r="I1027" s="300"/>
      <c r="J1027" s="300"/>
      <c r="K1027" s="300"/>
      <c r="L1027" s="383"/>
      <c r="M1027" s="300"/>
      <c r="N1027" s="384"/>
      <c r="O1027" s="300"/>
      <c r="P1027" s="300"/>
      <c r="Q1027" s="300"/>
      <c r="R1027" s="300"/>
      <c r="S1027" s="300"/>
      <c r="T1027" s="300"/>
      <c r="U1027" s="300"/>
      <c r="V1027" s="300"/>
      <c r="W1027" s="300"/>
      <c r="X1027" s="300"/>
      <c r="Y1027" s="300"/>
      <c r="Z1027" s="300"/>
      <c r="AA1027" s="300"/>
      <c r="AB1027" s="300"/>
      <c r="AC1027" s="300"/>
    </row>
    <row r="1028">
      <c r="A1028" s="300"/>
      <c r="B1028" s="300"/>
      <c r="C1028" s="380"/>
      <c r="D1028" s="300"/>
      <c r="E1028" s="381"/>
      <c r="F1028" s="382"/>
      <c r="G1028" s="380"/>
      <c r="H1028" s="300"/>
      <c r="I1028" s="300"/>
      <c r="J1028" s="300"/>
      <c r="K1028" s="300"/>
      <c r="L1028" s="383"/>
      <c r="M1028" s="300"/>
      <c r="N1028" s="384"/>
      <c r="O1028" s="300"/>
      <c r="P1028" s="300"/>
      <c r="Q1028" s="300"/>
      <c r="R1028" s="300"/>
      <c r="S1028" s="300"/>
      <c r="T1028" s="300"/>
      <c r="U1028" s="300"/>
      <c r="V1028" s="300"/>
      <c r="W1028" s="300"/>
      <c r="X1028" s="300"/>
      <c r="Y1028" s="300"/>
      <c r="Z1028" s="300"/>
      <c r="AA1028" s="300"/>
      <c r="AB1028" s="300"/>
      <c r="AC1028" s="300"/>
    </row>
    <row r="1029">
      <c r="A1029" s="300"/>
      <c r="B1029" s="300"/>
      <c r="C1029" s="380"/>
      <c r="D1029" s="300"/>
      <c r="E1029" s="381"/>
      <c r="F1029" s="382"/>
      <c r="G1029" s="380"/>
      <c r="H1029" s="300"/>
      <c r="I1029" s="300"/>
      <c r="J1029" s="300"/>
      <c r="K1029" s="300"/>
      <c r="L1029" s="383"/>
      <c r="M1029" s="300"/>
      <c r="N1029" s="384"/>
      <c r="O1029" s="300"/>
      <c r="P1029" s="300"/>
      <c r="Q1029" s="300"/>
      <c r="R1029" s="300"/>
      <c r="S1029" s="300"/>
      <c r="T1029" s="300"/>
      <c r="U1029" s="300"/>
      <c r="V1029" s="300"/>
      <c r="W1029" s="300"/>
      <c r="X1029" s="300"/>
      <c r="Y1029" s="300"/>
      <c r="Z1029" s="300"/>
      <c r="AA1029" s="300"/>
      <c r="AB1029" s="300"/>
      <c r="AC1029" s="300"/>
    </row>
    <row r="1030">
      <c r="A1030" s="300"/>
      <c r="B1030" s="300"/>
      <c r="C1030" s="380"/>
      <c r="D1030" s="300"/>
      <c r="E1030" s="381"/>
      <c r="F1030" s="382"/>
      <c r="G1030" s="380"/>
      <c r="H1030" s="300"/>
      <c r="I1030" s="300"/>
      <c r="J1030" s="300"/>
      <c r="K1030" s="300"/>
      <c r="L1030" s="383"/>
      <c r="M1030" s="300"/>
      <c r="N1030" s="384"/>
      <c r="O1030" s="300"/>
      <c r="P1030" s="300"/>
      <c r="Q1030" s="300"/>
      <c r="R1030" s="300"/>
      <c r="S1030" s="300"/>
      <c r="T1030" s="300"/>
      <c r="U1030" s="300"/>
      <c r="V1030" s="300"/>
      <c r="W1030" s="300"/>
      <c r="X1030" s="300"/>
      <c r="Y1030" s="300"/>
      <c r="Z1030" s="300"/>
      <c r="AA1030" s="300"/>
      <c r="AB1030" s="300"/>
      <c r="AC1030" s="300"/>
    </row>
    <row r="1031">
      <c r="A1031" s="300"/>
      <c r="B1031" s="300"/>
      <c r="C1031" s="380"/>
      <c r="D1031" s="300"/>
      <c r="E1031" s="381"/>
      <c r="F1031" s="382"/>
      <c r="G1031" s="380"/>
      <c r="H1031" s="300"/>
      <c r="I1031" s="300"/>
      <c r="J1031" s="300"/>
      <c r="K1031" s="300"/>
      <c r="L1031" s="383"/>
      <c r="M1031" s="300"/>
      <c r="N1031" s="384"/>
      <c r="O1031" s="300"/>
      <c r="P1031" s="300"/>
      <c r="Q1031" s="300"/>
      <c r="R1031" s="300"/>
      <c r="S1031" s="300"/>
      <c r="T1031" s="300"/>
      <c r="U1031" s="300"/>
      <c r="V1031" s="300"/>
      <c r="W1031" s="300"/>
      <c r="X1031" s="300"/>
      <c r="Y1031" s="300"/>
      <c r="Z1031" s="300"/>
      <c r="AA1031" s="300"/>
      <c r="AB1031" s="300"/>
      <c r="AC1031" s="300"/>
    </row>
    <row r="1032">
      <c r="A1032" s="300"/>
      <c r="B1032" s="300"/>
      <c r="C1032" s="380"/>
      <c r="D1032" s="300"/>
      <c r="E1032" s="381"/>
      <c r="F1032" s="382"/>
      <c r="G1032" s="380"/>
      <c r="H1032" s="300"/>
      <c r="I1032" s="300"/>
      <c r="J1032" s="300"/>
      <c r="K1032" s="300"/>
      <c r="L1032" s="383"/>
      <c r="M1032" s="300"/>
      <c r="N1032" s="384"/>
      <c r="O1032" s="300"/>
      <c r="P1032" s="300"/>
      <c r="Q1032" s="300"/>
      <c r="R1032" s="300"/>
      <c r="S1032" s="300"/>
      <c r="T1032" s="300"/>
      <c r="U1032" s="300"/>
      <c r="V1032" s="300"/>
      <c r="W1032" s="300"/>
      <c r="X1032" s="300"/>
      <c r="Y1032" s="300"/>
      <c r="Z1032" s="300"/>
      <c r="AA1032" s="300"/>
      <c r="AB1032" s="300"/>
      <c r="AC1032" s="300"/>
    </row>
    <row r="1033">
      <c r="A1033" s="300"/>
      <c r="B1033" s="300"/>
      <c r="C1033" s="380"/>
      <c r="D1033" s="300"/>
      <c r="E1033" s="381"/>
      <c r="F1033" s="382"/>
      <c r="G1033" s="380"/>
      <c r="H1033" s="300"/>
      <c r="I1033" s="300"/>
      <c r="J1033" s="300"/>
      <c r="K1033" s="300"/>
      <c r="L1033" s="383"/>
      <c r="M1033" s="300"/>
      <c r="N1033" s="384"/>
      <c r="O1033" s="300"/>
      <c r="P1033" s="300"/>
      <c r="Q1033" s="300"/>
      <c r="R1033" s="300"/>
      <c r="S1033" s="300"/>
      <c r="T1033" s="300"/>
      <c r="U1033" s="300"/>
      <c r="V1033" s="300"/>
      <c r="W1033" s="300"/>
      <c r="X1033" s="300"/>
      <c r="Y1033" s="300"/>
      <c r="Z1033" s="300"/>
      <c r="AA1033" s="300"/>
      <c r="AB1033" s="300"/>
      <c r="AC1033" s="300"/>
    </row>
    <row r="1034">
      <c r="A1034" s="300"/>
      <c r="B1034" s="300"/>
      <c r="C1034" s="380"/>
      <c r="D1034" s="300"/>
      <c r="E1034" s="381"/>
      <c r="F1034" s="382"/>
      <c r="G1034" s="380"/>
      <c r="H1034" s="300"/>
      <c r="I1034" s="300"/>
      <c r="J1034" s="300"/>
      <c r="K1034" s="300"/>
      <c r="L1034" s="383"/>
      <c r="M1034" s="300"/>
      <c r="N1034" s="384"/>
      <c r="O1034" s="300"/>
      <c r="P1034" s="300"/>
      <c r="Q1034" s="300"/>
      <c r="R1034" s="300"/>
      <c r="S1034" s="300"/>
      <c r="T1034" s="300"/>
      <c r="U1034" s="300"/>
      <c r="V1034" s="300"/>
      <c r="W1034" s="300"/>
      <c r="X1034" s="300"/>
      <c r="Y1034" s="300"/>
      <c r="Z1034" s="300"/>
      <c r="AA1034" s="300"/>
      <c r="AB1034" s="300"/>
      <c r="AC1034" s="300"/>
    </row>
    <row r="1035">
      <c r="A1035" s="300"/>
      <c r="B1035" s="300"/>
      <c r="C1035" s="380"/>
      <c r="D1035" s="300"/>
      <c r="E1035" s="381"/>
      <c r="F1035" s="382"/>
      <c r="G1035" s="380"/>
      <c r="H1035" s="300"/>
      <c r="I1035" s="300"/>
      <c r="J1035" s="300"/>
      <c r="K1035" s="300"/>
      <c r="L1035" s="383"/>
      <c r="M1035" s="300"/>
      <c r="N1035" s="384"/>
      <c r="O1035" s="300"/>
      <c r="P1035" s="300"/>
      <c r="Q1035" s="300"/>
      <c r="R1035" s="300"/>
      <c r="S1035" s="300"/>
      <c r="T1035" s="300"/>
      <c r="U1035" s="300"/>
      <c r="V1035" s="300"/>
      <c r="W1035" s="300"/>
      <c r="X1035" s="300"/>
      <c r="Y1035" s="300"/>
      <c r="Z1035" s="300"/>
      <c r="AA1035" s="300"/>
      <c r="AB1035" s="300"/>
      <c r="AC1035" s="300"/>
    </row>
    <row r="1036">
      <c r="A1036" s="300"/>
      <c r="B1036" s="300"/>
      <c r="C1036" s="380"/>
      <c r="D1036" s="300"/>
      <c r="E1036" s="381"/>
      <c r="F1036" s="382"/>
      <c r="G1036" s="380"/>
      <c r="H1036" s="300"/>
      <c r="I1036" s="300"/>
      <c r="J1036" s="300"/>
      <c r="K1036" s="300"/>
      <c r="L1036" s="383"/>
      <c r="M1036" s="300"/>
      <c r="N1036" s="384"/>
      <c r="O1036" s="300"/>
      <c r="P1036" s="300"/>
      <c r="Q1036" s="300"/>
      <c r="R1036" s="300"/>
      <c r="S1036" s="300"/>
      <c r="T1036" s="300"/>
      <c r="U1036" s="300"/>
      <c r="V1036" s="300"/>
      <c r="W1036" s="300"/>
      <c r="X1036" s="300"/>
      <c r="Y1036" s="300"/>
      <c r="Z1036" s="300"/>
      <c r="AA1036" s="300"/>
      <c r="AB1036" s="300"/>
      <c r="AC1036" s="300"/>
    </row>
    <row r="1037">
      <c r="A1037" s="300"/>
      <c r="B1037" s="300"/>
      <c r="C1037" s="380"/>
      <c r="D1037" s="300"/>
      <c r="E1037" s="381"/>
      <c r="F1037" s="382"/>
      <c r="G1037" s="380"/>
      <c r="H1037" s="300"/>
      <c r="I1037" s="300"/>
      <c r="J1037" s="300"/>
      <c r="K1037" s="300"/>
      <c r="L1037" s="383"/>
      <c r="M1037" s="300"/>
      <c r="N1037" s="384"/>
      <c r="O1037" s="300"/>
      <c r="P1037" s="300"/>
      <c r="Q1037" s="300"/>
      <c r="R1037" s="300"/>
      <c r="S1037" s="300"/>
      <c r="T1037" s="300"/>
      <c r="U1037" s="300"/>
      <c r="V1037" s="300"/>
      <c r="W1037" s="300"/>
      <c r="X1037" s="300"/>
      <c r="Y1037" s="300"/>
      <c r="Z1037" s="300"/>
      <c r="AA1037" s="300"/>
      <c r="AB1037" s="300"/>
      <c r="AC1037" s="300"/>
    </row>
    <row r="1038">
      <c r="A1038" s="300"/>
      <c r="B1038" s="300"/>
      <c r="C1038" s="380"/>
      <c r="D1038" s="300"/>
      <c r="E1038" s="381"/>
      <c r="F1038" s="382"/>
      <c r="G1038" s="380"/>
      <c r="H1038" s="300"/>
      <c r="I1038" s="300"/>
      <c r="J1038" s="300"/>
      <c r="K1038" s="300"/>
      <c r="L1038" s="383"/>
      <c r="M1038" s="300"/>
      <c r="N1038" s="384"/>
      <c r="O1038" s="300"/>
      <c r="P1038" s="300"/>
      <c r="Q1038" s="300"/>
      <c r="R1038" s="300"/>
      <c r="S1038" s="300"/>
      <c r="T1038" s="300"/>
      <c r="U1038" s="300"/>
      <c r="V1038" s="300"/>
      <c r="W1038" s="300"/>
      <c r="X1038" s="300"/>
      <c r="Y1038" s="300"/>
      <c r="Z1038" s="300"/>
      <c r="AA1038" s="300"/>
      <c r="AB1038" s="300"/>
      <c r="AC1038" s="300"/>
    </row>
    <row r="1039">
      <c r="A1039" s="300"/>
      <c r="B1039" s="300"/>
      <c r="C1039" s="380"/>
      <c r="D1039" s="300"/>
      <c r="E1039" s="381"/>
      <c r="F1039" s="382"/>
      <c r="G1039" s="380"/>
      <c r="H1039" s="300"/>
      <c r="I1039" s="300"/>
      <c r="J1039" s="300"/>
      <c r="K1039" s="300"/>
      <c r="L1039" s="383"/>
      <c r="M1039" s="300"/>
      <c r="N1039" s="384"/>
      <c r="O1039" s="300"/>
      <c r="P1039" s="300"/>
      <c r="Q1039" s="300"/>
      <c r="R1039" s="300"/>
      <c r="S1039" s="300"/>
      <c r="T1039" s="300"/>
      <c r="U1039" s="300"/>
      <c r="V1039" s="300"/>
      <c r="W1039" s="300"/>
      <c r="X1039" s="300"/>
      <c r="Y1039" s="300"/>
      <c r="Z1039" s="300"/>
      <c r="AA1039" s="300"/>
      <c r="AB1039" s="300"/>
      <c r="AC1039" s="300"/>
    </row>
    <row r="1040">
      <c r="A1040" s="300"/>
      <c r="B1040" s="300"/>
      <c r="C1040" s="380"/>
      <c r="D1040" s="300"/>
      <c r="E1040" s="381"/>
      <c r="F1040" s="382"/>
      <c r="G1040" s="380"/>
      <c r="H1040" s="300"/>
      <c r="I1040" s="300"/>
      <c r="J1040" s="300"/>
      <c r="K1040" s="300"/>
      <c r="L1040" s="383"/>
      <c r="M1040" s="300"/>
      <c r="N1040" s="384"/>
      <c r="O1040" s="300"/>
      <c r="P1040" s="300"/>
      <c r="Q1040" s="300"/>
      <c r="R1040" s="300"/>
      <c r="S1040" s="300"/>
      <c r="T1040" s="300"/>
      <c r="U1040" s="300"/>
      <c r="V1040" s="300"/>
      <c r="W1040" s="300"/>
      <c r="X1040" s="300"/>
      <c r="Y1040" s="300"/>
      <c r="Z1040" s="300"/>
      <c r="AA1040" s="300"/>
      <c r="AB1040" s="300"/>
      <c r="AC1040" s="300"/>
    </row>
    <row r="1041">
      <c r="A1041" s="300"/>
      <c r="B1041" s="300"/>
      <c r="C1041" s="380"/>
      <c r="D1041" s="300"/>
      <c r="E1041" s="381"/>
      <c r="F1041" s="382"/>
      <c r="G1041" s="380"/>
      <c r="H1041" s="300"/>
      <c r="I1041" s="300"/>
      <c r="J1041" s="300"/>
      <c r="K1041" s="300"/>
      <c r="L1041" s="383"/>
      <c r="M1041" s="300"/>
      <c r="N1041" s="384"/>
      <c r="O1041" s="300"/>
      <c r="P1041" s="300"/>
      <c r="Q1041" s="300"/>
      <c r="R1041" s="300"/>
      <c r="S1041" s="300"/>
      <c r="T1041" s="300"/>
      <c r="U1041" s="300"/>
      <c r="V1041" s="300"/>
      <c r="W1041" s="300"/>
      <c r="X1041" s="300"/>
      <c r="Y1041" s="300"/>
      <c r="Z1041" s="300"/>
      <c r="AA1041" s="300"/>
      <c r="AB1041" s="300"/>
      <c r="AC1041" s="300"/>
    </row>
    <row r="1042">
      <c r="A1042" s="300"/>
      <c r="B1042" s="300"/>
      <c r="C1042" s="380"/>
      <c r="D1042" s="300"/>
      <c r="E1042" s="381"/>
      <c r="F1042" s="382"/>
      <c r="G1042" s="380"/>
      <c r="H1042" s="300"/>
      <c r="I1042" s="300"/>
      <c r="J1042" s="300"/>
      <c r="K1042" s="300"/>
      <c r="L1042" s="383"/>
      <c r="M1042" s="300"/>
      <c r="N1042" s="384"/>
      <c r="O1042" s="300"/>
      <c r="P1042" s="300"/>
      <c r="Q1042" s="300"/>
      <c r="R1042" s="300"/>
      <c r="S1042" s="300"/>
      <c r="T1042" s="300"/>
      <c r="U1042" s="300"/>
      <c r="V1042" s="300"/>
      <c r="W1042" s="300"/>
      <c r="X1042" s="300"/>
      <c r="Y1042" s="300"/>
      <c r="Z1042" s="300"/>
      <c r="AA1042" s="300"/>
      <c r="AB1042" s="300"/>
      <c r="AC1042" s="300"/>
    </row>
    <row r="1043">
      <c r="A1043" s="300"/>
      <c r="B1043" s="300"/>
      <c r="C1043" s="380"/>
      <c r="D1043" s="300"/>
      <c r="E1043" s="381"/>
      <c r="F1043" s="382"/>
      <c r="G1043" s="380"/>
      <c r="H1043" s="300"/>
      <c r="I1043" s="300"/>
      <c r="J1043" s="300"/>
      <c r="K1043" s="300"/>
      <c r="L1043" s="383"/>
      <c r="M1043" s="300"/>
      <c r="N1043" s="384"/>
      <c r="O1043" s="300"/>
      <c r="P1043" s="300"/>
      <c r="Q1043" s="300"/>
      <c r="R1043" s="300"/>
      <c r="S1043" s="300"/>
      <c r="T1043" s="300"/>
      <c r="U1043" s="300"/>
      <c r="V1043" s="300"/>
      <c r="W1043" s="300"/>
      <c r="X1043" s="300"/>
      <c r="Y1043" s="300"/>
      <c r="Z1043" s="300"/>
      <c r="AA1043" s="300"/>
      <c r="AB1043" s="300"/>
      <c r="AC1043" s="300"/>
    </row>
    <row r="1044">
      <c r="A1044" s="300"/>
      <c r="B1044" s="300"/>
      <c r="C1044" s="380"/>
      <c r="D1044" s="300"/>
      <c r="E1044" s="381"/>
      <c r="F1044" s="382"/>
      <c r="G1044" s="380"/>
      <c r="H1044" s="300"/>
      <c r="I1044" s="300"/>
      <c r="J1044" s="300"/>
      <c r="K1044" s="300"/>
      <c r="L1044" s="383"/>
      <c r="M1044" s="300"/>
      <c r="N1044" s="384"/>
      <c r="O1044" s="300"/>
      <c r="P1044" s="300"/>
      <c r="Q1044" s="300"/>
      <c r="R1044" s="300"/>
      <c r="S1044" s="300"/>
      <c r="T1044" s="300"/>
      <c r="U1044" s="300"/>
      <c r="V1044" s="300"/>
      <c r="W1044" s="300"/>
      <c r="X1044" s="300"/>
      <c r="Y1044" s="300"/>
      <c r="Z1044" s="300"/>
      <c r="AA1044" s="300"/>
      <c r="AB1044" s="300"/>
      <c r="AC1044" s="300"/>
    </row>
    <row r="1045">
      <c r="A1045" s="300"/>
      <c r="B1045" s="300"/>
      <c r="C1045" s="380"/>
      <c r="D1045" s="300"/>
      <c r="E1045" s="381"/>
      <c r="F1045" s="382"/>
      <c r="G1045" s="380"/>
      <c r="H1045" s="300"/>
      <c r="I1045" s="300"/>
      <c r="J1045" s="300"/>
      <c r="K1045" s="300"/>
      <c r="L1045" s="383"/>
      <c r="M1045" s="300"/>
      <c r="N1045" s="384"/>
      <c r="O1045" s="300"/>
      <c r="P1045" s="300"/>
      <c r="Q1045" s="300"/>
      <c r="R1045" s="300"/>
      <c r="S1045" s="300"/>
      <c r="T1045" s="300"/>
      <c r="U1045" s="300"/>
      <c r="V1045" s="300"/>
      <c r="W1045" s="300"/>
      <c r="X1045" s="300"/>
      <c r="Y1045" s="300"/>
      <c r="Z1045" s="300"/>
      <c r="AA1045" s="300"/>
      <c r="AB1045" s="300"/>
      <c r="AC1045" s="300"/>
    </row>
    <row r="1046">
      <c r="A1046" s="300"/>
      <c r="B1046" s="300"/>
      <c r="C1046" s="380"/>
      <c r="D1046" s="300"/>
      <c r="E1046" s="381"/>
      <c r="F1046" s="382"/>
      <c r="G1046" s="380"/>
      <c r="H1046" s="300"/>
      <c r="I1046" s="300"/>
      <c r="J1046" s="300"/>
      <c r="K1046" s="300"/>
      <c r="L1046" s="383"/>
      <c r="M1046" s="300"/>
      <c r="N1046" s="384"/>
      <c r="O1046" s="300"/>
      <c r="P1046" s="300"/>
      <c r="Q1046" s="300"/>
      <c r="R1046" s="300"/>
      <c r="S1046" s="300"/>
      <c r="T1046" s="300"/>
      <c r="U1046" s="300"/>
      <c r="V1046" s="300"/>
      <c r="W1046" s="300"/>
      <c r="X1046" s="300"/>
      <c r="Y1046" s="300"/>
      <c r="Z1046" s="300"/>
      <c r="AA1046" s="300"/>
      <c r="AB1046" s="300"/>
      <c r="AC1046" s="300"/>
    </row>
    <row r="1047">
      <c r="A1047" s="300"/>
      <c r="B1047" s="300"/>
      <c r="C1047" s="380"/>
      <c r="D1047" s="300"/>
      <c r="E1047" s="381"/>
      <c r="F1047" s="382"/>
      <c r="G1047" s="380"/>
      <c r="H1047" s="300"/>
      <c r="I1047" s="300"/>
      <c r="J1047" s="300"/>
      <c r="K1047" s="300"/>
      <c r="L1047" s="383"/>
      <c r="M1047" s="300"/>
      <c r="N1047" s="384"/>
      <c r="O1047" s="300"/>
      <c r="P1047" s="300"/>
      <c r="Q1047" s="300"/>
      <c r="R1047" s="300"/>
      <c r="S1047" s="300"/>
      <c r="T1047" s="300"/>
      <c r="U1047" s="300"/>
      <c r="V1047" s="300"/>
      <c r="W1047" s="300"/>
      <c r="X1047" s="300"/>
      <c r="Y1047" s="300"/>
      <c r="Z1047" s="300"/>
      <c r="AA1047" s="300"/>
      <c r="AB1047" s="300"/>
      <c r="AC1047" s="300"/>
    </row>
    <row r="1048">
      <c r="A1048" s="300"/>
      <c r="B1048" s="300"/>
      <c r="C1048" s="380"/>
      <c r="D1048" s="300"/>
      <c r="E1048" s="381"/>
      <c r="F1048" s="382"/>
      <c r="G1048" s="380"/>
      <c r="H1048" s="300"/>
      <c r="I1048" s="300"/>
      <c r="J1048" s="300"/>
      <c r="K1048" s="300"/>
      <c r="L1048" s="383"/>
      <c r="M1048" s="300"/>
      <c r="N1048" s="384"/>
      <c r="O1048" s="300"/>
      <c r="P1048" s="300"/>
      <c r="Q1048" s="300"/>
      <c r="R1048" s="300"/>
      <c r="S1048" s="300"/>
      <c r="T1048" s="300"/>
      <c r="U1048" s="300"/>
      <c r="V1048" s="300"/>
      <c r="W1048" s="300"/>
      <c r="X1048" s="300"/>
      <c r="Y1048" s="300"/>
      <c r="Z1048" s="300"/>
      <c r="AA1048" s="300"/>
      <c r="AB1048" s="300"/>
      <c r="AC1048" s="300"/>
    </row>
    <row r="1049">
      <c r="A1049" s="300"/>
      <c r="B1049" s="300"/>
      <c r="C1049" s="380"/>
      <c r="D1049" s="300"/>
      <c r="E1049" s="381"/>
      <c r="F1049" s="382"/>
      <c r="G1049" s="380"/>
      <c r="H1049" s="300"/>
      <c r="I1049" s="300"/>
      <c r="J1049" s="300"/>
      <c r="K1049" s="300"/>
      <c r="L1049" s="383"/>
      <c r="M1049" s="300"/>
      <c r="N1049" s="384"/>
      <c r="O1049" s="300"/>
      <c r="P1049" s="300"/>
      <c r="Q1049" s="300"/>
      <c r="R1049" s="300"/>
      <c r="S1049" s="300"/>
      <c r="T1049" s="300"/>
      <c r="U1049" s="300"/>
      <c r="V1049" s="300"/>
      <c r="W1049" s="300"/>
      <c r="X1049" s="300"/>
      <c r="Y1049" s="300"/>
      <c r="Z1049" s="300"/>
      <c r="AA1049" s="300"/>
      <c r="AB1049" s="300"/>
      <c r="AC1049" s="300"/>
    </row>
    <row r="1050">
      <c r="A1050" s="300"/>
      <c r="B1050" s="300"/>
      <c r="C1050" s="380"/>
      <c r="D1050" s="300"/>
      <c r="E1050" s="381"/>
      <c r="F1050" s="382"/>
      <c r="G1050" s="380"/>
      <c r="H1050" s="300"/>
      <c r="I1050" s="300"/>
      <c r="J1050" s="300"/>
      <c r="K1050" s="300"/>
      <c r="L1050" s="383"/>
      <c r="M1050" s="300"/>
      <c r="N1050" s="384"/>
      <c r="O1050" s="300"/>
      <c r="P1050" s="300"/>
      <c r="Q1050" s="300"/>
      <c r="R1050" s="300"/>
      <c r="S1050" s="300"/>
      <c r="T1050" s="300"/>
      <c r="U1050" s="300"/>
      <c r="V1050" s="300"/>
      <c r="W1050" s="300"/>
      <c r="X1050" s="300"/>
      <c r="Y1050" s="300"/>
      <c r="Z1050" s="300"/>
      <c r="AA1050" s="300"/>
      <c r="AB1050" s="300"/>
      <c r="AC1050" s="300"/>
    </row>
    <row r="1051">
      <c r="A1051" s="300"/>
      <c r="B1051" s="300"/>
      <c r="C1051" s="380"/>
      <c r="D1051" s="300"/>
      <c r="E1051" s="381"/>
      <c r="F1051" s="382"/>
      <c r="G1051" s="380"/>
      <c r="H1051" s="300"/>
      <c r="I1051" s="300"/>
      <c r="J1051" s="300"/>
      <c r="K1051" s="300"/>
      <c r="L1051" s="383"/>
      <c r="M1051" s="300"/>
      <c r="N1051" s="384"/>
      <c r="O1051" s="300"/>
      <c r="P1051" s="300"/>
      <c r="Q1051" s="300"/>
      <c r="R1051" s="300"/>
      <c r="S1051" s="300"/>
      <c r="T1051" s="300"/>
      <c r="U1051" s="300"/>
      <c r="V1051" s="300"/>
      <c r="W1051" s="300"/>
      <c r="X1051" s="300"/>
      <c r="Y1051" s="300"/>
      <c r="Z1051" s="300"/>
      <c r="AA1051" s="300"/>
      <c r="AB1051" s="300"/>
      <c r="AC1051" s="300"/>
    </row>
    <row r="1052">
      <c r="A1052" s="300"/>
      <c r="B1052" s="300"/>
      <c r="C1052" s="380"/>
      <c r="D1052" s="300"/>
      <c r="E1052" s="381"/>
      <c r="F1052" s="382"/>
      <c r="G1052" s="380"/>
      <c r="H1052" s="300"/>
      <c r="I1052" s="300"/>
      <c r="J1052" s="300"/>
      <c r="K1052" s="300"/>
      <c r="L1052" s="383"/>
      <c r="M1052" s="300"/>
      <c r="N1052" s="384"/>
      <c r="O1052" s="300"/>
      <c r="P1052" s="300"/>
      <c r="Q1052" s="300"/>
      <c r="R1052" s="300"/>
      <c r="S1052" s="300"/>
      <c r="T1052" s="300"/>
      <c r="U1052" s="300"/>
      <c r="V1052" s="300"/>
      <c r="W1052" s="300"/>
      <c r="X1052" s="300"/>
      <c r="Y1052" s="300"/>
      <c r="Z1052" s="300"/>
      <c r="AA1052" s="300"/>
      <c r="AB1052" s="300"/>
      <c r="AC1052" s="300"/>
    </row>
    <row r="1053">
      <c r="A1053" s="300"/>
      <c r="B1053" s="300"/>
      <c r="C1053" s="380"/>
      <c r="D1053" s="300"/>
      <c r="E1053" s="381"/>
      <c r="F1053" s="382"/>
      <c r="G1053" s="380"/>
      <c r="H1053" s="300"/>
      <c r="I1053" s="300"/>
      <c r="J1053" s="300"/>
      <c r="K1053" s="300"/>
      <c r="L1053" s="383"/>
      <c r="M1053" s="300"/>
      <c r="N1053" s="384"/>
      <c r="O1053" s="300"/>
      <c r="P1053" s="300"/>
      <c r="Q1053" s="300"/>
      <c r="R1053" s="300"/>
      <c r="S1053" s="300"/>
      <c r="T1053" s="300"/>
      <c r="U1053" s="300"/>
      <c r="V1053" s="300"/>
      <c r="W1053" s="300"/>
      <c r="X1053" s="300"/>
      <c r="Y1053" s="300"/>
      <c r="Z1053" s="300"/>
      <c r="AA1053" s="300"/>
      <c r="AB1053" s="300"/>
      <c r="AC1053" s="300"/>
    </row>
    <row r="1054">
      <c r="A1054" s="300"/>
      <c r="B1054" s="300"/>
      <c r="C1054" s="380"/>
      <c r="D1054" s="300"/>
      <c r="E1054" s="381"/>
      <c r="F1054" s="382"/>
      <c r="G1054" s="380"/>
      <c r="H1054" s="300"/>
      <c r="I1054" s="300"/>
      <c r="J1054" s="300"/>
      <c r="K1054" s="300"/>
      <c r="L1054" s="383"/>
      <c r="M1054" s="300"/>
      <c r="N1054" s="384"/>
      <c r="O1054" s="300"/>
      <c r="P1054" s="300"/>
      <c r="Q1054" s="300"/>
      <c r="R1054" s="300"/>
      <c r="S1054" s="300"/>
      <c r="T1054" s="300"/>
      <c r="U1054" s="300"/>
      <c r="V1054" s="300"/>
      <c r="W1054" s="300"/>
      <c r="X1054" s="300"/>
      <c r="Y1054" s="300"/>
      <c r="Z1054" s="300"/>
      <c r="AA1054" s="300"/>
      <c r="AB1054" s="300"/>
      <c r="AC1054" s="300"/>
    </row>
    <row r="1055">
      <c r="A1055" s="300"/>
      <c r="B1055" s="300"/>
      <c r="C1055" s="380"/>
      <c r="D1055" s="300"/>
      <c r="E1055" s="381"/>
      <c r="F1055" s="382"/>
      <c r="G1055" s="380"/>
      <c r="H1055" s="300"/>
      <c r="I1055" s="300"/>
      <c r="J1055" s="300"/>
      <c r="K1055" s="300"/>
      <c r="L1055" s="383"/>
      <c r="M1055" s="300"/>
      <c r="N1055" s="384"/>
      <c r="O1055" s="300"/>
      <c r="P1055" s="300"/>
      <c r="Q1055" s="300"/>
      <c r="R1055" s="300"/>
      <c r="S1055" s="300"/>
      <c r="T1055" s="300"/>
      <c r="U1055" s="300"/>
      <c r="V1055" s="300"/>
      <c r="W1055" s="300"/>
      <c r="X1055" s="300"/>
      <c r="Y1055" s="300"/>
      <c r="Z1055" s="300"/>
      <c r="AA1055" s="300"/>
      <c r="AB1055" s="300"/>
      <c r="AC1055" s="300"/>
    </row>
    <row r="1056">
      <c r="A1056" s="300"/>
      <c r="B1056" s="300"/>
      <c r="C1056" s="380"/>
      <c r="D1056" s="300"/>
      <c r="E1056" s="381"/>
      <c r="F1056" s="382"/>
      <c r="G1056" s="380"/>
      <c r="H1056" s="300"/>
      <c r="I1056" s="300"/>
      <c r="J1056" s="300"/>
      <c r="K1056" s="300"/>
      <c r="L1056" s="383"/>
      <c r="M1056" s="300"/>
      <c r="N1056" s="384"/>
      <c r="O1056" s="300"/>
      <c r="P1056" s="300"/>
      <c r="Q1056" s="300"/>
      <c r="R1056" s="300"/>
      <c r="S1056" s="300"/>
      <c r="T1056" s="300"/>
      <c r="U1056" s="300"/>
      <c r="V1056" s="300"/>
      <c r="W1056" s="300"/>
      <c r="X1056" s="300"/>
      <c r="Y1056" s="300"/>
      <c r="Z1056" s="300"/>
      <c r="AA1056" s="300"/>
      <c r="AB1056" s="300"/>
      <c r="AC1056" s="300"/>
    </row>
    <row r="1057">
      <c r="A1057" s="300"/>
      <c r="B1057" s="300"/>
      <c r="C1057" s="380"/>
      <c r="D1057" s="300"/>
      <c r="E1057" s="381"/>
      <c r="F1057" s="382"/>
      <c r="G1057" s="380"/>
      <c r="H1057" s="300"/>
      <c r="I1057" s="300"/>
      <c r="J1057" s="300"/>
      <c r="K1057" s="300"/>
      <c r="L1057" s="383"/>
      <c r="M1057" s="300"/>
      <c r="N1057" s="384"/>
      <c r="O1057" s="300"/>
      <c r="P1057" s="300"/>
      <c r="Q1057" s="300"/>
      <c r="R1057" s="300"/>
      <c r="S1057" s="300"/>
      <c r="T1057" s="300"/>
      <c r="U1057" s="300"/>
      <c r="V1057" s="300"/>
      <c r="W1057" s="300"/>
      <c r="X1057" s="300"/>
      <c r="Y1057" s="300"/>
      <c r="Z1057" s="300"/>
      <c r="AA1057" s="300"/>
      <c r="AB1057" s="300"/>
      <c r="AC1057" s="300"/>
    </row>
    <row r="1058">
      <c r="A1058" s="300"/>
      <c r="B1058" s="300"/>
      <c r="C1058" s="380"/>
      <c r="D1058" s="300"/>
      <c r="E1058" s="381"/>
      <c r="F1058" s="382"/>
      <c r="G1058" s="380"/>
      <c r="H1058" s="300"/>
      <c r="I1058" s="300"/>
      <c r="J1058" s="300"/>
      <c r="K1058" s="300"/>
      <c r="L1058" s="383"/>
      <c r="M1058" s="300"/>
      <c r="N1058" s="384"/>
      <c r="O1058" s="300"/>
      <c r="P1058" s="300"/>
      <c r="Q1058" s="300"/>
      <c r="R1058" s="300"/>
      <c r="S1058" s="300"/>
      <c r="T1058" s="300"/>
      <c r="U1058" s="300"/>
      <c r="V1058" s="300"/>
      <c r="W1058" s="300"/>
      <c r="X1058" s="300"/>
      <c r="Y1058" s="300"/>
      <c r="Z1058" s="300"/>
      <c r="AA1058" s="300"/>
      <c r="AB1058" s="300"/>
      <c r="AC1058" s="300"/>
    </row>
    <row r="1059">
      <c r="A1059" s="300"/>
      <c r="B1059" s="300"/>
      <c r="C1059" s="380"/>
      <c r="D1059" s="300"/>
      <c r="E1059" s="381"/>
      <c r="F1059" s="382"/>
      <c r="G1059" s="380"/>
      <c r="H1059" s="300"/>
      <c r="I1059" s="300"/>
      <c r="J1059" s="300"/>
      <c r="K1059" s="300"/>
      <c r="L1059" s="383"/>
      <c r="M1059" s="300"/>
      <c r="N1059" s="384"/>
      <c r="O1059" s="300"/>
      <c r="P1059" s="300"/>
      <c r="Q1059" s="300"/>
      <c r="R1059" s="300"/>
      <c r="S1059" s="300"/>
      <c r="T1059" s="300"/>
      <c r="U1059" s="300"/>
      <c r="V1059" s="300"/>
      <c r="W1059" s="300"/>
      <c r="X1059" s="300"/>
      <c r="Y1059" s="300"/>
      <c r="Z1059" s="300"/>
      <c r="AA1059" s="300"/>
      <c r="AB1059" s="300"/>
      <c r="AC1059" s="300"/>
    </row>
    <row r="1060">
      <c r="A1060" s="300"/>
      <c r="B1060" s="300"/>
      <c r="C1060" s="380"/>
      <c r="D1060" s="300"/>
      <c r="E1060" s="381"/>
      <c r="F1060" s="382"/>
      <c r="G1060" s="380"/>
      <c r="H1060" s="300"/>
      <c r="I1060" s="300"/>
      <c r="J1060" s="300"/>
      <c r="K1060" s="300"/>
      <c r="L1060" s="383"/>
      <c r="M1060" s="300"/>
      <c r="N1060" s="384"/>
      <c r="O1060" s="300"/>
      <c r="P1060" s="300"/>
      <c r="Q1060" s="300"/>
      <c r="R1060" s="300"/>
      <c r="S1060" s="300"/>
      <c r="T1060" s="300"/>
      <c r="U1060" s="300"/>
      <c r="V1060" s="300"/>
      <c r="W1060" s="300"/>
      <c r="X1060" s="300"/>
      <c r="Y1060" s="300"/>
      <c r="Z1060" s="300"/>
      <c r="AA1060" s="300"/>
      <c r="AB1060" s="300"/>
      <c r="AC1060" s="300"/>
    </row>
    <row r="1061">
      <c r="A1061" s="300"/>
      <c r="B1061" s="300"/>
      <c r="C1061" s="380"/>
      <c r="D1061" s="300"/>
      <c r="E1061" s="381"/>
      <c r="F1061" s="382"/>
      <c r="G1061" s="380"/>
      <c r="H1061" s="300"/>
      <c r="I1061" s="300"/>
      <c r="J1061" s="300"/>
      <c r="K1061" s="300"/>
      <c r="L1061" s="383"/>
      <c r="M1061" s="300"/>
      <c r="N1061" s="384"/>
      <c r="O1061" s="300"/>
      <c r="P1061" s="300"/>
      <c r="Q1061" s="300"/>
      <c r="R1061" s="300"/>
      <c r="S1061" s="300"/>
      <c r="T1061" s="300"/>
      <c r="U1061" s="300"/>
      <c r="V1061" s="300"/>
      <c r="W1061" s="300"/>
      <c r="X1061" s="300"/>
      <c r="Y1061" s="300"/>
      <c r="Z1061" s="300"/>
      <c r="AA1061" s="300"/>
      <c r="AB1061" s="300"/>
      <c r="AC1061" s="300"/>
    </row>
    <row r="1062">
      <c r="A1062" s="300"/>
      <c r="B1062" s="300"/>
      <c r="C1062" s="380"/>
      <c r="D1062" s="300"/>
      <c r="E1062" s="381"/>
      <c r="F1062" s="382"/>
      <c r="G1062" s="380"/>
      <c r="H1062" s="300"/>
      <c r="I1062" s="300"/>
      <c r="J1062" s="300"/>
      <c r="K1062" s="300"/>
      <c r="L1062" s="383"/>
      <c r="M1062" s="300"/>
      <c r="N1062" s="384"/>
      <c r="O1062" s="300"/>
      <c r="P1062" s="300"/>
      <c r="Q1062" s="300"/>
      <c r="R1062" s="300"/>
      <c r="S1062" s="300"/>
      <c r="T1062" s="300"/>
      <c r="U1062" s="300"/>
      <c r="V1062" s="300"/>
      <c r="W1062" s="300"/>
      <c r="X1062" s="300"/>
      <c r="Y1062" s="300"/>
      <c r="Z1062" s="300"/>
      <c r="AA1062" s="300"/>
      <c r="AB1062" s="300"/>
      <c r="AC1062" s="300"/>
    </row>
    <row r="1063">
      <c r="A1063" s="300"/>
      <c r="B1063" s="300"/>
      <c r="C1063" s="380"/>
      <c r="D1063" s="300"/>
      <c r="E1063" s="381"/>
      <c r="F1063" s="382"/>
      <c r="G1063" s="380"/>
      <c r="H1063" s="300"/>
      <c r="I1063" s="300"/>
      <c r="J1063" s="300"/>
      <c r="K1063" s="300"/>
      <c r="L1063" s="383"/>
      <c r="M1063" s="300"/>
      <c r="N1063" s="384"/>
      <c r="O1063" s="300"/>
      <c r="P1063" s="300"/>
      <c r="Q1063" s="300"/>
      <c r="R1063" s="300"/>
      <c r="S1063" s="300"/>
      <c r="T1063" s="300"/>
      <c r="U1063" s="300"/>
      <c r="V1063" s="300"/>
      <c r="W1063" s="300"/>
      <c r="X1063" s="300"/>
      <c r="Y1063" s="300"/>
      <c r="Z1063" s="300"/>
      <c r="AA1063" s="300"/>
      <c r="AB1063" s="300"/>
      <c r="AC1063" s="300"/>
    </row>
    <row r="1064">
      <c r="A1064" s="300"/>
      <c r="B1064" s="300"/>
      <c r="C1064" s="380"/>
      <c r="D1064" s="300"/>
      <c r="E1064" s="381"/>
      <c r="F1064" s="382"/>
      <c r="G1064" s="380"/>
      <c r="H1064" s="300"/>
      <c r="I1064" s="300"/>
      <c r="J1064" s="300"/>
      <c r="K1064" s="300"/>
      <c r="L1064" s="383"/>
      <c r="M1064" s="300"/>
      <c r="N1064" s="384"/>
      <c r="O1064" s="300"/>
      <c r="P1064" s="300"/>
      <c r="Q1064" s="300"/>
      <c r="R1064" s="300"/>
      <c r="S1064" s="300"/>
      <c r="T1064" s="300"/>
      <c r="U1064" s="300"/>
      <c r="V1064" s="300"/>
      <c r="W1064" s="300"/>
      <c r="X1064" s="300"/>
      <c r="Y1064" s="300"/>
      <c r="Z1064" s="300"/>
      <c r="AA1064" s="300"/>
      <c r="AB1064" s="300"/>
      <c r="AC1064" s="300"/>
    </row>
    <row r="1065">
      <c r="A1065" s="300"/>
      <c r="B1065" s="300"/>
      <c r="C1065" s="380"/>
      <c r="D1065" s="300"/>
      <c r="E1065" s="381"/>
      <c r="F1065" s="382"/>
      <c r="G1065" s="380"/>
      <c r="H1065" s="300"/>
      <c r="I1065" s="300"/>
      <c r="J1065" s="300"/>
      <c r="K1065" s="300"/>
      <c r="L1065" s="383"/>
      <c r="M1065" s="300"/>
      <c r="N1065" s="384"/>
      <c r="O1065" s="300"/>
      <c r="P1065" s="300"/>
      <c r="Q1065" s="300"/>
      <c r="R1065" s="300"/>
      <c r="S1065" s="300"/>
      <c r="T1065" s="300"/>
      <c r="U1065" s="300"/>
      <c r="V1065" s="300"/>
      <c r="W1065" s="300"/>
      <c r="X1065" s="300"/>
      <c r="Y1065" s="300"/>
      <c r="Z1065" s="300"/>
      <c r="AA1065" s="300"/>
      <c r="AB1065" s="300"/>
      <c r="AC1065" s="300"/>
    </row>
    <row r="1066">
      <c r="A1066" s="300"/>
      <c r="B1066" s="300"/>
      <c r="C1066" s="380"/>
      <c r="D1066" s="300"/>
      <c r="E1066" s="381"/>
      <c r="F1066" s="382"/>
      <c r="G1066" s="380"/>
      <c r="H1066" s="300"/>
      <c r="I1066" s="300"/>
      <c r="J1066" s="300"/>
      <c r="K1066" s="300"/>
      <c r="L1066" s="383"/>
      <c r="M1066" s="300"/>
      <c r="N1066" s="384"/>
      <c r="O1066" s="300"/>
      <c r="P1066" s="300"/>
      <c r="Q1066" s="300"/>
      <c r="R1066" s="300"/>
      <c r="S1066" s="300"/>
      <c r="T1066" s="300"/>
      <c r="U1066" s="300"/>
      <c r="V1066" s="300"/>
      <c r="W1066" s="300"/>
      <c r="X1066" s="300"/>
      <c r="Y1066" s="300"/>
      <c r="Z1066" s="300"/>
      <c r="AA1066" s="300"/>
      <c r="AB1066" s="300"/>
      <c r="AC1066" s="300"/>
    </row>
    <row r="1067">
      <c r="A1067" s="300"/>
      <c r="B1067" s="300"/>
      <c r="C1067" s="380"/>
      <c r="D1067" s="300"/>
      <c r="E1067" s="381"/>
      <c r="F1067" s="382"/>
      <c r="G1067" s="380"/>
      <c r="H1067" s="300"/>
      <c r="I1067" s="300"/>
      <c r="J1067" s="300"/>
      <c r="K1067" s="300"/>
      <c r="L1067" s="383"/>
      <c r="M1067" s="300"/>
      <c r="N1067" s="384"/>
      <c r="O1067" s="300"/>
      <c r="P1067" s="300"/>
      <c r="Q1067" s="300"/>
      <c r="R1067" s="300"/>
      <c r="S1067" s="300"/>
      <c r="T1067" s="300"/>
      <c r="U1067" s="300"/>
      <c r="V1067" s="300"/>
      <c r="W1067" s="300"/>
      <c r="X1067" s="300"/>
      <c r="Y1067" s="300"/>
      <c r="Z1067" s="300"/>
      <c r="AA1067" s="300"/>
      <c r="AB1067" s="300"/>
      <c r="AC1067" s="300"/>
    </row>
    <row r="1068">
      <c r="A1068" s="300"/>
      <c r="B1068" s="300"/>
      <c r="C1068" s="380"/>
      <c r="D1068" s="300"/>
      <c r="E1068" s="381"/>
      <c r="F1068" s="382"/>
      <c r="G1068" s="380"/>
      <c r="H1068" s="300"/>
      <c r="I1068" s="300"/>
      <c r="J1068" s="300"/>
      <c r="K1068" s="300"/>
      <c r="L1068" s="383"/>
      <c r="M1068" s="300"/>
      <c r="N1068" s="384"/>
      <c r="O1068" s="300"/>
      <c r="P1068" s="300"/>
      <c r="Q1068" s="300"/>
      <c r="R1068" s="300"/>
      <c r="S1068" s="300"/>
      <c r="T1068" s="300"/>
      <c r="U1068" s="300"/>
      <c r="V1068" s="300"/>
      <c r="W1068" s="300"/>
      <c r="X1068" s="300"/>
      <c r="Y1068" s="300"/>
      <c r="Z1068" s="300"/>
      <c r="AA1068" s="300"/>
      <c r="AB1068" s="300"/>
      <c r="AC1068" s="300"/>
    </row>
    <row r="1069">
      <c r="A1069" s="300"/>
      <c r="B1069" s="300"/>
      <c r="C1069" s="380"/>
      <c r="D1069" s="300"/>
      <c r="E1069" s="381"/>
      <c r="F1069" s="382"/>
      <c r="G1069" s="380"/>
      <c r="H1069" s="300"/>
      <c r="I1069" s="300"/>
      <c r="J1069" s="300"/>
      <c r="K1069" s="300"/>
      <c r="L1069" s="383"/>
      <c r="M1069" s="300"/>
      <c r="N1069" s="384"/>
      <c r="O1069" s="300"/>
      <c r="P1069" s="300"/>
      <c r="Q1069" s="300"/>
      <c r="R1069" s="300"/>
      <c r="S1069" s="300"/>
      <c r="T1069" s="300"/>
      <c r="U1069" s="300"/>
      <c r="V1069" s="300"/>
      <c r="W1069" s="300"/>
      <c r="X1069" s="300"/>
      <c r="Y1069" s="300"/>
      <c r="Z1069" s="300"/>
      <c r="AA1069" s="300"/>
      <c r="AB1069" s="300"/>
      <c r="AC1069" s="300"/>
    </row>
    <row r="1070">
      <c r="A1070" s="300"/>
      <c r="B1070" s="300"/>
      <c r="C1070" s="380"/>
      <c r="D1070" s="300"/>
      <c r="E1070" s="381"/>
      <c r="F1070" s="382"/>
      <c r="G1070" s="380"/>
      <c r="H1070" s="300"/>
      <c r="I1070" s="300"/>
      <c r="J1070" s="300"/>
      <c r="K1070" s="300"/>
      <c r="L1070" s="383"/>
      <c r="M1070" s="300"/>
      <c r="N1070" s="384"/>
      <c r="O1070" s="300"/>
      <c r="P1070" s="300"/>
      <c r="Q1070" s="300"/>
      <c r="R1070" s="300"/>
      <c r="S1070" s="300"/>
      <c r="T1070" s="300"/>
      <c r="U1070" s="300"/>
      <c r="V1070" s="300"/>
      <c r="W1070" s="300"/>
      <c r="X1070" s="300"/>
      <c r="Y1070" s="300"/>
      <c r="Z1070" s="300"/>
      <c r="AA1070" s="300"/>
      <c r="AB1070" s="300"/>
      <c r="AC1070" s="300"/>
    </row>
    <row r="1071">
      <c r="A1071" s="300"/>
      <c r="B1071" s="300"/>
      <c r="C1071" s="380"/>
      <c r="D1071" s="300"/>
      <c r="E1071" s="381"/>
      <c r="F1071" s="382"/>
      <c r="G1071" s="380"/>
      <c r="H1071" s="300"/>
      <c r="I1071" s="300"/>
      <c r="J1071" s="300"/>
      <c r="K1071" s="300"/>
      <c r="L1071" s="383"/>
      <c r="M1071" s="300"/>
      <c r="N1071" s="384"/>
      <c r="O1071" s="300"/>
      <c r="P1071" s="300"/>
      <c r="Q1071" s="300"/>
      <c r="R1071" s="300"/>
      <c r="S1071" s="300"/>
      <c r="T1071" s="300"/>
      <c r="U1071" s="300"/>
      <c r="V1071" s="300"/>
      <c r="W1071" s="300"/>
      <c r="X1071" s="300"/>
      <c r="Y1071" s="300"/>
      <c r="Z1071" s="300"/>
      <c r="AA1071" s="300"/>
      <c r="AB1071" s="300"/>
      <c r="AC1071" s="300"/>
    </row>
    <row r="1072">
      <c r="A1072" s="300"/>
      <c r="B1072" s="300"/>
      <c r="C1072" s="380"/>
      <c r="D1072" s="300"/>
      <c r="E1072" s="381"/>
      <c r="F1072" s="382"/>
      <c r="G1072" s="380"/>
      <c r="H1072" s="300"/>
      <c r="I1072" s="300"/>
      <c r="J1072" s="300"/>
      <c r="K1072" s="300"/>
      <c r="L1072" s="383"/>
      <c r="M1072" s="300"/>
      <c r="N1072" s="384"/>
      <c r="O1072" s="300"/>
      <c r="P1072" s="300"/>
      <c r="Q1072" s="300"/>
      <c r="R1072" s="300"/>
      <c r="S1072" s="300"/>
      <c r="T1072" s="300"/>
      <c r="U1072" s="300"/>
      <c r="V1072" s="300"/>
      <c r="W1072" s="300"/>
      <c r="X1072" s="300"/>
      <c r="Y1072" s="300"/>
      <c r="Z1072" s="300"/>
      <c r="AA1072" s="300"/>
      <c r="AB1072" s="300"/>
      <c r="AC1072" s="300"/>
    </row>
    <row r="1073">
      <c r="A1073" s="300"/>
      <c r="B1073" s="300"/>
      <c r="C1073" s="380"/>
      <c r="D1073" s="300"/>
      <c r="E1073" s="381"/>
      <c r="F1073" s="382"/>
      <c r="G1073" s="380"/>
      <c r="H1073" s="300"/>
      <c r="I1073" s="300"/>
      <c r="J1073" s="300"/>
      <c r="K1073" s="300"/>
      <c r="L1073" s="383"/>
      <c r="M1073" s="300"/>
      <c r="N1073" s="384"/>
      <c r="O1073" s="300"/>
      <c r="P1073" s="300"/>
      <c r="Q1073" s="300"/>
      <c r="R1073" s="300"/>
      <c r="S1073" s="300"/>
      <c r="T1073" s="300"/>
      <c r="U1073" s="300"/>
      <c r="V1073" s="300"/>
      <c r="W1073" s="300"/>
      <c r="X1073" s="300"/>
      <c r="Y1073" s="300"/>
      <c r="Z1073" s="300"/>
      <c r="AA1073" s="300"/>
      <c r="AB1073" s="300"/>
      <c r="AC1073" s="300"/>
    </row>
    <row r="1074">
      <c r="A1074" s="300"/>
      <c r="B1074" s="300"/>
      <c r="C1074" s="380"/>
      <c r="D1074" s="300"/>
      <c r="E1074" s="381"/>
      <c r="F1074" s="382"/>
      <c r="G1074" s="380"/>
      <c r="H1074" s="300"/>
      <c r="I1074" s="300"/>
      <c r="J1074" s="300"/>
      <c r="K1074" s="300"/>
      <c r="L1074" s="383"/>
      <c r="M1074" s="300"/>
      <c r="N1074" s="384"/>
      <c r="O1074" s="300"/>
      <c r="P1074" s="300"/>
      <c r="Q1074" s="300"/>
      <c r="R1074" s="300"/>
      <c r="S1074" s="300"/>
      <c r="T1074" s="300"/>
      <c r="U1074" s="300"/>
      <c r="V1074" s="300"/>
      <c r="W1074" s="300"/>
      <c r="X1074" s="300"/>
      <c r="Y1074" s="300"/>
      <c r="Z1074" s="300"/>
      <c r="AA1074" s="300"/>
      <c r="AB1074" s="300"/>
      <c r="AC1074" s="300"/>
    </row>
    <row r="1075">
      <c r="A1075" s="300"/>
      <c r="B1075" s="300"/>
      <c r="C1075" s="380"/>
      <c r="D1075" s="300"/>
      <c r="E1075" s="381"/>
      <c r="F1075" s="382"/>
      <c r="G1075" s="380"/>
      <c r="H1075" s="300"/>
      <c r="I1075" s="300"/>
      <c r="J1075" s="300"/>
      <c r="K1075" s="300"/>
      <c r="L1075" s="383"/>
      <c r="M1075" s="300"/>
      <c r="N1075" s="384"/>
      <c r="O1075" s="300"/>
      <c r="P1075" s="300"/>
      <c r="Q1075" s="300"/>
      <c r="R1075" s="300"/>
      <c r="S1075" s="300"/>
      <c r="T1075" s="300"/>
      <c r="U1075" s="300"/>
      <c r="V1075" s="300"/>
      <c r="W1075" s="300"/>
      <c r="X1075" s="300"/>
      <c r="Y1075" s="300"/>
      <c r="Z1075" s="300"/>
      <c r="AA1075" s="300"/>
      <c r="AB1075" s="300"/>
      <c r="AC1075" s="300"/>
    </row>
    <row r="1076">
      <c r="A1076" s="300"/>
      <c r="B1076" s="300"/>
      <c r="C1076" s="380"/>
      <c r="D1076" s="300"/>
      <c r="E1076" s="381"/>
      <c r="F1076" s="382"/>
      <c r="G1076" s="380"/>
      <c r="H1076" s="300"/>
      <c r="I1076" s="300"/>
      <c r="J1076" s="300"/>
      <c r="K1076" s="300"/>
      <c r="L1076" s="383"/>
      <c r="M1076" s="300"/>
      <c r="N1076" s="384"/>
      <c r="O1076" s="300"/>
      <c r="P1076" s="300"/>
      <c r="Q1076" s="300"/>
      <c r="R1076" s="300"/>
      <c r="S1076" s="300"/>
      <c r="T1076" s="300"/>
      <c r="U1076" s="300"/>
      <c r="V1076" s="300"/>
      <c r="W1076" s="300"/>
      <c r="X1076" s="300"/>
      <c r="Y1076" s="300"/>
      <c r="Z1076" s="300"/>
      <c r="AA1076" s="300"/>
      <c r="AB1076" s="300"/>
      <c r="AC1076" s="300"/>
    </row>
    <row r="1077">
      <c r="A1077" s="300"/>
      <c r="B1077" s="300"/>
      <c r="C1077" s="380"/>
      <c r="D1077" s="300"/>
      <c r="E1077" s="381"/>
      <c r="F1077" s="382"/>
      <c r="G1077" s="380"/>
      <c r="H1077" s="300"/>
      <c r="I1077" s="300"/>
      <c r="J1077" s="300"/>
      <c r="K1077" s="300"/>
      <c r="L1077" s="383"/>
      <c r="M1077" s="300"/>
      <c r="N1077" s="384"/>
      <c r="O1077" s="300"/>
      <c r="P1077" s="300"/>
      <c r="Q1077" s="300"/>
      <c r="R1077" s="300"/>
      <c r="S1077" s="300"/>
      <c r="T1077" s="300"/>
      <c r="U1077" s="300"/>
      <c r="V1077" s="300"/>
      <c r="W1077" s="300"/>
      <c r="X1077" s="300"/>
      <c r="Y1077" s="300"/>
      <c r="Z1077" s="300"/>
      <c r="AA1077" s="300"/>
      <c r="AB1077" s="300"/>
      <c r="AC1077" s="300"/>
    </row>
    <row r="1078">
      <c r="A1078" s="300"/>
      <c r="B1078" s="300"/>
      <c r="C1078" s="380"/>
      <c r="D1078" s="300"/>
      <c r="E1078" s="381"/>
      <c r="F1078" s="382"/>
      <c r="G1078" s="380"/>
      <c r="H1078" s="300"/>
      <c r="I1078" s="300"/>
      <c r="J1078" s="300"/>
      <c r="K1078" s="300"/>
      <c r="L1078" s="383"/>
      <c r="M1078" s="300"/>
      <c r="N1078" s="384"/>
      <c r="O1078" s="300"/>
      <c r="P1078" s="300"/>
      <c r="Q1078" s="300"/>
      <c r="R1078" s="300"/>
      <c r="S1078" s="300"/>
      <c r="T1078" s="300"/>
      <c r="U1078" s="300"/>
      <c r="V1078" s="300"/>
      <c r="W1078" s="300"/>
      <c r="X1078" s="300"/>
      <c r="Y1078" s="300"/>
      <c r="Z1078" s="300"/>
      <c r="AA1078" s="300"/>
      <c r="AB1078" s="300"/>
      <c r="AC1078" s="300"/>
    </row>
    <row r="1079">
      <c r="A1079" s="300"/>
      <c r="B1079" s="300"/>
      <c r="C1079" s="380"/>
      <c r="D1079" s="300"/>
      <c r="E1079" s="381"/>
      <c r="F1079" s="382"/>
      <c r="G1079" s="380"/>
      <c r="H1079" s="300"/>
      <c r="I1079" s="300"/>
      <c r="J1079" s="300"/>
      <c r="K1079" s="300"/>
      <c r="L1079" s="383"/>
      <c r="M1079" s="300"/>
      <c r="N1079" s="384"/>
      <c r="O1079" s="300"/>
      <c r="P1079" s="300"/>
      <c r="Q1079" s="300"/>
      <c r="R1079" s="300"/>
      <c r="S1079" s="300"/>
      <c r="T1079" s="300"/>
      <c r="U1079" s="300"/>
      <c r="V1079" s="300"/>
      <c r="W1079" s="300"/>
      <c r="X1079" s="300"/>
      <c r="Y1079" s="300"/>
      <c r="Z1079" s="300"/>
      <c r="AA1079" s="300"/>
      <c r="AB1079" s="300"/>
      <c r="AC1079" s="300"/>
    </row>
    <row r="1080">
      <c r="A1080" s="300"/>
      <c r="B1080" s="300"/>
      <c r="C1080" s="380"/>
      <c r="D1080" s="300"/>
      <c r="E1080" s="381"/>
      <c r="F1080" s="382"/>
      <c r="G1080" s="380"/>
      <c r="H1080" s="300"/>
      <c r="I1080" s="300"/>
      <c r="J1080" s="300"/>
      <c r="K1080" s="300"/>
      <c r="L1080" s="383"/>
      <c r="M1080" s="300"/>
      <c r="N1080" s="384"/>
      <c r="O1080" s="300"/>
      <c r="P1080" s="300"/>
      <c r="Q1080" s="300"/>
      <c r="R1080" s="300"/>
      <c r="S1080" s="300"/>
      <c r="T1080" s="300"/>
      <c r="U1080" s="300"/>
      <c r="V1080" s="300"/>
      <c r="W1080" s="300"/>
      <c r="X1080" s="300"/>
      <c r="Y1080" s="300"/>
      <c r="Z1080" s="300"/>
      <c r="AA1080" s="300"/>
      <c r="AB1080" s="300"/>
      <c r="AC1080" s="300"/>
    </row>
    <row r="1081">
      <c r="A1081" s="300"/>
      <c r="B1081" s="300"/>
      <c r="C1081" s="380"/>
      <c r="D1081" s="300"/>
      <c r="E1081" s="381"/>
      <c r="F1081" s="382"/>
      <c r="G1081" s="380"/>
      <c r="H1081" s="300"/>
      <c r="I1081" s="300"/>
      <c r="J1081" s="300"/>
      <c r="K1081" s="300"/>
      <c r="L1081" s="383"/>
      <c r="M1081" s="300"/>
      <c r="N1081" s="384"/>
      <c r="O1081" s="300"/>
      <c r="P1081" s="300"/>
      <c r="Q1081" s="300"/>
      <c r="R1081" s="300"/>
      <c r="S1081" s="300"/>
      <c r="T1081" s="300"/>
      <c r="U1081" s="300"/>
      <c r="V1081" s="300"/>
      <c r="W1081" s="300"/>
      <c r="X1081" s="300"/>
      <c r="Y1081" s="300"/>
      <c r="Z1081" s="300"/>
      <c r="AA1081" s="300"/>
      <c r="AB1081" s="300"/>
      <c r="AC1081" s="300"/>
    </row>
    <row r="1082">
      <c r="A1082" s="300"/>
      <c r="B1082" s="300"/>
      <c r="C1082" s="380"/>
      <c r="D1082" s="300"/>
      <c r="E1082" s="381"/>
      <c r="F1082" s="382"/>
      <c r="G1082" s="380"/>
      <c r="H1082" s="300"/>
      <c r="I1082" s="300"/>
      <c r="J1082" s="300"/>
      <c r="K1082" s="300"/>
      <c r="L1082" s="383"/>
      <c r="M1082" s="300"/>
      <c r="N1082" s="384"/>
      <c r="O1082" s="300"/>
      <c r="P1082" s="300"/>
      <c r="Q1082" s="300"/>
      <c r="R1082" s="300"/>
      <c r="S1082" s="300"/>
      <c r="T1082" s="300"/>
      <c r="U1082" s="300"/>
      <c r="V1082" s="300"/>
      <c r="W1082" s="300"/>
      <c r="X1082" s="300"/>
      <c r="Y1082" s="300"/>
      <c r="Z1082" s="300"/>
      <c r="AA1082" s="300"/>
      <c r="AB1082" s="300"/>
      <c r="AC1082" s="300"/>
    </row>
    <row r="1083">
      <c r="A1083" s="300"/>
      <c r="B1083" s="300"/>
      <c r="C1083" s="380"/>
      <c r="D1083" s="300"/>
      <c r="E1083" s="381"/>
      <c r="F1083" s="382"/>
      <c r="G1083" s="380"/>
      <c r="H1083" s="300"/>
      <c r="I1083" s="300"/>
      <c r="J1083" s="300"/>
      <c r="K1083" s="300"/>
      <c r="L1083" s="383"/>
      <c r="M1083" s="300"/>
      <c r="N1083" s="384"/>
      <c r="O1083" s="300"/>
      <c r="P1083" s="300"/>
      <c r="Q1083" s="300"/>
      <c r="R1083" s="300"/>
      <c r="S1083" s="300"/>
      <c r="T1083" s="300"/>
      <c r="U1083" s="300"/>
      <c r="V1083" s="300"/>
      <c r="W1083" s="300"/>
      <c r="X1083" s="300"/>
      <c r="Y1083" s="300"/>
      <c r="Z1083" s="300"/>
      <c r="AA1083" s="300"/>
      <c r="AB1083" s="300"/>
      <c r="AC1083" s="300"/>
    </row>
    <row r="1084">
      <c r="A1084" s="300"/>
      <c r="B1084" s="300"/>
      <c r="C1084" s="380"/>
      <c r="D1084" s="300"/>
      <c r="E1084" s="381"/>
      <c r="F1084" s="382"/>
      <c r="G1084" s="380"/>
      <c r="H1084" s="300"/>
      <c r="I1084" s="300"/>
      <c r="J1084" s="300"/>
      <c r="K1084" s="300"/>
      <c r="L1084" s="383"/>
      <c r="M1084" s="300"/>
      <c r="N1084" s="384"/>
      <c r="O1084" s="300"/>
      <c r="P1084" s="300"/>
      <c r="Q1084" s="300"/>
      <c r="R1084" s="300"/>
      <c r="S1084" s="300"/>
      <c r="T1084" s="300"/>
      <c r="U1084" s="300"/>
      <c r="V1084" s="300"/>
      <c r="W1084" s="300"/>
      <c r="X1084" s="300"/>
      <c r="Y1084" s="300"/>
      <c r="Z1084" s="300"/>
      <c r="AA1084" s="300"/>
      <c r="AB1084" s="300"/>
      <c r="AC1084" s="300"/>
    </row>
    <row r="1085">
      <c r="A1085" s="300"/>
      <c r="B1085" s="300"/>
      <c r="C1085" s="380"/>
      <c r="D1085" s="300"/>
      <c r="E1085" s="381"/>
      <c r="F1085" s="382"/>
      <c r="G1085" s="380"/>
      <c r="H1085" s="300"/>
      <c r="I1085" s="300"/>
      <c r="J1085" s="300"/>
      <c r="K1085" s="300"/>
      <c r="L1085" s="383"/>
      <c r="M1085" s="300"/>
      <c r="N1085" s="384"/>
      <c r="O1085" s="300"/>
      <c r="P1085" s="300"/>
      <c r="Q1085" s="300"/>
      <c r="R1085" s="300"/>
      <c r="S1085" s="300"/>
      <c r="T1085" s="300"/>
      <c r="U1085" s="300"/>
      <c r="V1085" s="300"/>
      <c r="W1085" s="300"/>
      <c r="X1085" s="300"/>
      <c r="Y1085" s="300"/>
      <c r="Z1085" s="300"/>
      <c r="AA1085" s="300"/>
      <c r="AB1085" s="300"/>
      <c r="AC1085" s="300"/>
    </row>
    <row r="1086">
      <c r="A1086" s="300"/>
      <c r="B1086" s="300"/>
      <c r="C1086" s="380"/>
      <c r="D1086" s="300"/>
      <c r="E1086" s="381"/>
      <c r="F1086" s="382"/>
      <c r="G1086" s="380"/>
      <c r="H1086" s="300"/>
      <c r="I1086" s="300"/>
      <c r="J1086" s="300"/>
      <c r="K1086" s="300"/>
      <c r="L1086" s="383"/>
      <c r="M1086" s="300"/>
      <c r="N1086" s="384"/>
      <c r="O1086" s="300"/>
      <c r="P1086" s="300"/>
      <c r="Q1086" s="300"/>
      <c r="R1086" s="300"/>
      <c r="S1086" s="300"/>
      <c r="T1086" s="300"/>
      <c r="U1086" s="300"/>
      <c r="V1086" s="300"/>
      <c r="W1086" s="300"/>
      <c r="X1086" s="300"/>
      <c r="Y1086" s="300"/>
      <c r="Z1086" s="300"/>
      <c r="AA1086" s="300"/>
      <c r="AB1086" s="300"/>
      <c r="AC1086" s="300"/>
    </row>
    <row r="1087">
      <c r="A1087" s="300"/>
      <c r="B1087" s="300"/>
      <c r="C1087" s="380"/>
      <c r="D1087" s="300"/>
      <c r="E1087" s="381"/>
      <c r="F1087" s="382"/>
      <c r="G1087" s="380"/>
      <c r="H1087" s="300"/>
      <c r="I1087" s="300"/>
      <c r="J1087" s="300"/>
      <c r="K1087" s="300"/>
      <c r="L1087" s="383"/>
      <c r="M1087" s="300"/>
      <c r="N1087" s="384"/>
      <c r="O1087" s="300"/>
      <c r="P1087" s="300"/>
      <c r="Q1087" s="300"/>
      <c r="R1087" s="300"/>
      <c r="S1087" s="300"/>
      <c r="T1087" s="300"/>
      <c r="U1087" s="300"/>
      <c r="V1087" s="300"/>
      <c r="W1087" s="300"/>
      <c r="X1087" s="300"/>
      <c r="Y1087" s="300"/>
      <c r="Z1087" s="300"/>
      <c r="AA1087" s="300"/>
      <c r="AB1087" s="300"/>
      <c r="AC1087" s="300"/>
    </row>
    <row r="1088">
      <c r="A1088" s="300"/>
      <c r="B1088" s="300"/>
      <c r="C1088" s="380"/>
      <c r="D1088" s="300"/>
      <c r="E1088" s="381"/>
      <c r="F1088" s="382"/>
      <c r="G1088" s="380"/>
      <c r="H1088" s="300"/>
      <c r="I1088" s="300"/>
      <c r="J1088" s="300"/>
      <c r="K1088" s="300"/>
      <c r="L1088" s="383"/>
      <c r="M1088" s="300"/>
      <c r="N1088" s="384"/>
      <c r="O1088" s="300"/>
      <c r="P1088" s="300"/>
      <c r="Q1088" s="300"/>
      <c r="R1088" s="300"/>
      <c r="S1088" s="300"/>
      <c r="T1088" s="300"/>
      <c r="U1088" s="300"/>
      <c r="V1088" s="300"/>
      <c r="W1088" s="300"/>
      <c r="X1088" s="300"/>
      <c r="Y1088" s="300"/>
      <c r="Z1088" s="300"/>
      <c r="AA1088" s="300"/>
      <c r="AB1088" s="300"/>
      <c r="AC1088" s="300"/>
    </row>
    <row r="1089">
      <c r="A1089" s="300"/>
      <c r="B1089" s="300"/>
      <c r="C1089" s="380"/>
      <c r="D1089" s="300"/>
      <c r="E1089" s="381"/>
      <c r="F1089" s="382"/>
      <c r="G1089" s="380"/>
      <c r="H1089" s="300"/>
      <c r="I1089" s="300"/>
      <c r="J1089" s="300"/>
      <c r="K1089" s="300"/>
      <c r="L1089" s="383"/>
      <c r="M1089" s="300"/>
      <c r="N1089" s="384"/>
      <c r="O1089" s="300"/>
      <c r="P1089" s="300"/>
      <c r="Q1089" s="300"/>
      <c r="R1089" s="300"/>
      <c r="S1089" s="300"/>
      <c r="T1089" s="300"/>
      <c r="U1089" s="300"/>
      <c r="V1089" s="300"/>
      <c r="W1089" s="300"/>
      <c r="X1089" s="300"/>
      <c r="Y1089" s="300"/>
      <c r="Z1089" s="300"/>
      <c r="AA1089" s="300"/>
      <c r="AB1089" s="300"/>
      <c r="AC1089" s="300"/>
    </row>
    <row r="1090">
      <c r="A1090" s="300"/>
      <c r="B1090" s="300"/>
      <c r="C1090" s="380"/>
      <c r="D1090" s="300"/>
      <c r="E1090" s="381"/>
      <c r="F1090" s="382"/>
      <c r="G1090" s="380"/>
      <c r="H1090" s="300"/>
      <c r="I1090" s="300"/>
      <c r="J1090" s="300"/>
      <c r="K1090" s="300"/>
      <c r="L1090" s="383"/>
      <c r="M1090" s="300"/>
      <c r="N1090" s="384"/>
      <c r="O1090" s="300"/>
      <c r="P1090" s="300"/>
      <c r="Q1090" s="300"/>
      <c r="R1090" s="300"/>
      <c r="S1090" s="300"/>
      <c r="T1090" s="300"/>
      <c r="U1090" s="300"/>
      <c r="V1090" s="300"/>
      <c r="W1090" s="300"/>
      <c r="X1090" s="300"/>
      <c r="Y1090" s="300"/>
      <c r="Z1090" s="300"/>
      <c r="AA1090" s="300"/>
      <c r="AB1090" s="300"/>
      <c r="AC1090" s="300"/>
    </row>
    <row r="1091">
      <c r="A1091" s="300"/>
      <c r="B1091" s="300"/>
      <c r="C1091" s="380"/>
      <c r="D1091" s="300"/>
      <c r="E1091" s="381"/>
      <c r="F1091" s="382"/>
      <c r="G1091" s="380"/>
      <c r="H1091" s="300"/>
      <c r="I1091" s="300"/>
      <c r="J1091" s="300"/>
      <c r="K1091" s="300"/>
      <c r="L1091" s="383"/>
      <c r="M1091" s="300"/>
      <c r="N1091" s="384"/>
      <c r="O1091" s="300"/>
      <c r="P1091" s="300"/>
      <c r="Q1091" s="300"/>
      <c r="R1091" s="300"/>
      <c r="S1091" s="300"/>
      <c r="T1091" s="300"/>
      <c r="U1091" s="300"/>
      <c r="V1091" s="300"/>
      <c r="W1091" s="300"/>
      <c r="X1091" s="300"/>
      <c r="Y1091" s="300"/>
      <c r="Z1091" s="300"/>
      <c r="AA1091" s="300"/>
      <c r="AB1091" s="300"/>
      <c r="AC1091" s="300"/>
    </row>
    <row r="1092">
      <c r="A1092" s="300"/>
      <c r="B1092" s="300"/>
      <c r="C1092" s="380"/>
      <c r="D1092" s="300"/>
      <c r="E1092" s="381"/>
      <c r="F1092" s="382"/>
      <c r="G1092" s="380"/>
      <c r="H1092" s="300"/>
      <c r="I1092" s="300"/>
      <c r="J1092" s="300"/>
      <c r="K1092" s="300"/>
      <c r="L1092" s="383"/>
      <c r="M1092" s="300"/>
      <c r="N1092" s="384"/>
      <c r="O1092" s="300"/>
      <c r="P1092" s="300"/>
      <c r="Q1092" s="300"/>
      <c r="R1092" s="300"/>
      <c r="S1092" s="300"/>
      <c r="T1092" s="300"/>
      <c r="U1092" s="300"/>
      <c r="V1092" s="300"/>
      <c r="W1092" s="300"/>
      <c r="X1092" s="300"/>
      <c r="Y1092" s="300"/>
      <c r="Z1092" s="300"/>
      <c r="AA1092" s="300"/>
      <c r="AB1092" s="300"/>
      <c r="AC1092" s="300"/>
    </row>
    <row r="1093">
      <c r="A1093" s="300"/>
      <c r="B1093" s="300"/>
      <c r="C1093" s="380"/>
      <c r="D1093" s="300"/>
      <c r="E1093" s="381"/>
      <c r="F1093" s="382"/>
      <c r="G1093" s="380"/>
      <c r="H1093" s="300"/>
      <c r="I1093" s="300"/>
      <c r="J1093" s="300"/>
      <c r="K1093" s="300"/>
      <c r="L1093" s="383"/>
      <c r="M1093" s="300"/>
      <c r="N1093" s="384"/>
      <c r="O1093" s="300"/>
      <c r="P1093" s="300"/>
      <c r="Q1093" s="300"/>
      <c r="R1093" s="300"/>
      <c r="S1093" s="300"/>
      <c r="T1093" s="300"/>
      <c r="U1093" s="300"/>
      <c r="V1093" s="300"/>
      <c r="W1093" s="300"/>
      <c r="X1093" s="300"/>
      <c r="Y1093" s="300"/>
      <c r="Z1093" s="300"/>
      <c r="AA1093" s="300"/>
      <c r="AB1093" s="300"/>
      <c r="AC1093" s="300"/>
    </row>
    <row r="1094">
      <c r="A1094" s="300"/>
      <c r="B1094" s="300"/>
      <c r="C1094" s="380"/>
      <c r="D1094" s="300"/>
      <c r="E1094" s="381"/>
      <c r="F1094" s="382"/>
      <c r="G1094" s="380"/>
      <c r="H1094" s="300"/>
      <c r="I1094" s="300"/>
      <c r="J1094" s="300"/>
      <c r="K1094" s="300"/>
      <c r="L1094" s="383"/>
      <c r="M1094" s="300"/>
      <c r="N1094" s="384"/>
      <c r="O1094" s="300"/>
      <c r="P1094" s="300"/>
      <c r="Q1094" s="300"/>
      <c r="R1094" s="300"/>
      <c r="S1094" s="300"/>
      <c r="T1094" s="300"/>
      <c r="U1094" s="300"/>
      <c r="V1094" s="300"/>
      <c r="W1094" s="300"/>
      <c r="X1094" s="300"/>
      <c r="Y1094" s="300"/>
      <c r="Z1094" s="300"/>
      <c r="AA1094" s="300"/>
      <c r="AB1094" s="300"/>
      <c r="AC1094" s="300"/>
    </row>
    <row r="1095">
      <c r="A1095" s="300"/>
      <c r="B1095" s="300"/>
      <c r="C1095" s="380"/>
      <c r="D1095" s="300"/>
      <c r="E1095" s="381"/>
      <c r="F1095" s="382"/>
      <c r="G1095" s="380"/>
      <c r="H1095" s="300"/>
      <c r="I1095" s="300"/>
      <c r="J1095" s="300"/>
      <c r="K1095" s="300"/>
      <c r="L1095" s="383"/>
      <c r="M1095" s="300"/>
      <c r="N1095" s="384"/>
      <c r="O1095" s="300"/>
      <c r="P1095" s="300"/>
      <c r="Q1095" s="300"/>
      <c r="R1095" s="300"/>
      <c r="S1095" s="300"/>
      <c r="T1095" s="300"/>
      <c r="U1095" s="300"/>
      <c r="V1095" s="300"/>
      <c r="W1095" s="300"/>
      <c r="X1095" s="300"/>
      <c r="Y1095" s="300"/>
      <c r="Z1095" s="300"/>
      <c r="AA1095" s="300"/>
      <c r="AB1095" s="300"/>
      <c r="AC1095" s="300"/>
    </row>
    <row r="1096">
      <c r="A1096" s="300"/>
      <c r="B1096" s="300"/>
      <c r="C1096" s="380"/>
      <c r="D1096" s="300"/>
      <c r="E1096" s="381"/>
      <c r="F1096" s="382"/>
      <c r="G1096" s="380"/>
      <c r="H1096" s="300"/>
      <c r="I1096" s="300"/>
      <c r="J1096" s="300"/>
      <c r="K1096" s="300"/>
      <c r="L1096" s="383"/>
      <c r="M1096" s="300"/>
      <c r="N1096" s="384"/>
      <c r="O1096" s="300"/>
      <c r="P1096" s="300"/>
      <c r="Q1096" s="300"/>
      <c r="R1096" s="300"/>
      <c r="S1096" s="300"/>
      <c r="T1096" s="300"/>
      <c r="U1096" s="300"/>
      <c r="V1096" s="300"/>
      <c r="W1096" s="300"/>
      <c r="X1096" s="300"/>
      <c r="Y1096" s="300"/>
      <c r="Z1096" s="300"/>
      <c r="AA1096" s="300"/>
      <c r="AB1096" s="300"/>
      <c r="AC1096" s="300"/>
    </row>
    <row r="1097">
      <c r="A1097" s="300"/>
      <c r="B1097" s="300"/>
      <c r="C1097" s="380"/>
      <c r="D1097" s="300"/>
      <c r="E1097" s="381"/>
      <c r="F1097" s="382"/>
      <c r="G1097" s="380"/>
      <c r="H1097" s="300"/>
      <c r="I1097" s="300"/>
      <c r="J1097" s="300"/>
      <c r="K1097" s="300"/>
      <c r="L1097" s="383"/>
      <c r="M1097" s="300"/>
      <c r="N1097" s="384"/>
      <c r="O1097" s="300"/>
      <c r="P1097" s="300"/>
      <c r="Q1097" s="300"/>
      <c r="R1097" s="300"/>
      <c r="S1097" s="300"/>
      <c r="T1097" s="300"/>
      <c r="U1097" s="300"/>
      <c r="V1097" s="300"/>
      <c r="W1097" s="300"/>
      <c r="X1097" s="300"/>
      <c r="Y1097" s="300"/>
      <c r="Z1097" s="300"/>
      <c r="AA1097" s="300"/>
      <c r="AB1097" s="300"/>
      <c r="AC1097" s="300"/>
    </row>
    <row r="1098">
      <c r="A1098" s="300"/>
      <c r="B1098" s="300"/>
      <c r="C1098" s="380"/>
      <c r="D1098" s="300"/>
      <c r="E1098" s="381"/>
      <c r="F1098" s="382"/>
      <c r="G1098" s="380"/>
      <c r="H1098" s="300"/>
      <c r="I1098" s="300"/>
      <c r="J1098" s="300"/>
      <c r="K1098" s="300"/>
      <c r="L1098" s="383"/>
      <c r="M1098" s="300"/>
      <c r="N1098" s="384"/>
      <c r="O1098" s="300"/>
      <c r="P1098" s="300"/>
      <c r="Q1098" s="300"/>
      <c r="R1098" s="300"/>
      <c r="S1098" s="300"/>
      <c r="T1098" s="300"/>
      <c r="U1098" s="300"/>
      <c r="V1098" s="300"/>
      <c r="W1098" s="300"/>
      <c r="X1098" s="300"/>
      <c r="Y1098" s="300"/>
      <c r="Z1098" s="300"/>
      <c r="AA1098" s="300"/>
      <c r="AB1098" s="300"/>
      <c r="AC1098" s="300"/>
    </row>
    <row r="1099">
      <c r="A1099" s="300"/>
      <c r="B1099" s="300"/>
      <c r="C1099" s="380"/>
      <c r="D1099" s="300"/>
      <c r="E1099" s="381"/>
      <c r="F1099" s="382"/>
      <c r="G1099" s="380"/>
      <c r="H1099" s="300"/>
      <c r="I1099" s="300"/>
      <c r="J1099" s="300"/>
      <c r="K1099" s="300"/>
      <c r="L1099" s="383"/>
      <c r="M1099" s="300"/>
      <c r="N1099" s="384"/>
      <c r="O1099" s="300"/>
      <c r="P1099" s="300"/>
      <c r="Q1099" s="300"/>
      <c r="R1099" s="300"/>
      <c r="S1099" s="300"/>
      <c r="T1099" s="300"/>
      <c r="U1099" s="300"/>
      <c r="V1099" s="300"/>
      <c r="W1099" s="300"/>
      <c r="X1099" s="300"/>
      <c r="Y1099" s="300"/>
      <c r="Z1099" s="300"/>
      <c r="AA1099" s="300"/>
      <c r="AB1099" s="300"/>
      <c r="AC1099" s="300"/>
    </row>
    <row r="1100">
      <c r="A1100" s="300"/>
      <c r="B1100" s="300"/>
      <c r="C1100" s="380"/>
      <c r="D1100" s="300"/>
      <c r="E1100" s="381"/>
      <c r="F1100" s="382"/>
      <c r="G1100" s="380"/>
      <c r="H1100" s="300"/>
      <c r="I1100" s="300"/>
      <c r="J1100" s="300"/>
      <c r="K1100" s="300"/>
      <c r="L1100" s="383"/>
      <c r="M1100" s="300"/>
      <c r="N1100" s="384"/>
      <c r="O1100" s="300"/>
      <c r="P1100" s="300"/>
      <c r="Q1100" s="300"/>
      <c r="R1100" s="300"/>
      <c r="S1100" s="300"/>
      <c r="T1100" s="300"/>
      <c r="U1100" s="300"/>
      <c r="V1100" s="300"/>
      <c r="W1100" s="300"/>
      <c r="X1100" s="300"/>
      <c r="Y1100" s="300"/>
      <c r="Z1100" s="300"/>
      <c r="AA1100" s="300"/>
      <c r="AB1100" s="300"/>
      <c r="AC1100" s="300"/>
    </row>
    <row r="1101">
      <c r="A1101" s="300"/>
      <c r="B1101" s="300"/>
      <c r="C1101" s="380"/>
      <c r="D1101" s="300"/>
      <c r="E1101" s="381"/>
      <c r="F1101" s="382"/>
      <c r="G1101" s="380"/>
      <c r="H1101" s="300"/>
      <c r="I1101" s="300"/>
      <c r="J1101" s="300"/>
      <c r="K1101" s="300"/>
      <c r="L1101" s="383"/>
      <c r="M1101" s="300"/>
      <c r="N1101" s="384"/>
      <c r="O1101" s="300"/>
      <c r="P1101" s="300"/>
      <c r="Q1101" s="300"/>
      <c r="R1101" s="300"/>
      <c r="S1101" s="300"/>
      <c r="T1101" s="300"/>
      <c r="U1101" s="300"/>
      <c r="V1101" s="300"/>
      <c r="W1101" s="300"/>
      <c r="X1101" s="300"/>
      <c r="Y1101" s="300"/>
      <c r="Z1101" s="300"/>
      <c r="AA1101" s="300"/>
      <c r="AB1101" s="300"/>
      <c r="AC1101" s="300"/>
    </row>
    <row r="1102">
      <c r="A1102" s="300"/>
      <c r="B1102" s="300"/>
      <c r="C1102" s="380"/>
      <c r="D1102" s="300"/>
      <c r="E1102" s="381"/>
      <c r="F1102" s="382"/>
      <c r="G1102" s="380"/>
      <c r="H1102" s="300"/>
      <c r="I1102" s="300"/>
      <c r="J1102" s="300"/>
      <c r="K1102" s="300"/>
      <c r="L1102" s="383"/>
      <c r="M1102" s="300"/>
      <c r="N1102" s="384"/>
      <c r="O1102" s="300"/>
      <c r="P1102" s="300"/>
      <c r="Q1102" s="300"/>
      <c r="R1102" s="300"/>
      <c r="S1102" s="300"/>
      <c r="T1102" s="300"/>
      <c r="U1102" s="300"/>
      <c r="V1102" s="300"/>
      <c r="W1102" s="300"/>
      <c r="X1102" s="300"/>
      <c r="Y1102" s="300"/>
      <c r="Z1102" s="300"/>
      <c r="AA1102" s="300"/>
      <c r="AB1102" s="300"/>
      <c r="AC1102" s="300"/>
    </row>
    <row r="1103">
      <c r="A1103" s="300"/>
      <c r="B1103" s="300"/>
      <c r="C1103" s="380"/>
      <c r="D1103" s="300"/>
      <c r="E1103" s="381"/>
      <c r="F1103" s="382"/>
      <c r="G1103" s="380"/>
      <c r="H1103" s="300"/>
      <c r="I1103" s="300"/>
      <c r="J1103" s="300"/>
      <c r="K1103" s="300"/>
      <c r="L1103" s="383"/>
      <c r="M1103" s="300"/>
      <c r="N1103" s="384"/>
      <c r="O1103" s="300"/>
      <c r="P1103" s="300"/>
      <c r="Q1103" s="300"/>
      <c r="R1103" s="300"/>
      <c r="S1103" s="300"/>
      <c r="T1103" s="300"/>
      <c r="U1103" s="300"/>
      <c r="V1103" s="300"/>
      <c r="W1103" s="300"/>
      <c r="X1103" s="300"/>
      <c r="Y1103" s="300"/>
      <c r="Z1103" s="300"/>
      <c r="AA1103" s="300"/>
      <c r="AB1103" s="300"/>
      <c r="AC1103" s="300"/>
    </row>
    <row r="1104">
      <c r="A1104" s="300"/>
      <c r="B1104" s="300"/>
      <c r="C1104" s="380"/>
      <c r="D1104" s="300"/>
      <c r="E1104" s="381"/>
      <c r="F1104" s="382"/>
      <c r="G1104" s="380"/>
      <c r="H1104" s="300"/>
      <c r="I1104" s="300"/>
      <c r="J1104" s="300"/>
      <c r="K1104" s="300"/>
      <c r="L1104" s="383"/>
      <c r="M1104" s="300"/>
      <c r="N1104" s="384"/>
      <c r="O1104" s="300"/>
      <c r="P1104" s="300"/>
      <c r="Q1104" s="300"/>
      <c r="R1104" s="300"/>
      <c r="S1104" s="300"/>
      <c r="T1104" s="300"/>
      <c r="U1104" s="300"/>
      <c r="V1104" s="300"/>
      <c r="W1104" s="300"/>
      <c r="X1104" s="300"/>
      <c r="Y1104" s="300"/>
      <c r="Z1104" s="300"/>
      <c r="AA1104" s="300"/>
      <c r="AB1104" s="300"/>
      <c r="AC1104" s="300"/>
    </row>
    <row r="1105">
      <c r="A1105" s="300"/>
      <c r="B1105" s="300"/>
      <c r="C1105" s="380"/>
      <c r="D1105" s="300"/>
      <c r="E1105" s="381"/>
      <c r="F1105" s="382"/>
      <c r="G1105" s="380"/>
      <c r="H1105" s="300"/>
      <c r="I1105" s="300"/>
      <c r="J1105" s="300"/>
      <c r="K1105" s="300"/>
      <c r="L1105" s="383"/>
      <c r="M1105" s="300"/>
      <c r="N1105" s="384"/>
      <c r="O1105" s="300"/>
      <c r="P1105" s="300"/>
      <c r="Q1105" s="300"/>
      <c r="R1105" s="300"/>
      <c r="S1105" s="300"/>
      <c r="T1105" s="300"/>
      <c r="U1105" s="300"/>
      <c r="V1105" s="300"/>
      <c r="W1105" s="300"/>
      <c r="X1105" s="300"/>
      <c r="Y1105" s="300"/>
      <c r="Z1105" s="300"/>
      <c r="AA1105" s="300"/>
      <c r="AB1105" s="300"/>
      <c r="AC1105" s="300"/>
    </row>
    <row r="1106">
      <c r="A1106" s="300"/>
      <c r="B1106" s="300"/>
      <c r="C1106" s="380"/>
      <c r="D1106" s="300"/>
      <c r="E1106" s="381"/>
      <c r="F1106" s="382"/>
      <c r="G1106" s="380"/>
      <c r="H1106" s="300"/>
      <c r="I1106" s="300"/>
      <c r="J1106" s="300"/>
      <c r="K1106" s="300"/>
      <c r="L1106" s="383"/>
      <c r="M1106" s="300"/>
      <c r="N1106" s="384"/>
      <c r="O1106" s="300"/>
      <c r="P1106" s="300"/>
      <c r="Q1106" s="300"/>
      <c r="R1106" s="300"/>
      <c r="S1106" s="300"/>
      <c r="T1106" s="300"/>
      <c r="U1106" s="300"/>
      <c r="V1106" s="300"/>
      <c r="W1106" s="300"/>
      <c r="X1106" s="300"/>
      <c r="Y1106" s="300"/>
      <c r="Z1106" s="300"/>
      <c r="AA1106" s="300"/>
      <c r="AB1106" s="300"/>
      <c r="AC1106" s="300"/>
    </row>
    <row r="1107">
      <c r="A1107" s="300"/>
      <c r="B1107" s="300"/>
      <c r="C1107" s="380"/>
      <c r="D1107" s="300"/>
      <c r="E1107" s="381"/>
      <c r="F1107" s="382"/>
      <c r="G1107" s="380"/>
      <c r="H1107" s="300"/>
      <c r="I1107" s="300"/>
      <c r="J1107" s="300"/>
      <c r="K1107" s="300"/>
      <c r="L1107" s="383"/>
      <c r="M1107" s="300"/>
      <c r="N1107" s="384"/>
      <c r="O1107" s="300"/>
      <c r="P1107" s="300"/>
      <c r="Q1107" s="300"/>
      <c r="R1107" s="300"/>
      <c r="S1107" s="300"/>
      <c r="T1107" s="300"/>
      <c r="U1107" s="300"/>
      <c r="V1107" s="300"/>
      <c r="W1107" s="300"/>
      <c r="X1107" s="300"/>
      <c r="Y1107" s="300"/>
      <c r="Z1107" s="300"/>
      <c r="AA1107" s="300"/>
      <c r="AB1107" s="300"/>
      <c r="AC1107" s="300"/>
    </row>
    <row r="1108">
      <c r="A1108" s="300"/>
      <c r="B1108" s="300"/>
      <c r="C1108" s="380"/>
      <c r="D1108" s="300"/>
      <c r="E1108" s="381"/>
      <c r="F1108" s="382"/>
      <c r="G1108" s="380"/>
      <c r="H1108" s="300"/>
      <c r="I1108" s="300"/>
      <c r="J1108" s="300"/>
      <c r="K1108" s="300"/>
      <c r="L1108" s="383"/>
      <c r="M1108" s="300"/>
      <c r="N1108" s="384"/>
      <c r="O1108" s="300"/>
      <c r="P1108" s="300"/>
      <c r="Q1108" s="300"/>
      <c r="R1108" s="300"/>
      <c r="S1108" s="300"/>
      <c r="T1108" s="300"/>
      <c r="U1108" s="300"/>
      <c r="V1108" s="300"/>
      <c r="W1108" s="300"/>
      <c r="X1108" s="300"/>
      <c r="Y1108" s="300"/>
      <c r="Z1108" s="300"/>
      <c r="AA1108" s="300"/>
      <c r="AB1108" s="300"/>
      <c r="AC1108" s="300"/>
    </row>
    <row r="1109">
      <c r="A1109" s="300"/>
      <c r="B1109" s="300"/>
      <c r="C1109" s="380"/>
      <c r="D1109" s="300"/>
      <c r="E1109" s="381"/>
      <c r="F1109" s="382"/>
      <c r="G1109" s="380"/>
      <c r="H1109" s="300"/>
      <c r="I1109" s="300"/>
      <c r="J1109" s="300"/>
      <c r="K1109" s="300"/>
      <c r="L1109" s="383"/>
      <c r="M1109" s="300"/>
      <c r="N1109" s="384"/>
      <c r="O1109" s="300"/>
      <c r="P1109" s="300"/>
      <c r="Q1109" s="300"/>
      <c r="R1109" s="300"/>
      <c r="S1109" s="300"/>
      <c r="T1109" s="300"/>
      <c r="U1109" s="300"/>
      <c r="V1109" s="300"/>
      <c r="W1109" s="300"/>
      <c r="X1109" s="300"/>
      <c r="Y1109" s="300"/>
      <c r="Z1109" s="300"/>
      <c r="AA1109" s="300"/>
      <c r="AB1109" s="300"/>
      <c r="AC1109" s="300"/>
    </row>
    <row r="1110">
      <c r="A1110" s="300"/>
      <c r="B1110" s="300"/>
      <c r="C1110" s="380"/>
      <c r="D1110" s="300"/>
      <c r="E1110" s="381"/>
      <c r="F1110" s="382"/>
      <c r="G1110" s="380"/>
      <c r="H1110" s="300"/>
      <c r="I1110" s="300"/>
      <c r="J1110" s="300"/>
      <c r="K1110" s="300"/>
      <c r="L1110" s="383"/>
      <c r="M1110" s="300"/>
      <c r="N1110" s="384"/>
      <c r="O1110" s="300"/>
      <c r="P1110" s="300"/>
      <c r="Q1110" s="300"/>
      <c r="R1110" s="300"/>
      <c r="S1110" s="300"/>
      <c r="T1110" s="300"/>
      <c r="U1110" s="300"/>
      <c r="V1110" s="300"/>
      <c r="W1110" s="300"/>
      <c r="X1110" s="300"/>
      <c r="Y1110" s="300"/>
      <c r="Z1110" s="300"/>
      <c r="AA1110" s="300"/>
      <c r="AB1110" s="300"/>
      <c r="AC1110" s="300"/>
    </row>
    <row r="1111">
      <c r="A1111" s="300"/>
      <c r="B1111" s="300"/>
      <c r="C1111" s="380"/>
      <c r="D1111" s="300"/>
      <c r="E1111" s="381"/>
      <c r="F1111" s="382"/>
      <c r="G1111" s="380"/>
      <c r="H1111" s="300"/>
      <c r="I1111" s="300"/>
      <c r="J1111" s="300"/>
      <c r="K1111" s="300"/>
      <c r="L1111" s="383"/>
      <c r="M1111" s="300"/>
      <c r="N1111" s="384"/>
      <c r="O1111" s="300"/>
      <c r="P1111" s="300"/>
      <c r="Q1111" s="300"/>
      <c r="R1111" s="300"/>
      <c r="S1111" s="300"/>
      <c r="T1111" s="300"/>
      <c r="U1111" s="300"/>
      <c r="V1111" s="300"/>
      <c r="W1111" s="300"/>
      <c r="X1111" s="300"/>
      <c r="Y1111" s="300"/>
      <c r="Z1111" s="300"/>
      <c r="AA1111" s="300"/>
      <c r="AB1111" s="300"/>
      <c r="AC1111" s="300"/>
    </row>
    <row r="1112">
      <c r="A1112" s="300"/>
      <c r="B1112" s="300"/>
      <c r="C1112" s="380"/>
      <c r="D1112" s="300"/>
      <c r="E1112" s="381"/>
      <c r="F1112" s="382"/>
      <c r="G1112" s="380"/>
      <c r="H1112" s="300"/>
      <c r="I1112" s="300"/>
      <c r="J1112" s="300"/>
      <c r="K1112" s="300"/>
      <c r="L1112" s="383"/>
      <c r="M1112" s="300"/>
      <c r="N1112" s="384"/>
      <c r="O1112" s="300"/>
      <c r="P1112" s="300"/>
      <c r="Q1112" s="300"/>
      <c r="R1112" s="300"/>
      <c r="S1112" s="300"/>
      <c r="T1112" s="300"/>
      <c r="U1112" s="300"/>
      <c r="V1112" s="300"/>
      <c r="W1112" s="300"/>
      <c r="X1112" s="300"/>
      <c r="Y1112" s="300"/>
      <c r="Z1112" s="300"/>
      <c r="AA1112" s="300"/>
      <c r="AB1112" s="300"/>
      <c r="AC1112" s="300"/>
    </row>
    <row r="1113">
      <c r="A1113" s="300"/>
      <c r="B1113" s="300"/>
      <c r="C1113" s="380"/>
      <c r="D1113" s="300"/>
      <c r="E1113" s="381"/>
      <c r="F1113" s="382"/>
      <c r="G1113" s="380"/>
      <c r="H1113" s="300"/>
      <c r="I1113" s="300"/>
      <c r="J1113" s="300"/>
      <c r="K1113" s="300"/>
      <c r="L1113" s="383"/>
      <c r="M1113" s="300"/>
      <c r="N1113" s="384"/>
      <c r="O1113" s="300"/>
      <c r="P1113" s="300"/>
      <c r="Q1113" s="300"/>
      <c r="R1113" s="300"/>
      <c r="S1113" s="300"/>
      <c r="T1113" s="300"/>
      <c r="U1113" s="300"/>
      <c r="V1113" s="300"/>
      <c r="W1113" s="300"/>
      <c r="X1113" s="300"/>
      <c r="Y1113" s="300"/>
      <c r="Z1113" s="300"/>
      <c r="AA1113" s="300"/>
      <c r="AB1113" s="300"/>
      <c r="AC1113" s="300"/>
    </row>
    <row r="1114">
      <c r="A1114" s="300"/>
      <c r="B1114" s="300"/>
      <c r="C1114" s="380"/>
      <c r="D1114" s="300"/>
      <c r="E1114" s="381"/>
      <c r="F1114" s="382"/>
      <c r="G1114" s="380"/>
      <c r="H1114" s="300"/>
      <c r="I1114" s="300"/>
      <c r="J1114" s="300"/>
      <c r="K1114" s="300"/>
      <c r="L1114" s="383"/>
      <c r="M1114" s="300"/>
      <c r="N1114" s="384"/>
      <c r="O1114" s="300"/>
      <c r="P1114" s="300"/>
      <c r="Q1114" s="300"/>
      <c r="R1114" s="300"/>
      <c r="S1114" s="300"/>
      <c r="T1114" s="300"/>
      <c r="U1114" s="300"/>
      <c r="V1114" s="300"/>
      <c r="W1114" s="300"/>
      <c r="X1114" s="300"/>
      <c r="Y1114" s="300"/>
      <c r="Z1114" s="300"/>
      <c r="AA1114" s="300"/>
      <c r="AB1114" s="300"/>
      <c r="AC1114" s="300"/>
    </row>
    <row r="1115">
      <c r="A1115" s="300"/>
      <c r="B1115" s="300"/>
      <c r="C1115" s="380"/>
      <c r="D1115" s="300"/>
      <c r="E1115" s="381"/>
      <c r="F1115" s="382"/>
      <c r="G1115" s="380"/>
      <c r="H1115" s="300"/>
      <c r="I1115" s="300"/>
      <c r="J1115" s="300"/>
      <c r="K1115" s="300"/>
      <c r="L1115" s="383"/>
      <c r="M1115" s="300"/>
      <c r="N1115" s="384"/>
      <c r="O1115" s="300"/>
      <c r="P1115" s="300"/>
      <c r="Q1115" s="300"/>
      <c r="R1115" s="300"/>
      <c r="S1115" s="300"/>
      <c r="T1115" s="300"/>
      <c r="U1115" s="300"/>
      <c r="V1115" s="300"/>
      <c r="W1115" s="300"/>
      <c r="X1115" s="300"/>
      <c r="Y1115" s="300"/>
      <c r="Z1115" s="300"/>
      <c r="AA1115" s="300"/>
      <c r="AB1115" s="300"/>
      <c r="AC1115" s="300"/>
    </row>
    <row r="1116">
      <c r="A1116" s="300"/>
      <c r="B1116" s="300"/>
      <c r="C1116" s="380"/>
      <c r="D1116" s="300"/>
      <c r="E1116" s="381"/>
      <c r="F1116" s="382"/>
      <c r="G1116" s="380"/>
      <c r="H1116" s="300"/>
      <c r="I1116" s="300"/>
      <c r="J1116" s="300"/>
      <c r="K1116" s="300"/>
      <c r="L1116" s="383"/>
      <c r="M1116" s="300"/>
      <c r="N1116" s="384"/>
      <c r="O1116" s="300"/>
      <c r="P1116" s="300"/>
      <c r="Q1116" s="300"/>
      <c r="R1116" s="300"/>
      <c r="S1116" s="300"/>
      <c r="T1116" s="300"/>
      <c r="U1116" s="300"/>
      <c r="V1116" s="300"/>
      <c r="W1116" s="300"/>
      <c r="X1116" s="300"/>
      <c r="Y1116" s="300"/>
      <c r="Z1116" s="300"/>
      <c r="AA1116" s="300"/>
      <c r="AB1116" s="300"/>
      <c r="AC1116" s="300"/>
    </row>
    <row r="1117">
      <c r="A1117" s="300"/>
      <c r="B1117" s="300"/>
      <c r="C1117" s="380"/>
      <c r="D1117" s="300"/>
      <c r="E1117" s="381"/>
      <c r="F1117" s="382"/>
      <c r="G1117" s="380"/>
      <c r="H1117" s="300"/>
      <c r="I1117" s="300"/>
      <c r="J1117" s="300"/>
      <c r="K1117" s="300"/>
      <c r="L1117" s="383"/>
      <c r="M1117" s="300"/>
      <c r="N1117" s="384"/>
      <c r="O1117" s="300"/>
      <c r="P1117" s="300"/>
      <c r="Q1117" s="300"/>
      <c r="R1117" s="300"/>
      <c r="S1117" s="300"/>
      <c r="T1117" s="300"/>
      <c r="U1117" s="300"/>
      <c r="V1117" s="300"/>
      <c r="W1117" s="300"/>
      <c r="X1117" s="300"/>
      <c r="Y1117" s="300"/>
      <c r="Z1117" s="300"/>
      <c r="AA1117" s="300"/>
      <c r="AB1117" s="300"/>
      <c r="AC1117" s="300"/>
    </row>
    <row r="1118">
      <c r="A1118" s="300"/>
      <c r="B1118" s="300"/>
      <c r="C1118" s="380"/>
      <c r="D1118" s="300"/>
      <c r="E1118" s="381"/>
      <c r="F1118" s="382"/>
      <c r="G1118" s="380"/>
      <c r="H1118" s="300"/>
      <c r="I1118" s="300"/>
      <c r="J1118" s="300"/>
      <c r="K1118" s="300"/>
      <c r="L1118" s="383"/>
      <c r="M1118" s="300"/>
      <c r="N1118" s="384"/>
      <c r="O1118" s="300"/>
      <c r="P1118" s="300"/>
      <c r="Q1118" s="300"/>
      <c r="R1118" s="300"/>
      <c r="S1118" s="300"/>
      <c r="T1118" s="300"/>
      <c r="U1118" s="300"/>
      <c r="V1118" s="300"/>
      <c r="W1118" s="300"/>
      <c r="X1118" s="300"/>
      <c r="Y1118" s="300"/>
      <c r="Z1118" s="300"/>
      <c r="AA1118" s="300"/>
      <c r="AB1118" s="300"/>
      <c r="AC1118" s="300"/>
    </row>
    <row r="1119">
      <c r="A1119" s="300"/>
      <c r="B1119" s="300"/>
      <c r="C1119" s="380"/>
      <c r="D1119" s="300"/>
      <c r="E1119" s="381"/>
      <c r="F1119" s="382"/>
      <c r="G1119" s="380"/>
      <c r="H1119" s="300"/>
      <c r="I1119" s="300"/>
      <c r="J1119" s="300"/>
      <c r="K1119" s="300"/>
      <c r="L1119" s="383"/>
      <c r="M1119" s="300"/>
      <c r="N1119" s="384"/>
      <c r="O1119" s="300"/>
      <c r="P1119" s="300"/>
      <c r="Q1119" s="300"/>
      <c r="R1119" s="300"/>
      <c r="S1119" s="300"/>
      <c r="T1119" s="300"/>
      <c r="U1119" s="300"/>
      <c r="V1119" s="300"/>
      <c r="W1119" s="300"/>
      <c r="X1119" s="300"/>
      <c r="Y1119" s="300"/>
      <c r="Z1119" s="300"/>
      <c r="AA1119" s="300"/>
      <c r="AB1119" s="300"/>
      <c r="AC1119" s="300"/>
    </row>
    <row r="1120">
      <c r="A1120" s="300"/>
      <c r="B1120" s="300"/>
      <c r="C1120" s="380"/>
      <c r="D1120" s="300"/>
      <c r="E1120" s="381"/>
      <c r="F1120" s="382"/>
      <c r="G1120" s="380"/>
      <c r="H1120" s="300"/>
      <c r="I1120" s="300"/>
      <c r="J1120" s="300"/>
      <c r="K1120" s="300"/>
      <c r="L1120" s="383"/>
      <c r="M1120" s="300"/>
      <c r="N1120" s="384"/>
      <c r="O1120" s="300"/>
      <c r="P1120" s="300"/>
      <c r="Q1120" s="300"/>
      <c r="R1120" s="300"/>
      <c r="S1120" s="300"/>
      <c r="T1120" s="300"/>
      <c r="U1120" s="300"/>
      <c r="V1120" s="300"/>
      <c r="W1120" s="300"/>
      <c r="X1120" s="300"/>
      <c r="Y1120" s="300"/>
      <c r="Z1120" s="300"/>
      <c r="AA1120" s="300"/>
      <c r="AB1120" s="300"/>
      <c r="AC1120" s="300"/>
    </row>
    <row r="1121">
      <c r="A1121" s="300"/>
      <c r="B1121" s="300"/>
      <c r="C1121" s="380"/>
      <c r="D1121" s="300"/>
      <c r="E1121" s="381"/>
      <c r="F1121" s="382"/>
      <c r="G1121" s="380"/>
      <c r="H1121" s="300"/>
      <c r="I1121" s="300"/>
      <c r="J1121" s="300"/>
      <c r="K1121" s="300"/>
      <c r="L1121" s="383"/>
      <c r="M1121" s="300"/>
      <c r="N1121" s="384"/>
      <c r="O1121" s="300"/>
      <c r="P1121" s="300"/>
      <c r="Q1121" s="300"/>
      <c r="R1121" s="300"/>
      <c r="S1121" s="300"/>
      <c r="T1121" s="300"/>
      <c r="U1121" s="300"/>
      <c r="V1121" s="300"/>
      <c r="W1121" s="300"/>
      <c r="X1121" s="300"/>
      <c r="Y1121" s="300"/>
      <c r="Z1121" s="300"/>
      <c r="AA1121" s="300"/>
      <c r="AB1121" s="300"/>
      <c r="AC1121" s="300"/>
    </row>
    <row r="1122">
      <c r="A1122" s="300"/>
      <c r="B1122" s="300"/>
      <c r="C1122" s="380"/>
      <c r="D1122" s="300"/>
      <c r="E1122" s="381"/>
      <c r="F1122" s="382"/>
      <c r="G1122" s="380"/>
      <c r="H1122" s="300"/>
      <c r="I1122" s="300"/>
      <c r="J1122" s="300"/>
      <c r="K1122" s="300"/>
      <c r="L1122" s="383"/>
      <c r="M1122" s="300"/>
      <c r="N1122" s="384"/>
      <c r="O1122" s="300"/>
      <c r="P1122" s="300"/>
      <c r="Q1122" s="300"/>
      <c r="R1122" s="300"/>
      <c r="S1122" s="300"/>
      <c r="T1122" s="300"/>
      <c r="U1122" s="300"/>
      <c r="V1122" s="300"/>
      <c r="W1122" s="300"/>
      <c r="X1122" s="300"/>
      <c r="Y1122" s="300"/>
      <c r="Z1122" s="300"/>
      <c r="AA1122" s="300"/>
      <c r="AB1122" s="300"/>
      <c r="AC1122" s="300"/>
    </row>
    <row r="1123">
      <c r="A1123" s="300"/>
      <c r="B1123" s="300"/>
      <c r="C1123" s="380"/>
      <c r="D1123" s="300"/>
      <c r="E1123" s="381"/>
      <c r="F1123" s="382"/>
      <c r="G1123" s="380"/>
      <c r="H1123" s="300"/>
      <c r="I1123" s="300"/>
      <c r="J1123" s="300"/>
      <c r="K1123" s="300"/>
      <c r="L1123" s="383"/>
      <c r="M1123" s="300"/>
      <c r="N1123" s="384"/>
      <c r="O1123" s="300"/>
      <c r="P1123" s="300"/>
      <c r="Q1123" s="300"/>
      <c r="R1123" s="300"/>
      <c r="S1123" s="300"/>
      <c r="T1123" s="300"/>
      <c r="U1123" s="300"/>
      <c r="V1123" s="300"/>
      <c r="W1123" s="300"/>
      <c r="X1123" s="300"/>
      <c r="Y1123" s="300"/>
      <c r="Z1123" s="300"/>
      <c r="AA1123" s="300"/>
      <c r="AB1123" s="300"/>
      <c r="AC1123" s="300"/>
    </row>
    <row r="1124">
      <c r="A1124" s="300"/>
      <c r="B1124" s="300"/>
      <c r="C1124" s="380"/>
      <c r="D1124" s="300"/>
      <c r="E1124" s="381"/>
      <c r="F1124" s="382"/>
      <c r="G1124" s="380"/>
      <c r="H1124" s="300"/>
      <c r="I1124" s="300"/>
      <c r="J1124" s="300"/>
      <c r="K1124" s="300"/>
      <c r="L1124" s="383"/>
      <c r="M1124" s="300"/>
      <c r="N1124" s="384"/>
      <c r="O1124" s="300"/>
      <c r="P1124" s="300"/>
      <c r="Q1124" s="300"/>
      <c r="R1124" s="300"/>
      <c r="S1124" s="300"/>
      <c r="T1124" s="300"/>
      <c r="U1124" s="300"/>
      <c r="V1124" s="300"/>
      <c r="W1124" s="300"/>
      <c r="X1124" s="300"/>
      <c r="Y1124" s="300"/>
      <c r="Z1124" s="300"/>
      <c r="AA1124" s="300"/>
      <c r="AB1124" s="300"/>
      <c r="AC1124" s="300"/>
    </row>
    <row r="1125">
      <c r="A1125" s="300"/>
      <c r="B1125" s="300"/>
      <c r="C1125" s="380"/>
      <c r="D1125" s="300"/>
      <c r="E1125" s="381"/>
      <c r="F1125" s="382"/>
      <c r="G1125" s="380"/>
      <c r="H1125" s="300"/>
      <c r="I1125" s="300"/>
      <c r="J1125" s="300"/>
      <c r="K1125" s="300"/>
      <c r="L1125" s="383"/>
      <c r="M1125" s="300"/>
      <c r="N1125" s="384"/>
      <c r="O1125" s="300"/>
      <c r="P1125" s="300"/>
      <c r="Q1125" s="300"/>
      <c r="R1125" s="300"/>
      <c r="S1125" s="300"/>
      <c r="T1125" s="300"/>
      <c r="U1125" s="300"/>
      <c r="V1125" s="300"/>
      <c r="W1125" s="300"/>
      <c r="X1125" s="300"/>
      <c r="Y1125" s="300"/>
      <c r="Z1125" s="300"/>
      <c r="AA1125" s="300"/>
      <c r="AB1125" s="300"/>
      <c r="AC1125" s="300"/>
    </row>
    <row r="1126">
      <c r="A1126" s="300"/>
      <c r="B1126" s="300"/>
      <c r="C1126" s="380"/>
      <c r="D1126" s="300"/>
      <c r="E1126" s="381"/>
      <c r="F1126" s="382"/>
      <c r="G1126" s="380"/>
      <c r="H1126" s="300"/>
      <c r="I1126" s="300"/>
      <c r="J1126" s="300"/>
      <c r="K1126" s="300"/>
      <c r="L1126" s="383"/>
      <c r="M1126" s="300"/>
      <c r="N1126" s="384"/>
      <c r="O1126" s="300"/>
      <c r="P1126" s="300"/>
      <c r="Q1126" s="300"/>
      <c r="R1126" s="300"/>
      <c r="S1126" s="300"/>
      <c r="T1126" s="300"/>
      <c r="U1126" s="300"/>
      <c r="V1126" s="300"/>
      <c r="W1126" s="300"/>
      <c r="X1126" s="300"/>
      <c r="Y1126" s="300"/>
      <c r="Z1126" s="300"/>
      <c r="AA1126" s="300"/>
      <c r="AB1126" s="300"/>
      <c r="AC1126" s="300"/>
    </row>
    <row r="1127">
      <c r="A1127" s="300"/>
      <c r="B1127" s="300"/>
      <c r="C1127" s="380"/>
      <c r="D1127" s="300"/>
      <c r="E1127" s="381"/>
      <c r="F1127" s="382"/>
      <c r="G1127" s="380"/>
      <c r="H1127" s="300"/>
      <c r="I1127" s="300"/>
      <c r="J1127" s="300"/>
      <c r="K1127" s="300"/>
      <c r="L1127" s="383"/>
      <c r="M1127" s="300"/>
      <c r="N1127" s="384"/>
      <c r="O1127" s="300"/>
      <c r="P1127" s="300"/>
      <c r="Q1127" s="300"/>
      <c r="R1127" s="300"/>
      <c r="S1127" s="300"/>
      <c r="T1127" s="300"/>
      <c r="U1127" s="300"/>
      <c r="V1127" s="300"/>
      <c r="W1127" s="300"/>
      <c r="X1127" s="300"/>
      <c r="Y1127" s="300"/>
      <c r="Z1127" s="300"/>
      <c r="AA1127" s="300"/>
      <c r="AB1127" s="300"/>
      <c r="AC1127" s="300"/>
    </row>
    <row r="1128">
      <c r="A1128" s="300"/>
      <c r="B1128" s="300"/>
      <c r="C1128" s="380"/>
      <c r="D1128" s="300"/>
      <c r="E1128" s="381"/>
      <c r="F1128" s="382"/>
      <c r="G1128" s="380"/>
      <c r="H1128" s="300"/>
      <c r="I1128" s="300"/>
      <c r="J1128" s="300"/>
      <c r="K1128" s="300"/>
      <c r="L1128" s="383"/>
      <c r="M1128" s="300"/>
      <c r="N1128" s="384"/>
      <c r="O1128" s="300"/>
      <c r="P1128" s="300"/>
      <c r="Q1128" s="300"/>
      <c r="R1128" s="300"/>
      <c r="S1128" s="300"/>
      <c r="T1128" s="300"/>
      <c r="U1128" s="300"/>
      <c r="V1128" s="300"/>
      <c r="W1128" s="300"/>
      <c r="X1128" s="300"/>
      <c r="Y1128" s="300"/>
      <c r="Z1128" s="300"/>
      <c r="AA1128" s="300"/>
      <c r="AB1128" s="300"/>
      <c r="AC1128" s="300"/>
    </row>
    <row r="1129">
      <c r="A1129" s="300"/>
      <c r="B1129" s="300"/>
      <c r="C1129" s="380"/>
      <c r="D1129" s="300"/>
      <c r="E1129" s="381"/>
      <c r="F1129" s="382"/>
      <c r="G1129" s="380"/>
      <c r="H1129" s="300"/>
      <c r="I1129" s="300"/>
      <c r="J1129" s="300"/>
      <c r="K1129" s="300"/>
      <c r="L1129" s="383"/>
      <c r="M1129" s="300"/>
      <c r="N1129" s="384"/>
      <c r="O1129" s="300"/>
      <c r="P1129" s="300"/>
      <c r="Q1129" s="300"/>
      <c r="R1129" s="300"/>
      <c r="S1129" s="300"/>
      <c r="T1129" s="300"/>
      <c r="U1129" s="300"/>
      <c r="V1129" s="300"/>
      <c r="W1129" s="300"/>
      <c r="X1129" s="300"/>
      <c r="Y1129" s="300"/>
      <c r="Z1129" s="300"/>
      <c r="AA1129" s="300"/>
      <c r="AB1129" s="300"/>
      <c r="AC1129" s="300"/>
    </row>
    <row r="1130">
      <c r="A1130" s="300"/>
      <c r="B1130" s="300"/>
      <c r="C1130" s="380"/>
      <c r="D1130" s="300"/>
      <c r="E1130" s="381"/>
      <c r="F1130" s="382"/>
      <c r="G1130" s="380"/>
      <c r="H1130" s="300"/>
      <c r="I1130" s="300"/>
      <c r="J1130" s="300"/>
      <c r="K1130" s="300"/>
      <c r="L1130" s="383"/>
      <c r="M1130" s="300"/>
      <c r="N1130" s="384"/>
      <c r="O1130" s="300"/>
      <c r="P1130" s="300"/>
      <c r="Q1130" s="300"/>
      <c r="R1130" s="300"/>
      <c r="S1130" s="300"/>
      <c r="T1130" s="300"/>
      <c r="U1130" s="300"/>
      <c r="V1130" s="300"/>
      <c r="W1130" s="300"/>
      <c r="X1130" s="300"/>
      <c r="Y1130" s="300"/>
      <c r="Z1130" s="300"/>
      <c r="AA1130" s="300"/>
      <c r="AB1130" s="300"/>
      <c r="AC1130" s="300"/>
    </row>
    <row r="1131">
      <c r="A1131" s="300"/>
      <c r="B1131" s="300"/>
      <c r="C1131" s="380"/>
      <c r="D1131" s="300"/>
      <c r="E1131" s="381"/>
      <c r="F1131" s="382"/>
      <c r="G1131" s="380"/>
      <c r="H1131" s="300"/>
      <c r="I1131" s="300"/>
      <c r="J1131" s="300"/>
      <c r="K1131" s="300"/>
      <c r="L1131" s="383"/>
      <c r="M1131" s="300"/>
      <c r="N1131" s="384"/>
      <c r="O1131" s="300"/>
      <c r="P1131" s="300"/>
      <c r="Q1131" s="300"/>
      <c r="R1131" s="300"/>
      <c r="S1131" s="300"/>
      <c r="T1131" s="300"/>
      <c r="U1131" s="300"/>
      <c r="V1131" s="300"/>
      <c r="W1131" s="300"/>
      <c r="X1131" s="300"/>
      <c r="Y1131" s="300"/>
      <c r="Z1131" s="300"/>
      <c r="AA1131" s="300"/>
      <c r="AB1131" s="300"/>
      <c r="AC1131" s="300"/>
    </row>
    <row r="1132">
      <c r="A1132" s="300"/>
      <c r="B1132" s="300"/>
      <c r="C1132" s="380"/>
      <c r="D1132" s="300"/>
      <c r="E1132" s="381"/>
      <c r="F1132" s="382"/>
      <c r="G1132" s="380"/>
      <c r="H1132" s="300"/>
      <c r="I1132" s="300"/>
      <c r="J1132" s="300"/>
      <c r="K1132" s="300"/>
      <c r="L1132" s="383"/>
      <c r="M1132" s="300"/>
      <c r="N1132" s="384"/>
      <c r="O1132" s="300"/>
      <c r="P1132" s="300"/>
      <c r="Q1132" s="300"/>
      <c r="R1132" s="300"/>
      <c r="S1132" s="300"/>
      <c r="T1132" s="300"/>
      <c r="U1132" s="300"/>
      <c r="V1132" s="300"/>
      <c r="W1132" s="300"/>
      <c r="X1132" s="300"/>
      <c r="Y1132" s="300"/>
      <c r="Z1132" s="300"/>
      <c r="AA1132" s="300"/>
      <c r="AB1132" s="300"/>
      <c r="AC1132" s="300"/>
    </row>
    <row r="1133">
      <c r="A1133" s="300"/>
      <c r="B1133" s="300"/>
      <c r="C1133" s="380"/>
      <c r="D1133" s="300"/>
      <c r="E1133" s="381"/>
      <c r="F1133" s="382"/>
      <c r="G1133" s="380"/>
      <c r="H1133" s="300"/>
      <c r="I1133" s="300"/>
      <c r="J1133" s="300"/>
      <c r="K1133" s="300"/>
      <c r="L1133" s="383"/>
      <c r="M1133" s="300"/>
      <c r="N1133" s="384"/>
      <c r="O1133" s="300"/>
      <c r="P1133" s="300"/>
      <c r="Q1133" s="300"/>
      <c r="R1133" s="300"/>
      <c r="S1133" s="300"/>
      <c r="T1133" s="300"/>
      <c r="U1133" s="300"/>
      <c r="V1133" s="300"/>
      <c r="W1133" s="300"/>
      <c r="X1133" s="300"/>
      <c r="Y1133" s="300"/>
      <c r="Z1133" s="300"/>
      <c r="AA1133" s="300"/>
      <c r="AB1133" s="300"/>
      <c r="AC1133" s="300"/>
    </row>
    <row r="1134">
      <c r="A1134" s="300"/>
      <c r="B1134" s="300"/>
      <c r="C1134" s="380"/>
      <c r="D1134" s="300"/>
      <c r="E1134" s="381"/>
      <c r="F1134" s="382"/>
      <c r="G1134" s="380"/>
      <c r="H1134" s="300"/>
      <c r="I1134" s="300"/>
      <c r="J1134" s="300"/>
      <c r="K1134" s="300"/>
      <c r="L1134" s="383"/>
      <c r="M1134" s="300"/>
      <c r="N1134" s="384"/>
      <c r="O1134" s="300"/>
      <c r="P1134" s="300"/>
      <c r="Q1134" s="300"/>
      <c r="R1134" s="300"/>
      <c r="S1134" s="300"/>
      <c r="T1134" s="300"/>
      <c r="U1134" s="300"/>
      <c r="V1134" s="300"/>
      <c r="W1134" s="300"/>
      <c r="X1134" s="300"/>
      <c r="Y1134" s="300"/>
      <c r="Z1134" s="300"/>
      <c r="AA1134" s="300"/>
      <c r="AB1134" s="300"/>
      <c r="AC1134" s="300"/>
    </row>
    <row r="1135">
      <c r="A1135" s="300"/>
      <c r="B1135" s="300"/>
      <c r="C1135" s="380"/>
      <c r="D1135" s="300"/>
      <c r="E1135" s="381"/>
      <c r="F1135" s="382"/>
      <c r="G1135" s="380"/>
      <c r="H1135" s="300"/>
      <c r="I1135" s="300"/>
      <c r="J1135" s="300"/>
      <c r="K1135" s="300"/>
      <c r="L1135" s="383"/>
      <c r="M1135" s="300"/>
      <c r="N1135" s="384"/>
      <c r="O1135" s="300"/>
      <c r="P1135" s="300"/>
      <c r="Q1135" s="300"/>
      <c r="R1135" s="300"/>
      <c r="S1135" s="300"/>
      <c r="T1135" s="300"/>
      <c r="U1135" s="300"/>
      <c r="V1135" s="300"/>
      <c r="W1135" s="300"/>
      <c r="X1135" s="300"/>
      <c r="Y1135" s="300"/>
      <c r="Z1135" s="300"/>
      <c r="AA1135" s="300"/>
      <c r="AB1135" s="300"/>
      <c r="AC1135" s="300"/>
    </row>
    <row r="1136">
      <c r="A1136" s="300"/>
      <c r="B1136" s="300"/>
      <c r="C1136" s="380"/>
      <c r="D1136" s="300"/>
      <c r="E1136" s="381"/>
      <c r="F1136" s="382"/>
      <c r="G1136" s="380"/>
      <c r="H1136" s="300"/>
      <c r="I1136" s="300"/>
      <c r="J1136" s="300"/>
      <c r="K1136" s="300"/>
      <c r="L1136" s="383"/>
      <c r="M1136" s="300"/>
      <c r="N1136" s="384"/>
      <c r="O1136" s="300"/>
      <c r="P1136" s="300"/>
      <c r="Q1136" s="300"/>
      <c r="R1136" s="300"/>
      <c r="S1136" s="300"/>
      <c r="T1136" s="300"/>
      <c r="U1136" s="300"/>
      <c r="V1136" s="300"/>
      <c r="W1136" s="300"/>
      <c r="X1136" s="300"/>
      <c r="Y1136" s="300"/>
      <c r="Z1136" s="300"/>
      <c r="AA1136" s="300"/>
      <c r="AB1136" s="300"/>
      <c r="AC1136" s="300"/>
    </row>
    <row r="1137">
      <c r="A1137" s="300"/>
      <c r="B1137" s="300"/>
      <c r="C1137" s="380"/>
      <c r="D1137" s="300"/>
      <c r="E1137" s="381"/>
      <c r="F1137" s="382"/>
      <c r="G1137" s="380"/>
      <c r="H1137" s="300"/>
      <c r="I1137" s="300"/>
      <c r="J1137" s="300"/>
      <c r="K1137" s="300"/>
      <c r="L1137" s="383"/>
      <c r="M1137" s="300"/>
      <c r="N1137" s="384"/>
      <c r="O1137" s="300"/>
      <c r="P1137" s="300"/>
      <c r="Q1137" s="300"/>
      <c r="R1137" s="300"/>
      <c r="S1137" s="300"/>
      <c r="T1137" s="300"/>
      <c r="U1137" s="300"/>
      <c r="V1137" s="300"/>
      <c r="W1137" s="300"/>
      <c r="X1137" s="300"/>
      <c r="Y1137" s="300"/>
      <c r="Z1137" s="300"/>
      <c r="AA1137" s="300"/>
      <c r="AB1137" s="300"/>
      <c r="AC1137" s="300"/>
    </row>
    <row r="1138">
      <c r="A1138" s="300"/>
      <c r="B1138" s="300"/>
      <c r="C1138" s="380"/>
      <c r="D1138" s="300"/>
      <c r="E1138" s="381"/>
      <c r="F1138" s="382"/>
      <c r="G1138" s="380"/>
      <c r="H1138" s="300"/>
      <c r="I1138" s="300"/>
      <c r="J1138" s="300"/>
      <c r="K1138" s="300"/>
      <c r="L1138" s="383"/>
      <c r="M1138" s="300"/>
      <c r="N1138" s="384"/>
      <c r="O1138" s="300"/>
      <c r="P1138" s="300"/>
      <c r="Q1138" s="300"/>
      <c r="R1138" s="300"/>
      <c r="S1138" s="300"/>
      <c r="T1138" s="300"/>
      <c r="U1138" s="300"/>
      <c r="V1138" s="300"/>
      <c r="W1138" s="300"/>
      <c r="X1138" s="300"/>
      <c r="Y1138" s="300"/>
      <c r="Z1138" s="300"/>
      <c r="AA1138" s="300"/>
      <c r="AB1138" s="300"/>
      <c r="AC1138" s="300"/>
    </row>
    <row r="1139">
      <c r="A1139" s="300"/>
      <c r="B1139" s="300"/>
      <c r="C1139" s="380"/>
      <c r="D1139" s="300"/>
      <c r="E1139" s="381"/>
      <c r="F1139" s="382"/>
      <c r="G1139" s="380"/>
      <c r="H1139" s="300"/>
      <c r="I1139" s="300"/>
      <c r="J1139" s="300"/>
      <c r="K1139" s="300"/>
      <c r="L1139" s="383"/>
      <c r="M1139" s="300"/>
      <c r="N1139" s="384"/>
      <c r="O1139" s="300"/>
      <c r="P1139" s="300"/>
      <c r="Q1139" s="300"/>
      <c r="R1139" s="300"/>
      <c r="S1139" s="300"/>
      <c r="T1139" s="300"/>
      <c r="U1139" s="300"/>
      <c r="V1139" s="300"/>
      <c r="W1139" s="300"/>
      <c r="X1139" s="300"/>
      <c r="Y1139" s="300"/>
      <c r="Z1139" s="300"/>
      <c r="AA1139" s="300"/>
      <c r="AB1139" s="300"/>
      <c r="AC1139" s="300"/>
    </row>
    <row r="1140">
      <c r="A1140" s="300"/>
      <c r="B1140" s="300"/>
      <c r="C1140" s="380"/>
      <c r="D1140" s="300"/>
      <c r="E1140" s="381"/>
      <c r="F1140" s="382"/>
      <c r="G1140" s="380"/>
      <c r="H1140" s="300"/>
      <c r="I1140" s="300"/>
      <c r="J1140" s="300"/>
      <c r="K1140" s="300"/>
      <c r="L1140" s="383"/>
      <c r="M1140" s="300"/>
      <c r="N1140" s="384"/>
      <c r="O1140" s="300"/>
      <c r="P1140" s="300"/>
      <c r="Q1140" s="300"/>
      <c r="R1140" s="300"/>
      <c r="S1140" s="300"/>
      <c r="T1140" s="300"/>
      <c r="U1140" s="300"/>
      <c r="V1140" s="300"/>
      <c r="W1140" s="300"/>
      <c r="X1140" s="300"/>
      <c r="Y1140" s="300"/>
      <c r="Z1140" s="300"/>
      <c r="AA1140" s="300"/>
      <c r="AB1140" s="300"/>
      <c r="AC1140" s="300"/>
    </row>
    <row r="1141">
      <c r="A1141" s="300"/>
      <c r="B1141" s="300"/>
      <c r="C1141" s="380"/>
      <c r="D1141" s="300"/>
      <c r="E1141" s="381"/>
      <c r="F1141" s="382"/>
      <c r="G1141" s="380"/>
      <c r="H1141" s="300"/>
      <c r="I1141" s="300"/>
      <c r="J1141" s="300"/>
      <c r="K1141" s="300"/>
      <c r="L1141" s="383"/>
      <c r="M1141" s="300"/>
      <c r="N1141" s="384"/>
      <c r="O1141" s="300"/>
      <c r="P1141" s="300"/>
      <c r="Q1141" s="300"/>
      <c r="R1141" s="300"/>
      <c r="S1141" s="300"/>
      <c r="T1141" s="300"/>
      <c r="U1141" s="300"/>
      <c r="V1141" s="300"/>
      <c r="W1141" s="300"/>
      <c r="X1141" s="300"/>
      <c r="Y1141" s="300"/>
      <c r="Z1141" s="300"/>
      <c r="AA1141" s="300"/>
      <c r="AB1141" s="300"/>
      <c r="AC1141" s="300"/>
    </row>
    <row r="1142">
      <c r="A1142" s="300"/>
      <c r="B1142" s="300"/>
      <c r="C1142" s="380"/>
      <c r="D1142" s="300"/>
      <c r="E1142" s="381"/>
      <c r="F1142" s="382"/>
      <c r="G1142" s="380"/>
      <c r="H1142" s="300"/>
      <c r="I1142" s="300"/>
      <c r="J1142" s="300"/>
      <c r="K1142" s="300"/>
      <c r="L1142" s="383"/>
      <c r="M1142" s="300"/>
      <c r="N1142" s="384"/>
      <c r="O1142" s="300"/>
      <c r="P1142" s="300"/>
      <c r="Q1142" s="300"/>
      <c r="R1142" s="300"/>
      <c r="S1142" s="300"/>
      <c r="T1142" s="300"/>
      <c r="U1142" s="300"/>
      <c r="V1142" s="300"/>
      <c r="W1142" s="300"/>
      <c r="X1142" s="300"/>
      <c r="Y1142" s="300"/>
      <c r="Z1142" s="300"/>
      <c r="AA1142" s="300"/>
      <c r="AB1142" s="300"/>
      <c r="AC1142" s="300"/>
    </row>
    <row r="1143">
      <c r="A1143" s="300"/>
      <c r="B1143" s="300"/>
      <c r="C1143" s="380"/>
      <c r="D1143" s="300"/>
      <c r="E1143" s="381"/>
      <c r="F1143" s="382"/>
      <c r="G1143" s="380"/>
      <c r="H1143" s="300"/>
      <c r="I1143" s="300"/>
      <c r="J1143" s="300"/>
      <c r="K1143" s="300"/>
      <c r="L1143" s="383"/>
      <c r="M1143" s="300"/>
      <c r="N1143" s="384"/>
      <c r="O1143" s="300"/>
      <c r="P1143" s="300"/>
      <c r="Q1143" s="300"/>
      <c r="R1143" s="300"/>
      <c r="S1143" s="300"/>
      <c r="T1143" s="300"/>
      <c r="U1143" s="300"/>
      <c r="V1143" s="300"/>
      <c r="W1143" s="300"/>
      <c r="X1143" s="300"/>
      <c r="Y1143" s="300"/>
      <c r="Z1143" s="300"/>
      <c r="AA1143" s="300"/>
      <c r="AB1143" s="300"/>
      <c r="AC1143" s="300"/>
    </row>
    <row r="1144">
      <c r="A1144" s="300"/>
      <c r="B1144" s="300"/>
      <c r="C1144" s="380"/>
      <c r="D1144" s="300"/>
      <c r="E1144" s="381"/>
      <c r="F1144" s="382"/>
      <c r="G1144" s="380"/>
      <c r="H1144" s="300"/>
      <c r="I1144" s="300"/>
      <c r="J1144" s="300"/>
      <c r="K1144" s="300"/>
      <c r="L1144" s="383"/>
      <c r="M1144" s="300"/>
      <c r="N1144" s="384"/>
      <c r="O1144" s="300"/>
      <c r="P1144" s="300"/>
      <c r="Q1144" s="300"/>
      <c r="R1144" s="300"/>
      <c r="S1144" s="300"/>
      <c r="T1144" s="300"/>
      <c r="U1144" s="300"/>
      <c r="V1144" s="300"/>
      <c r="W1144" s="300"/>
      <c r="X1144" s="300"/>
      <c r="Y1144" s="300"/>
      <c r="Z1144" s="300"/>
      <c r="AA1144" s="300"/>
      <c r="AB1144" s="300"/>
      <c r="AC1144" s="300"/>
    </row>
    <row r="1145">
      <c r="A1145" s="300"/>
      <c r="B1145" s="300"/>
      <c r="C1145" s="380"/>
      <c r="D1145" s="300"/>
      <c r="E1145" s="381"/>
      <c r="F1145" s="382"/>
      <c r="G1145" s="380"/>
      <c r="H1145" s="300"/>
      <c r="I1145" s="300"/>
      <c r="J1145" s="300"/>
      <c r="K1145" s="300"/>
      <c r="L1145" s="383"/>
      <c r="M1145" s="300"/>
      <c r="N1145" s="384"/>
      <c r="O1145" s="300"/>
      <c r="P1145" s="300"/>
      <c r="Q1145" s="300"/>
      <c r="R1145" s="300"/>
      <c r="S1145" s="300"/>
      <c r="T1145" s="300"/>
      <c r="U1145" s="300"/>
      <c r="V1145" s="300"/>
      <c r="W1145" s="300"/>
      <c r="X1145" s="300"/>
      <c r="Y1145" s="300"/>
      <c r="Z1145" s="300"/>
      <c r="AA1145" s="300"/>
      <c r="AB1145" s="300"/>
      <c r="AC1145" s="300"/>
    </row>
    <row r="1146">
      <c r="A1146" s="300"/>
      <c r="B1146" s="300"/>
      <c r="C1146" s="380"/>
      <c r="D1146" s="300"/>
      <c r="E1146" s="381"/>
      <c r="F1146" s="382"/>
      <c r="G1146" s="380"/>
      <c r="H1146" s="300"/>
      <c r="I1146" s="300"/>
      <c r="J1146" s="300"/>
      <c r="K1146" s="300"/>
      <c r="L1146" s="383"/>
      <c r="M1146" s="300"/>
      <c r="N1146" s="384"/>
      <c r="O1146" s="300"/>
      <c r="P1146" s="300"/>
      <c r="Q1146" s="300"/>
      <c r="R1146" s="300"/>
      <c r="S1146" s="300"/>
      <c r="T1146" s="300"/>
      <c r="U1146" s="300"/>
      <c r="V1146" s="300"/>
      <c r="W1146" s="300"/>
      <c r="X1146" s="300"/>
      <c r="Y1146" s="300"/>
      <c r="Z1146" s="300"/>
      <c r="AA1146" s="300"/>
      <c r="AB1146" s="300"/>
      <c r="AC1146" s="300"/>
    </row>
    <row r="1147">
      <c r="A1147" s="300"/>
      <c r="B1147" s="300"/>
      <c r="C1147" s="380"/>
      <c r="D1147" s="300"/>
      <c r="E1147" s="381"/>
      <c r="F1147" s="382"/>
      <c r="G1147" s="380"/>
      <c r="H1147" s="300"/>
      <c r="I1147" s="300"/>
      <c r="J1147" s="300"/>
      <c r="K1147" s="300"/>
      <c r="L1147" s="383"/>
      <c r="M1147" s="300"/>
      <c r="N1147" s="384"/>
      <c r="O1147" s="300"/>
      <c r="P1147" s="300"/>
      <c r="Q1147" s="300"/>
      <c r="R1147" s="300"/>
      <c r="S1147" s="300"/>
      <c r="T1147" s="300"/>
      <c r="U1147" s="300"/>
      <c r="V1147" s="300"/>
      <c r="W1147" s="300"/>
      <c r="X1147" s="300"/>
      <c r="Y1147" s="300"/>
      <c r="Z1147" s="300"/>
      <c r="AA1147" s="300"/>
      <c r="AB1147" s="300"/>
      <c r="AC1147" s="300"/>
    </row>
    <row r="1148">
      <c r="A1148" s="300"/>
      <c r="B1148" s="300"/>
      <c r="C1148" s="380"/>
      <c r="D1148" s="300"/>
      <c r="E1148" s="381"/>
      <c r="F1148" s="382"/>
      <c r="G1148" s="380"/>
      <c r="H1148" s="300"/>
      <c r="I1148" s="300"/>
      <c r="J1148" s="300"/>
      <c r="K1148" s="300"/>
      <c r="L1148" s="383"/>
      <c r="M1148" s="300"/>
      <c r="N1148" s="384"/>
      <c r="O1148" s="300"/>
      <c r="P1148" s="300"/>
      <c r="Q1148" s="300"/>
      <c r="R1148" s="300"/>
      <c r="S1148" s="300"/>
      <c r="T1148" s="300"/>
      <c r="U1148" s="300"/>
      <c r="V1148" s="300"/>
      <c r="W1148" s="300"/>
      <c r="X1148" s="300"/>
      <c r="Y1148" s="300"/>
      <c r="Z1148" s="300"/>
      <c r="AA1148" s="300"/>
      <c r="AB1148" s="300"/>
      <c r="AC1148" s="300"/>
    </row>
    <row r="1149">
      <c r="A1149" s="300"/>
      <c r="B1149" s="300"/>
      <c r="C1149" s="380"/>
      <c r="D1149" s="300"/>
      <c r="E1149" s="381"/>
      <c r="F1149" s="382"/>
      <c r="G1149" s="380"/>
      <c r="H1149" s="300"/>
      <c r="I1149" s="300"/>
      <c r="J1149" s="300"/>
      <c r="K1149" s="300"/>
      <c r="L1149" s="383"/>
      <c r="M1149" s="300"/>
      <c r="N1149" s="384"/>
      <c r="O1149" s="300"/>
      <c r="P1149" s="300"/>
      <c r="Q1149" s="300"/>
      <c r="R1149" s="300"/>
      <c r="S1149" s="300"/>
      <c r="T1149" s="300"/>
      <c r="U1149" s="300"/>
      <c r="V1149" s="300"/>
      <c r="W1149" s="300"/>
      <c r="X1149" s="300"/>
      <c r="Y1149" s="300"/>
      <c r="Z1149" s="300"/>
      <c r="AA1149" s="300"/>
      <c r="AB1149" s="300"/>
      <c r="AC1149" s="300"/>
    </row>
    <row r="1150">
      <c r="A1150" s="300"/>
      <c r="B1150" s="300"/>
      <c r="C1150" s="380"/>
      <c r="D1150" s="300"/>
      <c r="E1150" s="381"/>
      <c r="F1150" s="382"/>
      <c r="G1150" s="380"/>
      <c r="H1150" s="300"/>
      <c r="I1150" s="300"/>
      <c r="J1150" s="300"/>
      <c r="K1150" s="300"/>
      <c r="L1150" s="383"/>
      <c r="M1150" s="300"/>
      <c r="N1150" s="384"/>
      <c r="O1150" s="300"/>
      <c r="P1150" s="300"/>
      <c r="Q1150" s="300"/>
      <c r="R1150" s="300"/>
      <c r="S1150" s="300"/>
      <c r="T1150" s="300"/>
      <c r="U1150" s="300"/>
      <c r="V1150" s="300"/>
      <c r="W1150" s="300"/>
      <c r="X1150" s="300"/>
      <c r="Y1150" s="300"/>
      <c r="Z1150" s="300"/>
      <c r="AA1150" s="300"/>
      <c r="AB1150" s="300"/>
      <c r="AC1150" s="300"/>
    </row>
    <row r="1151">
      <c r="A1151" s="300"/>
      <c r="B1151" s="300"/>
      <c r="C1151" s="380"/>
      <c r="D1151" s="300"/>
      <c r="E1151" s="381"/>
      <c r="F1151" s="382"/>
      <c r="G1151" s="380"/>
      <c r="H1151" s="300"/>
      <c r="I1151" s="300"/>
      <c r="J1151" s="300"/>
      <c r="K1151" s="300"/>
      <c r="L1151" s="383"/>
      <c r="M1151" s="300"/>
      <c r="N1151" s="384"/>
      <c r="O1151" s="300"/>
      <c r="P1151" s="300"/>
      <c r="Q1151" s="300"/>
      <c r="R1151" s="300"/>
      <c r="S1151" s="300"/>
      <c r="T1151" s="300"/>
      <c r="U1151" s="300"/>
      <c r="V1151" s="300"/>
      <c r="W1151" s="300"/>
      <c r="X1151" s="300"/>
      <c r="Y1151" s="300"/>
      <c r="Z1151" s="300"/>
      <c r="AA1151" s="300"/>
      <c r="AB1151" s="300"/>
      <c r="AC1151" s="300"/>
    </row>
    <row r="1152">
      <c r="A1152" s="300"/>
      <c r="B1152" s="300"/>
      <c r="C1152" s="380"/>
      <c r="D1152" s="300"/>
      <c r="E1152" s="381"/>
      <c r="F1152" s="382"/>
      <c r="G1152" s="380"/>
      <c r="H1152" s="300"/>
      <c r="I1152" s="300"/>
      <c r="J1152" s="300"/>
      <c r="K1152" s="300"/>
      <c r="L1152" s="383"/>
      <c r="M1152" s="300"/>
      <c r="N1152" s="384"/>
      <c r="O1152" s="300"/>
      <c r="P1152" s="300"/>
      <c r="Q1152" s="300"/>
      <c r="R1152" s="300"/>
      <c r="S1152" s="300"/>
      <c r="T1152" s="300"/>
      <c r="U1152" s="300"/>
      <c r="V1152" s="300"/>
      <c r="W1152" s="300"/>
      <c r="X1152" s="300"/>
      <c r="Y1152" s="300"/>
      <c r="Z1152" s="300"/>
      <c r="AA1152" s="300"/>
      <c r="AB1152" s="300"/>
      <c r="AC1152" s="300"/>
    </row>
    <row r="1153">
      <c r="A1153" s="300"/>
      <c r="B1153" s="300"/>
      <c r="C1153" s="380"/>
      <c r="D1153" s="300"/>
      <c r="E1153" s="381"/>
      <c r="F1153" s="382"/>
      <c r="G1153" s="380"/>
      <c r="H1153" s="300"/>
      <c r="I1153" s="300"/>
      <c r="J1153" s="300"/>
      <c r="K1153" s="300"/>
      <c r="L1153" s="383"/>
      <c r="M1153" s="300"/>
      <c r="N1153" s="384"/>
      <c r="O1153" s="300"/>
      <c r="P1153" s="300"/>
      <c r="Q1153" s="300"/>
      <c r="R1153" s="300"/>
      <c r="S1153" s="300"/>
      <c r="T1153" s="300"/>
      <c r="U1153" s="300"/>
      <c r="V1153" s="300"/>
      <c r="W1153" s="300"/>
      <c r="X1153" s="300"/>
      <c r="Y1153" s="300"/>
      <c r="Z1153" s="300"/>
      <c r="AA1153" s="300"/>
      <c r="AB1153" s="300"/>
      <c r="AC1153" s="300"/>
    </row>
    <row r="1154">
      <c r="A1154" s="300"/>
      <c r="B1154" s="300"/>
      <c r="C1154" s="380"/>
      <c r="D1154" s="300"/>
      <c r="E1154" s="381"/>
      <c r="F1154" s="382"/>
      <c r="G1154" s="380"/>
      <c r="H1154" s="300"/>
      <c r="I1154" s="300"/>
      <c r="J1154" s="300"/>
      <c r="K1154" s="300"/>
      <c r="L1154" s="383"/>
      <c r="M1154" s="300"/>
      <c r="N1154" s="384"/>
      <c r="O1154" s="300"/>
      <c r="P1154" s="300"/>
      <c r="Q1154" s="300"/>
      <c r="R1154" s="300"/>
      <c r="S1154" s="300"/>
      <c r="T1154" s="300"/>
      <c r="U1154" s="300"/>
      <c r="V1154" s="300"/>
      <c r="W1154" s="300"/>
      <c r="X1154" s="300"/>
      <c r="Y1154" s="300"/>
      <c r="Z1154" s="300"/>
      <c r="AA1154" s="300"/>
      <c r="AB1154" s="300"/>
      <c r="AC1154" s="300"/>
    </row>
    <row r="1155">
      <c r="A1155" s="300"/>
      <c r="B1155" s="300"/>
      <c r="C1155" s="380"/>
      <c r="D1155" s="300"/>
      <c r="E1155" s="381"/>
      <c r="F1155" s="382"/>
      <c r="G1155" s="380"/>
      <c r="H1155" s="300"/>
      <c r="I1155" s="300"/>
      <c r="J1155" s="300"/>
      <c r="K1155" s="300"/>
      <c r="L1155" s="383"/>
      <c r="M1155" s="300"/>
      <c r="N1155" s="384"/>
      <c r="O1155" s="300"/>
      <c r="P1155" s="300"/>
      <c r="Q1155" s="300"/>
      <c r="R1155" s="300"/>
      <c r="S1155" s="300"/>
      <c r="T1155" s="300"/>
      <c r="U1155" s="300"/>
      <c r="V1155" s="300"/>
      <c r="W1155" s="300"/>
      <c r="X1155" s="300"/>
      <c r="Y1155" s="300"/>
      <c r="Z1155" s="300"/>
      <c r="AA1155" s="300"/>
      <c r="AB1155" s="300"/>
      <c r="AC1155" s="300"/>
    </row>
    <row r="1156">
      <c r="A1156" s="300"/>
      <c r="B1156" s="300"/>
      <c r="C1156" s="380"/>
      <c r="D1156" s="300"/>
      <c r="E1156" s="381"/>
      <c r="F1156" s="382"/>
      <c r="G1156" s="380"/>
      <c r="H1156" s="300"/>
      <c r="I1156" s="300"/>
      <c r="J1156" s="300"/>
      <c r="K1156" s="300"/>
      <c r="L1156" s="383"/>
      <c r="M1156" s="300"/>
      <c r="N1156" s="384"/>
      <c r="O1156" s="300"/>
      <c r="P1156" s="300"/>
      <c r="Q1156" s="300"/>
      <c r="R1156" s="300"/>
      <c r="S1156" s="300"/>
      <c r="T1156" s="300"/>
      <c r="U1156" s="300"/>
      <c r="V1156" s="300"/>
      <c r="W1156" s="300"/>
      <c r="X1156" s="300"/>
      <c r="Y1156" s="300"/>
      <c r="Z1156" s="300"/>
      <c r="AA1156" s="300"/>
      <c r="AB1156" s="300"/>
      <c r="AC1156" s="300"/>
    </row>
    <row r="1157">
      <c r="A1157" s="300"/>
      <c r="B1157" s="300"/>
      <c r="C1157" s="380"/>
      <c r="D1157" s="300"/>
      <c r="E1157" s="381"/>
      <c r="F1157" s="382"/>
      <c r="G1157" s="380"/>
      <c r="H1157" s="300"/>
      <c r="I1157" s="300"/>
      <c r="J1157" s="300"/>
      <c r="K1157" s="300"/>
      <c r="L1157" s="383"/>
      <c r="M1157" s="300"/>
      <c r="N1157" s="384"/>
      <c r="O1157" s="300"/>
      <c r="P1157" s="300"/>
      <c r="Q1157" s="300"/>
      <c r="R1157" s="300"/>
      <c r="S1157" s="300"/>
      <c r="T1157" s="300"/>
      <c r="U1157" s="300"/>
      <c r="V1157" s="300"/>
      <c r="W1157" s="300"/>
      <c r="X1157" s="300"/>
      <c r="Y1157" s="300"/>
      <c r="Z1157" s="300"/>
      <c r="AA1157" s="300"/>
      <c r="AB1157" s="300"/>
      <c r="AC1157" s="300"/>
    </row>
    <row r="1158">
      <c r="A1158" s="300"/>
      <c r="B1158" s="300"/>
      <c r="C1158" s="380"/>
      <c r="D1158" s="300"/>
      <c r="E1158" s="381"/>
      <c r="F1158" s="382"/>
      <c r="G1158" s="380"/>
      <c r="H1158" s="300"/>
      <c r="I1158" s="300"/>
      <c r="J1158" s="300"/>
      <c r="K1158" s="300"/>
      <c r="L1158" s="383"/>
      <c r="M1158" s="300"/>
      <c r="N1158" s="384"/>
      <c r="O1158" s="300"/>
      <c r="P1158" s="300"/>
      <c r="Q1158" s="300"/>
      <c r="R1158" s="300"/>
      <c r="S1158" s="300"/>
      <c r="T1158" s="300"/>
      <c r="U1158" s="300"/>
      <c r="V1158" s="300"/>
      <c r="W1158" s="300"/>
      <c r="X1158" s="300"/>
      <c r="Y1158" s="300"/>
      <c r="Z1158" s="300"/>
      <c r="AA1158" s="300"/>
      <c r="AB1158" s="300"/>
      <c r="AC1158" s="300"/>
    </row>
    <row r="1159">
      <c r="A1159" s="300"/>
      <c r="B1159" s="300"/>
      <c r="C1159" s="380"/>
      <c r="D1159" s="300"/>
      <c r="E1159" s="381"/>
      <c r="F1159" s="382"/>
      <c r="G1159" s="380"/>
      <c r="H1159" s="300"/>
      <c r="I1159" s="300"/>
      <c r="J1159" s="300"/>
      <c r="K1159" s="300"/>
      <c r="L1159" s="383"/>
      <c r="M1159" s="300"/>
      <c r="N1159" s="384"/>
      <c r="O1159" s="300"/>
      <c r="P1159" s="300"/>
      <c r="Q1159" s="300"/>
      <c r="R1159" s="300"/>
      <c r="S1159" s="300"/>
      <c r="T1159" s="300"/>
      <c r="U1159" s="300"/>
      <c r="V1159" s="300"/>
      <c r="W1159" s="300"/>
      <c r="X1159" s="300"/>
      <c r="Y1159" s="300"/>
      <c r="Z1159" s="300"/>
      <c r="AA1159" s="300"/>
      <c r="AB1159" s="300"/>
      <c r="AC1159" s="300"/>
    </row>
    <row r="1160">
      <c r="A1160" s="300"/>
      <c r="B1160" s="300"/>
      <c r="C1160" s="380"/>
      <c r="D1160" s="300"/>
      <c r="E1160" s="381"/>
      <c r="F1160" s="382"/>
      <c r="G1160" s="380"/>
      <c r="H1160" s="300"/>
      <c r="I1160" s="300"/>
      <c r="J1160" s="300"/>
      <c r="K1160" s="300"/>
      <c r="L1160" s="383"/>
      <c r="M1160" s="300"/>
      <c r="N1160" s="384"/>
      <c r="O1160" s="300"/>
      <c r="P1160" s="300"/>
      <c r="Q1160" s="300"/>
      <c r="R1160" s="300"/>
      <c r="S1160" s="300"/>
      <c r="T1160" s="300"/>
      <c r="U1160" s="300"/>
      <c r="V1160" s="300"/>
      <c r="W1160" s="300"/>
      <c r="X1160" s="300"/>
      <c r="Y1160" s="300"/>
      <c r="Z1160" s="300"/>
      <c r="AA1160" s="300"/>
      <c r="AB1160" s="300"/>
      <c r="AC1160" s="300"/>
    </row>
    <row r="1161">
      <c r="A1161" s="300"/>
      <c r="B1161" s="300"/>
      <c r="C1161" s="380"/>
      <c r="D1161" s="300"/>
      <c r="E1161" s="381"/>
      <c r="F1161" s="382"/>
      <c r="G1161" s="380"/>
      <c r="H1161" s="300"/>
      <c r="I1161" s="300"/>
      <c r="J1161" s="300"/>
      <c r="K1161" s="300"/>
      <c r="L1161" s="383"/>
      <c r="M1161" s="300"/>
      <c r="N1161" s="384"/>
      <c r="O1161" s="300"/>
      <c r="P1161" s="300"/>
      <c r="Q1161" s="300"/>
      <c r="R1161" s="300"/>
      <c r="S1161" s="300"/>
      <c r="T1161" s="300"/>
      <c r="U1161" s="300"/>
      <c r="V1161" s="300"/>
      <c r="W1161" s="300"/>
      <c r="X1161" s="300"/>
      <c r="Y1161" s="300"/>
      <c r="Z1161" s="300"/>
      <c r="AA1161" s="300"/>
      <c r="AB1161" s="300"/>
      <c r="AC1161" s="300"/>
    </row>
    <row r="1162">
      <c r="A1162" s="300"/>
      <c r="B1162" s="300"/>
      <c r="C1162" s="380"/>
      <c r="D1162" s="300"/>
      <c r="E1162" s="381"/>
      <c r="F1162" s="382"/>
      <c r="G1162" s="380"/>
      <c r="H1162" s="300"/>
      <c r="I1162" s="300"/>
      <c r="J1162" s="300"/>
      <c r="K1162" s="300"/>
      <c r="L1162" s="383"/>
      <c r="M1162" s="300"/>
      <c r="N1162" s="384"/>
      <c r="O1162" s="300"/>
      <c r="P1162" s="300"/>
      <c r="Q1162" s="300"/>
      <c r="R1162" s="300"/>
      <c r="S1162" s="300"/>
      <c r="T1162" s="300"/>
      <c r="U1162" s="300"/>
      <c r="V1162" s="300"/>
      <c r="W1162" s="300"/>
      <c r="X1162" s="300"/>
      <c r="Y1162" s="300"/>
      <c r="Z1162" s="300"/>
      <c r="AA1162" s="300"/>
      <c r="AB1162" s="300"/>
      <c r="AC1162" s="300"/>
    </row>
    <row r="1163">
      <c r="A1163" s="300"/>
      <c r="B1163" s="300"/>
      <c r="C1163" s="380"/>
      <c r="D1163" s="300"/>
      <c r="E1163" s="381"/>
      <c r="F1163" s="382"/>
      <c r="G1163" s="380"/>
      <c r="H1163" s="300"/>
      <c r="I1163" s="300"/>
      <c r="J1163" s="300"/>
      <c r="K1163" s="300"/>
      <c r="L1163" s="383"/>
      <c r="M1163" s="300"/>
      <c r="N1163" s="384"/>
      <c r="O1163" s="300"/>
      <c r="P1163" s="300"/>
      <c r="Q1163" s="300"/>
      <c r="R1163" s="300"/>
      <c r="S1163" s="300"/>
      <c r="T1163" s="300"/>
      <c r="U1163" s="300"/>
      <c r="V1163" s="300"/>
      <c r="W1163" s="300"/>
      <c r="X1163" s="300"/>
      <c r="Y1163" s="300"/>
      <c r="Z1163" s="300"/>
      <c r="AA1163" s="300"/>
      <c r="AB1163" s="300"/>
      <c r="AC1163" s="300"/>
    </row>
    <row r="1164">
      <c r="A1164" s="300"/>
      <c r="B1164" s="300"/>
      <c r="C1164" s="380"/>
      <c r="D1164" s="300"/>
      <c r="E1164" s="381"/>
      <c r="F1164" s="382"/>
      <c r="G1164" s="380"/>
      <c r="H1164" s="300"/>
      <c r="I1164" s="300"/>
      <c r="J1164" s="300"/>
      <c r="K1164" s="300"/>
      <c r="L1164" s="383"/>
      <c r="M1164" s="300"/>
      <c r="N1164" s="384"/>
      <c r="O1164" s="300"/>
      <c r="P1164" s="300"/>
      <c r="Q1164" s="300"/>
      <c r="R1164" s="300"/>
      <c r="S1164" s="300"/>
      <c r="T1164" s="300"/>
      <c r="U1164" s="300"/>
      <c r="V1164" s="300"/>
      <c r="W1164" s="300"/>
      <c r="X1164" s="300"/>
      <c r="Y1164" s="300"/>
      <c r="Z1164" s="300"/>
      <c r="AA1164" s="300"/>
      <c r="AB1164" s="300"/>
      <c r="AC1164" s="300"/>
    </row>
    <row r="1165">
      <c r="A1165" s="300"/>
      <c r="B1165" s="300"/>
      <c r="C1165" s="380"/>
      <c r="D1165" s="300"/>
      <c r="E1165" s="381"/>
      <c r="F1165" s="382"/>
      <c r="G1165" s="380"/>
      <c r="H1165" s="300"/>
      <c r="I1165" s="300"/>
      <c r="J1165" s="300"/>
      <c r="K1165" s="300"/>
      <c r="L1165" s="383"/>
      <c r="M1165" s="300"/>
      <c r="N1165" s="384"/>
      <c r="O1165" s="300"/>
      <c r="P1165" s="300"/>
      <c r="Q1165" s="300"/>
      <c r="R1165" s="300"/>
      <c r="S1165" s="300"/>
      <c r="T1165" s="300"/>
      <c r="U1165" s="300"/>
      <c r="V1165" s="300"/>
      <c r="W1165" s="300"/>
      <c r="X1165" s="300"/>
      <c r="Y1165" s="300"/>
      <c r="Z1165" s="300"/>
      <c r="AA1165" s="300"/>
      <c r="AB1165" s="300"/>
      <c r="AC1165" s="300"/>
    </row>
    <row r="1166">
      <c r="A1166" s="300"/>
      <c r="B1166" s="300"/>
      <c r="C1166" s="380"/>
      <c r="D1166" s="300"/>
      <c r="E1166" s="381"/>
      <c r="F1166" s="382"/>
      <c r="G1166" s="380"/>
      <c r="H1166" s="300"/>
      <c r="I1166" s="300"/>
      <c r="J1166" s="300"/>
      <c r="K1166" s="300"/>
      <c r="L1166" s="383"/>
      <c r="M1166" s="300"/>
      <c r="N1166" s="384"/>
      <c r="O1166" s="300"/>
      <c r="P1166" s="300"/>
      <c r="Q1166" s="300"/>
      <c r="R1166" s="300"/>
      <c r="S1166" s="300"/>
      <c r="T1166" s="300"/>
      <c r="U1166" s="300"/>
      <c r="V1166" s="300"/>
      <c r="W1166" s="300"/>
      <c r="X1166" s="300"/>
      <c r="Y1166" s="300"/>
      <c r="Z1166" s="300"/>
      <c r="AA1166" s="300"/>
      <c r="AB1166" s="300"/>
      <c r="AC1166" s="300"/>
    </row>
    <row r="1167">
      <c r="A1167" s="300"/>
      <c r="B1167" s="300"/>
      <c r="C1167" s="380"/>
      <c r="D1167" s="300"/>
      <c r="E1167" s="381"/>
      <c r="F1167" s="382"/>
      <c r="G1167" s="380"/>
      <c r="H1167" s="300"/>
      <c r="I1167" s="300"/>
      <c r="J1167" s="300"/>
      <c r="K1167" s="300"/>
      <c r="L1167" s="383"/>
      <c r="M1167" s="300"/>
      <c r="N1167" s="384"/>
      <c r="O1167" s="300"/>
      <c r="P1167" s="300"/>
      <c r="Q1167" s="300"/>
      <c r="R1167" s="300"/>
      <c r="S1167" s="300"/>
      <c r="T1167" s="300"/>
      <c r="U1167" s="300"/>
      <c r="V1167" s="300"/>
      <c r="W1167" s="300"/>
      <c r="X1167" s="300"/>
      <c r="Y1167" s="300"/>
      <c r="Z1167" s="300"/>
      <c r="AA1167" s="300"/>
      <c r="AB1167" s="300"/>
      <c r="AC1167" s="300"/>
    </row>
    <row r="1168">
      <c r="A1168" s="300"/>
      <c r="B1168" s="300"/>
      <c r="C1168" s="380"/>
      <c r="D1168" s="300"/>
      <c r="E1168" s="381"/>
      <c r="F1168" s="382"/>
      <c r="G1168" s="380"/>
      <c r="H1168" s="300"/>
      <c r="I1168" s="300"/>
      <c r="J1168" s="300"/>
      <c r="K1168" s="300"/>
      <c r="L1168" s="383"/>
      <c r="M1168" s="300"/>
      <c r="N1168" s="384"/>
      <c r="O1168" s="300"/>
      <c r="P1168" s="300"/>
      <c r="Q1168" s="300"/>
      <c r="R1168" s="300"/>
      <c r="S1168" s="300"/>
      <c r="T1168" s="300"/>
      <c r="U1168" s="300"/>
      <c r="V1168" s="300"/>
      <c r="W1168" s="300"/>
      <c r="X1168" s="300"/>
      <c r="Y1168" s="300"/>
      <c r="Z1168" s="300"/>
      <c r="AA1168" s="300"/>
      <c r="AB1168" s="300"/>
      <c r="AC1168" s="300"/>
    </row>
    <row r="1169">
      <c r="A1169" s="300"/>
      <c r="B1169" s="300"/>
      <c r="C1169" s="380"/>
      <c r="D1169" s="300"/>
      <c r="E1169" s="381"/>
      <c r="F1169" s="382"/>
      <c r="G1169" s="380"/>
      <c r="H1169" s="300"/>
      <c r="I1169" s="300"/>
      <c r="J1169" s="300"/>
      <c r="K1169" s="300"/>
      <c r="L1169" s="383"/>
      <c r="M1169" s="300"/>
      <c r="N1169" s="384"/>
      <c r="O1169" s="300"/>
      <c r="P1169" s="300"/>
      <c r="Q1169" s="300"/>
      <c r="R1169" s="300"/>
      <c r="S1169" s="300"/>
      <c r="T1169" s="300"/>
      <c r="U1169" s="300"/>
      <c r="V1169" s="300"/>
      <c r="W1169" s="300"/>
      <c r="X1169" s="300"/>
      <c r="Y1169" s="300"/>
      <c r="Z1169" s="300"/>
      <c r="AA1169" s="300"/>
      <c r="AB1169" s="300"/>
      <c r="AC1169" s="300"/>
    </row>
    <row r="1170">
      <c r="A1170" s="300"/>
      <c r="B1170" s="300"/>
      <c r="C1170" s="380"/>
      <c r="D1170" s="300"/>
      <c r="E1170" s="381"/>
      <c r="F1170" s="382"/>
      <c r="G1170" s="380"/>
      <c r="H1170" s="300"/>
      <c r="I1170" s="300"/>
      <c r="J1170" s="300"/>
      <c r="K1170" s="300"/>
      <c r="L1170" s="383"/>
      <c r="M1170" s="300"/>
      <c r="N1170" s="384"/>
      <c r="O1170" s="300"/>
      <c r="P1170" s="300"/>
      <c r="Q1170" s="300"/>
      <c r="R1170" s="300"/>
      <c r="S1170" s="300"/>
      <c r="T1170" s="300"/>
      <c r="U1170" s="300"/>
      <c r="V1170" s="300"/>
      <c r="W1170" s="300"/>
      <c r="X1170" s="300"/>
      <c r="Y1170" s="300"/>
      <c r="Z1170" s="300"/>
      <c r="AA1170" s="300"/>
      <c r="AB1170" s="300"/>
      <c r="AC1170" s="300"/>
    </row>
    <row r="1171">
      <c r="A1171" s="300"/>
      <c r="B1171" s="300"/>
      <c r="C1171" s="380"/>
      <c r="D1171" s="300"/>
      <c r="E1171" s="381"/>
      <c r="F1171" s="382"/>
      <c r="G1171" s="380"/>
      <c r="H1171" s="300"/>
      <c r="I1171" s="300"/>
      <c r="J1171" s="300"/>
      <c r="K1171" s="300"/>
      <c r="L1171" s="383"/>
      <c r="M1171" s="300"/>
      <c r="N1171" s="384"/>
      <c r="O1171" s="300"/>
      <c r="P1171" s="300"/>
      <c r="Q1171" s="300"/>
      <c r="R1171" s="300"/>
      <c r="S1171" s="300"/>
      <c r="T1171" s="300"/>
      <c r="U1171" s="300"/>
      <c r="V1171" s="300"/>
      <c r="W1171" s="300"/>
      <c r="X1171" s="300"/>
      <c r="Y1171" s="300"/>
      <c r="Z1171" s="300"/>
      <c r="AA1171" s="300"/>
      <c r="AB1171" s="300"/>
      <c r="AC1171" s="300"/>
    </row>
    <row r="1172">
      <c r="A1172" s="300"/>
      <c r="B1172" s="300"/>
      <c r="C1172" s="380"/>
      <c r="D1172" s="300"/>
      <c r="E1172" s="381"/>
      <c r="F1172" s="382"/>
      <c r="G1172" s="380"/>
      <c r="H1172" s="300"/>
      <c r="I1172" s="300"/>
      <c r="J1172" s="300"/>
      <c r="K1172" s="300"/>
      <c r="L1172" s="383"/>
      <c r="M1172" s="300"/>
      <c r="N1172" s="384"/>
      <c r="O1172" s="300"/>
      <c r="P1172" s="300"/>
      <c r="Q1172" s="300"/>
      <c r="R1172" s="300"/>
      <c r="S1172" s="300"/>
      <c r="T1172" s="300"/>
      <c r="U1172" s="300"/>
      <c r="V1172" s="300"/>
      <c r="W1172" s="300"/>
      <c r="X1172" s="300"/>
      <c r="Y1172" s="300"/>
      <c r="Z1172" s="300"/>
      <c r="AA1172" s="300"/>
      <c r="AB1172" s="300"/>
      <c r="AC1172" s="300"/>
    </row>
    <row r="1173">
      <c r="A1173" s="300"/>
      <c r="B1173" s="300"/>
      <c r="C1173" s="380"/>
      <c r="D1173" s="300"/>
      <c r="E1173" s="381"/>
      <c r="F1173" s="382"/>
      <c r="G1173" s="380"/>
      <c r="H1173" s="300"/>
      <c r="I1173" s="300"/>
      <c r="J1173" s="300"/>
      <c r="K1173" s="300"/>
      <c r="L1173" s="383"/>
      <c r="M1173" s="300"/>
      <c r="N1173" s="384"/>
      <c r="O1173" s="300"/>
      <c r="P1173" s="300"/>
      <c r="Q1173" s="300"/>
      <c r="R1173" s="300"/>
      <c r="S1173" s="300"/>
      <c r="T1173" s="300"/>
      <c r="U1173" s="300"/>
      <c r="V1173" s="300"/>
      <c r="W1173" s="300"/>
      <c r="X1173" s="300"/>
      <c r="Y1173" s="300"/>
      <c r="Z1173" s="300"/>
      <c r="AA1173" s="300"/>
      <c r="AB1173" s="300"/>
      <c r="AC1173" s="300"/>
    </row>
    <row r="1174">
      <c r="A1174" s="300"/>
      <c r="B1174" s="300"/>
      <c r="C1174" s="380"/>
      <c r="D1174" s="300"/>
      <c r="E1174" s="381"/>
      <c r="F1174" s="382"/>
      <c r="G1174" s="380"/>
      <c r="H1174" s="300"/>
      <c r="I1174" s="300"/>
      <c r="J1174" s="300"/>
      <c r="K1174" s="300"/>
      <c r="L1174" s="383"/>
      <c r="M1174" s="300"/>
      <c r="N1174" s="384"/>
      <c r="O1174" s="300"/>
      <c r="P1174" s="300"/>
      <c r="Q1174" s="300"/>
      <c r="R1174" s="300"/>
      <c r="S1174" s="300"/>
      <c r="T1174" s="300"/>
      <c r="U1174" s="300"/>
      <c r="V1174" s="300"/>
      <c r="W1174" s="300"/>
      <c r="X1174" s="300"/>
      <c r="Y1174" s="300"/>
      <c r="Z1174" s="300"/>
      <c r="AA1174" s="300"/>
      <c r="AB1174" s="300"/>
      <c r="AC1174" s="300"/>
    </row>
    <row r="1175">
      <c r="A1175" s="300"/>
      <c r="B1175" s="300"/>
      <c r="C1175" s="380"/>
      <c r="D1175" s="300"/>
      <c r="E1175" s="381"/>
      <c r="F1175" s="382"/>
      <c r="G1175" s="380"/>
      <c r="H1175" s="300"/>
      <c r="I1175" s="300"/>
      <c r="J1175" s="300"/>
      <c r="K1175" s="300"/>
      <c r="L1175" s="383"/>
      <c r="M1175" s="300"/>
      <c r="N1175" s="384"/>
      <c r="O1175" s="300"/>
      <c r="P1175" s="300"/>
      <c r="Q1175" s="300"/>
      <c r="R1175" s="300"/>
      <c r="S1175" s="300"/>
      <c r="T1175" s="300"/>
      <c r="U1175" s="300"/>
      <c r="V1175" s="300"/>
      <c r="W1175" s="300"/>
      <c r="X1175" s="300"/>
      <c r="Y1175" s="300"/>
      <c r="Z1175" s="300"/>
      <c r="AA1175" s="300"/>
      <c r="AB1175" s="300"/>
      <c r="AC1175" s="300"/>
    </row>
    <row r="1176">
      <c r="A1176" s="300"/>
      <c r="B1176" s="300"/>
      <c r="C1176" s="380"/>
      <c r="D1176" s="300"/>
      <c r="E1176" s="381"/>
      <c r="F1176" s="382"/>
      <c r="G1176" s="380"/>
      <c r="H1176" s="300"/>
      <c r="I1176" s="300"/>
      <c r="J1176" s="300"/>
      <c r="K1176" s="300"/>
      <c r="L1176" s="383"/>
      <c r="M1176" s="300"/>
      <c r="N1176" s="384"/>
      <c r="O1176" s="300"/>
      <c r="P1176" s="300"/>
      <c r="Q1176" s="300"/>
      <c r="R1176" s="300"/>
      <c r="S1176" s="300"/>
      <c r="T1176" s="300"/>
      <c r="U1176" s="300"/>
      <c r="V1176" s="300"/>
      <c r="W1176" s="300"/>
      <c r="X1176" s="300"/>
      <c r="Y1176" s="300"/>
      <c r="Z1176" s="300"/>
      <c r="AA1176" s="300"/>
      <c r="AB1176" s="300"/>
      <c r="AC1176" s="300"/>
    </row>
    <row r="1177">
      <c r="A1177" s="300"/>
      <c r="B1177" s="300"/>
      <c r="C1177" s="380"/>
      <c r="D1177" s="300"/>
      <c r="E1177" s="381"/>
      <c r="F1177" s="382"/>
      <c r="G1177" s="380"/>
      <c r="H1177" s="300"/>
      <c r="I1177" s="300"/>
      <c r="J1177" s="300"/>
      <c r="K1177" s="300"/>
      <c r="L1177" s="383"/>
      <c r="M1177" s="300"/>
      <c r="N1177" s="384"/>
      <c r="O1177" s="300"/>
      <c r="P1177" s="300"/>
      <c r="Q1177" s="300"/>
      <c r="R1177" s="300"/>
      <c r="S1177" s="300"/>
      <c r="T1177" s="300"/>
      <c r="U1177" s="300"/>
      <c r="V1177" s="300"/>
      <c r="W1177" s="300"/>
      <c r="X1177" s="300"/>
      <c r="Y1177" s="300"/>
      <c r="Z1177" s="300"/>
      <c r="AA1177" s="300"/>
      <c r="AB1177" s="300"/>
      <c r="AC1177" s="300"/>
    </row>
    <row r="1178">
      <c r="A1178" s="300"/>
      <c r="B1178" s="300"/>
      <c r="C1178" s="380"/>
      <c r="D1178" s="300"/>
      <c r="E1178" s="381"/>
      <c r="F1178" s="382"/>
      <c r="G1178" s="380"/>
      <c r="H1178" s="300"/>
      <c r="I1178" s="300"/>
      <c r="J1178" s="300"/>
      <c r="K1178" s="300"/>
      <c r="L1178" s="383"/>
      <c r="M1178" s="300"/>
      <c r="N1178" s="384"/>
      <c r="O1178" s="300"/>
      <c r="P1178" s="300"/>
      <c r="Q1178" s="300"/>
      <c r="R1178" s="300"/>
      <c r="S1178" s="300"/>
      <c r="T1178" s="300"/>
      <c r="U1178" s="300"/>
      <c r="V1178" s="300"/>
      <c r="W1178" s="300"/>
      <c r="X1178" s="300"/>
      <c r="Y1178" s="300"/>
      <c r="Z1178" s="300"/>
      <c r="AA1178" s="300"/>
      <c r="AB1178" s="300"/>
      <c r="AC1178" s="300"/>
    </row>
    <row r="1179">
      <c r="A1179" s="300"/>
      <c r="B1179" s="300"/>
      <c r="C1179" s="380"/>
      <c r="D1179" s="300"/>
      <c r="E1179" s="381"/>
      <c r="F1179" s="382"/>
      <c r="G1179" s="380"/>
      <c r="H1179" s="300"/>
      <c r="I1179" s="300"/>
      <c r="J1179" s="300"/>
      <c r="K1179" s="300"/>
      <c r="L1179" s="383"/>
      <c r="M1179" s="300"/>
      <c r="N1179" s="384"/>
      <c r="O1179" s="300"/>
      <c r="P1179" s="300"/>
      <c r="Q1179" s="300"/>
      <c r="R1179" s="300"/>
      <c r="S1179" s="300"/>
      <c r="T1179" s="300"/>
      <c r="U1179" s="300"/>
      <c r="V1179" s="300"/>
      <c r="W1179" s="300"/>
      <c r="X1179" s="300"/>
      <c r="Y1179" s="300"/>
      <c r="Z1179" s="300"/>
      <c r="AA1179" s="300"/>
      <c r="AB1179" s="300"/>
      <c r="AC1179" s="300"/>
    </row>
    <row r="1180">
      <c r="A1180" s="300"/>
      <c r="B1180" s="300"/>
      <c r="C1180" s="380"/>
      <c r="D1180" s="300"/>
      <c r="E1180" s="381"/>
      <c r="F1180" s="382"/>
      <c r="G1180" s="380"/>
      <c r="H1180" s="300"/>
      <c r="I1180" s="300"/>
      <c r="J1180" s="300"/>
      <c r="K1180" s="300"/>
      <c r="L1180" s="383"/>
      <c r="M1180" s="300"/>
      <c r="N1180" s="384"/>
      <c r="O1180" s="300"/>
      <c r="P1180" s="300"/>
      <c r="Q1180" s="300"/>
      <c r="R1180" s="300"/>
      <c r="S1180" s="300"/>
      <c r="T1180" s="300"/>
      <c r="U1180" s="300"/>
      <c r="V1180" s="300"/>
      <c r="W1180" s="300"/>
      <c r="X1180" s="300"/>
      <c r="Y1180" s="300"/>
      <c r="Z1180" s="300"/>
      <c r="AA1180" s="300"/>
      <c r="AB1180" s="300"/>
      <c r="AC1180" s="300"/>
    </row>
    <row r="1181">
      <c r="A1181" s="300"/>
      <c r="B1181" s="300"/>
      <c r="C1181" s="380"/>
      <c r="D1181" s="300"/>
      <c r="E1181" s="381"/>
      <c r="F1181" s="382"/>
      <c r="G1181" s="380"/>
      <c r="H1181" s="300"/>
      <c r="I1181" s="300"/>
      <c r="J1181" s="300"/>
      <c r="K1181" s="300"/>
      <c r="L1181" s="383"/>
      <c r="M1181" s="300"/>
      <c r="N1181" s="384"/>
      <c r="O1181" s="300"/>
      <c r="P1181" s="300"/>
      <c r="Q1181" s="300"/>
      <c r="R1181" s="300"/>
      <c r="S1181" s="300"/>
      <c r="T1181" s="300"/>
      <c r="U1181" s="300"/>
      <c r="V1181" s="300"/>
      <c r="W1181" s="300"/>
      <c r="X1181" s="300"/>
      <c r="Y1181" s="300"/>
      <c r="Z1181" s="300"/>
      <c r="AA1181" s="300"/>
      <c r="AB1181" s="300"/>
      <c r="AC1181" s="300"/>
    </row>
    <row r="1182">
      <c r="A1182" s="300"/>
      <c r="B1182" s="300"/>
      <c r="C1182" s="380"/>
      <c r="D1182" s="300"/>
      <c r="E1182" s="381"/>
      <c r="F1182" s="382"/>
      <c r="G1182" s="380"/>
      <c r="H1182" s="300"/>
      <c r="I1182" s="300"/>
      <c r="J1182" s="300"/>
      <c r="K1182" s="300"/>
      <c r="L1182" s="383"/>
      <c r="M1182" s="300"/>
      <c r="N1182" s="384"/>
      <c r="O1182" s="300"/>
      <c r="P1182" s="300"/>
      <c r="Q1182" s="300"/>
      <c r="R1182" s="300"/>
      <c r="S1182" s="300"/>
      <c r="T1182" s="300"/>
      <c r="U1182" s="300"/>
      <c r="V1182" s="300"/>
      <c r="W1182" s="300"/>
      <c r="X1182" s="300"/>
      <c r="Y1182" s="300"/>
      <c r="Z1182" s="300"/>
      <c r="AA1182" s="300"/>
      <c r="AB1182" s="300"/>
      <c r="AC1182" s="300"/>
    </row>
    <row r="1183">
      <c r="A1183" s="300"/>
      <c r="B1183" s="300"/>
      <c r="C1183" s="380"/>
      <c r="D1183" s="300"/>
      <c r="E1183" s="381"/>
      <c r="F1183" s="382"/>
      <c r="G1183" s="380"/>
      <c r="H1183" s="300"/>
      <c r="I1183" s="300"/>
      <c r="J1183" s="300"/>
      <c r="K1183" s="300"/>
      <c r="L1183" s="383"/>
      <c r="M1183" s="300"/>
      <c r="N1183" s="384"/>
      <c r="O1183" s="300"/>
      <c r="P1183" s="300"/>
      <c r="Q1183" s="300"/>
      <c r="R1183" s="300"/>
      <c r="S1183" s="300"/>
      <c r="T1183" s="300"/>
      <c r="U1183" s="300"/>
      <c r="V1183" s="300"/>
      <c r="W1183" s="300"/>
      <c r="X1183" s="300"/>
      <c r="Y1183" s="300"/>
      <c r="Z1183" s="300"/>
      <c r="AA1183" s="300"/>
      <c r="AB1183" s="300"/>
      <c r="AC1183" s="300"/>
    </row>
    <row r="1184">
      <c r="A1184" s="300"/>
      <c r="B1184" s="300"/>
      <c r="C1184" s="380"/>
      <c r="D1184" s="300"/>
      <c r="E1184" s="381"/>
      <c r="F1184" s="382"/>
      <c r="G1184" s="380"/>
      <c r="H1184" s="300"/>
      <c r="I1184" s="300"/>
      <c r="J1184" s="300"/>
      <c r="K1184" s="300"/>
      <c r="L1184" s="383"/>
      <c r="M1184" s="300"/>
      <c r="N1184" s="384"/>
      <c r="O1184" s="300"/>
      <c r="P1184" s="300"/>
      <c r="Q1184" s="300"/>
      <c r="R1184" s="300"/>
      <c r="S1184" s="300"/>
      <c r="T1184" s="300"/>
      <c r="U1184" s="300"/>
      <c r="V1184" s="300"/>
      <c r="W1184" s="300"/>
      <c r="X1184" s="300"/>
      <c r="Y1184" s="300"/>
      <c r="Z1184" s="300"/>
      <c r="AA1184" s="300"/>
      <c r="AB1184" s="300"/>
      <c r="AC1184" s="300"/>
    </row>
    <row r="1185">
      <c r="A1185" s="300"/>
      <c r="B1185" s="300"/>
      <c r="C1185" s="380"/>
      <c r="D1185" s="300"/>
      <c r="E1185" s="381"/>
      <c r="F1185" s="382"/>
      <c r="G1185" s="380"/>
      <c r="H1185" s="300"/>
      <c r="I1185" s="300"/>
      <c r="J1185" s="300"/>
      <c r="K1185" s="300"/>
      <c r="L1185" s="383"/>
      <c r="M1185" s="300"/>
      <c r="N1185" s="384"/>
      <c r="O1185" s="300"/>
      <c r="P1185" s="300"/>
      <c r="Q1185" s="300"/>
      <c r="R1185" s="300"/>
      <c r="S1185" s="300"/>
      <c r="T1185" s="300"/>
      <c r="U1185" s="300"/>
      <c r="V1185" s="300"/>
      <c r="W1185" s="300"/>
      <c r="X1185" s="300"/>
      <c r="Y1185" s="300"/>
      <c r="Z1185" s="300"/>
      <c r="AA1185" s="300"/>
      <c r="AB1185" s="300"/>
      <c r="AC1185" s="300"/>
    </row>
    <row r="1186">
      <c r="A1186" s="300"/>
      <c r="B1186" s="300"/>
      <c r="C1186" s="380"/>
      <c r="D1186" s="300"/>
      <c r="E1186" s="381"/>
      <c r="F1186" s="382"/>
      <c r="G1186" s="380"/>
      <c r="H1186" s="300"/>
      <c r="I1186" s="300"/>
      <c r="J1186" s="300"/>
      <c r="K1186" s="300"/>
      <c r="L1186" s="383"/>
      <c r="M1186" s="300"/>
      <c r="N1186" s="384"/>
      <c r="O1186" s="300"/>
      <c r="P1186" s="300"/>
      <c r="Q1186" s="300"/>
      <c r="R1186" s="300"/>
      <c r="S1186" s="300"/>
      <c r="T1186" s="300"/>
      <c r="U1186" s="300"/>
      <c r="V1186" s="300"/>
      <c r="W1186" s="300"/>
      <c r="X1186" s="300"/>
      <c r="Y1186" s="300"/>
      <c r="Z1186" s="300"/>
      <c r="AA1186" s="300"/>
      <c r="AB1186" s="300"/>
      <c r="AC1186" s="300"/>
    </row>
    <row r="1187">
      <c r="A1187" s="300"/>
      <c r="B1187" s="300"/>
      <c r="C1187" s="380"/>
      <c r="D1187" s="300"/>
      <c r="E1187" s="381"/>
      <c r="F1187" s="382"/>
      <c r="G1187" s="380"/>
      <c r="H1187" s="300"/>
      <c r="I1187" s="300"/>
      <c r="J1187" s="300"/>
      <c r="K1187" s="300"/>
      <c r="L1187" s="383"/>
      <c r="M1187" s="300"/>
      <c r="N1187" s="384"/>
      <c r="O1187" s="300"/>
      <c r="P1187" s="300"/>
      <c r="Q1187" s="300"/>
      <c r="R1187" s="300"/>
      <c r="S1187" s="300"/>
      <c r="T1187" s="300"/>
      <c r="U1187" s="300"/>
      <c r="V1187" s="300"/>
      <c r="W1187" s="300"/>
      <c r="X1187" s="300"/>
      <c r="Y1187" s="300"/>
      <c r="Z1187" s="300"/>
      <c r="AA1187" s="300"/>
      <c r="AB1187" s="300"/>
      <c r="AC1187" s="300"/>
    </row>
    <row r="1188">
      <c r="A1188" s="300"/>
      <c r="B1188" s="300"/>
      <c r="C1188" s="380"/>
      <c r="D1188" s="300"/>
      <c r="E1188" s="381"/>
      <c r="F1188" s="382"/>
      <c r="G1188" s="380"/>
      <c r="H1188" s="300"/>
      <c r="I1188" s="300"/>
      <c r="J1188" s="300"/>
      <c r="K1188" s="300"/>
      <c r="L1188" s="383"/>
      <c r="M1188" s="300"/>
      <c r="N1188" s="384"/>
      <c r="O1188" s="300"/>
      <c r="P1188" s="300"/>
      <c r="Q1188" s="300"/>
      <c r="R1188" s="300"/>
      <c r="S1188" s="300"/>
      <c r="T1188" s="300"/>
      <c r="U1188" s="300"/>
      <c r="V1188" s="300"/>
      <c r="W1188" s="300"/>
      <c r="X1188" s="300"/>
      <c r="Y1188" s="300"/>
      <c r="Z1188" s="300"/>
      <c r="AA1188" s="300"/>
      <c r="AB1188" s="300"/>
      <c r="AC1188" s="300"/>
    </row>
    <row r="1189">
      <c r="A1189" s="300"/>
      <c r="B1189" s="300"/>
      <c r="C1189" s="380"/>
      <c r="D1189" s="300"/>
      <c r="E1189" s="381"/>
      <c r="F1189" s="382"/>
      <c r="G1189" s="380"/>
      <c r="H1189" s="300"/>
      <c r="I1189" s="300"/>
      <c r="J1189" s="300"/>
      <c r="K1189" s="300"/>
      <c r="L1189" s="383"/>
      <c r="M1189" s="300"/>
      <c r="N1189" s="384"/>
      <c r="O1189" s="300"/>
      <c r="P1189" s="300"/>
      <c r="Q1189" s="300"/>
      <c r="R1189" s="300"/>
      <c r="S1189" s="300"/>
      <c r="T1189" s="300"/>
      <c r="U1189" s="300"/>
      <c r="V1189" s="300"/>
      <c r="W1189" s="300"/>
      <c r="X1189" s="300"/>
      <c r="Y1189" s="300"/>
      <c r="Z1189" s="300"/>
      <c r="AA1189" s="300"/>
      <c r="AB1189" s="300"/>
      <c r="AC1189" s="300"/>
    </row>
    <row r="1190">
      <c r="A1190" s="300"/>
      <c r="B1190" s="300"/>
      <c r="C1190" s="380"/>
      <c r="D1190" s="300"/>
      <c r="E1190" s="381"/>
      <c r="F1190" s="382"/>
      <c r="G1190" s="380"/>
      <c r="H1190" s="300"/>
      <c r="I1190" s="300"/>
      <c r="J1190" s="300"/>
      <c r="K1190" s="300"/>
      <c r="L1190" s="383"/>
      <c r="M1190" s="300"/>
      <c r="N1190" s="384"/>
      <c r="O1190" s="300"/>
      <c r="P1190" s="300"/>
      <c r="Q1190" s="300"/>
      <c r="R1190" s="300"/>
      <c r="S1190" s="300"/>
      <c r="T1190" s="300"/>
      <c r="U1190" s="300"/>
      <c r="V1190" s="300"/>
      <c r="W1190" s="300"/>
      <c r="X1190" s="300"/>
      <c r="Y1190" s="300"/>
      <c r="Z1190" s="300"/>
      <c r="AA1190" s="300"/>
      <c r="AB1190" s="300"/>
      <c r="AC1190" s="300"/>
    </row>
    <row r="1191">
      <c r="A1191" s="300"/>
      <c r="B1191" s="300"/>
      <c r="C1191" s="380"/>
      <c r="D1191" s="300"/>
      <c r="E1191" s="381"/>
      <c r="F1191" s="382"/>
      <c r="G1191" s="380"/>
      <c r="H1191" s="300"/>
      <c r="I1191" s="300"/>
      <c r="J1191" s="300"/>
      <c r="K1191" s="300"/>
      <c r="L1191" s="383"/>
      <c r="M1191" s="300"/>
      <c r="N1191" s="384"/>
      <c r="O1191" s="300"/>
      <c r="P1191" s="300"/>
      <c r="Q1191" s="300"/>
      <c r="R1191" s="300"/>
      <c r="S1191" s="300"/>
      <c r="T1191" s="300"/>
      <c r="U1191" s="300"/>
      <c r="V1191" s="300"/>
      <c r="W1191" s="300"/>
      <c r="X1191" s="300"/>
      <c r="Y1191" s="300"/>
      <c r="Z1191" s="300"/>
      <c r="AA1191" s="300"/>
      <c r="AB1191" s="300"/>
      <c r="AC1191" s="300"/>
    </row>
    <row r="1192">
      <c r="A1192" s="300"/>
      <c r="B1192" s="300"/>
      <c r="C1192" s="380"/>
      <c r="D1192" s="300"/>
      <c r="E1192" s="381"/>
      <c r="F1192" s="382"/>
      <c r="G1192" s="380"/>
      <c r="H1192" s="300"/>
      <c r="I1192" s="300"/>
      <c r="J1192" s="300"/>
      <c r="K1192" s="300"/>
      <c r="L1192" s="383"/>
      <c r="M1192" s="300"/>
      <c r="N1192" s="384"/>
      <c r="O1192" s="300"/>
      <c r="P1192" s="300"/>
      <c r="Q1192" s="300"/>
      <c r="R1192" s="300"/>
      <c r="S1192" s="300"/>
      <c r="T1192" s="300"/>
      <c r="U1192" s="300"/>
      <c r="V1192" s="300"/>
      <c r="W1192" s="300"/>
      <c r="X1192" s="300"/>
      <c r="Y1192" s="300"/>
      <c r="Z1192" s="300"/>
      <c r="AA1192" s="300"/>
      <c r="AB1192" s="300"/>
      <c r="AC1192" s="300"/>
    </row>
    <row r="1193">
      <c r="A1193" s="300"/>
      <c r="B1193" s="300"/>
      <c r="C1193" s="380"/>
      <c r="D1193" s="300"/>
      <c r="E1193" s="381"/>
      <c r="F1193" s="382"/>
      <c r="G1193" s="380"/>
      <c r="H1193" s="300"/>
      <c r="I1193" s="300"/>
      <c r="J1193" s="300"/>
      <c r="K1193" s="300"/>
      <c r="L1193" s="383"/>
      <c r="M1193" s="300"/>
      <c r="N1193" s="384"/>
      <c r="O1193" s="300"/>
      <c r="P1193" s="300"/>
      <c r="Q1193" s="300"/>
      <c r="R1193" s="300"/>
      <c r="S1193" s="300"/>
      <c r="T1193" s="300"/>
      <c r="U1193" s="300"/>
      <c r="V1193" s="300"/>
      <c r="W1193" s="300"/>
      <c r="X1193" s="300"/>
      <c r="Y1193" s="300"/>
      <c r="Z1193" s="300"/>
      <c r="AA1193" s="300"/>
      <c r="AB1193" s="300"/>
      <c r="AC1193" s="300"/>
    </row>
    <row r="1194">
      <c r="A1194" s="300"/>
      <c r="B1194" s="300"/>
      <c r="C1194" s="380"/>
      <c r="D1194" s="300"/>
      <c r="E1194" s="381"/>
      <c r="F1194" s="382"/>
      <c r="G1194" s="380"/>
      <c r="H1194" s="300"/>
      <c r="I1194" s="300"/>
      <c r="J1194" s="300"/>
      <c r="K1194" s="300"/>
      <c r="L1194" s="383"/>
      <c r="M1194" s="300"/>
      <c r="N1194" s="384"/>
      <c r="O1194" s="300"/>
      <c r="P1194" s="300"/>
      <c r="Q1194" s="300"/>
      <c r="R1194" s="300"/>
      <c r="S1194" s="300"/>
      <c r="T1194" s="300"/>
      <c r="U1194" s="300"/>
      <c r="V1194" s="300"/>
      <c r="W1194" s="300"/>
      <c r="X1194" s="300"/>
      <c r="Y1194" s="300"/>
      <c r="Z1194" s="300"/>
      <c r="AA1194" s="300"/>
      <c r="AB1194" s="300"/>
      <c r="AC1194" s="300"/>
    </row>
    <row r="1195">
      <c r="A1195" s="300"/>
      <c r="B1195" s="300"/>
      <c r="C1195" s="380"/>
      <c r="D1195" s="300"/>
      <c r="E1195" s="381"/>
      <c r="F1195" s="382"/>
      <c r="G1195" s="380"/>
      <c r="H1195" s="300"/>
      <c r="I1195" s="300"/>
      <c r="J1195" s="300"/>
      <c r="K1195" s="300"/>
      <c r="L1195" s="383"/>
      <c r="M1195" s="300"/>
      <c r="N1195" s="384"/>
      <c r="O1195" s="300"/>
      <c r="P1195" s="300"/>
      <c r="Q1195" s="300"/>
      <c r="R1195" s="300"/>
      <c r="S1195" s="300"/>
      <c r="T1195" s="300"/>
      <c r="U1195" s="300"/>
      <c r="V1195" s="300"/>
      <c r="W1195" s="300"/>
      <c r="X1195" s="300"/>
      <c r="Y1195" s="300"/>
      <c r="Z1195" s="300"/>
      <c r="AA1195" s="300"/>
      <c r="AB1195" s="300"/>
      <c r="AC1195" s="300"/>
    </row>
    <row r="1196">
      <c r="A1196" s="300"/>
      <c r="B1196" s="300"/>
      <c r="C1196" s="380"/>
      <c r="D1196" s="300"/>
      <c r="E1196" s="381"/>
      <c r="F1196" s="382"/>
      <c r="G1196" s="380"/>
      <c r="H1196" s="300"/>
      <c r="I1196" s="300"/>
      <c r="J1196" s="300"/>
      <c r="K1196" s="300"/>
      <c r="L1196" s="383"/>
      <c r="M1196" s="300"/>
      <c r="N1196" s="384"/>
      <c r="O1196" s="300"/>
      <c r="P1196" s="300"/>
      <c r="Q1196" s="300"/>
      <c r="R1196" s="300"/>
      <c r="S1196" s="300"/>
      <c r="T1196" s="300"/>
      <c r="U1196" s="300"/>
      <c r="V1196" s="300"/>
      <c r="W1196" s="300"/>
      <c r="X1196" s="300"/>
      <c r="Y1196" s="300"/>
      <c r="Z1196" s="300"/>
      <c r="AA1196" s="300"/>
      <c r="AB1196" s="300"/>
      <c r="AC1196" s="300"/>
    </row>
    <row r="1197">
      <c r="A1197" s="300"/>
      <c r="B1197" s="300"/>
      <c r="C1197" s="380"/>
      <c r="D1197" s="300"/>
      <c r="E1197" s="381"/>
      <c r="F1197" s="382"/>
      <c r="G1197" s="380"/>
      <c r="H1197" s="300"/>
      <c r="I1197" s="300"/>
      <c r="J1197" s="300"/>
      <c r="K1197" s="300"/>
      <c r="L1197" s="383"/>
      <c r="M1197" s="300"/>
      <c r="N1197" s="384"/>
      <c r="O1197" s="300"/>
      <c r="P1197" s="300"/>
      <c r="Q1197" s="300"/>
      <c r="R1197" s="300"/>
      <c r="S1197" s="300"/>
      <c r="T1197" s="300"/>
      <c r="U1197" s="300"/>
      <c r="V1197" s="300"/>
      <c r="W1197" s="300"/>
      <c r="X1197" s="300"/>
      <c r="Y1197" s="300"/>
      <c r="Z1197" s="300"/>
      <c r="AA1197" s="300"/>
      <c r="AB1197" s="300"/>
      <c r="AC1197" s="300"/>
    </row>
    <row r="1198">
      <c r="A1198" s="300"/>
      <c r="B1198" s="300"/>
      <c r="C1198" s="380"/>
      <c r="D1198" s="300"/>
      <c r="E1198" s="381"/>
      <c r="F1198" s="382"/>
      <c r="G1198" s="380"/>
      <c r="H1198" s="300"/>
      <c r="I1198" s="300"/>
      <c r="J1198" s="300"/>
      <c r="K1198" s="300"/>
      <c r="L1198" s="383"/>
      <c r="M1198" s="300"/>
      <c r="N1198" s="384"/>
      <c r="O1198" s="300"/>
      <c r="P1198" s="300"/>
      <c r="Q1198" s="300"/>
      <c r="R1198" s="300"/>
      <c r="S1198" s="300"/>
      <c r="T1198" s="300"/>
      <c r="U1198" s="300"/>
      <c r="V1198" s="300"/>
      <c r="W1198" s="300"/>
      <c r="X1198" s="300"/>
      <c r="Y1198" s="300"/>
      <c r="Z1198" s="300"/>
      <c r="AA1198" s="300"/>
      <c r="AB1198" s="300"/>
      <c r="AC1198" s="300"/>
    </row>
    <row r="1199">
      <c r="A1199" s="300"/>
      <c r="B1199" s="300"/>
      <c r="C1199" s="380"/>
      <c r="D1199" s="300"/>
      <c r="E1199" s="381"/>
      <c r="F1199" s="382"/>
      <c r="G1199" s="380"/>
      <c r="H1199" s="300"/>
      <c r="I1199" s="300"/>
      <c r="J1199" s="300"/>
      <c r="K1199" s="300"/>
      <c r="L1199" s="383"/>
      <c r="M1199" s="300"/>
      <c r="N1199" s="384"/>
      <c r="O1199" s="300"/>
      <c r="P1199" s="300"/>
      <c r="Q1199" s="300"/>
      <c r="R1199" s="300"/>
      <c r="S1199" s="300"/>
      <c r="T1199" s="300"/>
      <c r="U1199" s="300"/>
      <c r="V1199" s="300"/>
      <c r="W1199" s="300"/>
      <c r="X1199" s="300"/>
      <c r="Y1199" s="300"/>
      <c r="Z1199" s="300"/>
      <c r="AA1199" s="300"/>
      <c r="AB1199" s="300"/>
      <c r="AC1199" s="300"/>
    </row>
    <row r="1200">
      <c r="A1200" s="300"/>
      <c r="B1200" s="300"/>
      <c r="C1200" s="380"/>
      <c r="D1200" s="300"/>
      <c r="E1200" s="381"/>
      <c r="F1200" s="382"/>
      <c r="G1200" s="380"/>
      <c r="H1200" s="300"/>
      <c r="I1200" s="300"/>
      <c r="J1200" s="300"/>
      <c r="K1200" s="300"/>
      <c r="L1200" s="383"/>
      <c r="M1200" s="300"/>
      <c r="N1200" s="384"/>
      <c r="O1200" s="300"/>
      <c r="P1200" s="300"/>
      <c r="Q1200" s="300"/>
      <c r="R1200" s="300"/>
      <c r="S1200" s="300"/>
      <c r="T1200" s="300"/>
      <c r="U1200" s="300"/>
      <c r="V1200" s="300"/>
      <c r="W1200" s="300"/>
      <c r="X1200" s="300"/>
      <c r="Y1200" s="300"/>
      <c r="Z1200" s="300"/>
      <c r="AA1200" s="300"/>
      <c r="AB1200" s="300"/>
      <c r="AC1200" s="300"/>
    </row>
    <row r="1201">
      <c r="A1201" s="300"/>
      <c r="B1201" s="300"/>
      <c r="C1201" s="380"/>
      <c r="D1201" s="300"/>
      <c r="E1201" s="381"/>
      <c r="F1201" s="382"/>
      <c r="G1201" s="380"/>
      <c r="H1201" s="300"/>
      <c r="I1201" s="300"/>
      <c r="J1201" s="300"/>
      <c r="K1201" s="300"/>
      <c r="L1201" s="383"/>
      <c r="M1201" s="300"/>
      <c r="N1201" s="384"/>
      <c r="O1201" s="300"/>
      <c r="P1201" s="300"/>
      <c r="Q1201" s="300"/>
      <c r="R1201" s="300"/>
      <c r="S1201" s="300"/>
      <c r="T1201" s="300"/>
      <c r="U1201" s="300"/>
      <c r="V1201" s="300"/>
      <c r="W1201" s="300"/>
      <c r="X1201" s="300"/>
      <c r="Y1201" s="300"/>
      <c r="Z1201" s="300"/>
      <c r="AA1201" s="300"/>
      <c r="AB1201" s="300"/>
      <c r="AC1201" s="300"/>
    </row>
    <row r="1202">
      <c r="A1202" s="300"/>
      <c r="B1202" s="300"/>
      <c r="C1202" s="380"/>
      <c r="D1202" s="300"/>
      <c r="E1202" s="381"/>
      <c r="F1202" s="382"/>
      <c r="G1202" s="380"/>
      <c r="H1202" s="300"/>
      <c r="I1202" s="300"/>
      <c r="J1202" s="300"/>
      <c r="K1202" s="300"/>
      <c r="L1202" s="383"/>
      <c r="M1202" s="300"/>
      <c r="N1202" s="384"/>
      <c r="O1202" s="300"/>
      <c r="P1202" s="300"/>
      <c r="Q1202" s="300"/>
      <c r="R1202" s="300"/>
      <c r="S1202" s="300"/>
      <c r="T1202" s="300"/>
      <c r="U1202" s="300"/>
      <c r="V1202" s="300"/>
      <c r="W1202" s="300"/>
      <c r="X1202" s="300"/>
      <c r="Y1202" s="300"/>
      <c r="Z1202" s="300"/>
      <c r="AA1202" s="300"/>
      <c r="AB1202" s="300"/>
      <c r="AC1202" s="300"/>
    </row>
    <row r="1203">
      <c r="A1203" s="300"/>
      <c r="B1203" s="300"/>
      <c r="C1203" s="380"/>
      <c r="D1203" s="300"/>
      <c r="E1203" s="381"/>
      <c r="F1203" s="382"/>
      <c r="G1203" s="380"/>
      <c r="H1203" s="300"/>
      <c r="I1203" s="300"/>
      <c r="J1203" s="300"/>
      <c r="K1203" s="300"/>
      <c r="L1203" s="383"/>
      <c r="M1203" s="300"/>
      <c r="N1203" s="384"/>
      <c r="O1203" s="300"/>
      <c r="P1203" s="300"/>
      <c r="Q1203" s="300"/>
      <c r="R1203" s="300"/>
      <c r="S1203" s="300"/>
      <c r="T1203" s="300"/>
      <c r="U1203" s="300"/>
      <c r="V1203" s="300"/>
      <c r="W1203" s="300"/>
      <c r="X1203" s="300"/>
      <c r="Y1203" s="300"/>
      <c r="Z1203" s="300"/>
      <c r="AA1203" s="300"/>
      <c r="AB1203" s="300"/>
      <c r="AC1203" s="300"/>
    </row>
    <row r="1204">
      <c r="A1204" s="300"/>
      <c r="B1204" s="300"/>
      <c r="C1204" s="380"/>
      <c r="D1204" s="300"/>
      <c r="E1204" s="381"/>
      <c r="F1204" s="382"/>
      <c r="G1204" s="380"/>
      <c r="H1204" s="300"/>
      <c r="I1204" s="300"/>
      <c r="J1204" s="300"/>
      <c r="K1204" s="300"/>
      <c r="L1204" s="383"/>
      <c r="M1204" s="300"/>
      <c r="N1204" s="384"/>
      <c r="O1204" s="300"/>
      <c r="P1204" s="300"/>
      <c r="Q1204" s="300"/>
      <c r="R1204" s="300"/>
      <c r="S1204" s="300"/>
      <c r="T1204" s="300"/>
      <c r="U1204" s="300"/>
      <c r="V1204" s="300"/>
      <c r="W1204" s="300"/>
      <c r="X1204" s="300"/>
      <c r="Y1204" s="300"/>
      <c r="Z1204" s="300"/>
      <c r="AA1204" s="300"/>
      <c r="AB1204" s="300"/>
      <c r="AC1204" s="300"/>
    </row>
    <row r="1205">
      <c r="A1205" s="300"/>
      <c r="B1205" s="300"/>
      <c r="C1205" s="380"/>
      <c r="D1205" s="300"/>
      <c r="E1205" s="381"/>
      <c r="F1205" s="382"/>
      <c r="G1205" s="380"/>
      <c r="H1205" s="300"/>
      <c r="I1205" s="300"/>
      <c r="J1205" s="300"/>
      <c r="K1205" s="300"/>
      <c r="L1205" s="383"/>
      <c r="M1205" s="300"/>
      <c r="N1205" s="384"/>
      <c r="O1205" s="300"/>
      <c r="P1205" s="300"/>
      <c r="Q1205" s="300"/>
      <c r="R1205" s="300"/>
      <c r="S1205" s="300"/>
      <c r="T1205" s="300"/>
      <c r="U1205" s="300"/>
      <c r="V1205" s="300"/>
      <c r="W1205" s="300"/>
      <c r="X1205" s="300"/>
      <c r="Y1205" s="300"/>
      <c r="Z1205" s="300"/>
      <c r="AA1205" s="300"/>
      <c r="AB1205" s="300"/>
      <c r="AC1205" s="300"/>
    </row>
    <row r="1206">
      <c r="A1206" s="300"/>
      <c r="B1206" s="300"/>
      <c r="C1206" s="380"/>
      <c r="D1206" s="300"/>
      <c r="E1206" s="381"/>
      <c r="F1206" s="382"/>
      <c r="G1206" s="380"/>
      <c r="H1206" s="300"/>
      <c r="I1206" s="300"/>
      <c r="J1206" s="300"/>
      <c r="K1206" s="300"/>
      <c r="L1206" s="383"/>
      <c r="M1206" s="300"/>
      <c r="N1206" s="384"/>
      <c r="O1206" s="300"/>
      <c r="P1206" s="300"/>
      <c r="Q1206" s="300"/>
      <c r="R1206" s="300"/>
      <c r="S1206" s="300"/>
      <c r="T1206" s="300"/>
      <c r="U1206" s="300"/>
      <c r="V1206" s="300"/>
      <c r="W1206" s="300"/>
      <c r="X1206" s="300"/>
      <c r="Y1206" s="300"/>
      <c r="Z1206" s="300"/>
      <c r="AA1206" s="300"/>
      <c r="AB1206" s="300"/>
      <c r="AC1206" s="300"/>
    </row>
    <row r="1207">
      <c r="A1207" s="300"/>
      <c r="B1207" s="300"/>
      <c r="C1207" s="380"/>
      <c r="D1207" s="300"/>
      <c r="E1207" s="381"/>
      <c r="F1207" s="382"/>
      <c r="G1207" s="380"/>
      <c r="H1207" s="300"/>
      <c r="I1207" s="300"/>
      <c r="J1207" s="300"/>
      <c r="K1207" s="300"/>
      <c r="L1207" s="383"/>
      <c r="M1207" s="300"/>
      <c r="N1207" s="384"/>
      <c r="O1207" s="300"/>
      <c r="P1207" s="300"/>
      <c r="Q1207" s="300"/>
      <c r="R1207" s="300"/>
      <c r="S1207" s="300"/>
      <c r="T1207" s="300"/>
      <c r="U1207" s="300"/>
      <c r="V1207" s="300"/>
      <c r="W1207" s="300"/>
      <c r="X1207" s="300"/>
      <c r="Y1207" s="300"/>
      <c r="Z1207" s="300"/>
      <c r="AA1207" s="300"/>
      <c r="AB1207" s="300"/>
      <c r="AC1207" s="300"/>
    </row>
    <row r="1208">
      <c r="A1208" s="300"/>
      <c r="B1208" s="300"/>
      <c r="C1208" s="380"/>
      <c r="D1208" s="300"/>
      <c r="E1208" s="381"/>
      <c r="F1208" s="382"/>
      <c r="G1208" s="380"/>
      <c r="H1208" s="300"/>
      <c r="I1208" s="300"/>
      <c r="J1208" s="300"/>
      <c r="K1208" s="300"/>
      <c r="L1208" s="383"/>
      <c r="M1208" s="300"/>
      <c r="N1208" s="384"/>
      <c r="O1208" s="300"/>
      <c r="P1208" s="300"/>
      <c r="Q1208" s="300"/>
      <c r="R1208" s="300"/>
      <c r="S1208" s="300"/>
      <c r="T1208" s="300"/>
      <c r="U1208" s="300"/>
      <c r="V1208" s="300"/>
      <c r="W1208" s="300"/>
      <c r="X1208" s="300"/>
      <c r="Y1208" s="300"/>
      <c r="Z1208" s="300"/>
      <c r="AA1208" s="300"/>
      <c r="AB1208" s="300"/>
      <c r="AC1208" s="300"/>
    </row>
    <row r="1209">
      <c r="A1209" s="300"/>
      <c r="B1209" s="300"/>
      <c r="C1209" s="380"/>
      <c r="D1209" s="300"/>
      <c r="E1209" s="381"/>
      <c r="F1209" s="382"/>
      <c r="G1209" s="380"/>
      <c r="H1209" s="300"/>
      <c r="I1209" s="300"/>
      <c r="J1209" s="300"/>
      <c r="K1209" s="300"/>
      <c r="L1209" s="383"/>
      <c r="M1209" s="300"/>
      <c r="N1209" s="384"/>
      <c r="O1209" s="300"/>
      <c r="P1209" s="300"/>
      <c r="Q1209" s="300"/>
      <c r="R1209" s="300"/>
      <c r="S1209" s="300"/>
      <c r="T1209" s="300"/>
      <c r="U1209" s="300"/>
      <c r="V1209" s="300"/>
      <c r="W1209" s="300"/>
      <c r="X1209" s="300"/>
      <c r="Y1209" s="300"/>
      <c r="Z1209" s="300"/>
      <c r="AA1209" s="300"/>
      <c r="AB1209" s="300"/>
      <c r="AC1209" s="300"/>
    </row>
    <row r="1210">
      <c r="A1210" s="300"/>
      <c r="B1210" s="300"/>
      <c r="C1210" s="380"/>
      <c r="D1210" s="300"/>
      <c r="E1210" s="381"/>
      <c r="F1210" s="382"/>
      <c r="G1210" s="380"/>
      <c r="H1210" s="300"/>
      <c r="I1210" s="300"/>
      <c r="J1210" s="300"/>
      <c r="K1210" s="300"/>
      <c r="L1210" s="383"/>
      <c r="M1210" s="300"/>
      <c r="N1210" s="384"/>
      <c r="O1210" s="300"/>
      <c r="P1210" s="300"/>
      <c r="Q1210" s="300"/>
      <c r="R1210" s="300"/>
      <c r="S1210" s="300"/>
      <c r="T1210" s="300"/>
      <c r="U1210" s="300"/>
      <c r="V1210" s="300"/>
      <c r="W1210" s="300"/>
      <c r="X1210" s="300"/>
      <c r="Y1210" s="300"/>
      <c r="Z1210" s="300"/>
      <c r="AA1210" s="300"/>
      <c r="AB1210" s="300"/>
      <c r="AC1210" s="300"/>
    </row>
    <row r="1211">
      <c r="A1211" s="300"/>
      <c r="B1211" s="300"/>
      <c r="C1211" s="380"/>
      <c r="D1211" s="300"/>
      <c r="E1211" s="381"/>
      <c r="F1211" s="382"/>
      <c r="G1211" s="380"/>
      <c r="H1211" s="300"/>
      <c r="I1211" s="300"/>
      <c r="J1211" s="300"/>
      <c r="K1211" s="300"/>
      <c r="L1211" s="383"/>
      <c r="M1211" s="300"/>
      <c r="N1211" s="384"/>
      <c r="O1211" s="300"/>
      <c r="P1211" s="300"/>
      <c r="Q1211" s="300"/>
      <c r="R1211" s="300"/>
      <c r="S1211" s="300"/>
      <c r="T1211" s="300"/>
      <c r="U1211" s="300"/>
      <c r="V1211" s="300"/>
      <c r="W1211" s="300"/>
      <c r="X1211" s="300"/>
      <c r="Y1211" s="300"/>
      <c r="Z1211" s="300"/>
      <c r="AA1211" s="300"/>
      <c r="AB1211" s="300"/>
      <c r="AC1211" s="300"/>
    </row>
    <row r="1212">
      <c r="A1212" s="300"/>
      <c r="B1212" s="300"/>
      <c r="C1212" s="380"/>
      <c r="D1212" s="300"/>
      <c r="E1212" s="381"/>
      <c r="F1212" s="382"/>
      <c r="G1212" s="380"/>
      <c r="H1212" s="300"/>
      <c r="I1212" s="300"/>
      <c r="J1212" s="300"/>
      <c r="K1212" s="300"/>
      <c r="L1212" s="383"/>
      <c r="M1212" s="300"/>
      <c r="N1212" s="384"/>
      <c r="O1212" s="300"/>
      <c r="P1212" s="300"/>
      <c r="Q1212" s="300"/>
      <c r="R1212" s="300"/>
      <c r="S1212" s="300"/>
      <c r="T1212" s="300"/>
      <c r="U1212" s="300"/>
      <c r="V1212" s="300"/>
      <c r="W1212" s="300"/>
      <c r="X1212" s="300"/>
      <c r="Y1212" s="300"/>
      <c r="Z1212" s="300"/>
      <c r="AA1212" s="300"/>
      <c r="AB1212" s="300"/>
      <c r="AC1212" s="300"/>
    </row>
    <row r="1213">
      <c r="A1213" s="300"/>
      <c r="B1213" s="300"/>
      <c r="C1213" s="380"/>
      <c r="D1213" s="300"/>
      <c r="E1213" s="381"/>
      <c r="F1213" s="382"/>
      <c r="G1213" s="380"/>
      <c r="H1213" s="300"/>
      <c r="I1213" s="300"/>
      <c r="J1213" s="300"/>
      <c r="K1213" s="300"/>
      <c r="L1213" s="383"/>
      <c r="M1213" s="300"/>
      <c r="N1213" s="384"/>
      <c r="O1213" s="300"/>
      <c r="P1213" s="300"/>
      <c r="Q1213" s="300"/>
      <c r="R1213" s="300"/>
      <c r="S1213" s="300"/>
      <c r="T1213" s="300"/>
      <c r="U1213" s="300"/>
      <c r="V1213" s="300"/>
      <c r="W1213" s="300"/>
      <c r="X1213" s="300"/>
      <c r="Y1213" s="300"/>
      <c r="Z1213" s="300"/>
      <c r="AA1213" s="300"/>
      <c r="AB1213" s="300"/>
      <c r="AC1213" s="300"/>
    </row>
    <row r="1214">
      <c r="A1214" s="300"/>
      <c r="B1214" s="300"/>
      <c r="C1214" s="380"/>
      <c r="D1214" s="300"/>
      <c r="E1214" s="381"/>
      <c r="F1214" s="382"/>
      <c r="G1214" s="380"/>
      <c r="H1214" s="300"/>
      <c r="I1214" s="300"/>
      <c r="J1214" s="300"/>
      <c r="K1214" s="300"/>
      <c r="L1214" s="383"/>
      <c r="M1214" s="300"/>
      <c r="N1214" s="384"/>
      <c r="O1214" s="300"/>
      <c r="P1214" s="300"/>
      <c r="Q1214" s="300"/>
      <c r="R1214" s="300"/>
      <c r="S1214" s="300"/>
      <c r="T1214" s="300"/>
      <c r="U1214" s="300"/>
      <c r="V1214" s="300"/>
      <c r="W1214" s="300"/>
      <c r="X1214" s="300"/>
      <c r="Y1214" s="300"/>
      <c r="Z1214" s="300"/>
      <c r="AA1214" s="300"/>
      <c r="AB1214" s="300"/>
      <c r="AC1214" s="300"/>
    </row>
    <row r="1215">
      <c r="A1215" s="300"/>
      <c r="B1215" s="300"/>
      <c r="C1215" s="380"/>
      <c r="D1215" s="300"/>
      <c r="E1215" s="381"/>
      <c r="F1215" s="382"/>
      <c r="G1215" s="380"/>
      <c r="H1215" s="300"/>
      <c r="I1215" s="300"/>
      <c r="J1215" s="300"/>
      <c r="K1215" s="300"/>
      <c r="L1215" s="383"/>
      <c r="M1215" s="300"/>
      <c r="N1215" s="384"/>
      <c r="O1215" s="300"/>
      <c r="P1215" s="300"/>
      <c r="Q1215" s="300"/>
      <c r="R1215" s="300"/>
      <c r="S1215" s="300"/>
      <c r="T1215" s="300"/>
      <c r="U1215" s="300"/>
      <c r="V1215" s="300"/>
      <c r="W1215" s="300"/>
      <c r="X1215" s="300"/>
      <c r="Y1215" s="300"/>
      <c r="Z1215" s="300"/>
      <c r="AA1215" s="300"/>
      <c r="AB1215" s="300"/>
      <c r="AC1215" s="300"/>
    </row>
    <row r="1216">
      <c r="A1216" s="300"/>
      <c r="B1216" s="300"/>
      <c r="C1216" s="380"/>
      <c r="D1216" s="300"/>
      <c r="E1216" s="381"/>
      <c r="F1216" s="382"/>
      <c r="G1216" s="380"/>
      <c r="H1216" s="300"/>
      <c r="I1216" s="300"/>
      <c r="J1216" s="300"/>
      <c r="K1216" s="300"/>
      <c r="L1216" s="383"/>
      <c r="M1216" s="300"/>
      <c r="N1216" s="384"/>
      <c r="O1216" s="300"/>
      <c r="P1216" s="300"/>
      <c r="Q1216" s="300"/>
      <c r="R1216" s="300"/>
      <c r="S1216" s="300"/>
      <c r="T1216" s="300"/>
      <c r="U1216" s="300"/>
      <c r="V1216" s="300"/>
      <c r="W1216" s="300"/>
      <c r="X1216" s="300"/>
      <c r="Y1216" s="300"/>
      <c r="Z1216" s="300"/>
      <c r="AA1216" s="300"/>
      <c r="AB1216" s="300"/>
      <c r="AC1216" s="300"/>
    </row>
    <row r="1217">
      <c r="A1217" s="300"/>
      <c r="B1217" s="300"/>
      <c r="C1217" s="380"/>
      <c r="D1217" s="300"/>
      <c r="E1217" s="381"/>
      <c r="F1217" s="382"/>
      <c r="G1217" s="380"/>
      <c r="H1217" s="300"/>
      <c r="I1217" s="300"/>
      <c r="J1217" s="300"/>
      <c r="K1217" s="300"/>
      <c r="L1217" s="383"/>
      <c r="M1217" s="300"/>
      <c r="N1217" s="384"/>
      <c r="O1217" s="300"/>
      <c r="P1217" s="300"/>
      <c r="Q1217" s="300"/>
      <c r="R1217" s="300"/>
      <c r="S1217" s="300"/>
      <c r="T1217" s="300"/>
      <c r="U1217" s="300"/>
      <c r="V1217" s="300"/>
      <c r="W1217" s="300"/>
      <c r="X1217" s="300"/>
      <c r="Y1217" s="300"/>
      <c r="Z1217" s="300"/>
      <c r="AA1217" s="300"/>
      <c r="AB1217" s="300"/>
      <c r="AC1217" s="300"/>
    </row>
    <row r="1218">
      <c r="A1218" s="300"/>
      <c r="B1218" s="300"/>
      <c r="C1218" s="380"/>
      <c r="D1218" s="300"/>
      <c r="E1218" s="381"/>
      <c r="F1218" s="382"/>
      <c r="G1218" s="380"/>
      <c r="H1218" s="300"/>
      <c r="I1218" s="300"/>
      <c r="J1218" s="300"/>
      <c r="K1218" s="300"/>
      <c r="L1218" s="383"/>
      <c r="M1218" s="300"/>
      <c r="N1218" s="384"/>
      <c r="O1218" s="300"/>
      <c r="P1218" s="300"/>
      <c r="Q1218" s="300"/>
      <c r="R1218" s="300"/>
      <c r="S1218" s="300"/>
      <c r="T1218" s="300"/>
      <c r="U1218" s="300"/>
      <c r="V1218" s="300"/>
      <c r="W1218" s="300"/>
      <c r="X1218" s="300"/>
      <c r="Y1218" s="300"/>
      <c r="Z1218" s="300"/>
      <c r="AA1218" s="300"/>
      <c r="AB1218" s="300"/>
      <c r="AC1218" s="300"/>
    </row>
    <row r="1219">
      <c r="A1219" s="300"/>
      <c r="B1219" s="300"/>
      <c r="C1219" s="380"/>
      <c r="D1219" s="300"/>
      <c r="E1219" s="381"/>
      <c r="F1219" s="382"/>
      <c r="G1219" s="380"/>
      <c r="H1219" s="300"/>
      <c r="I1219" s="300"/>
      <c r="J1219" s="300"/>
      <c r="K1219" s="300"/>
      <c r="L1219" s="383"/>
      <c r="M1219" s="300"/>
      <c r="N1219" s="384"/>
      <c r="O1219" s="300"/>
      <c r="P1219" s="300"/>
      <c r="Q1219" s="300"/>
      <c r="R1219" s="300"/>
      <c r="S1219" s="300"/>
      <c r="T1219" s="300"/>
      <c r="U1219" s="300"/>
      <c r="V1219" s="300"/>
      <c r="W1219" s="300"/>
      <c r="X1219" s="300"/>
      <c r="Y1219" s="300"/>
      <c r="Z1219" s="300"/>
      <c r="AA1219" s="300"/>
      <c r="AB1219" s="300"/>
      <c r="AC1219" s="300"/>
    </row>
    <row r="1220">
      <c r="A1220" s="300"/>
      <c r="B1220" s="300"/>
      <c r="C1220" s="380"/>
      <c r="D1220" s="300"/>
      <c r="E1220" s="381"/>
      <c r="F1220" s="382"/>
      <c r="G1220" s="380"/>
      <c r="H1220" s="300"/>
      <c r="I1220" s="300"/>
      <c r="J1220" s="300"/>
      <c r="K1220" s="300"/>
      <c r="L1220" s="383"/>
      <c r="M1220" s="300"/>
      <c r="N1220" s="384"/>
      <c r="O1220" s="300"/>
      <c r="P1220" s="300"/>
      <c r="Q1220" s="300"/>
      <c r="R1220" s="300"/>
      <c r="S1220" s="300"/>
      <c r="T1220" s="300"/>
      <c r="U1220" s="300"/>
      <c r="V1220" s="300"/>
      <c r="W1220" s="300"/>
      <c r="X1220" s="300"/>
      <c r="Y1220" s="300"/>
      <c r="Z1220" s="300"/>
      <c r="AA1220" s="300"/>
      <c r="AB1220" s="300"/>
      <c r="AC1220" s="300"/>
    </row>
    <row r="1221">
      <c r="A1221" s="300"/>
      <c r="B1221" s="300"/>
      <c r="C1221" s="380"/>
      <c r="D1221" s="300"/>
      <c r="E1221" s="381"/>
      <c r="F1221" s="382"/>
      <c r="G1221" s="380"/>
      <c r="H1221" s="300"/>
      <c r="I1221" s="300"/>
      <c r="J1221" s="300"/>
      <c r="K1221" s="300"/>
      <c r="L1221" s="383"/>
      <c r="M1221" s="300"/>
      <c r="N1221" s="384"/>
      <c r="O1221" s="300"/>
      <c r="P1221" s="300"/>
      <c r="Q1221" s="300"/>
      <c r="R1221" s="300"/>
      <c r="S1221" s="300"/>
      <c r="T1221" s="300"/>
      <c r="U1221" s="300"/>
      <c r="V1221" s="300"/>
      <c r="W1221" s="300"/>
      <c r="X1221" s="300"/>
      <c r="Y1221" s="300"/>
      <c r="Z1221" s="300"/>
      <c r="AA1221" s="300"/>
      <c r="AB1221" s="300"/>
      <c r="AC1221" s="300"/>
    </row>
    <row r="1222">
      <c r="A1222" s="300"/>
      <c r="B1222" s="300"/>
      <c r="C1222" s="380"/>
      <c r="D1222" s="300"/>
      <c r="E1222" s="381"/>
      <c r="F1222" s="382"/>
      <c r="G1222" s="380"/>
      <c r="H1222" s="300"/>
      <c r="I1222" s="300"/>
      <c r="J1222" s="300"/>
      <c r="K1222" s="300"/>
      <c r="L1222" s="383"/>
      <c r="M1222" s="300"/>
      <c r="N1222" s="384"/>
      <c r="O1222" s="300"/>
      <c r="P1222" s="300"/>
      <c r="Q1222" s="300"/>
      <c r="R1222" s="300"/>
      <c r="S1222" s="300"/>
      <c r="T1222" s="300"/>
      <c r="U1222" s="300"/>
      <c r="V1222" s="300"/>
      <c r="W1222" s="300"/>
      <c r="X1222" s="300"/>
      <c r="Y1222" s="300"/>
      <c r="Z1222" s="300"/>
      <c r="AA1222" s="300"/>
      <c r="AB1222" s="300"/>
      <c r="AC1222" s="300"/>
    </row>
    <row r="1223">
      <c r="A1223" s="300"/>
      <c r="B1223" s="300"/>
      <c r="C1223" s="380"/>
      <c r="D1223" s="300"/>
      <c r="E1223" s="381"/>
      <c r="F1223" s="382"/>
      <c r="G1223" s="380"/>
      <c r="H1223" s="300"/>
      <c r="I1223" s="300"/>
      <c r="J1223" s="300"/>
      <c r="K1223" s="300"/>
      <c r="L1223" s="383"/>
      <c r="M1223" s="300"/>
      <c r="N1223" s="384"/>
      <c r="O1223" s="300"/>
      <c r="P1223" s="300"/>
      <c r="Q1223" s="300"/>
      <c r="R1223" s="300"/>
      <c r="S1223" s="300"/>
      <c r="T1223" s="300"/>
      <c r="U1223" s="300"/>
      <c r="V1223" s="300"/>
      <c r="W1223" s="300"/>
      <c r="X1223" s="300"/>
      <c r="Y1223" s="300"/>
      <c r="Z1223" s="300"/>
      <c r="AA1223" s="300"/>
      <c r="AB1223" s="300"/>
      <c r="AC1223" s="300"/>
    </row>
    <row r="1224">
      <c r="A1224" s="300"/>
      <c r="B1224" s="300"/>
      <c r="C1224" s="380"/>
      <c r="D1224" s="300"/>
      <c r="E1224" s="381"/>
      <c r="F1224" s="382"/>
      <c r="G1224" s="380"/>
      <c r="H1224" s="300"/>
      <c r="I1224" s="300"/>
      <c r="J1224" s="300"/>
      <c r="K1224" s="300"/>
      <c r="L1224" s="383"/>
      <c r="M1224" s="300"/>
      <c r="N1224" s="384"/>
      <c r="O1224" s="300"/>
      <c r="P1224" s="300"/>
      <c r="Q1224" s="300"/>
      <c r="R1224" s="300"/>
      <c r="S1224" s="300"/>
      <c r="T1224" s="300"/>
      <c r="U1224" s="300"/>
      <c r="V1224" s="300"/>
      <c r="W1224" s="300"/>
      <c r="X1224" s="300"/>
      <c r="Y1224" s="300"/>
      <c r="Z1224" s="300"/>
      <c r="AA1224" s="300"/>
      <c r="AB1224" s="300"/>
      <c r="AC1224" s="300"/>
    </row>
    <row r="1225">
      <c r="A1225" s="300"/>
      <c r="B1225" s="300"/>
      <c r="C1225" s="380"/>
      <c r="D1225" s="300"/>
      <c r="E1225" s="381"/>
      <c r="F1225" s="382"/>
      <c r="G1225" s="380"/>
      <c r="H1225" s="300"/>
      <c r="I1225" s="300"/>
      <c r="J1225" s="300"/>
      <c r="K1225" s="300"/>
      <c r="L1225" s="383"/>
      <c r="M1225" s="300"/>
      <c r="N1225" s="384"/>
      <c r="O1225" s="300"/>
      <c r="P1225" s="300"/>
      <c r="Q1225" s="300"/>
      <c r="R1225" s="300"/>
      <c r="S1225" s="300"/>
      <c r="T1225" s="300"/>
      <c r="U1225" s="300"/>
      <c r="V1225" s="300"/>
      <c r="W1225" s="300"/>
      <c r="X1225" s="300"/>
      <c r="Y1225" s="300"/>
      <c r="Z1225" s="300"/>
      <c r="AA1225" s="300"/>
      <c r="AB1225" s="300"/>
      <c r="AC1225" s="300"/>
    </row>
    <row r="1226">
      <c r="A1226" s="300"/>
      <c r="B1226" s="300"/>
      <c r="C1226" s="380"/>
      <c r="D1226" s="300"/>
      <c r="E1226" s="381"/>
      <c r="F1226" s="382"/>
      <c r="G1226" s="380"/>
      <c r="H1226" s="300"/>
      <c r="I1226" s="300"/>
      <c r="J1226" s="300"/>
      <c r="K1226" s="300"/>
      <c r="L1226" s="383"/>
      <c r="M1226" s="300"/>
      <c r="N1226" s="384"/>
      <c r="O1226" s="300"/>
      <c r="P1226" s="300"/>
      <c r="Q1226" s="300"/>
      <c r="R1226" s="300"/>
      <c r="S1226" s="300"/>
      <c r="T1226" s="300"/>
      <c r="U1226" s="300"/>
      <c r="V1226" s="300"/>
      <c r="W1226" s="300"/>
      <c r="X1226" s="300"/>
      <c r="Y1226" s="300"/>
      <c r="Z1226" s="300"/>
      <c r="AA1226" s="300"/>
      <c r="AB1226" s="300"/>
      <c r="AC1226" s="300"/>
    </row>
    <row r="1227">
      <c r="A1227" s="300"/>
      <c r="B1227" s="300"/>
      <c r="C1227" s="380"/>
      <c r="D1227" s="300"/>
      <c r="E1227" s="381"/>
      <c r="F1227" s="382"/>
      <c r="G1227" s="380"/>
      <c r="H1227" s="300"/>
      <c r="I1227" s="300"/>
      <c r="J1227" s="300"/>
      <c r="K1227" s="300"/>
      <c r="L1227" s="383"/>
      <c r="M1227" s="300"/>
      <c r="N1227" s="384"/>
      <c r="O1227" s="300"/>
      <c r="P1227" s="300"/>
      <c r="Q1227" s="300"/>
      <c r="R1227" s="300"/>
      <c r="S1227" s="300"/>
      <c r="T1227" s="300"/>
      <c r="U1227" s="300"/>
      <c r="V1227" s="300"/>
      <c r="W1227" s="300"/>
      <c r="X1227" s="300"/>
      <c r="Y1227" s="300"/>
      <c r="Z1227" s="300"/>
      <c r="AA1227" s="300"/>
      <c r="AB1227" s="300"/>
      <c r="AC1227" s="300"/>
    </row>
    <row r="1228">
      <c r="A1228" s="300"/>
      <c r="B1228" s="300"/>
      <c r="C1228" s="380"/>
      <c r="D1228" s="300"/>
      <c r="E1228" s="381"/>
      <c r="F1228" s="382"/>
      <c r="G1228" s="380"/>
      <c r="H1228" s="300"/>
      <c r="I1228" s="300"/>
      <c r="J1228" s="300"/>
      <c r="K1228" s="300"/>
      <c r="L1228" s="383"/>
      <c r="M1228" s="300"/>
      <c r="N1228" s="384"/>
      <c r="O1228" s="300"/>
      <c r="P1228" s="300"/>
      <c r="Q1228" s="300"/>
      <c r="R1228" s="300"/>
      <c r="S1228" s="300"/>
      <c r="T1228" s="300"/>
      <c r="U1228" s="300"/>
      <c r="V1228" s="300"/>
      <c r="W1228" s="300"/>
      <c r="X1228" s="300"/>
      <c r="Y1228" s="300"/>
      <c r="Z1228" s="300"/>
      <c r="AA1228" s="300"/>
      <c r="AB1228" s="300"/>
      <c r="AC1228" s="300"/>
    </row>
    <row r="1229">
      <c r="A1229" s="300"/>
      <c r="B1229" s="300"/>
      <c r="C1229" s="380"/>
      <c r="D1229" s="300"/>
      <c r="E1229" s="381"/>
      <c r="F1229" s="382"/>
      <c r="G1229" s="380"/>
      <c r="H1229" s="300"/>
      <c r="I1229" s="300"/>
      <c r="J1229" s="300"/>
      <c r="K1229" s="300"/>
      <c r="L1229" s="383"/>
      <c r="M1229" s="300"/>
      <c r="N1229" s="384"/>
      <c r="O1229" s="300"/>
      <c r="P1229" s="300"/>
      <c r="Q1229" s="300"/>
      <c r="R1229" s="300"/>
      <c r="S1229" s="300"/>
      <c r="T1229" s="300"/>
      <c r="U1229" s="300"/>
      <c r="V1229" s="300"/>
      <c r="W1229" s="300"/>
      <c r="X1229" s="300"/>
      <c r="Y1229" s="300"/>
      <c r="Z1229" s="300"/>
      <c r="AA1229" s="300"/>
      <c r="AB1229" s="300"/>
      <c r="AC1229" s="300"/>
    </row>
    <row r="1230">
      <c r="A1230" s="300"/>
      <c r="B1230" s="300"/>
      <c r="C1230" s="380"/>
      <c r="D1230" s="300"/>
      <c r="E1230" s="381"/>
      <c r="F1230" s="382"/>
      <c r="G1230" s="380"/>
      <c r="H1230" s="300"/>
      <c r="I1230" s="300"/>
      <c r="J1230" s="300"/>
      <c r="K1230" s="300"/>
      <c r="L1230" s="383"/>
      <c r="M1230" s="300"/>
      <c r="N1230" s="384"/>
      <c r="O1230" s="300"/>
      <c r="P1230" s="300"/>
      <c r="Q1230" s="300"/>
      <c r="R1230" s="300"/>
      <c r="S1230" s="300"/>
      <c r="T1230" s="300"/>
      <c r="U1230" s="300"/>
      <c r="V1230" s="300"/>
      <c r="W1230" s="300"/>
      <c r="X1230" s="300"/>
      <c r="Y1230" s="300"/>
      <c r="Z1230" s="300"/>
      <c r="AA1230" s="300"/>
      <c r="AB1230" s="300"/>
      <c r="AC1230" s="300"/>
    </row>
    <row r="1231">
      <c r="A1231" s="300"/>
      <c r="B1231" s="300"/>
      <c r="C1231" s="380"/>
      <c r="D1231" s="300"/>
      <c r="E1231" s="381"/>
      <c r="F1231" s="382"/>
      <c r="G1231" s="380"/>
      <c r="H1231" s="300"/>
      <c r="I1231" s="300"/>
      <c r="J1231" s="300"/>
      <c r="K1231" s="300"/>
      <c r="L1231" s="383"/>
      <c r="M1231" s="300"/>
      <c r="N1231" s="384"/>
      <c r="O1231" s="300"/>
      <c r="P1231" s="300"/>
      <c r="Q1231" s="300"/>
      <c r="R1231" s="300"/>
      <c r="S1231" s="300"/>
      <c r="T1231" s="300"/>
      <c r="U1231" s="300"/>
      <c r="V1231" s="300"/>
      <c r="W1231" s="300"/>
      <c r="X1231" s="300"/>
      <c r="Y1231" s="300"/>
      <c r="Z1231" s="300"/>
      <c r="AA1231" s="300"/>
      <c r="AB1231" s="300"/>
      <c r="AC1231" s="300"/>
    </row>
    <row r="1232">
      <c r="A1232" s="300"/>
      <c r="B1232" s="300"/>
      <c r="C1232" s="380"/>
      <c r="D1232" s="300"/>
      <c r="E1232" s="381"/>
      <c r="F1232" s="382"/>
      <c r="G1232" s="380"/>
      <c r="H1232" s="300"/>
      <c r="I1232" s="300"/>
      <c r="J1232" s="300"/>
      <c r="K1232" s="300"/>
      <c r="L1232" s="383"/>
      <c r="M1232" s="300"/>
      <c r="N1232" s="384"/>
      <c r="O1232" s="300"/>
      <c r="P1232" s="300"/>
      <c r="Q1232" s="300"/>
      <c r="R1232" s="300"/>
      <c r="S1232" s="300"/>
      <c r="T1232" s="300"/>
      <c r="U1232" s="300"/>
      <c r="V1232" s="300"/>
      <c r="W1232" s="300"/>
      <c r="X1232" s="300"/>
      <c r="Y1232" s="300"/>
      <c r="Z1232" s="300"/>
      <c r="AA1232" s="300"/>
      <c r="AB1232" s="300"/>
      <c r="AC1232" s="300"/>
    </row>
    <row r="1233">
      <c r="A1233" s="300"/>
      <c r="B1233" s="300"/>
      <c r="C1233" s="380"/>
      <c r="D1233" s="300"/>
      <c r="E1233" s="381"/>
      <c r="F1233" s="382"/>
      <c r="G1233" s="380"/>
      <c r="H1233" s="300"/>
      <c r="I1233" s="300"/>
      <c r="J1233" s="300"/>
      <c r="K1233" s="300"/>
      <c r="L1233" s="383"/>
      <c r="M1233" s="300"/>
      <c r="N1233" s="384"/>
      <c r="O1233" s="300"/>
      <c r="P1233" s="300"/>
      <c r="Q1233" s="300"/>
      <c r="R1233" s="300"/>
      <c r="S1233" s="300"/>
      <c r="T1233" s="300"/>
      <c r="U1233" s="300"/>
      <c r="V1233" s="300"/>
      <c r="W1233" s="300"/>
      <c r="X1233" s="300"/>
      <c r="Y1233" s="300"/>
      <c r="Z1233" s="300"/>
      <c r="AA1233" s="300"/>
      <c r="AB1233" s="300"/>
      <c r="AC1233" s="300"/>
    </row>
    <row r="1234">
      <c r="A1234" s="300"/>
      <c r="B1234" s="300"/>
      <c r="C1234" s="380"/>
      <c r="D1234" s="300"/>
      <c r="E1234" s="381"/>
      <c r="F1234" s="382"/>
      <c r="G1234" s="380"/>
      <c r="H1234" s="300"/>
      <c r="I1234" s="300"/>
      <c r="J1234" s="300"/>
      <c r="K1234" s="300"/>
      <c r="L1234" s="383"/>
      <c r="M1234" s="300"/>
      <c r="N1234" s="384"/>
      <c r="O1234" s="300"/>
      <c r="P1234" s="300"/>
      <c r="Q1234" s="300"/>
      <c r="R1234" s="300"/>
      <c r="S1234" s="300"/>
      <c r="T1234" s="300"/>
      <c r="U1234" s="300"/>
      <c r="V1234" s="300"/>
      <c r="W1234" s="300"/>
      <c r="X1234" s="300"/>
      <c r="Y1234" s="300"/>
      <c r="Z1234" s="300"/>
      <c r="AA1234" s="300"/>
      <c r="AB1234" s="300"/>
      <c r="AC1234" s="300"/>
    </row>
    <row r="1235">
      <c r="A1235" s="300"/>
      <c r="B1235" s="300"/>
      <c r="C1235" s="380"/>
      <c r="D1235" s="300"/>
      <c r="E1235" s="381"/>
      <c r="F1235" s="382"/>
      <c r="G1235" s="380"/>
      <c r="H1235" s="300"/>
      <c r="I1235" s="300"/>
      <c r="J1235" s="300"/>
      <c r="K1235" s="300"/>
      <c r="L1235" s="383"/>
      <c r="M1235" s="300"/>
      <c r="N1235" s="384"/>
      <c r="O1235" s="300"/>
      <c r="P1235" s="300"/>
      <c r="Q1235" s="300"/>
      <c r="R1235" s="300"/>
      <c r="S1235" s="300"/>
      <c r="T1235" s="300"/>
      <c r="U1235" s="300"/>
      <c r="V1235" s="300"/>
      <c r="W1235" s="300"/>
      <c r="X1235" s="300"/>
      <c r="Y1235" s="300"/>
      <c r="Z1235" s="300"/>
      <c r="AA1235" s="300"/>
      <c r="AB1235" s="300"/>
      <c r="AC1235" s="300"/>
    </row>
    <row r="1236">
      <c r="A1236" s="300"/>
      <c r="B1236" s="300"/>
      <c r="C1236" s="380"/>
      <c r="D1236" s="300"/>
      <c r="E1236" s="381"/>
      <c r="F1236" s="382"/>
      <c r="G1236" s="380"/>
      <c r="H1236" s="300"/>
      <c r="I1236" s="300"/>
      <c r="J1236" s="300"/>
      <c r="K1236" s="300"/>
      <c r="L1236" s="383"/>
      <c r="M1236" s="300"/>
      <c r="N1236" s="384"/>
      <c r="O1236" s="300"/>
      <c r="P1236" s="300"/>
      <c r="Q1236" s="300"/>
      <c r="R1236" s="300"/>
      <c r="S1236" s="300"/>
      <c r="T1236" s="300"/>
      <c r="U1236" s="300"/>
      <c r="V1236" s="300"/>
      <c r="W1236" s="300"/>
      <c r="X1236" s="300"/>
      <c r="Y1236" s="300"/>
      <c r="Z1236" s="300"/>
      <c r="AA1236" s="300"/>
      <c r="AB1236" s="300"/>
      <c r="AC1236" s="300"/>
    </row>
  </sheetData>
  <mergeCells count="559">
    <mergeCell ref="A38:A52"/>
    <mergeCell ref="B38:B52"/>
    <mergeCell ref="C38:C52"/>
    <mergeCell ref="D38:D52"/>
    <mergeCell ref="E38:E52"/>
    <mergeCell ref="F38:F51"/>
    <mergeCell ref="G38:G51"/>
    <mergeCell ref="A53:A55"/>
    <mergeCell ref="B53:B55"/>
    <mergeCell ref="C53:C55"/>
    <mergeCell ref="D53:D55"/>
    <mergeCell ref="E53:E55"/>
    <mergeCell ref="F53:F55"/>
    <mergeCell ref="G53:G55"/>
    <mergeCell ref="E21:E22"/>
    <mergeCell ref="F21:F22"/>
    <mergeCell ref="A1:B3"/>
    <mergeCell ref="C1:F3"/>
    <mergeCell ref="H1:M1"/>
    <mergeCell ref="K2:M2"/>
    <mergeCell ref="K3:M3"/>
    <mergeCell ref="A21:A22"/>
    <mergeCell ref="B21:B22"/>
    <mergeCell ref="F24:F25"/>
    <mergeCell ref="G24:G25"/>
    <mergeCell ref="C21:C22"/>
    <mergeCell ref="D21:D22"/>
    <mergeCell ref="A24:A25"/>
    <mergeCell ref="B24:B25"/>
    <mergeCell ref="C24:C25"/>
    <mergeCell ref="D24:D25"/>
    <mergeCell ref="E24:E25"/>
    <mergeCell ref="A31:A34"/>
    <mergeCell ref="B31:B34"/>
    <mergeCell ref="C31:C34"/>
    <mergeCell ref="D31:D34"/>
    <mergeCell ref="E31:E34"/>
    <mergeCell ref="F31:F34"/>
    <mergeCell ref="G31:G34"/>
    <mergeCell ref="A35:A36"/>
    <mergeCell ref="B35:B36"/>
    <mergeCell ref="C35:C36"/>
    <mergeCell ref="D35:D36"/>
    <mergeCell ref="E35:E36"/>
    <mergeCell ref="F35:F36"/>
    <mergeCell ref="G35:G36"/>
    <mergeCell ref="A72:A73"/>
    <mergeCell ref="B72:B73"/>
    <mergeCell ref="C72:C73"/>
    <mergeCell ref="D72:D73"/>
    <mergeCell ref="E72:E73"/>
    <mergeCell ref="F72:F73"/>
    <mergeCell ref="E120:E125"/>
    <mergeCell ref="F120:F125"/>
    <mergeCell ref="G120:G125"/>
    <mergeCell ref="A108:A109"/>
    <mergeCell ref="B108:B109"/>
    <mergeCell ref="C108:C109"/>
    <mergeCell ref="D108:D109"/>
    <mergeCell ref="E108:E109"/>
    <mergeCell ref="F108:F109"/>
    <mergeCell ref="B120:B125"/>
    <mergeCell ref="G128:G131"/>
    <mergeCell ref="N128:N131"/>
    <mergeCell ref="B132:B134"/>
    <mergeCell ref="C132:C134"/>
    <mergeCell ref="D132:D134"/>
    <mergeCell ref="E132:E134"/>
    <mergeCell ref="F132:F134"/>
    <mergeCell ref="N132:N134"/>
    <mergeCell ref="C120:C125"/>
    <mergeCell ref="D120:D125"/>
    <mergeCell ref="B128:B131"/>
    <mergeCell ref="C128:C131"/>
    <mergeCell ref="D128:D131"/>
    <mergeCell ref="E128:E131"/>
    <mergeCell ref="F128:F131"/>
    <mergeCell ref="A56:A65"/>
    <mergeCell ref="B56:B65"/>
    <mergeCell ref="C56:C65"/>
    <mergeCell ref="D56:D65"/>
    <mergeCell ref="E56:E65"/>
    <mergeCell ref="F56:F65"/>
    <mergeCell ref="G56:G65"/>
    <mergeCell ref="A66:A70"/>
    <mergeCell ref="B66:B70"/>
    <mergeCell ref="C66:C70"/>
    <mergeCell ref="D66:D70"/>
    <mergeCell ref="E66:E70"/>
    <mergeCell ref="F66:F70"/>
    <mergeCell ref="G66:G70"/>
    <mergeCell ref="A81:A82"/>
    <mergeCell ref="B81:B82"/>
    <mergeCell ref="C81:C82"/>
    <mergeCell ref="D81:D82"/>
    <mergeCell ref="E81:E82"/>
    <mergeCell ref="F81:F82"/>
    <mergeCell ref="G81:G82"/>
    <mergeCell ref="E91:E92"/>
    <mergeCell ref="F91:F92"/>
    <mergeCell ref="B85:B88"/>
    <mergeCell ref="C85:C88"/>
    <mergeCell ref="D85:D88"/>
    <mergeCell ref="E85:E88"/>
    <mergeCell ref="F85:F88"/>
    <mergeCell ref="G85:G88"/>
    <mergeCell ref="B91:B92"/>
    <mergeCell ref="G91:G92"/>
    <mergeCell ref="F100:F101"/>
    <mergeCell ref="G100:G101"/>
    <mergeCell ref="C91:C92"/>
    <mergeCell ref="D91:D92"/>
    <mergeCell ref="A100:A101"/>
    <mergeCell ref="B100:B101"/>
    <mergeCell ref="C100:C101"/>
    <mergeCell ref="D100:D101"/>
    <mergeCell ref="E100:E101"/>
    <mergeCell ref="C195:C197"/>
    <mergeCell ref="D195:D197"/>
    <mergeCell ref="B198:B199"/>
    <mergeCell ref="C198:C199"/>
    <mergeCell ref="D198:D199"/>
    <mergeCell ref="C200:C201"/>
    <mergeCell ref="D200:D201"/>
    <mergeCell ref="B200:B201"/>
    <mergeCell ref="B204:B205"/>
    <mergeCell ref="C204:C205"/>
    <mergeCell ref="D204:D205"/>
    <mergeCell ref="E204:E205"/>
    <mergeCell ref="F204:F205"/>
    <mergeCell ref="G204:G205"/>
    <mergeCell ref="C220:C221"/>
    <mergeCell ref="D220:D221"/>
    <mergeCell ref="C223:C228"/>
    <mergeCell ref="D223:D228"/>
    <mergeCell ref="E223:E228"/>
    <mergeCell ref="F223:F228"/>
    <mergeCell ref="G223:G228"/>
    <mergeCell ref="B223:B228"/>
    <mergeCell ref="B229:B233"/>
    <mergeCell ref="C229:C233"/>
    <mergeCell ref="D229:D233"/>
    <mergeCell ref="E229:E233"/>
    <mergeCell ref="F229:F233"/>
    <mergeCell ref="G229:G233"/>
    <mergeCell ref="E240:E247"/>
    <mergeCell ref="F240:F247"/>
    <mergeCell ref="B234:B238"/>
    <mergeCell ref="C234:C238"/>
    <mergeCell ref="D234:D238"/>
    <mergeCell ref="E234:E238"/>
    <mergeCell ref="F234:F238"/>
    <mergeCell ref="G234:G238"/>
    <mergeCell ref="B240:B247"/>
    <mergeCell ref="E220:E221"/>
    <mergeCell ref="F220:F221"/>
    <mergeCell ref="B207:B208"/>
    <mergeCell ref="C207:C208"/>
    <mergeCell ref="D207:D208"/>
    <mergeCell ref="E207:E208"/>
    <mergeCell ref="F207:F208"/>
    <mergeCell ref="G207:G208"/>
    <mergeCell ref="B220:B221"/>
    <mergeCell ref="G220:G221"/>
    <mergeCell ref="F248:F255"/>
    <mergeCell ref="G248:G255"/>
    <mergeCell ref="C240:C247"/>
    <mergeCell ref="D240:D247"/>
    <mergeCell ref="G240:G247"/>
    <mergeCell ref="B248:B259"/>
    <mergeCell ref="C248:C259"/>
    <mergeCell ref="D248:D259"/>
    <mergeCell ref="E248:E259"/>
    <mergeCell ref="F256:F259"/>
    <mergeCell ref="G256:G259"/>
    <mergeCell ref="C260:C262"/>
    <mergeCell ref="D260:D262"/>
    <mergeCell ref="E260:E262"/>
    <mergeCell ref="F260:F262"/>
    <mergeCell ref="G260:G262"/>
    <mergeCell ref="B260:B262"/>
    <mergeCell ref="B263:B265"/>
    <mergeCell ref="C263:C265"/>
    <mergeCell ref="D263:D265"/>
    <mergeCell ref="E263:E265"/>
    <mergeCell ref="F263:F265"/>
    <mergeCell ref="G263:G265"/>
    <mergeCell ref="B291:B296"/>
    <mergeCell ref="C291:C296"/>
    <mergeCell ref="D291:D296"/>
    <mergeCell ref="E291:E296"/>
    <mergeCell ref="F291:F295"/>
    <mergeCell ref="G291:G295"/>
    <mergeCell ref="C284:C286"/>
    <mergeCell ref="D284:D286"/>
    <mergeCell ref="B288:B289"/>
    <mergeCell ref="C288:C289"/>
    <mergeCell ref="D288:D289"/>
    <mergeCell ref="E288:E289"/>
    <mergeCell ref="F288:F289"/>
    <mergeCell ref="E341:E342"/>
    <mergeCell ref="F341:F342"/>
    <mergeCell ref="B326:B332"/>
    <mergeCell ref="C326:C332"/>
    <mergeCell ref="D326:D332"/>
    <mergeCell ref="E326:E332"/>
    <mergeCell ref="F326:F332"/>
    <mergeCell ref="G326:G332"/>
    <mergeCell ref="B341:B342"/>
    <mergeCell ref="G341:G342"/>
    <mergeCell ref="C341:C342"/>
    <mergeCell ref="D341:D342"/>
    <mergeCell ref="C344:C349"/>
    <mergeCell ref="D344:D349"/>
    <mergeCell ref="E344:E349"/>
    <mergeCell ref="F344:F349"/>
    <mergeCell ref="G344:G349"/>
    <mergeCell ref="B344:B349"/>
    <mergeCell ref="B353:B354"/>
    <mergeCell ref="C353:C354"/>
    <mergeCell ref="D353:D354"/>
    <mergeCell ref="E353:E354"/>
    <mergeCell ref="F353:F354"/>
    <mergeCell ref="G353:G354"/>
    <mergeCell ref="D365:D367"/>
    <mergeCell ref="E365:E367"/>
    <mergeCell ref="G365:G367"/>
    <mergeCell ref="O394:O401"/>
    <mergeCell ref="B355:B359"/>
    <mergeCell ref="C355:C359"/>
    <mergeCell ref="D355:D359"/>
    <mergeCell ref="E355:E359"/>
    <mergeCell ref="F355:F359"/>
    <mergeCell ref="C365:C367"/>
    <mergeCell ref="F365:F367"/>
    <mergeCell ref="C530:C531"/>
    <mergeCell ref="D530:D531"/>
    <mergeCell ref="C534:C535"/>
    <mergeCell ref="D534:D535"/>
    <mergeCell ref="E534:E535"/>
    <mergeCell ref="F534:F535"/>
    <mergeCell ref="G534:G535"/>
    <mergeCell ref="B534:B535"/>
    <mergeCell ref="B537:B538"/>
    <mergeCell ref="C537:C538"/>
    <mergeCell ref="D537:D538"/>
    <mergeCell ref="E537:E538"/>
    <mergeCell ref="F537:F538"/>
    <mergeCell ref="G537:G538"/>
    <mergeCell ref="E503:E505"/>
    <mergeCell ref="F503:F505"/>
    <mergeCell ref="B491:B493"/>
    <mergeCell ref="B497:B500"/>
    <mergeCell ref="C497:C500"/>
    <mergeCell ref="D497:D500"/>
    <mergeCell ref="E497:E500"/>
    <mergeCell ref="F497:F500"/>
    <mergeCell ref="B503:B505"/>
    <mergeCell ref="C503:C505"/>
    <mergeCell ref="D503:D505"/>
    <mergeCell ref="C513:C518"/>
    <mergeCell ref="D513:D518"/>
    <mergeCell ref="E513:E518"/>
    <mergeCell ref="F513:F518"/>
    <mergeCell ref="G513:G518"/>
    <mergeCell ref="B513:B518"/>
    <mergeCell ref="B519:B521"/>
    <mergeCell ref="C519:C521"/>
    <mergeCell ref="D519:D521"/>
    <mergeCell ref="E519:E521"/>
    <mergeCell ref="F519:F521"/>
    <mergeCell ref="G519:G521"/>
    <mergeCell ref="E530:E531"/>
    <mergeCell ref="F530:F531"/>
    <mergeCell ref="I530:I531"/>
    <mergeCell ref="B526:B527"/>
    <mergeCell ref="C526:C527"/>
    <mergeCell ref="D526:D527"/>
    <mergeCell ref="E526:E527"/>
    <mergeCell ref="F526:F527"/>
    <mergeCell ref="G526:G527"/>
    <mergeCell ref="B530:B531"/>
    <mergeCell ref="G530:G531"/>
    <mergeCell ref="C544:C546"/>
    <mergeCell ref="D544:D546"/>
    <mergeCell ref="G544:G546"/>
    <mergeCell ref="C598:C599"/>
    <mergeCell ref="D598:D599"/>
    <mergeCell ref="C602:C603"/>
    <mergeCell ref="D602:D603"/>
    <mergeCell ref="E602:E603"/>
    <mergeCell ref="F602:F603"/>
    <mergeCell ref="G602:G603"/>
    <mergeCell ref="B602:B603"/>
    <mergeCell ref="B605:B606"/>
    <mergeCell ref="C605:C606"/>
    <mergeCell ref="D605:D606"/>
    <mergeCell ref="E605:E606"/>
    <mergeCell ref="F605:F606"/>
    <mergeCell ref="G605:G606"/>
    <mergeCell ref="E613:E614"/>
    <mergeCell ref="F613:F614"/>
    <mergeCell ref="B611:B612"/>
    <mergeCell ref="C611:C612"/>
    <mergeCell ref="D611:D612"/>
    <mergeCell ref="E611:E612"/>
    <mergeCell ref="F611:F612"/>
    <mergeCell ref="G611:G612"/>
    <mergeCell ref="B613:B614"/>
    <mergeCell ref="G613:G614"/>
    <mergeCell ref="C613:C614"/>
    <mergeCell ref="D613:D614"/>
    <mergeCell ref="C615:C616"/>
    <mergeCell ref="D615:D616"/>
    <mergeCell ref="E615:E616"/>
    <mergeCell ref="F615:F616"/>
    <mergeCell ref="G615:G616"/>
    <mergeCell ref="B615:B616"/>
    <mergeCell ref="B617:B618"/>
    <mergeCell ref="C617:C618"/>
    <mergeCell ref="D617:D618"/>
    <mergeCell ref="E617:E618"/>
    <mergeCell ref="F617:F618"/>
    <mergeCell ref="G617:G618"/>
    <mergeCell ref="E628:E636"/>
    <mergeCell ref="F628:F636"/>
    <mergeCell ref="B624:B625"/>
    <mergeCell ref="C624:C625"/>
    <mergeCell ref="D624:D625"/>
    <mergeCell ref="E624:E625"/>
    <mergeCell ref="F624:F625"/>
    <mergeCell ref="G624:G625"/>
    <mergeCell ref="B628:B636"/>
    <mergeCell ref="G628:G636"/>
    <mergeCell ref="C628:C636"/>
    <mergeCell ref="D628:D636"/>
    <mergeCell ref="C637:C643"/>
    <mergeCell ref="D637:D643"/>
    <mergeCell ref="E637:E643"/>
    <mergeCell ref="F637:F643"/>
    <mergeCell ref="G637:G643"/>
    <mergeCell ref="B637:B643"/>
    <mergeCell ref="B644:B650"/>
    <mergeCell ref="C644:C650"/>
    <mergeCell ref="D644:D650"/>
    <mergeCell ref="E644:E650"/>
    <mergeCell ref="F644:F650"/>
    <mergeCell ref="G644:G650"/>
    <mergeCell ref="E544:E546"/>
    <mergeCell ref="F544:F546"/>
    <mergeCell ref="B541:B542"/>
    <mergeCell ref="C541:C542"/>
    <mergeCell ref="D541:D542"/>
    <mergeCell ref="E541:E542"/>
    <mergeCell ref="F541:F542"/>
    <mergeCell ref="G541:G542"/>
    <mergeCell ref="B544:B546"/>
    <mergeCell ref="E552:E556"/>
    <mergeCell ref="F552:F556"/>
    <mergeCell ref="B548:B549"/>
    <mergeCell ref="C548:C549"/>
    <mergeCell ref="D548:D549"/>
    <mergeCell ref="E548:E549"/>
    <mergeCell ref="F548:F549"/>
    <mergeCell ref="G548:G549"/>
    <mergeCell ref="B552:B556"/>
    <mergeCell ref="G552:G556"/>
    <mergeCell ref="C552:C556"/>
    <mergeCell ref="D552:D556"/>
    <mergeCell ref="C561:C562"/>
    <mergeCell ref="D561:D562"/>
    <mergeCell ref="E561:E562"/>
    <mergeCell ref="F561:F562"/>
    <mergeCell ref="G561:G562"/>
    <mergeCell ref="B561:B562"/>
    <mergeCell ref="B576:B579"/>
    <mergeCell ref="C576:C579"/>
    <mergeCell ref="D576:D579"/>
    <mergeCell ref="E576:E579"/>
    <mergeCell ref="F576:F579"/>
    <mergeCell ref="G576:G579"/>
    <mergeCell ref="B651:B652"/>
    <mergeCell ref="C651:C652"/>
    <mergeCell ref="D651:D652"/>
    <mergeCell ref="E651:E652"/>
    <mergeCell ref="F651:F652"/>
    <mergeCell ref="G651:G652"/>
    <mergeCell ref="E284:E286"/>
    <mergeCell ref="F284:F286"/>
    <mergeCell ref="B267:B268"/>
    <mergeCell ref="C267:C268"/>
    <mergeCell ref="D267:D268"/>
    <mergeCell ref="E267:E268"/>
    <mergeCell ref="F267:F268"/>
    <mergeCell ref="G267:G268"/>
    <mergeCell ref="B284:B286"/>
    <mergeCell ref="G284:G286"/>
    <mergeCell ref="E171:E173"/>
    <mergeCell ref="F171:F173"/>
    <mergeCell ref="B154:B170"/>
    <mergeCell ref="C154:C170"/>
    <mergeCell ref="D154:D170"/>
    <mergeCell ref="E154:E170"/>
    <mergeCell ref="F154:F170"/>
    <mergeCell ref="G154:G170"/>
    <mergeCell ref="B171:B173"/>
    <mergeCell ref="G171:G173"/>
    <mergeCell ref="C171:C173"/>
    <mergeCell ref="D171:D173"/>
    <mergeCell ref="C174:C178"/>
    <mergeCell ref="D174:D178"/>
    <mergeCell ref="E174:E178"/>
    <mergeCell ref="F174:F178"/>
    <mergeCell ref="G174:G178"/>
    <mergeCell ref="B174:B178"/>
    <mergeCell ref="B179:B186"/>
    <mergeCell ref="C179:C186"/>
    <mergeCell ref="D179:D186"/>
    <mergeCell ref="E179:E186"/>
    <mergeCell ref="F179:F186"/>
    <mergeCell ref="G179:G186"/>
    <mergeCell ref="E195:E197"/>
    <mergeCell ref="F195:F197"/>
    <mergeCell ref="E198:E199"/>
    <mergeCell ref="F198:F199"/>
    <mergeCell ref="G198:G199"/>
    <mergeCell ref="E200:E201"/>
    <mergeCell ref="F200:F201"/>
    <mergeCell ref="G200:G201"/>
    <mergeCell ref="B187:B193"/>
    <mergeCell ref="C187:C193"/>
    <mergeCell ref="D187:D193"/>
    <mergeCell ref="E187:E193"/>
    <mergeCell ref="F187:F193"/>
    <mergeCell ref="G187:G193"/>
    <mergeCell ref="B195:B197"/>
    <mergeCell ref="G195:G197"/>
    <mergeCell ref="B365:B367"/>
    <mergeCell ref="B369:B371"/>
    <mergeCell ref="C369:C371"/>
    <mergeCell ref="D369:D371"/>
    <mergeCell ref="E369:E371"/>
    <mergeCell ref="F369:F371"/>
    <mergeCell ref="G369:G371"/>
    <mergeCell ref="E374:E375"/>
    <mergeCell ref="F374:F375"/>
    <mergeCell ref="B372:B373"/>
    <mergeCell ref="C372:C373"/>
    <mergeCell ref="D372:D373"/>
    <mergeCell ref="E372:E373"/>
    <mergeCell ref="F372:F373"/>
    <mergeCell ref="G372:G373"/>
    <mergeCell ref="B374:B375"/>
    <mergeCell ref="C374:C375"/>
    <mergeCell ref="D374:D375"/>
    <mergeCell ref="C376:C379"/>
    <mergeCell ref="D376:D379"/>
    <mergeCell ref="E376:E379"/>
    <mergeCell ref="F376:F379"/>
    <mergeCell ref="G376:G379"/>
    <mergeCell ref="B376:B379"/>
    <mergeCell ref="B394:B401"/>
    <mergeCell ref="C394:C401"/>
    <mergeCell ref="D394:D401"/>
    <mergeCell ref="E394:E401"/>
    <mergeCell ref="F394:F401"/>
    <mergeCell ref="G394:G401"/>
    <mergeCell ref="E404:E405"/>
    <mergeCell ref="F404:F405"/>
    <mergeCell ref="B402:B403"/>
    <mergeCell ref="C402:C403"/>
    <mergeCell ref="D402:D403"/>
    <mergeCell ref="E402:E403"/>
    <mergeCell ref="F402:F403"/>
    <mergeCell ref="G402:G403"/>
    <mergeCell ref="B404:B405"/>
    <mergeCell ref="G404:G405"/>
    <mergeCell ref="C404:C405"/>
    <mergeCell ref="D404:D405"/>
    <mergeCell ref="B416:B422"/>
    <mergeCell ref="C416:C422"/>
    <mergeCell ref="D416:D422"/>
    <mergeCell ref="E416:E422"/>
    <mergeCell ref="F416:F422"/>
    <mergeCell ref="C458:C459"/>
    <mergeCell ref="D458:D459"/>
    <mergeCell ref="C478:C480"/>
    <mergeCell ref="D478:D480"/>
    <mergeCell ref="E478:E480"/>
    <mergeCell ref="F478:F480"/>
    <mergeCell ref="G478:G480"/>
    <mergeCell ref="B478:B480"/>
    <mergeCell ref="B481:B484"/>
    <mergeCell ref="C481:C484"/>
    <mergeCell ref="D481:D484"/>
    <mergeCell ref="E481:E484"/>
    <mergeCell ref="F481:F484"/>
    <mergeCell ref="G481:G484"/>
    <mergeCell ref="E488:E490"/>
    <mergeCell ref="F488:F490"/>
    <mergeCell ref="B485:B486"/>
    <mergeCell ref="C485:C486"/>
    <mergeCell ref="D485:D486"/>
    <mergeCell ref="E485:E486"/>
    <mergeCell ref="F485:F486"/>
    <mergeCell ref="G485:G486"/>
    <mergeCell ref="B488:B490"/>
    <mergeCell ref="G488:G490"/>
    <mergeCell ref="E431:E434"/>
    <mergeCell ref="F431:F434"/>
    <mergeCell ref="B429:B430"/>
    <mergeCell ref="C429:C430"/>
    <mergeCell ref="D429:D430"/>
    <mergeCell ref="E429:E430"/>
    <mergeCell ref="F429:F430"/>
    <mergeCell ref="G429:G430"/>
    <mergeCell ref="B431:B434"/>
    <mergeCell ref="G431:G434"/>
    <mergeCell ref="C431:C434"/>
    <mergeCell ref="D431:D434"/>
    <mergeCell ref="C436:C440"/>
    <mergeCell ref="D436:D440"/>
    <mergeCell ref="E436:E440"/>
    <mergeCell ref="F436:F440"/>
    <mergeCell ref="G436:G440"/>
    <mergeCell ref="B436:B440"/>
    <mergeCell ref="B443:B444"/>
    <mergeCell ref="C443:C444"/>
    <mergeCell ref="D443:D444"/>
    <mergeCell ref="E443:E444"/>
    <mergeCell ref="F443:F444"/>
    <mergeCell ref="G443:G444"/>
    <mergeCell ref="E458:E459"/>
    <mergeCell ref="F458:F459"/>
    <mergeCell ref="B452:B453"/>
    <mergeCell ref="C452:C453"/>
    <mergeCell ref="D452:D453"/>
    <mergeCell ref="E452:E453"/>
    <mergeCell ref="F452:F453"/>
    <mergeCell ref="G452:G453"/>
    <mergeCell ref="B458:B459"/>
    <mergeCell ref="G458:G459"/>
    <mergeCell ref="C488:C490"/>
    <mergeCell ref="D488:D490"/>
    <mergeCell ref="C491:C493"/>
    <mergeCell ref="D491:D493"/>
    <mergeCell ref="E491:E493"/>
    <mergeCell ref="F491:F493"/>
    <mergeCell ref="G491:G493"/>
    <mergeCell ref="E598:E599"/>
    <mergeCell ref="F598:F599"/>
    <mergeCell ref="B595:B596"/>
    <mergeCell ref="C595:C596"/>
    <mergeCell ref="D595:D596"/>
    <mergeCell ref="E595:E596"/>
    <mergeCell ref="F595:F596"/>
    <mergeCell ref="G595:G596"/>
    <mergeCell ref="B598:B599"/>
    <mergeCell ref="G598:G59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6.0"/>
    <col customWidth="1" min="2" max="2" width="13.78"/>
    <col customWidth="1" min="8" max="8" width="35.33"/>
    <col customWidth="1" min="9" max="9" width="22.78"/>
    <col customWidth="1" min="13" max="13" width="12.22"/>
    <col customWidth="1" min="14" max="14" width="28.22"/>
    <col customWidth="1" min="15" max="15" width="46.22"/>
  </cols>
  <sheetData>
    <row r="1">
      <c r="A1" s="294" t="s">
        <v>0</v>
      </c>
      <c r="B1" s="130"/>
      <c r="C1" s="385" t="s">
        <v>1</v>
      </c>
      <c r="D1" s="132"/>
      <c r="E1" s="132"/>
      <c r="F1" s="130"/>
      <c r="G1" s="386"/>
      <c r="H1" s="297" t="s">
        <v>551</v>
      </c>
      <c r="I1" s="135"/>
      <c r="J1" s="135"/>
      <c r="K1" s="135"/>
      <c r="L1" s="135"/>
      <c r="M1" s="136"/>
      <c r="N1" s="298"/>
      <c r="O1" s="299"/>
    </row>
    <row r="2">
      <c r="A2" s="139"/>
      <c r="B2" s="71"/>
      <c r="C2" s="139"/>
      <c r="F2" s="71"/>
      <c r="G2" s="302"/>
      <c r="H2" s="302" t="s">
        <v>3</v>
      </c>
      <c r="I2" s="302" t="s">
        <v>4</v>
      </c>
      <c r="J2" s="387"/>
      <c r="K2" s="304" t="s">
        <v>5</v>
      </c>
      <c r="L2" s="135"/>
      <c r="M2" s="136"/>
      <c r="N2" s="305"/>
      <c r="O2" s="306"/>
    </row>
    <row r="3">
      <c r="A3" s="144"/>
      <c r="B3" s="72"/>
      <c r="C3" s="144"/>
      <c r="D3" s="145"/>
      <c r="E3" s="145"/>
      <c r="F3" s="72"/>
      <c r="G3" s="308"/>
      <c r="H3" s="308">
        <v>5.0E7</v>
      </c>
      <c r="I3" s="309">
        <f>M699</f>
        <v>26508073.7</v>
      </c>
      <c r="J3" s="388"/>
      <c r="K3" s="200">
        <f>H3-I3</f>
        <v>23491926.3</v>
      </c>
      <c r="L3" s="135"/>
      <c r="M3" s="136"/>
      <c r="N3" s="311"/>
      <c r="O3" s="312"/>
    </row>
    <row r="4">
      <c r="A4" s="313" t="s">
        <v>6</v>
      </c>
      <c r="B4" s="313" t="s">
        <v>7</v>
      </c>
      <c r="C4" s="315" t="s">
        <v>261</v>
      </c>
      <c r="D4" s="313" t="s">
        <v>262</v>
      </c>
      <c r="E4" s="315" t="s">
        <v>552</v>
      </c>
      <c r="F4" s="313" t="s">
        <v>553</v>
      </c>
      <c r="G4" s="24" t="s">
        <v>264</v>
      </c>
      <c r="H4" s="313" t="s">
        <v>13</v>
      </c>
      <c r="I4" s="313" t="s">
        <v>14</v>
      </c>
      <c r="J4" s="313" t="s">
        <v>15</v>
      </c>
      <c r="K4" s="313" t="s">
        <v>16</v>
      </c>
      <c r="L4" s="317" t="s">
        <v>17</v>
      </c>
      <c r="M4" s="318" t="s">
        <v>18</v>
      </c>
      <c r="N4" s="319" t="s">
        <v>19</v>
      </c>
      <c r="O4" s="313" t="s">
        <v>554</v>
      </c>
    </row>
    <row r="5">
      <c r="A5" s="342">
        <v>1.0</v>
      </c>
      <c r="B5" s="335">
        <v>9.0</v>
      </c>
      <c r="C5" s="389">
        <v>46054.0</v>
      </c>
      <c r="D5" s="335" t="s">
        <v>2074</v>
      </c>
      <c r="E5" s="389">
        <v>46093.0</v>
      </c>
      <c r="F5" s="335">
        <v>9.0</v>
      </c>
      <c r="G5" s="390">
        <v>46054.0</v>
      </c>
      <c r="H5" s="336" t="s">
        <v>2075</v>
      </c>
      <c r="I5" s="336" t="s">
        <v>1597</v>
      </c>
      <c r="J5" s="337">
        <v>26.0</v>
      </c>
      <c r="K5" s="337" t="s">
        <v>174</v>
      </c>
      <c r="L5" s="391">
        <v>6153.8</v>
      </c>
      <c r="M5" s="105">
        <f t="shared" ref="M5:M9" si="1">J5*L5</f>
        <v>159998.8</v>
      </c>
      <c r="N5" s="392" t="s">
        <v>2076</v>
      </c>
      <c r="O5" s="336" t="s">
        <v>2077</v>
      </c>
    </row>
    <row r="6">
      <c r="A6" s="342"/>
      <c r="B6" s="47"/>
      <c r="C6" s="47"/>
      <c r="D6" s="47"/>
      <c r="E6" s="47"/>
      <c r="F6" s="47"/>
      <c r="G6" s="47"/>
      <c r="H6" s="339" t="s">
        <v>2078</v>
      </c>
      <c r="I6" s="339" t="s">
        <v>1597</v>
      </c>
      <c r="J6" s="342">
        <v>26.0</v>
      </c>
      <c r="K6" s="342" t="s">
        <v>174</v>
      </c>
      <c r="L6" s="346">
        <v>6153.8</v>
      </c>
      <c r="M6" s="105">
        <f t="shared" si="1"/>
        <v>159998.8</v>
      </c>
      <c r="N6" s="347" t="s">
        <v>2076</v>
      </c>
      <c r="O6" s="339" t="s">
        <v>2077</v>
      </c>
    </row>
    <row r="7">
      <c r="A7" s="369"/>
      <c r="B7" s="47"/>
      <c r="C7" s="47"/>
      <c r="D7" s="47"/>
      <c r="E7" s="47"/>
      <c r="F7" s="47"/>
      <c r="G7" s="47"/>
      <c r="H7" s="393" t="s">
        <v>2079</v>
      </c>
      <c r="I7" s="339" t="s">
        <v>1597</v>
      </c>
      <c r="J7" s="342">
        <v>26.0</v>
      </c>
      <c r="K7" s="342" t="s">
        <v>174</v>
      </c>
      <c r="L7" s="346">
        <v>6153.8</v>
      </c>
      <c r="M7" s="105">
        <f t="shared" si="1"/>
        <v>159998.8</v>
      </c>
      <c r="N7" s="347" t="s">
        <v>2076</v>
      </c>
      <c r="O7" s="339" t="s">
        <v>2077</v>
      </c>
    </row>
    <row r="8">
      <c r="A8" s="369"/>
      <c r="B8" s="47"/>
      <c r="C8" s="47"/>
      <c r="D8" s="47"/>
      <c r="E8" s="47"/>
      <c r="F8" s="47"/>
      <c r="G8" s="47"/>
      <c r="H8" s="336" t="s">
        <v>2080</v>
      </c>
      <c r="I8" s="339" t="s">
        <v>1597</v>
      </c>
      <c r="J8" s="342">
        <v>26.0</v>
      </c>
      <c r="K8" s="342" t="s">
        <v>174</v>
      </c>
      <c r="L8" s="346">
        <v>6153.8</v>
      </c>
      <c r="M8" s="105">
        <f t="shared" si="1"/>
        <v>159998.8</v>
      </c>
      <c r="N8" s="347" t="s">
        <v>2076</v>
      </c>
      <c r="O8" s="339" t="s">
        <v>2077</v>
      </c>
    </row>
    <row r="9">
      <c r="A9" s="369"/>
      <c r="B9" s="47"/>
      <c r="C9" s="47"/>
      <c r="D9" s="47"/>
      <c r="E9" s="47"/>
      <c r="F9" s="47"/>
      <c r="G9" s="47"/>
      <c r="H9" s="336" t="s">
        <v>2081</v>
      </c>
      <c r="I9" s="339" t="s">
        <v>1597</v>
      </c>
      <c r="J9" s="342">
        <v>26.0</v>
      </c>
      <c r="K9" s="342" t="s">
        <v>174</v>
      </c>
      <c r="L9" s="346">
        <v>6153.8</v>
      </c>
      <c r="M9" s="105">
        <f t="shared" si="1"/>
        <v>159998.8</v>
      </c>
      <c r="N9" s="347" t="s">
        <v>2076</v>
      </c>
      <c r="O9" s="339" t="s">
        <v>2077</v>
      </c>
    </row>
    <row r="10">
      <c r="A10" s="369"/>
      <c r="B10" s="48"/>
      <c r="C10" s="48"/>
      <c r="D10" s="48"/>
      <c r="E10" s="48"/>
      <c r="F10" s="48"/>
      <c r="G10" s="48"/>
      <c r="H10" s="336" t="s">
        <v>1941</v>
      </c>
      <c r="I10" s="339" t="s">
        <v>1949</v>
      </c>
      <c r="J10" s="342" t="s">
        <v>160</v>
      </c>
      <c r="K10" s="342" t="s">
        <v>838</v>
      </c>
      <c r="L10" s="373">
        <v>0.05</v>
      </c>
      <c r="M10" s="352">
        <v>40000.0</v>
      </c>
      <c r="N10" s="347" t="s">
        <v>1941</v>
      </c>
      <c r="O10" s="339" t="s">
        <v>2017</v>
      </c>
    </row>
    <row r="11">
      <c r="A11" s="342">
        <v>2.0</v>
      </c>
      <c r="B11" s="348">
        <v>11.0</v>
      </c>
      <c r="C11" s="350">
        <v>46058.0</v>
      </c>
      <c r="D11" s="348" t="s">
        <v>2082</v>
      </c>
      <c r="E11" s="350">
        <v>46093.0</v>
      </c>
      <c r="F11" s="351">
        <v>5.0</v>
      </c>
      <c r="G11" s="390">
        <v>46057.0</v>
      </c>
      <c r="H11" s="336" t="s">
        <v>2083</v>
      </c>
      <c r="I11" s="339" t="s">
        <v>2084</v>
      </c>
      <c r="J11" s="342">
        <v>1800.0</v>
      </c>
      <c r="K11" s="342" t="s">
        <v>2085</v>
      </c>
      <c r="L11" s="346">
        <v>430.0</v>
      </c>
      <c r="M11" s="105">
        <f>J11*L11</f>
        <v>774000</v>
      </c>
      <c r="N11" s="347" t="s">
        <v>208</v>
      </c>
      <c r="O11" s="339" t="s">
        <v>2086</v>
      </c>
    </row>
    <row r="12">
      <c r="A12" s="369"/>
      <c r="B12" s="48"/>
      <c r="C12" s="48"/>
      <c r="D12" s="48"/>
      <c r="E12" s="48"/>
      <c r="F12" s="48"/>
      <c r="G12" s="48"/>
      <c r="H12" s="336" t="s">
        <v>1941</v>
      </c>
      <c r="I12" s="339" t="s">
        <v>1949</v>
      </c>
      <c r="J12" s="342" t="s">
        <v>92</v>
      </c>
      <c r="K12" s="342" t="s">
        <v>838</v>
      </c>
      <c r="L12" s="373">
        <v>0.05</v>
      </c>
      <c r="M12" s="352">
        <v>38700.0</v>
      </c>
      <c r="N12" s="347" t="s">
        <v>1941</v>
      </c>
      <c r="O12" s="339" t="s">
        <v>2017</v>
      </c>
    </row>
    <row r="13">
      <c r="A13" s="342">
        <v>3.0</v>
      </c>
      <c r="B13" s="348">
        <v>1156.0</v>
      </c>
      <c r="C13" s="350">
        <v>46048.0</v>
      </c>
      <c r="D13" s="348" t="s">
        <v>2087</v>
      </c>
      <c r="E13" s="350">
        <v>46094.0</v>
      </c>
      <c r="F13" s="351">
        <v>1029.0</v>
      </c>
      <c r="G13" s="390">
        <v>46042.0</v>
      </c>
      <c r="H13" s="336" t="s">
        <v>2088</v>
      </c>
      <c r="I13" s="339" t="s">
        <v>1401</v>
      </c>
      <c r="J13" s="342">
        <v>10.0</v>
      </c>
      <c r="K13" s="342" t="s">
        <v>156</v>
      </c>
      <c r="L13" s="346">
        <v>2700.0</v>
      </c>
      <c r="M13" s="352">
        <v>27000.0</v>
      </c>
      <c r="N13" s="347" t="s">
        <v>2089</v>
      </c>
      <c r="O13" s="339" t="s">
        <v>2090</v>
      </c>
    </row>
    <row r="14">
      <c r="A14" s="342">
        <v>4.0</v>
      </c>
      <c r="B14" s="47"/>
      <c r="C14" s="47"/>
      <c r="D14" s="47"/>
      <c r="E14" s="47"/>
      <c r="F14" s="47"/>
      <c r="G14" s="47"/>
      <c r="H14" s="336" t="s">
        <v>2091</v>
      </c>
      <c r="I14" s="339" t="s">
        <v>1401</v>
      </c>
      <c r="J14" s="342">
        <v>10.0</v>
      </c>
      <c r="K14" s="342" t="s">
        <v>156</v>
      </c>
      <c r="L14" s="346">
        <v>150.0</v>
      </c>
      <c r="M14" s="105">
        <f t="shared" ref="M14:M25" si="2">J14*L14</f>
        <v>1500</v>
      </c>
      <c r="N14" s="347" t="s">
        <v>2092</v>
      </c>
      <c r="O14" s="339" t="s">
        <v>2090</v>
      </c>
    </row>
    <row r="15">
      <c r="A15" s="369"/>
      <c r="B15" s="48"/>
      <c r="C15" s="48"/>
      <c r="D15" s="48"/>
      <c r="E15" s="48"/>
      <c r="F15" s="48"/>
      <c r="G15" s="48"/>
      <c r="H15" s="336" t="s">
        <v>2093</v>
      </c>
      <c r="I15" s="339" t="s">
        <v>1401</v>
      </c>
      <c r="J15" s="342">
        <v>2.0</v>
      </c>
      <c r="K15" s="342" t="s">
        <v>156</v>
      </c>
      <c r="L15" s="346">
        <v>60.0</v>
      </c>
      <c r="M15" s="105">
        <f t="shared" si="2"/>
        <v>120</v>
      </c>
      <c r="N15" s="347" t="s">
        <v>2092</v>
      </c>
      <c r="O15" s="339" t="s">
        <v>2090</v>
      </c>
    </row>
    <row r="16">
      <c r="A16" s="369"/>
      <c r="B16" s="348">
        <v>41.0</v>
      </c>
      <c r="C16" s="350">
        <v>46057.0</v>
      </c>
      <c r="D16" s="348" t="s">
        <v>2094</v>
      </c>
      <c r="E16" s="350">
        <v>46093.0</v>
      </c>
      <c r="F16" s="351">
        <v>41.0</v>
      </c>
      <c r="G16" s="394">
        <v>46057.0</v>
      </c>
      <c r="H16" s="336" t="s">
        <v>2095</v>
      </c>
      <c r="I16" s="339" t="s">
        <v>2096</v>
      </c>
      <c r="J16" s="342">
        <v>41.0</v>
      </c>
      <c r="K16" s="342" t="s">
        <v>25</v>
      </c>
      <c r="L16" s="346">
        <v>65.03</v>
      </c>
      <c r="M16" s="105">
        <f t="shared" si="2"/>
        <v>2666.23</v>
      </c>
      <c r="N16" s="347" t="s">
        <v>91</v>
      </c>
      <c r="O16" s="339" t="s">
        <v>2097</v>
      </c>
    </row>
    <row r="17">
      <c r="A17" s="342">
        <v>5.0</v>
      </c>
      <c r="B17" s="47"/>
      <c r="C17" s="47"/>
      <c r="D17" s="47"/>
      <c r="E17" s="47"/>
      <c r="F17" s="47"/>
      <c r="G17" s="47"/>
      <c r="H17" s="336" t="s">
        <v>2095</v>
      </c>
      <c r="I17" s="339" t="s">
        <v>2098</v>
      </c>
      <c r="J17" s="342">
        <v>43.0</v>
      </c>
      <c r="K17" s="342" t="s">
        <v>25</v>
      </c>
      <c r="L17" s="346">
        <v>65.03</v>
      </c>
      <c r="M17" s="105">
        <f t="shared" si="2"/>
        <v>2796.29</v>
      </c>
      <c r="N17" s="347" t="s">
        <v>91</v>
      </c>
      <c r="O17" s="339" t="s">
        <v>2097</v>
      </c>
    </row>
    <row r="18">
      <c r="A18" s="369"/>
      <c r="B18" s="48"/>
      <c r="C18" s="48"/>
      <c r="D18" s="48"/>
      <c r="E18" s="48"/>
      <c r="F18" s="48"/>
      <c r="G18" s="48"/>
      <c r="H18" s="336" t="s">
        <v>2095</v>
      </c>
      <c r="I18" s="339" t="s">
        <v>2098</v>
      </c>
      <c r="J18" s="342">
        <v>37.0</v>
      </c>
      <c r="K18" s="342" t="s">
        <v>25</v>
      </c>
      <c r="L18" s="346">
        <v>68.48</v>
      </c>
      <c r="M18" s="105">
        <f t="shared" si="2"/>
        <v>2533.76</v>
      </c>
      <c r="N18" s="347" t="s">
        <v>91</v>
      </c>
      <c r="O18" s="339" t="s">
        <v>2097</v>
      </c>
    </row>
    <row r="19">
      <c r="A19" s="342">
        <v>6.0</v>
      </c>
      <c r="B19" s="348">
        <v>12.0</v>
      </c>
      <c r="C19" s="350">
        <v>45891.0</v>
      </c>
      <c r="D19" s="348" t="s">
        <v>2099</v>
      </c>
      <c r="E19" s="350">
        <v>46093.0</v>
      </c>
      <c r="F19" s="351">
        <v>1001.0</v>
      </c>
      <c r="G19" s="390">
        <v>46040.0</v>
      </c>
      <c r="H19" s="336" t="s">
        <v>2100</v>
      </c>
      <c r="I19" s="339" t="s">
        <v>2101</v>
      </c>
      <c r="J19" s="342">
        <v>1.0</v>
      </c>
      <c r="K19" s="342" t="s">
        <v>1168</v>
      </c>
      <c r="L19" s="346">
        <v>410000.0</v>
      </c>
      <c r="M19" s="105">
        <f t="shared" si="2"/>
        <v>410000</v>
      </c>
      <c r="N19" s="347" t="s">
        <v>2102</v>
      </c>
      <c r="O19" s="339" t="s">
        <v>2103</v>
      </c>
    </row>
    <row r="20">
      <c r="A20" s="369"/>
      <c r="B20" s="48"/>
      <c r="C20" s="48"/>
      <c r="D20" s="48"/>
      <c r="E20" s="48"/>
      <c r="F20" s="48"/>
      <c r="G20" s="48"/>
      <c r="H20" s="336" t="s">
        <v>2104</v>
      </c>
      <c r="I20" s="339" t="s">
        <v>2101</v>
      </c>
      <c r="J20" s="342">
        <v>1.0</v>
      </c>
      <c r="K20" s="342" t="s">
        <v>1168</v>
      </c>
      <c r="L20" s="346">
        <v>265000.0</v>
      </c>
      <c r="M20" s="105">
        <f t="shared" si="2"/>
        <v>265000</v>
      </c>
      <c r="N20" s="347" t="s">
        <v>2102</v>
      </c>
      <c r="O20" s="339" t="s">
        <v>2103</v>
      </c>
    </row>
    <row r="21">
      <c r="A21" s="342">
        <v>7.0</v>
      </c>
      <c r="B21" s="339">
        <v>172547.0</v>
      </c>
      <c r="C21" s="345">
        <v>46076.0</v>
      </c>
      <c r="D21" s="339" t="s">
        <v>2105</v>
      </c>
      <c r="E21" s="345">
        <v>46093.0</v>
      </c>
      <c r="F21" s="342">
        <v>1019.0</v>
      </c>
      <c r="G21" s="395">
        <v>46076.0</v>
      </c>
      <c r="H21" s="336" t="s">
        <v>23</v>
      </c>
      <c r="I21" s="339" t="s">
        <v>24</v>
      </c>
      <c r="J21" s="342">
        <v>659.99</v>
      </c>
      <c r="K21" s="342" t="s">
        <v>25</v>
      </c>
      <c r="L21" s="346">
        <v>68.48</v>
      </c>
      <c r="M21" s="105">
        <f t="shared" si="2"/>
        <v>45196.1152</v>
      </c>
      <c r="N21" s="347" t="s">
        <v>2106</v>
      </c>
      <c r="O21" s="339" t="s">
        <v>2107</v>
      </c>
    </row>
    <row r="22">
      <c r="A22" s="342">
        <v>8.0</v>
      </c>
      <c r="B22" s="339">
        <v>172552.0</v>
      </c>
      <c r="C22" s="345">
        <v>46076.0</v>
      </c>
      <c r="D22" s="339" t="s">
        <v>2105</v>
      </c>
      <c r="E22" s="345">
        <v>46093.0</v>
      </c>
      <c r="F22" s="342">
        <v>1019.0</v>
      </c>
      <c r="G22" s="395">
        <v>46076.0</v>
      </c>
      <c r="H22" s="336" t="s">
        <v>23</v>
      </c>
      <c r="I22" s="339" t="s">
        <v>24</v>
      </c>
      <c r="J22" s="342">
        <v>659.99</v>
      </c>
      <c r="K22" s="342" t="s">
        <v>25</v>
      </c>
      <c r="L22" s="346">
        <v>68.48</v>
      </c>
      <c r="M22" s="105">
        <f t="shared" si="2"/>
        <v>45196.1152</v>
      </c>
      <c r="N22" s="347" t="s">
        <v>2106</v>
      </c>
      <c r="O22" s="339" t="s">
        <v>2107</v>
      </c>
    </row>
    <row r="23">
      <c r="A23" s="342">
        <v>9.0</v>
      </c>
      <c r="B23" s="339">
        <v>172555.0</v>
      </c>
      <c r="C23" s="345">
        <v>46076.0</v>
      </c>
      <c r="D23" s="339" t="s">
        <v>2105</v>
      </c>
      <c r="E23" s="345">
        <v>46093.0</v>
      </c>
      <c r="F23" s="342">
        <v>1019.0</v>
      </c>
      <c r="G23" s="395">
        <v>46076.0</v>
      </c>
      <c r="H23" s="336" t="s">
        <v>23</v>
      </c>
      <c r="I23" s="339" t="s">
        <v>24</v>
      </c>
      <c r="J23" s="342">
        <v>659.99</v>
      </c>
      <c r="K23" s="342" t="s">
        <v>25</v>
      </c>
      <c r="L23" s="346">
        <v>68.48</v>
      </c>
      <c r="M23" s="105">
        <f t="shared" si="2"/>
        <v>45196.1152</v>
      </c>
      <c r="N23" s="347" t="s">
        <v>2106</v>
      </c>
      <c r="O23" s="339" t="s">
        <v>2107</v>
      </c>
    </row>
    <row r="24">
      <c r="A24" s="342">
        <v>10.0</v>
      </c>
      <c r="B24" s="339">
        <v>172560.0</v>
      </c>
      <c r="C24" s="345">
        <v>46076.0</v>
      </c>
      <c r="D24" s="339" t="s">
        <v>2105</v>
      </c>
      <c r="E24" s="345">
        <v>46093.0</v>
      </c>
      <c r="F24" s="342">
        <v>1019.0</v>
      </c>
      <c r="G24" s="395">
        <v>46076.0</v>
      </c>
      <c r="H24" s="336" t="s">
        <v>23</v>
      </c>
      <c r="I24" s="339" t="s">
        <v>24</v>
      </c>
      <c r="J24" s="342">
        <v>659.99</v>
      </c>
      <c r="K24" s="342" t="s">
        <v>25</v>
      </c>
      <c r="L24" s="346">
        <v>68.48</v>
      </c>
      <c r="M24" s="105">
        <f t="shared" si="2"/>
        <v>45196.1152</v>
      </c>
      <c r="N24" s="347" t="s">
        <v>2106</v>
      </c>
      <c r="O24" s="339" t="s">
        <v>2108</v>
      </c>
    </row>
    <row r="25">
      <c r="A25" s="342">
        <v>11.0</v>
      </c>
      <c r="B25" s="348">
        <v>3.3530078E7</v>
      </c>
      <c r="C25" s="350">
        <v>46055.0</v>
      </c>
      <c r="D25" s="348" t="s">
        <v>2109</v>
      </c>
      <c r="E25" s="350">
        <v>46093.0</v>
      </c>
      <c r="F25" s="351" t="s">
        <v>1637</v>
      </c>
      <c r="G25" s="394">
        <v>46055.0</v>
      </c>
      <c r="H25" s="336" t="s">
        <v>2110</v>
      </c>
      <c r="I25" s="339" t="s">
        <v>1592</v>
      </c>
      <c r="J25" s="342">
        <v>69800.0</v>
      </c>
      <c r="K25" s="342" t="s">
        <v>2014</v>
      </c>
      <c r="L25" s="346">
        <v>2.66</v>
      </c>
      <c r="M25" s="105">
        <f t="shared" si="2"/>
        <v>185668</v>
      </c>
      <c r="N25" s="347" t="s">
        <v>842</v>
      </c>
      <c r="O25" s="339" t="s">
        <v>2111</v>
      </c>
    </row>
    <row r="26">
      <c r="A26" s="369"/>
      <c r="B26" s="48"/>
      <c r="C26" s="48"/>
      <c r="D26" s="48"/>
      <c r="E26" s="48"/>
      <c r="F26" s="48"/>
      <c r="G26" s="48"/>
      <c r="H26" s="336" t="s">
        <v>1941</v>
      </c>
      <c r="I26" s="339" t="s">
        <v>1949</v>
      </c>
      <c r="J26" s="342" t="s">
        <v>92</v>
      </c>
      <c r="K26" s="342" t="s">
        <v>838</v>
      </c>
      <c r="L26" s="373">
        <v>0.05</v>
      </c>
      <c r="M26" s="352">
        <v>9283.4</v>
      </c>
      <c r="N26" s="347" t="s">
        <v>1941</v>
      </c>
      <c r="O26" s="339" t="s">
        <v>2017</v>
      </c>
    </row>
    <row r="27">
      <c r="A27" s="342">
        <v>12.0</v>
      </c>
      <c r="B27" s="348">
        <v>16.0</v>
      </c>
      <c r="C27" s="350">
        <v>46034.0</v>
      </c>
      <c r="D27" s="348" t="s">
        <v>57</v>
      </c>
      <c r="E27" s="350">
        <v>46097.0</v>
      </c>
      <c r="F27" s="351">
        <v>655.0</v>
      </c>
      <c r="G27" s="390">
        <v>46034.0</v>
      </c>
      <c r="H27" s="336" t="s">
        <v>2112</v>
      </c>
      <c r="I27" s="339" t="s">
        <v>2084</v>
      </c>
      <c r="J27" s="342">
        <v>7.0</v>
      </c>
      <c r="K27" s="342" t="s">
        <v>586</v>
      </c>
      <c r="L27" s="346">
        <v>16000.0</v>
      </c>
      <c r="M27" s="105">
        <f>J27*L27</f>
        <v>112000</v>
      </c>
      <c r="N27" s="347" t="s">
        <v>208</v>
      </c>
      <c r="O27" s="339" t="s">
        <v>2113</v>
      </c>
    </row>
    <row r="28">
      <c r="A28" s="369"/>
      <c r="B28" s="48"/>
      <c r="C28" s="48"/>
      <c r="D28" s="48"/>
      <c r="E28" s="48"/>
      <c r="F28" s="48"/>
      <c r="G28" s="48"/>
      <c r="H28" s="336" t="s">
        <v>1941</v>
      </c>
      <c r="I28" s="339" t="s">
        <v>1949</v>
      </c>
      <c r="J28" s="342" t="s">
        <v>92</v>
      </c>
      <c r="K28" s="342" t="s">
        <v>838</v>
      </c>
      <c r="L28" s="373">
        <v>0.05</v>
      </c>
      <c r="M28" s="352">
        <v>5600.0</v>
      </c>
      <c r="N28" s="347" t="s">
        <v>1941</v>
      </c>
      <c r="O28" s="339" t="s">
        <v>2017</v>
      </c>
    </row>
    <row r="29">
      <c r="A29" s="342">
        <v>13.0</v>
      </c>
      <c r="B29" s="339">
        <v>43586.0</v>
      </c>
      <c r="C29" s="345">
        <v>45961.0</v>
      </c>
      <c r="D29" s="339" t="s">
        <v>2114</v>
      </c>
      <c r="E29" s="345">
        <v>46097.0</v>
      </c>
      <c r="F29" s="342">
        <v>43586.0</v>
      </c>
      <c r="G29" s="395">
        <v>46326.0</v>
      </c>
      <c r="H29" s="336" t="s">
        <v>2115</v>
      </c>
      <c r="I29" s="339" t="s">
        <v>1597</v>
      </c>
      <c r="J29" s="342">
        <v>24.0</v>
      </c>
      <c r="K29" s="342" t="s">
        <v>174</v>
      </c>
      <c r="L29" s="346">
        <v>3750.0</v>
      </c>
      <c r="M29" s="105">
        <f t="shared" ref="M29:M32" si="3">J29*L29</f>
        <v>90000</v>
      </c>
      <c r="N29" s="347" t="s">
        <v>48</v>
      </c>
      <c r="O29" s="339" t="s">
        <v>2116</v>
      </c>
    </row>
    <row r="30">
      <c r="A30" s="342">
        <v>14.0</v>
      </c>
      <c r="B30" s="348">
        <v>121.0</v>
      </c>
      <c r="C30" s="350">
        <v>46035.0</v>
      </c>
      <c r="D30" s="348" t="s">
        <v>2117</v>
      </c>
      <c r="E30" s="350">
        <v>46097.0</v>
      </c>
      <c r="F30" s="351">
        <v>1315.0</v>
      </c>
      <c r="G30" s="390">
        <v>46035.0</v>
      </c>
      <c r="H30" s="336" t="s">
        <v>2118</v>
      </c>
      <c r="I30" s="339" t="s">
        <v>1516</v>
      </c>
      <c r="J30" s="342">
        <v>30.0</v>
      </c>
      <c r="K30" s="342" t="s">
        <v>981</v>
      </c>
      <c r="L30" s="346">
        <v>2300.0</v>
      </c>
      <c r="M30" s="105">
        <f t="shared" si="3"/>
        <v>69000</v>
      </c>
      <c r="N30" s="347" t="s">
        <v>2119</v>
      </c>
      <c r="O30" s="339" t="s">
        <v>2120</v>
      </c>
    </row>
    <row r="31">
      <c r="A31" s="342">
        <v>15.0</v>
      </c>
      <c r="B31" s="47"/>
      <c r="C31" s="47"/>
      <c r="D31" s="47"/>
      <c r="E31" s="47"/>
      <c r="F31" s="47"/>
      <c r="G31" s="47"/>
      <c r="H31" s="336" t="s">
        <v>2121</v>
      </c>
      <c r="I31" s="339" t="s">
        <v>1516</v>
      </c>
      <c r="J31" s="342">
        <v>25.0</v>
      </c>
      <c r="K31" s="342" t="s">
        <v>981</v>
      </c>
      <c r="L31" s="346">
        <v>2850.0</v>
      </c>
      <c r="M31" s="105">
        <f t="shared" si="3"/>
        <v>71250</v>
      </c>
      <c r="N31" s="347" t="s">
        <v>2119</v>
      </c>
      <c r="O31" s="339" t="s">
        <v>2120</v>
      </c>
    </row>
    <row r="32">
      <c r="A32" s="369"/>
      <c r="B32" s="47"/>
      <c r="C32" s="47"/>
      <c r="D32" s="47"/>
      <c r="E32" s="47"/>
      <c r="F32" s="47"/>
      <c r="G32" s="47"/>
      <c r="H32" s="336" t="s">
        <v>2122</v>
      </c>
      <c r="I32" s="339" t="s">
        <v>1516</v>
      </c>
      <c r="J32" s="342">
        <v>180.0</v>
      </c>
      <c r="K32" s="342" t="s">
        <v>156</v>
      </c>
      <c r="L32" s="346">
        <v>5.0</v>
      </c>
      <c r="M32" s="105">
        <f t="shared" si="3"/>
        <v>900</v>
      </c>
      <c r="N32" s="347" t="s">
        <v>2119</v>
      </c>
      <c r="O32" s="339" t="s">
        <v>2120</v>
      </c>
    </row>
    <row r="33">
      <c r="A33" s="369"/>
      <c r="B33" s="48"/>
      <c r="C33" s="48"/>
      <c r="D33" s="48"/>
      <c r="E33" s="48"/>
      <c r="F33" s="48"/>
      <c r="G33" s="48"/>
      <c r="H33" s="336" t="s">
        <v>1941</v>
      </c>
      <c r="I33" s="339" t="s">
        <v>1949</v>
      </c>
      <c r="J33" s="342" t="s">
        <v>92</v>
      </c>
      <c r="K33" s="342" t="s">
        <v>838</v>
      </c>
      <c r="L33" s="373">
        <v>0.05</v>
      </c>
      <c r="M33" s="352">
        <v>7057.5</v>
      </c>
      <c r="N33" s="347" t="s">
        <v>1941</v>
      </c>
      <c r="O33" s="339" t="s">
        <v>2017</v>
      </c>
    </row>
    <row r="34">
      <c r="A34" s="342">
        <v>16.0</v>
      </c>
      <c r="B34" s="348">
        <v>67.0</v>
      </c>
      <c r="C34" s="350">
        <v>46055.0</v>
      </c>
      <c r="D34" s="348" t="s">
        <v>2123</v>
      </c>
      <c r="E34" s="350">
        <v>46097.0</v>
      </c>
      <c r="F34" s="351">
        <v>67.0</v>
      </c>
      <c r="G34" s="394">
        <v>46055.0</v>
      </c>
      <c r="H34" s="336" t="s">
        <v>2124</v>
      </c>
      <c r="I34" s="339" t="s">
        <v>1733</v>
      </c>
      <c r="J34" s="342">
        <v>380.0</v>
      </c>
      <c r="K34" s="342" t="s">
        <v>74</v>
      </c>
      <c r="L34" s="346">
        <v>284.95</v>
      </c>
      <c r="M34" s="105">
        <f>J34*L34</f>
        <v>108281</v>
      </c>
      <c r="N34" s="347" t="s">
        <v>2125</v>
      </c>
      <c r="O34" s="339" t="s">
        <v>2126</v>
      </c>
    </row>
    <row r="35">
      <c r="A35" s="369"/>
      <c r="B35" s="48"/>
      <c r="C35" s="48"/>
      <c r="D35" s="48"/>
      <c r="E35" s="48"/>
      <c r="F35" s="48"/>
      <c r="G35" s="48"/>
      <c r="H35" s="336" t="s">
        <v>1941</v>
      </c>
      <c r="I35" s="339" t="s">
        <v>1949</v>
      </c>
      <c r="J35" s="342" t="s">
        <v>92</v>
      </c>
      <c r="K35" s="342" t="s">
        <v>838</v>
      </c>
      <c r="L35" s="373">
        <v>0.05</v>
      </c>
      <c r="M35" s="352">
        <v>5414.0</v>
      </c>
      <c r="N35" s="347" t="s">
        <v>1941</v>
      </c>
      <c r="O35" s="339" t="s">
        <v>2017</v>
      </c>
    </row>
    <row r="36">
      <c r="A36" s="342">
        <v>15.0</v>
      </c>
      <c r="B36" s="348">
        <v>2.0</v>
      </c>
      <c r="C36" s="350">
        <v>46027.0</v>
      </c>
      <c r="D36" s="348" t="s">
        <v>2127</v>
      </c>
      <c r="E36" s="350">
        <v>46097.0</v>
      </c>
      <c r="F36" s="351">
        <v>893.0</v>
      </c>
      <c r="G36" s="390">
        <v>46028.0</v>
      </c>
      <c r="H36" s="336" t="s">
        <v>1978</v>
      </c>
      <c r="I36" s="339" t="s">
        <v>29</v>
      </c>
      <c r="J36" s="342">
        <v>4.0</v>
      </c>
      <c r="K36" s="342" t="s">
        <v>156</v>
      </c>
      <c r="L36" s="346">
        <v>6800.0</v>
      </c>
      <c r="M36" s="105">
        <f>J36*L36</f>
        <v>27200</v>
      </c>
      <c r="N36" s="347" t="s">
        <v>2128</v>
      </c>
      <c r="O36" s="339" t="s">
        <v>2129</v>
      </c>
    </row>
    <row r="37">
      <c r="A37" s="369"/>
      <c r="B37" s="48"/>
      <c r="C37" s="48"/>
      <c r="D37" s="48"/>
      <c r="E37" s="48"/>
      <c r="F37" s="48"/>
      <c r="G37" s="48"/>
      <c r="H37" s="336" t="s">
        <v>1941</v>
      </c>
      <c r="I37" s="339" t="s">
        <v>1949</v>
      </c>
      <c r="J37" s="342" t="s">
        <v>160</v>
      </c>
      <c r="K37" s="342" t="s">
        <v>838</v>
      </c>
      <c r="L37" s="373">
        <v>0.05</v>
      </c>
      <c r="M37" s="352">
        <v>1360.0</v>
      </c>
      <c r="N37" s="347" t="s">
        <v>2130</v>
      </c>
      <c r="O37" s="339" t="s">
        <v>2017</v>
      </c>
    </row>
    <row r="38">
      <c r="A38" s="342">
        <v>16.0</v>
      </c>
      <c r="B38" s="348">
        <v>22.0</v>
      </c>
      <c r="C38" s="350">
        <v>46036.0</v>
      </c>
      <c r="D38" s="348" t="s">
        <v>2127</v>
      </c>
      <c r="E38" s="350">
        <v>46097.0</v>
      </c>
      <c r="F38" s="351">
        <v>899.0</v>
      </c>
      <c r="G38" s="390">
        <v>46040.0</v>
      </c>
      <c r="H38" s="336" t="s">
        <v>2131</v>
      </c>
      <c r="I38" s="339" t="s">
        <v>1516</v>
      </c>
      <c r="J38" s="342">
        <v>12.0</v>
      </c>
      <c r="K38" s="342" t="s">
        <v>156</v>
      </c>
      <c r="L38" s="346">
        <v>8990.0</v>
      </c>
      <c r="M38" s="105">
        <f t="shared" ref="M38:M39" si="4">J38*L38</f>
        <v>107880</v>
      </c>
      <c r="N38" s="347" t="s">
        <v>2128</v>
      </c>
      <c r="O38" s="339" t="s">
        <v>2132</v>
      </c>
    </row>
    <row r="39">
      <c r="A39" s="369"/>
      <c r="B39" s="47"/>
      <c r="C39" s="47"/>
      <c r="D39" s="47"/>
      <c r="E39" s="47"/>
      <c r="F39" s="47"/>
      <c r="G39" s="47"/>
      <c r="H39" s="336" t="s">
        <v>2133</v>
      </c>
      <c r="I39" s="339" t="s">
        <v>1516</v>
      </c>
      <c r="J39" s="342">
        <v>6.0</v>
      </c>
      <c r="K39" s="342" t="s">
        <v>156</v>
      </c>
      <c r="L39" s="346">
        <v>990.0</v>
      </c>
      <c r="M39" s="105">
        <f t="shared" si="4"/>
        <v>5940</v>
      </c>
      <c r="N39" s="347" t="s">
        <v>2128</v>
      </c>
      <c r="O39" s="339" t="s">
        <v>2134</v>
      </c>
    </row>
    <row r="40">
      <c r="A40" s="369"/>
      <c r="B40" s="48"/>
      <c r="C40" s="48"/>
      <c r="D40" s="48"/>
      <c r="E40" s="48"/>
      <c r="F40" s="48"/>
      <c r="G40" s="48"/>
      <c r="H40" s="336" t="s">
        <v>1941</v>
      </c>
      <c r="I40" s="339" t="s">
        <v>1949</v>
      </c>
      <c r="J40" s="342" t="s">
        <v>92</v>
      </c>
      <c r="K40" s="342" t="s">
        <v>838</v>
      </c>
      <c r="L40" s="373">
        <v>0.05</v>
      </c>
      <c r="M40" s="352">
        <v>5691.0</v>
      </c>
      <c r="N40" s="347" t="s">
        <v>1941</v>
      </c>
      <c r="O40" s="339" t="s">
        <v>2017</v>
      </c>
    </row>
    <row r="41">
      <c r="A41" s="342">
        <v>17.0</v>
      </c>
      <c r="B41" s="348">
        <v>31.0</v>
      </c>
      <c r="C41" s="350">
        <v>46034.0</v>
      </c>
      <c r="D41" s="348" t="s">
        <v>2135</v>
      </c>
      <c r="E41" s="350">
        <v>46097.0</v>
      </c>
      <c r="F41" s="351">
        <v>29.0</v>
      </c>
      <c r="G41" s="390">
        <v>46034.0</v>
      </c>
      <c r="H41" s="336" t="s">
        <v>2136</v>
      </c>
      <c r="I41" s="339" t="s">
        <v>2137</v>
      </c>
      <c r="J41" s="342">
        <v>16.0</v>
      </c>
      <c r="K41" s="342" t="s">
        <v>156</v>
      </c>
      <c r="L41" s="346">
        <v>3110.0</v>
      </c>
      <c r="M41" s="105">
        <f>J41*L41</f>
        <v>49760</v>
      </c>
      <c r="N41" s="347" t="s">
        <v>2138</v>
      </c>
      <c r="O41" s="339" t="s">
        <v>2139</v>
      </c>
    </row>
    <row r="42">
      <c r="A42" s="369"/>
      <c r="B42" s="48"/>
      <c r="C42" s="48"/>
      <c r="D42" s="48"/>
      <c r="E42" s="48"/>
      <c r="F42" s="48"/>
      <c r="G42" s="48"/>
      <c r="H42" s="336" t="s">
        <v>1941</v>
      </c>
      <c r="I42" s="339" t="s">
        <v>1949</v>
      </c>
      <c r="J42" s="342" t="s">
        <v>92</v>
      </c>
      <c r="K42" s="342" t="s">
        <v>838</v>
      </c>
      <c r="L42" s="373">
        <v>0.05</v>
      </c>
      <c r="M42" s="352">
        <v>2488.0</v>
      </c>
      <c r="N42" s="347" t="s">
        <v>1941</v>
      </c>
      <c r="O42" s="339" t="s">
        <v>2017</v>
      </c>
    </row>
    <row r="43">
      <c r="A43" s="342">
        <v>18.0</v>
      </c>
      <c r="B43" s="348">
        <v>95.0</v>
      </c>
      <c r="C43" s="350">
        <v>46041.0</v>
      </c>
      <c r="D43" s="348" t="s">
        <v>2135</v>
      </c>
      <c r="E43" s="350">
        <v>46097.0</v>
      </c>
      <c r="F43" s="351">
        <v>115.0</v>
      </c>
      <c r="G43" s="390">
        <v>46041.0</v>
      </c>
      <c r="H43" s="336" t="s">
        <v>2140</v>
      </c>
      <c r="I43" s="339" t="s">
        <v>1401</v>
      </c>
      <c r="J43" s="342">
        <v>3.0</v>
      </c>
      <c r="K43" s="342" t="s">
        <v>981</v>
      </c>
      <c r="L43" s="346" t="s">
        <v>2141</v>
      </c>
      <c r="M43" s="352">
        <v>3861.0</v>
      </c>
      <c r="N43" s="347" t="s">
        <v>2138</v>
      </c>
      <c r="O43" s="339" t="s">
        <v>2142</v>
      </c>
    </row>
    <row r="44">
      <c r="A44" s="369"/>
      <c r="B44" s="47"/>
      <c r="C44" s="47"/>
      <c r="D44" s="47"/>
      <c r="E44" s="47"/>
      <c r="F44" s="47"/>
      <c r="G44" s="47"/>
      <c r="H44" s="336" t="s">
        <v>2143</v>
      </c>
      <c r="I44" s="339" t="s">
        <v>1516</v>
      </c>
      <c r="J44" s="342">
        <v>5.0</v>
      </c>
      <c r="K44" s="342" t="s">
        <v>981</v>
      </c>
      <c r="L44" s="346">
        <v>1200.0</v>
      </c>
      <c r="M44" s="105">
        <f>J44*L44</f>
        <v>6000</v>
      </c>
      <c r="N44" s="347" t="s">
        <v>2138</v>
      </c>
      <c r="O44" s="339" t="s">
        <v>2144</v>
      </c>
    </row>
    <row r="45">
      <c r="A45" s="369"/>
      <c r="B45" s="48"/>
      <c r="C45" s="48"/>
      <c r="D45" s="48"/>
      <c r="E45" s="48"/>
      <c r="F45" s="48"/>
      <c r="G45" s="48"/>
      <c r="H45" s="336" t="s">
        <v>1941</v>
      </c>
      <c r="I45" s="339" t="s">
        <v>1949</v>
      </c>
      <c r="J45" s="342" t="s">
        <v>92</v>
      </c>
      <c r="K45" s="342" t="s">
        <v>838</v>
      </c>
      <c r="L45" s="373">
        <v>0.05</v>
      </c>
      <c r="M45" s="352">
        <v>493.05</v>
      </c>
      <c r="N45" s="347" t="s">
        <v>1941</v>
      </c>
      <c r="O45" s="339" t="s">
        <v>2017</v>
      </c>
    </row>
    <row r="46">
      <c r="A46" s="342">
        <v>19.0</v>
      </c>
      <c r="B46" s="348">
        <v>21.0</v>
      </c>
      <c r="C46" s="350">
        <v>46078.0</v>
      </c>
      <c r="D46" s="348" t="s">
        <v>2145</v>
      </c>
      <c r="E46" s="350">
        <v>46097.0</v>
      </c>
      <c r="F46" s="351">
        <v>77.0</v>
      </c>
      <c r="G46" s="390">
        <v>46078.0</v>
      </c>
      <c r="H46" s="336" t="s">
        <v>2146</v>
      </c>
      <c r="I46" s="339" t="s">
        <v>2147</v>
      </c>
      <c r="J46" s="342">
        <v>500.0</v>
      </c>
      <c r="K46" s="342" t="s">
        <v>39</v>
      </c>
      <c r="L46" s="346">
        <v>195.0</v>
      </c>
      <c r="M46" s="105">
        <f t="shared" ref="M46:M48" si="5">J46*L46</f>
        <v>97500</v>
      </c>
      <c r="N46" s="347" t="s">
        <v>2148</v>
      </c>
      <c r="O46" s="339" t="s">
        <v>2126</v>
      </c>
    </row>
    <row r="47">
      <c r="A47" s="369"/>
      <c r="B47" s="47"/>
      <c r="C47" s="47"/>
      <c r="D47" s="47"/>
      <c r="E47" s="47"/>
      <c r="F47" s="47"/>
      <c r="G47" s="47"/>
      <c r="H47" s="336" t="s">
        <v>2149</v>
      </c>
      <c r="I47" s="339" t="s">
        <v>2147</v>
      </c>
      <c r="J47" s="342">
        <v>500.0</v>
      </c>
      <c r="K47" s="342" t="s">
        <v>39</v>
      </c>
      <c r="L47" s="346">
        <v>245.0</v>
      </c>
      <c r="M47" s="105">
        <f t="shared" si="5"/>
        <v>122500</v>
      </c>
      <c r="N47" s="347" t="s">
        <v>2148</v>
      </c>
      <c r="O47" s="339" t="s">
        <v>2126</v>
      </c>
    </row>
    <row r="48">
      <c r="A48" s="369"/>
      <c r="B48" s="47"/>
      <c r="C48" s="47"/>
      <c r="D48" s="47"/>
      <c r="E48" s="47"/>
      <c r="F48" s="47"/>
      <c r="G48" s="47"/>
      <c r="H48" s="336" t="s">
        <v>2150</v>
      </c>
      <c r="I48" s="339" t="s">
        <v>2151</v>
      </c>
      <c r="J48" s="342">
        <v>100.0</v>
      </c>
      <c r="K48" s="342" t="s">
        <v>74</v>
      </c>
      <c r="L48" s="346">
        <v>105.6</v>
      </c>
      <c r="M48" s="105">
        <f t="shared" si="5"/>
        <v>10560</v>
      </c>
      <c r="N48" s="347" t="s">
        <v>2148</v>
      </c>
      <c r="O48" s="339" t="s">
        <v>2126</v>
      </c>
    </row>
    <row r="49">
      <c r="A49" s="369"/>
      <c r="B49" s="48"/>
      <c r="C49" s="48"/>
      <c r="D49" s="48"/>
      <c r="E49" s="48"/>
      <c r="F49" s="48"/>
      <c r="G49" s="48"/>
      <c r="H49" s="336" t="s">
        <v>1941</v>
      </c>
      <c r="I49" s="339" t="s">
        <v>1949</v>
      </c>
      <c r="J49" s="342" t="s">
        <v>92</v>
      </c>
      <c r="K49" s="342" t="s">
        <v>838</v>
      </c>
      <c r="L49" s="373">
        <v>0.05</v>
      </c>
      <c r="M49" s="352">
        <v>11528.0</v>
      </c>
      <c r="N49" s="347" t="s">
        <v>1941</v>
      </c>
      <c r="O49" s="339" t="s">
        <v>2017</v>
      </c>
    </row>
    <row r="50">
      <c r="A50" s="369"/>
      <c r="B50" s="348">
        <v>599.0</v>
      </c>
      <c r="C50" s="350">
        <v>46051.0</v>
      </c>
      <c r="D50" s="348" t="s">
        <v>2152</v>
      </c>
      <c r="E50" s="350">
        <v>46097.0</v>
      </c>
      <c r="F50" s="351">
        <v>1008.0</v>
      </c>
      <c r="G50" s="390">
        <v>46051.0</v>
      </c>
      <c r="H50" s="336" t="s">
        <v>2153</v>
      </c>
      <c r="I50" s="339" t="s">
        <v>2151</v>
      </c>
      <c r="J50" s="342">
        <v>1.0</v>
      </c>
      <c r="K50" s="342" t="s">
        <v>156</v>
      </c>
      <c r="L50" s="346">
        <v>2277.0</v>
      </c>
      <c r="M50" s="105">
        <f t="shared" ref="M50:M58" si="6">J50*L50</f>
        <v>2277</v>
      </c>
      <c r="N50" s="347" t="s">
        <v>2154</v>
      </c>
      <c r="O50" s="339" t="s">
        <v>2155</v>
      </c>
    </row>
    <row r="51">
      <c r="A51" s="369"/>
      <c r="B51" s="47"/>
      <c r="C51" s="47"/>
      <c r="D51" s="47"/>
      <c r="E51" s="47"/>
      <c r="F51" s="47"/>
      <c r="G51" s="47"/>
      <c r="H51" s="336" t="s">
        <v>2156</v>
      </c>
      <c r="I51" s="339" t="s">
        <v>2151</v>
      </c>
      <c r="J51" s="342">
        <v>1.0</v>
      </c>
      <c r="K51" s="342" t="s">
        <v>156</v>
      </c>
      <c r="L51" s="346">
        <v>1440.0</v>
      </c>
      <c r="M51" s="105">
        <f t="shared" si="6"/>
        <v>1440</v>
      </c>
      <c r="N51" s="347" t="s">
        <v>2154</v>
      </c>
      <c r="O51" s="339" t="s">
        <v>2155</v>
      </c>
    </row>
    <row r="52">
      <c r="A52" s="369"/>
      <c r="B52" s="47"/>
      <c r="C52" s="47"/>
      <c r="D52" s="47"/>
      <c r="E52" s="47"/>
      <c r="F52" s="47"/>
      <c r="G52" s="47"/>
      <c r="H52" s="336" t="s">
        <v>2157</v>
      </c>
      <c r="I52" s="339" t="s">
        <v>2151</v>
      </c>
      <c r="J52" s="342">
        <v>4.0</v>
      </c>
      <c r="K52" s="342" t="s">
        <v>156</v>
      </c>
      <c r="L52" s="346">
        <v>149.0</v>
      </c>
      <c r="M52" s="105">
        <f t="shared" si="6"/>
        <v>596</v>
      </c>
      <c r="N52" s="347" t="s">
        <v>2158</v>
      </c>
      <c r="O52" s="339" t="s">
        <v>2155</v>
      </c>
    </row>
    <row r="53">
      <c r="A53" s="369"/>
      <c r="B53" s="47"/>
      <c r="C53" s="47"/>
      <c r="D53" s="47"/>
      <c r="E53" s="47"/>
      <c r="F53" s="47"/>
      <c r="G53" s="47"/>
      <c r="H53" s="336" t="s">
        <v>2159</v>
      </c>
      <c r="I53" s="339" t="s">
        <v>2151</v>
      </c>
      <c r="J53" s="342">
        <v>3.0</v>
      </c>
      <c r="K53" s="342" t="s">
        <v>156</v>
      </c>
      <c r="L53" s="346">
        <v>122.0</v>
      </c>
      <c r="M53" s="105">
        <f t="shared" si="6"/>
        <v>366</v>
      </c>
      <c r="N53" s="347" t="s">
        <v>2158</v>
      </c>
      <c r="O53" s="339" t="s">
        <v>2155</v>
      </c>
    </row>
    <row r="54">
      <c r="A54" s="342">
        <v>20.0</v>
      </c>
      <c r="B54" s="47"/>
      <c r="C54" s="47"/>
      <c r="D54" s="47"/>
      <c r="E54" s="47"/>
      <c r="F54" s="47"/>
      <c r="G54" s="47"/>
      <c r="H54" s="336" t="s">
        <v>2160</v>
      </c>
      <c r="I54" s="339" t="s">
        <v>2151</v>
      </c>
      <c r="J54" s="342">
        <v>12.0</v>
      </c>
      <c r="K54" s="342" t="s">
        <v>156</v>
      </c>
      <c r="L54" s="346">
        <v>41.0</v>
      </c>
      <c r="M54" s="105">
        <f t="shared" si="6"/>
        <v>492</v>
      </c>
      <c r="N54" s="347" t="s">
        <v>2158</v>
      </c>
      <c r="O54" s="339" t="s">
        <v>2155</v>
      </c>
    </row>
    <row r="55">
      <c r="A55" s="369"/>
      <c r="B55" s="47"/>
      <c r="C55" s="47"/>
      <c r="D55" s="47"/>
      <c r="E55" s="47"/>
      <c r="F55" s="47"/>
      <c r="G55" s="47"/>
      <c r="H55" s="336" t="s">
        <v>2161</v>
      </c>
      <c r="I55" s="339" t="s">
        <v>2151</v>
      </c>
      <c r="J55" s="342">
        <v>14.0</v>
      </c>
      <c r="K55" s="342" t="s">
        <v>156</v>
      </c>
      <c r="L55" s="346">
        <v>1.0</v>
      </c>
      <c r="M55" s="105">
        <f t="shared" si="6"/>
        <v>14</v>
      </c>
      <c r="N55" s="347" t="s">
        <v>2158</v>
      </c>
      <c r="O55" s="339" t="s">
        <v>2155</v>
      </c>
    </row>
    <row r="56">
      <c r="A56" s="369"/>
      <c r="B56" s="47"/>
      <c r="C56" s="47"/>
      <c r="D56" s="47"/>
      <c r="E56" s="47"/>
      <c r="F56" s="47"/>
      <c r="G56" s="47"/>
      <c r="H56" s="336" t="s">
        <v>489</v>
      </c>
      <c r="I56" s="339" t="s">
        <v>2151</v>
      </c>
      <c r="J56" s="342">
        <v>1.0</v>
      </c>
      <c r="K56" s="342" t="s">
        <v>1062</v>
      </c>
      <c r="L56" s="346">
        <v>20.0</v>
      </c>
      <c r="M56" s="105">
        <f t="shared" si="6"/>
        <v>20</v>
      </c>
      <c r="N56" s="347" t="s">
        <v>2158</v>
      </c>
      <c r="O56" s="339" t="s">
        <v>2155</v>
      </c>
    </row>
    <row r="57">
      <c r="A57" s="369"/>
      <c r="B57" s="47"/>
      <c r="C57" s="47"/>
      <c r="D57" s="47"/>
      <c r="E57" s="47"/>
      <c r="F57" s="47"/>
      <c r="G57" s="47"/>
      <c r="H57" s="336" t="s">
        <v>2162</v>
      </c>
      <c r="I57" s="339" t="s">
        <v>2151</v>
      </c>
      <c r="J57" s="342">
        <v>1.0</v>
      </c>
      <c r="K57" s="342" t="s">
        <v>156</v>
      </c>
      <c r="L57" s="346">
        <v>1344.0</v>
      </c>
      <c r="M57" s="105">
        <f t="shared" si="6"/>
        <v>1344</v>
      </c>
      <c r="N57" s="347" t="s">
        <v>2158</v>
      </c>
      <c r="O57" s="339" t="s">
        <v>2155</v>
      </c>
    </row>
    <row r="58">
      <c r="A58" s="369"/>
      <c r="B58" s="47"/>
      <c r="C58" s="47"/>
      <c r="D58" s="47"/>
      <c r="E58" s="47"/>
      <c r="F58" s="47"/>
      <c r="G58" s="47"/>
      <c r="H58" s="336" t="s">
        <v>2163</v>
      </c>
      <c r="I58" s="339" t="s">
        <v>2151</v>
      </c>
      <c r="J58" s="342">
        <v>3.0</v>
      </c>
      <c r="K58" s="342" t="s">
        <v>981</v>
      </c>
      <c r="L58" s="346">
        <v>13.0</v>
      </c>
      <c r="M58" s="105">
        <f t="shared" si="6"/>
        <v>39</v>
      </c>
      <c r="N58" s="347" t="s">
        <v>2158</v>
      </c>
      <c r="O58" s="339" t="s">
        <v>2155</v>
      </c>
    </row>
    <row r="59">
      <c r="A59" s="369"/>
      <c r="B59" s="48"/>
      <c r="C59" s="48"/>
      <c r="D59" s="48"/>
      <c r="E59" s="48"/>
      <c r="F59" s="48"/>
      <c r="G59" s="48"/>
      <c r="H59" s="336" t="s">
        <v>1941</v>
      </c>
      <c r="I59" s="339" t="s">
        <v>1949</v>
      </c>
      <c r="J59" s="342" t="s">
        <v>92</v>
      </c>
      <c r="K59" s="342" t="s">
        <v>838</v>
      </c>
      <c r="L59" s="373">
        <v>0.05</v>
      </c>
      <c r="M59" s="352">
        <v>329.4</v>
      </c>
      <c r="N59" s="347" t="s">
        <v>1941</v>
      </c>
      <c r="O59" s="339" t="s">
        <v>2017</v>
      </c>
    </row>
    <row r="60">
      <c r="A60" s="342">
        <v>21.0</v>
      </c>
      <c r="B60" s="348">
        <v>20.0</v>
      </c>
      <c r="C60" s="350">
        <v>46069.0</v>
      </c>
      <c r="D60" s="348" t="s">
        <v>2164</v>
      </c>
      <c r="E60" s="350">
        <v>46094.0</v>
      </c>
      <c r="F60" s="351">
        <v>10.0</v>
      </c>
      <c r="G60" s="390">
        <v>46069.0</v>
      </c>
      <c r="H60" s="336" t="s">
        <v>2083</v>
      </c>
      <c r="I60" s="339" t="s">
        <v>2084</v>
      </c>
      <c r="J60" s="342">
        <v>360.0</v>
      </c>
      <c r="K60" s="342" t="s">
        <v>2085</v>
      </c>
      <c r="L60" s="346">
        <v>430.0</v>
      </c>
      <c r="M60" s="105">
        <f>J60*L60</f>
        <v>154800</v>
      </c>
      <c r="N60" s="347" t="s">
        <v>208</v>
      </c>
      <c r="O60" s="339" t="s">
        <v>2165</v>
      </c>
    </row>
    <row r="61">
      <c r="A61" s="369"/>
      <c r="B61" s="48"/>
      <c r="C61" s="48"/>
      <c r="D61" s="48"/>
      <c r="E61" s="48"/>
      <c r="F61" s="48"/>
      <c r="G61" s="48"/>
      <c r="H61" s="336" t="s">
        <v>1941</v>
      </c>
      <c r="I61" s="339" t="s">
        <v>1949</v>
      </c>
      <c r="J61" s="342" t="s">
        <v>92</v>
      </c>
      <c r="K61" s="342" t="s">
        <v>838</v>
      </c>
      <c r="L61" s="373">
        <v>0.05</v>
      </c>
      <c r="M61" s="352">
        <v>7740.0</v>
      </c>
      <c r="N61" s="347" t="s">
        <v>1941</v>
      </c>
      <c r="O61" s="339" t="s">
        <v>2017</v>
      </c>
    </row>
    <row r="62">
      <c r="A62" s="342">
        <v>22.0</v>
      </c>
      <c r="B62" s="348">
        <v>160.0</v>
      </c>
      <c r="C62" s="350">
        <v>46035.0</v>
      </c>
      <c r="D62" s="348" t="s">
        <v>2166</v>
      </c>
      <c r="E62" s="350">
        <v>46093.0</v>
      </c>
      <c r="F62" s="351">
        <v>896.0</v>
      </c>
      <c r="G62" s="390">
        <v>46036.0</v>
      </c>
      <c r="H62" s="336" t="s">
        <v>2167</v>
      </c>
      <c r="I62" s="339" t="s">
        <v>1401</v>
      </c>
      <c r="J62" s="342">
        <v>45000.0</v>
      </c>
      <c r="K62" s="342" t="s">
        <v>156</v>
      </c>
      <c r="L62" s="346">
        <v>13.9</v>
      </c>
      <c r="M62" s="105">
        <f>J62*L62</f>
        <v>625500</v>
      </c>
      <c r="N62" s="347" t="s">
        <v>2154</v>
      </c>
      <c r="O62" s="339" t="s">
        <v>2168</v>
      </c>
    </row>
    <row r="63">
      <c r="A63" s="369"/>
      <c r="B63" s="48"/>
      <c r="C63" s="48"/>
      <c r="D63" s="48"/>
      <c r="E63" s="48"/>
      <c r="F63" s="48"/>
      <c r="G63" s="48"/>
      <c r="H63" s="336" t="s">
        <v>1941</v>
      </c>
      <c r="I63" s="339" t="s">
        <v>1949</v>
      </c>
      <c r="J63" s="342" t="s">
        <v>92</v>
      </c>
      <c r="K63" s="342" t="s">
        <v>838</v>
      </c>
      <c r="L63" s="373">
        <v>0.05</v>
      </c>
      <c r="M63" s="352">
        <v>31275.0</v>
      </c>
      <c r="N63" s="347" t="s">
        <v>1941</v>
      </c>
      <c r="O63" s="339" t="s">
        <v>2017</v>
      </c>
    </row>
    <row r="64">
      <c r="A64" s="342">
        <v>23.0</v>
      </c>
      <c r="B64" s="348">
        <v>132.0</v>
      </c>
      <c r="C64" s="350">
        <v>46055.0</v>
      </c>
      <c r="D64" s="348" t="s">
        <v>2169</v>
      </c>
      <c r="E64" s="350">
        <v>46093.0</v>
      </c>
      <c r="F64" s="351">
        <v>1011.0</v>
      </c>
      <c r="G64" s="394">
        <v>46058.0</v>
      </c>
      <c r="H64" s="336" t="s">
        <v>2170</v>
      </c>
      <c r="I64" s="339" t="s">
        <v>2151</v>
      </c>
      <c r="J64" s="342">
        <v>245.0</v>
      </c>
      <c r="K64" s="342" t="s">
        <v>156</v>
      </c>
      <c r="L64" s="346">
        <v>250.0</v>
      </c>
      <c r="M64" s="105">
        <f t="shared" ref="M64:M68" si="7">J64*L64</f>
        <v>61250</v>
      </c>
      <c r="N64" s="347" t="s">
        <v>2119</v>
      </c>
      <c r="O64" s="339" t="s">
        <v>2171</v>
      </c>
    </row>
    <row r="65">
      <c r="A65" s="369"/>
      <c r="B65" s="47"/>
      <c r="C65" s="47"/>
      <c r="D65" s="47"/>
      <c r="E65" s="47"/>
      <c r="F65" s="47"/>
      <c r="G65" s="47"/>
      <c r="H65" s="336" t="s">
        <v>2172</v>
      </c>
      <c r="I65" s="339" t="s">
        <v>2151</v>
      </c>
      <c r="J65" s="342">
        <v>545.0</v>
      </c>
      <c r="K65" s="342" t="s">
        <v>156</v>
      </c>
      <c r="L65" s="346">
        <v>350.0</v>
      </c>
      <c r="M65" s="105">
        <f t="shared" si="7"/>
        <v>190750</v>
      </c>
      <c r="N65" s="347" t="s">
        <v>2119</v>
      </c>
      <c r="O65" s="339" t="s">
        <v>2171</v>
      </c>
    </row>
    <row r="66">
      <c r="A66" s="342">
        <v>24.0</v>
      </c>
      <c r="B66" s="47"/>
      <c r="C66" s="47"/>
      <c r="D66" s="47"/>
      <c r="E66" s="47"/>
      <c r="F66" s="47"/>
      <c r="G66" s="47"/>
      <c r="H66" s="336" t="s">
        <v>2173</v>
      </c>
      <c r="I66" s="339" t="s">
        <v>2151</v>
      </c>
      <c r="J66" s="342">
        <v>8.0</v>
      </c>
      <c r="K66" s="342" t="s">
        <v>156</v>
      </c>
      <c r="L66" s="346">
        <v>4100.0</v>
      </c>
      <c r="M66" s="105">
        <f t="shared" si="7"/>
        <v>32800</v>
      </c>
      <c r="N66" s="347" t="s">
        <v>2119</v>
      </c>
      <c r="O66" s="339" t="s">
        <v>2171</v>
      </c>
    </row>
    <row r="67">
      <c r="A67" s="369"/>
      <c r="B67" s="47"/>
      <c r="C67" s="47"/>
      <c r="D67" s="47"/>
      <c r="E67" s="47"/>
      <c r="F67" s="47"/>
      <c r="G67" s="47"/>
      <c r="H67" s="336" t="s">
        <v>2174</v>
      </c>
      <c r="I67" s="339" t="s">
        <v>2151</v>
      </c>
      <c r="J67" s="342">
        <v>395.0</v>
      </c>
      <c r="K67" s="342" t="s">
        <v>156</v>
      </c>
      <c r="L67" s="346">
        <v>158.0</v>
      </c>
      <c r="M67" s="105">
        <f t="shared" si="7"/>
        <v>62410</v>
      </c>
      <c r="N67" s="347" t="s">
        <v>2119</v>
      </c>
      <c r="O67" s="339" t="s">
        <v>2171</v>
      </c>
    </row>
    <row r="68">
      <c r="A68" s="369"/>
      <c r="B68" s="47"/>
      <c r="C68" s="47"/>
      <c r="D68" s="47"/>
      <c r="E68" s="47"/>
      <c r="F68" s="47"/>
      <c r="G68" s="47"/>
      <c r="H68" s="336" t="s">
        <v>2175</v>
      </c>
      <c r="I68" s="339" t="s">
        <v>2151</v>
      </c>
      <c r="J68" s="342">
        <v>112.0</v>
      </c>
      <c r="K68" s="342" t="s">
        <v>156</v>
      </c>
      <c r="L68" s="346">
        <v>1300.0</v>
      </c>
      <c r="M68" s="105">
        <f t="shared" si="7"/>
        <v>145600</v>
      </c>
      <c r="N68" s="347" t="s">
        <v>2119</v>
      </c>
      <c r="O68" s="339" t="s">
        <v>2171</v>
      </c>
    </row>
    <row r="69">
      <c r="A69" s="369"/>
      <c r="B69" s="48"/>
      <c r="C69" s="48"/>
      <c r="D69" s="48"/>
      <c r="E69" s="48"/>
      <c r="F69" s="48"/>
      <c r="G69" s="48"/>
      <c r="H69" s="336" t="s">
        <v>2130</v>
      </c>
      <c r="I69" s="339" t="s">
        <v>1949</v>
      </c>
      <c r="J69" s="342" t="s">
        <v>92</v>
      </c>
      <c r="K69" s="342" t="s">
        <v>838</v>
      </c>
      <c r="L69" s="373">
        <v>0.05</v>
      </c>
      <c r="M69" s="352">
        <v>24640.5</v>
      </c>
      <c r="N69" s="347" t="s">
        <v>1941</v>
      </c>
      <c r="O69" s="339" t="s">
        <v>2176</v>
      </c>
    </row>
    <row r="70">
      <c r="A70" s="342">
        <v>25.0</v>
      </c>
      <c r="B70" s="348">
        <v>134.0</v>
      </c>
      <c r="C70" s="350">
        <v>46056.0</v>
      </c>
      <c r="D70" s="348" t="s">
        <v>2169</v>
      </c>
      <c r="E70" s="350">
        <v>46093.0</v>
      </c>
      <c r="F70" s="351">
        <v>1012.0</v>
      </c>
      <c r="G70" s="394">
        <v>46058.0</v>
      </c>
      <c r="H70" s="336" t="s">
        <v>2177</v>
      </c>
      <c r="I70" s="339" t="s">
        <v>1401</v>
      </c>
      <c r="J70" s="342">
        <v>3.0</v>
      </c>
      <c r="K70" s="342" t="s">
        <v>156</v>
      </c>
      <c r="L70" s="346">
        <v>250.0</v>
      </c>
      <c r="M70" s="105">
        <f t="shared" ref="M70:M72" si="8">J70*L70</f>
        <v>750</v>
      </c>
      <c r="N70" s="347" t="s">
        <v>2119</v>
      </c>
      <c r="O70" s="339" t="s">
        <v>2178</v>
      </c>
    </row>
    <row r="71">
      <c r="A71" s="369"/>
      <c r="B71" s="47"/>
      <c r="C71" s="47"/>
      <c r="D71" s="47"/>
      <c r="E71" s="47"/>
      <c r="F71" s="47"/>
      <c r="G71" s="47"/>
      <c r="H71" s="336" t="s">
        <v>2179</v>
      </c>
      <c r="I71" s="339" t="s">
        <v>1401</v>
      </c>
      <c r="J71" s="342">
        <v>2.0</v>
      </c>
      <c r="K71" s="342" t="s">
        <v>156</v>
      </c>
      <c r="L71" s="346">
        <v>320.0</v>
      </c>
      <c r="M71" s="105">
        <f t="shared" si="8"/>
        <v>640</v>
      </c>
      <c r="N71" s="347" t="s">
        <v>2119</v>
      </c>
      <c r="O71" s="339" t="s">
        <v>2178</v>
      </c>
    </row>
    <row r="72">
      <c r="A72" s="369"/>
      <c r="B72" s="47"/>
      <c r="C72" s="47"/>
      <c r="D72" s="47"/>
      <c r="E72" s="47"/>
      <c r="F72" s="47"/>
      <c r="G72" s="47"/>
      <c r="H72" s="336" t="s">
        <v>2180</v>
      </c>
      <c r="I72" s="339" t="s">
        <v>1401</v>
      </c>
      <c r="J72" s="342">
        <v>4.0</v>
      </c>
      <c r="K72" s="342" t="s">
        <v>156</v>
      </c>
      <c r="L72" s="346">
        <v>420.0</v>
      </c>
      <c r="M72" s="105">
        <f t="shared" si="8"/>
        <v>1680</v>
      </c>
      <c r="N72" s="347" t="s">
        <v>2119</v>
      </c>
      <c r="O72" s="339" t="s">
        <v>2178</v>
      </c>
    </row>
    <row r="73">
      <c r="A73" s="369"/>
      <c r="B73" s="48"/>
      <c r="C73" s="48"/>
      <c r="D73" s="48"/>
      <c r="E73" s="48"/>
      <c r="F73" s="48"/>
      <c r="G73" s="48"/>
      <c r="H73" s="336" t="s">
        <v>1941</v>
      </c>
      <c r="I73" s="339" t="s">
        <v>1949</v>
      </c>
      <c r="J73" s="342" t="s">
        <v>92</v>
      </c>
      <c r="K73" s="342" t="s">
        <v>838</v>
      </c>
      <c r="L73" s="373">
        <v>0.05</v>
      </c>
      <c r="M73" s="352">
        <v>153.5</v>
      </c>
      <c r="N73" s="347" t="s">
        <v>1941</v>
      </c>
      <c r="O73" s="339" t="s">
        <v>2181</v>
      </c>
    </row>
    <row r="74">
      <c r="A74" s="342">
        <v>26.0</v>
      </c>
      <c r="B74" s="348">
        <v>7201.0</v>
      </c>
      <c r="C74" s="350">
        <v>46085.0</v>
      </c>
      <c r="D74" s="348" t="s">
        <v>2182</v>
      </c>
      <c r="E74" s="350">
        <v>46097.0</v>
      </c>
      <c r="F74" s="351">
        <v>1025.0</v>
      </c>
      <c r="G74" s="390">
        <v>46085.0</v>
      </c>
      <c r="H74" s="336" t="s">
        <v>36</v>
      </c>
      <c r="I74" s="339" t="s">
        <v>24</v>
      </c>
      <c r="J74" s="342">
        <v>220.0</v>
      </c>
      <c r="K74" s="342" t="s">
        <v>25</v>
      </c>
      <c r="L74" s="346">
        <v>63.29</v>
      </c>
      <c r="M74" s="105">
        <f t="shared" ref="M74:M76" si="9">J74*L74</f>
        <v>13923.8</v>
      </c>
      <c r="N74" s="347" t="s">
        <v>1689</v>
      </c>
      <c r="O74" s="339" t="s">
        <v>2183</v>
      </c>
    </row>
    <row r="75">
      <c r="A75" s="369"/>
      <c r="B75" s="48"/>
      <c r="C75" s="48"/>
      <c r="D75" s="48"/>
      <c r="E75" s="48"/>
      <c r="F75" s="48"/>
      <c r="G75" s="48"/>
      <c r="H75" s="336" t="s">
        <v>23</v>
      </c>
      <c r="I75" s="339" t="s">
        <v>24</v>
      </c>
      <c r="J75" s="342">
        <v>2640.0</v>
      </c>
      <c r="K75" s="342" t="s">
        <v>25</v>
      </c>
      <c r="L75" s="346">
        <v>70.18</v>
      </c>
      <c r="M75" s="105">
        <f t="shared" si="9"/>
        <v>185275.2</v>
      </c>
      <c r="N75" s="347" t="s">
        <v>2184</v>
      </c>
      <c r="O75" s="339" t="s">
        <v>2183</v>
      </c>
    </row>
    <row r="76">
      <c r="A76" s="342">
        <v>27.0</v>
      </c>
      <c r="B76" s="348">
        <v>18.0</v>
      </c>
      <c r="C76" s="350">
        <v>46030.0</v>
      </c>
      <c r="D76" s="348" t="s">
        <v>2185</v>
      </c>
      <c r="E76" s="350">
        <v>46097.0</v>
      </c>
      <c r="F76" s="351">
        <v>894.0</v>
      </c>
      <c r="G76" s="390">
        <v>46031.0</v>
      </c>
      <c r="H76" s="336" t="s">
        <v>1297</v>
      </c>
      <c r="I76" s="339" t="s">
        <v>547</v>
      </c>
      <c r="J76" s="342">
        <v>3.0</v>
      </c>
      <c r="K76" s="342" t="s">
        <v>156</v>
      </c>
      <c r="L76" s="396">
        <v>3500.0</v>
      </c>
      <c r="M76" s="105">
        <f t="shared" si="9"/>
        <v>10500</v>
      </c>
      <c r="N76" s="347" t="s">
        <v>535</v>
      </c>
      <c r="O76" s="339" t="s">
        <v>2186</v>
      </c>
    </row>
    <row r="77">
      <c r="A77" s="369"/>
      <c r="B77" s="48"/>
      <c r="C77" s="48"/>
      <c r="D77" s="48"/>
      <c r="E77" s="48"/>
      <c r="F77" s="48"/>
      <c r="G77" s="48"/>
      <c r="H77" s="336" t="s">
        <v>1941</v>
      </c>
      <c r="I77" s="339" t="s">
        <v>1949</v>
      </c>
      <c r="J77" s="342" t="s">
        <v>92</v>
      </c>
      <c r="K77" s="342" t="s">
        <v>838</v>
      </c>
      <c r="L77" s="373">
        <v>0.05</v>
      </c>
      <c r="M77" s="352">
        <v>525.0</v>
      </c>
      <c r="N77" s="347" t="s">
        <v>1941</v>
      </c>
      <c r="O77" s="339" t="s">
        <v>2181</v>
      </c>
    </row>
    <row r="78">
      <c r="A78" s="342">
        <v>28.0</v>
      </c>
      <c r="B78" s="348">
        <v>22.0</v>
      </c>
      <c r="C78" s="350">
        <v>46029.0</v>
      </c>
      <c r="D78" s="348" t="s">
        <v>2187</v>
      </c>
      <c r="E78" s="374">
        <v>46094.0</v>
      </c>
      <c r="F78" s="351">
        <v>896.0</v>
      </c>
      <c r="G78" s="390">
        <v>46036.0</v>
      </c>
      <c r="H78" s="336" t="s">
        <v>1972</v>
      </c>
      <c r="I78" s="339" t="s">
        <v>2188</v>
      </c>
      <c r="J78" s="342">
        <v>1.0</v>
      </c>
      <c r="K78" s="342" t="s">
        <v>207</v>
      </c>
      <c r="L78" s="346">
        <v>11880.0</v>
      </c>
      <c r="M78" s="105">
        <f>J78*L78</f>
        <v>11880</v>
      </c>
      <c r="N78" s="347" t="s">
        <v>208</v>
      </c>
      <c r="O78" s="339" t="s">
        <v>2189</v>
      </c>
    </row>
    <row r="79">
      <c r="A79" s="342">
        <v>29.0</v>
      </c>
      <c r="B79" s="48"/>
      <c r="C79" s="48"/>
      <c r="D79" s="48"/>
      <c r="E79" s="48"/>
      <c r="F79" s="48"/>
      <c r="G79" s="48"/>
      <c r="H79" s="336" t="s">
        <v>1941</v>
      </c>
      <c r="I79" s="339" t="s">
        <v>1949</v>
      </c>
      <c r="J79" s="342" t="s">
        <v>160</v>
      </c>
      <c r="K79" s="342" t="s">
        <v>838</v>
      </c>
      <c r="L79" s="373">
        <v>0.05</v>
      </c>
      <c r="M79" s="352">
        <v>594.0</v>
      </c>
      <c r="N79" s="347" t="s">
        <v>1941</v>
      </c>
      <c r="O79" s="339" t="s">
        <v>2017</v>
      </c>
    </row>
    <row r="80">
      <c r="A80" s="342">
        <v>30.0</v>
      </c>
      <c r="B80" s="348">
        <v>24.0</v>
      </c>
      <c r="C80" s="350">
        <v>46030.0</v>
      </c>
      <c r="D80" s="348" t="s">
        <v>2187</v>
      </c>
      <c r="E80" s="350">
        <v>46094.0</v>
      </c>
      <c r="F80" s="351">
        <v>896.0</v>
      </c>
      <c r="G80" s="390">
        <v>46036.0</v>
      </c>
      <c r="H80" s="336" t="s">
        <v>1972</v>
      </c>
      <c r="I80" s="339" t="s">
        <v>2084</v>
      </c>
      <c r="J80" s="342">
        <v>4.0</v>
      </c>
      <c r="K80" s="342" t="s">
        <v>256</v>
      </c>
      <c r="L80" s="346">
        <v>11880.0</v>
      </c>
      <c r="M80" s="105">
        <f>J80*L80</f>
        <v>47520</v>
      </c>
      <c r="N80" s="347" t="s">
        <v>208</v>
      </c>
      <c r="O80" s="339" t="s">
        <v>2189</v>
      </c>
    </row>
    <row r="81">
      <c r="A81" s="369"/>
      <c r="B81" s="48"/>
      <c r="C81" s="48"/>
      <c r="D81" s="48"/>
      <c r="E81" s="48"/>
      <c r="F81" s="48"/>
      <c r="G81" s="48"/>
      <c r="H81" s="336" t="s">
        <v>1941</v>
      </c>
      <c r="I81" s="339" t="s">
        <v>1949</v>
      </c>
      <c r="J81" s="342" t="s">
        <v>92</v>
      </c>
      <c r="K81" s="342" t="s">
        <v>838</v>
      </c>
      <c r="L81" s="373">
        <v>0.05</v>
      </c>
      <c r="M81" s="352">
        <v>2376.0</v>
      </c>
      <c r="N81" s="347" t="s">
        <v>1941</v>
      </c>
      <c r="O81" s="339" t="s">
        <v>2017</v>
      </c>
    </row>
    <row r="82">
      <c r="A82" s="342">
        <v>31.0</v>
      </c>
      <c r="B82" s="348">
        <v>25.0</v>
      </c>
      <c r="C82" s="350">
        <v>46031.0</v>
      </c>
      <c r="D82" s="348" t="s">
        <v>2187</v>
      </c>
      <c r="E82" s="350">
        <v>46094.0</v>
      </c>
      <c r="F82" s="351">
        <v>896.0</v>
      </c>
      <c r="G82" s="390">
        <v>46036.0</v>
      </c>
      <c r="H82" s="336" t="s">
        <v>1972</v>
      </c>
      <c r="I82" s="339" t="s">
        <v>2084</v>
      </c>
      <c r="J82" s="342">
        <v>7.0</v>
      </c>
      <c r="K82" s="342" t="s">
        <v>256</v>
      </c>
      <c r="L82" s="346">
        <v>11880.0</v>
      </c>
      <c r="M82" s="105">
        <f>J82*L82</f>
        <v>83160</v>
      </c>
      <c r="N82" s="347" t="s">
        <v>208</v>
      </c>
      <c r="O82" s="339" t="s">
        <v>2189</v>
      </c>
    </row>
    <row r="83">
      <c r="A83" s="369"/>
      <c r="B83" s="48"/>
      <c r="C83" s="48"/>
      <c r="D83" s="48"/>
      <c r="E83" s="48"/>
      <c r="F83" s="48"/>
      <c r="G83" s="48"/>
      <c r="H83" s="336" t="s">
        <v>1941</v>
      </c>
      <c r="I83" s="339" t="s">
        <v>1949</v>
      </c>
      <c r="J83" s="342" t="s">
        <v>160</v>
      </c>
      <c r="K83" s="342" t="s">
        <v>838</v>
      </c>
      <c r="L83" s="373">
        <v>0.05</v>
      </c>
      <c r="M83" s="352">
        <v>4158.0</v>
      </c>
      <c r="N83" s="347" t="s">
        <v>1941</v>
      </c>
      <c r="O83" s="339" t="s">
        <v>2017</v>
      </c>
    </row>
    <row r="84">
      <c r="A84" s="342">
        <v>32.0</v>
      </c>
      <c r="B84" s="348">
        <v>10.0</v>
      </c>
      <c r="C84" s="350">
        <v>46082.0</v>
      </c>
      <c r="D84" s="348" t="s">
        <v>2190</v>
      </c>
      <c r="E84" s="350">
        <v>46094.0</v>
      </c>
      <c r="F84" s="351">
        <v>10.0</v>
      </c>
      <c r="G84" s="397">
        <v>46082.0</v>
      </c>
      <c r="H84" s="336" t="s">
        <v>2075</v>
      </c>
      <c r="I84" s="339" t="s">
        <v>1597</v>
      </c>
      <c r="J84" s="342">
        <v>26.0</v>
      </c>
      <c r="K84" s="342" t="s">
        <v>174</v>
      </c>
      <c r="L84" s="346">
        <v>6153.84</v>
      </c>
      <c r="M84" s="352">
        <v>160000.0</v>
      </c>
      <c r="N84" s="347" t="s">
        <v>2191</v>
      </c>
      <c r="O84" s="339" t="s">
        <v>2192</v>
      </c>
    </row>
    <row r="85">
      <c r="A85" s="369"/>
      <c r="B85" s="47"/>
      <c r="C85" s="47"/>
      <c r="D85" s="47"/>
      <c r="E85" s="47"/>
      <c r="F85" s="47"/>
      <c r="G85" s="47"/>
      <c r="H85" s="336" t="s">
        <v>2078</v>
      </c>
      <c r="I85" s="339" t="s">
        <v>1597</v>
      </c>
      <c r="J85" s="342">
        <v>26.0</v>
      </c>
      <c r="K85" s="342" t="s">
        <v>174</v>
      </c>
      <c r="L85" s="346">
        <v>6153.84</v>
      </c>
      <c r="M85" s="352">
        <v>160000.0</v>
      </c>
      <c r="N85" s="347" t="s">
        <v>2191</v>
      </c>
      <c r="O85" s="339" t="s">
        <v>2192</v>
      </c>
    </row>
    <row r="86">
      <c r="A86" s="369"/>
      <c r="B86" s="47"/>
      <c r="C86" s="47"/>
      <c r="D86" s="47"/>
      <c r="E86" s="47"/>
      <c r="F86" s="47"/>
      <c r="G86" s="47"/>
      <c r="H86" s="336" t="s">
        <v>2079</v>
      </c>
      <c r="I86" s="339" t="s">
        <v>1597</v>
      </c>
      <c r="J86" s="342">
        <v>26.0</v>
      </c>
      <c r="K86" s="342" t="s">
        <v>174</v>
      </c>
      <c r="L86" s="346">
        <v>6153.84</v>
      </c>
      <c r="M86" s="352">
        <v>160000.0</v>
      </c>
      <c r="N86" s="347" t="s">
        <v>2191</v>
      </c>
      <c r="O86" s="339" t="s">
        <v>2192</v>
      </c>
    </row>
    <row r="87">
      <c r="A87" s="369"/>
      <c r="B87" s="47"/>
      <c r="C87" s="47"/>
      <c r="D87" s="47"/>
      <c r="E87" s="47"/>
      <c r="F87" s="47"/>
      <c r="G87" s="47"/>
      <c r="H87" s="336" t="s">
        <v>2080</v>
      </c>
      <c r="I87" s="339" t="s">
        <v>1597</v>
      </c>
      <c r="J87" s="342">
        <v>26.0</v>
      </c>
      <c r="K87" s="342" t="s">
        <v>174</v>
      </c>
      <c r="L87" s="346">
        <v>6153.84</v>
      </c>
      <c r="M87" s="352">
        <v>160000.0</v>
      </c>
      <c r="N87" s="347" t="s">
        <v>2191</v>
      </c>
      <c r="O87" s="339" t="s">
        <v>2192</v>
      </c>
    </row>
    <row r="88">
      <c r="A88" s="369"/>
      <c r="B88" s="48"/>
      <c r="C88" s="48"/>
      <c r="D88" s="48"/>
      <c r="E88" s="48"/>
      <c r="F88" s="48"/>
      <c r="G88" s="48"/>
      <c r="H88" s="336" t="s">
        <v>2193</v>
      </c>
      <c r="I88" s="339" t="s">
        <v>1597</v>
      </c>
      <c r="J88" s="342">
        <v>26.0</v>
      </c>
      <c r="K88" s="342" t="s">
        <v>174</v>
      </c>
      <c r="L88" s="346">
        <v>6153.84</v>
      </c>
      <c r="M88" s="352">
        <v>160000.0</v>
      </c>
      <c r="N88" s="347" t="s">
        <v>2191</v>
      </c>
      <c r="O88" s="339" t="s">
        <v>2192</v>
      </c>
    </row>
    <row r="89">
      <c r="A89" s="342">
        <v>33.0</v>
      </c>
      <c r="B89" s="348">
        <v>736.0</v>
      </c>
      <c r="C89" s="350">
        <v>46052.0</v>
      </c>
      <c r="D89" s="348" t="s">
        <v>2194</v>
      </c>
      <c r="E89" s="350">
        <v>46094.0</v>
      </c>
      <c r="F89" s="351">
        <v>1009.0</v>
      </c>
      <c r="G89" s="390">
        <v>46053.0</v>
      </c>
      <c r="H89" s="336" t="s">
        <v>2195</v>
      </c>
      <c r="I89" s="339" t="s">
        <v>2151</v>
      </c>
      <c r="J89" s="342">
        <v>448.0</v>
      </c>
      <c r="K89" s="342" t="s">
        <v>156</v>
      </c>
      <c r="L89" s="346">
        <v>45.0</v>
      </c>
      <c r="M89" s="105">
        <f t="shared" ref="M89:M90" si="10">J89*L89</f>
        <v>20160</v>
      </c>
      <c r="N89" s="347" t="s">
        <v>2196</v>
      </c>
      <c r="O89" s="339" t="s">
        <v>2139</v>
      </c>
    </row>
    <row r="90">
      <c r="A90" s="369"/>
      <c r="B90" s="47"/>
      <c r="C90" s="47"/>
      <c r="D90" s="47"/>
      <c r="E90" s="47"/>
      <c r="F90" s="47"/>
      <c r="G90" s="47"/>
      <c r="H90" s="336" t="s">
        <v>2197</v>
      </c>
      <c r="I90" s="339" t="s">
        <v>2151</v>
      </c>
      <c r="J90" s="342">
        <v>395.0</v>
      </c>
      <c r="K90" s="342" t="s">
        <v>156</v>
      </c>
      <c r="L90" s="346">
        <v>58.0</v>
      </c>
      <c r="M90" s="105">
        <f t="shared" si="10"/>
        <v>22910</v>
      </c>
      <c r="N90" s="347" t="s">
        <v>2196</v>
      </c>
      <c r="O90" s="339" t="s">
        <v>2139</v>
      </c>
    </row>
    <row r="91">
      <c r="A91" s="369"/>
      <c r="B91" s="48"/>
      <c r="C91" s="48"/>
      <c r="D91" s="48"/>
      <c r="E91" s="48"/>
      <c r="F91" s="48"/>
      <c r="G91" s="48"/>
      <c r="H91" s="336" t="s">
        <v>1941</v>
      </c>
      <c r="I91" s="339" t="s">
        <v>1949</v>
      </c>
      <c r="J91" s="342" t="s">
        <v>92</v>
      </c>
      <c r="K91" s="342" t="s">
        <v>838</v>
      </c>
      <c r="L91" s="373">
        <v>0.05</v>
      </c>
      <c r="M91" s="352">
        <v>2153.5</v>
      </c>
      <c r="N91" s="347" t="s">
        <v>1941</v>
      </c>
      <c r="O91" s="339" t="s">
        <v>2017</v>
      </c>
    </row>
    <row r="92">
      <c r="A92" s="342">
        <v>34.0</v>
      </c>
      <c r="B92" s="348">
        <v>59.0</v>
      </c>
      <c r="C92" s="350">
        <v>46069.0</v>
      </c>
      <c r="D92" s="348" t="s">
        <v>2198</v>
      </c>
      <c r="E92" s="350">
        <v>46094.0</v>
      </c>
      <c r="F92" s="351">
        <v>1018.0</v>
      </c>
      <c r="G92" s="390">
        <v>46069.0</v>
      </c>
      <c r="H92" s="336" t="s">
        <v>2199</v>
      </c>
      <c r="I92" s="339" t="s">
        <v>2084</v>
      </c>
      <c r="J92" s="342">
        <v>7.0</v>
      </c>
      <c r="K92" s="342" t="s">
        <v>256</v>
      </c>
      <c r="L92" s="346">
        <v>23380.0</v>
      </c>
      <c r="M92" s="105">
        <f>J92*L92</f>
        <v>163660</v>
      </c>
      <c r="N92" s="347" t="s">
        <v>208</v>
      </c>
      <c r="O92" s="339" t="s">
        <v>2178</v>
      </c>
    </row>
    <row r="93">
      <c r="A93" s="369"/>
      <c r="B93" s="48"/>
      <c r="C93" s="48"/>
      <c r="D93" s="48"/>
      <c r="E93" s="48"/>
      <c r="F93" s="48"/>
      <c r="G93" s="48"/>
      <c r="H93" s="336" t="s">
        <v>1941</v>
      </c>
      <c r="I93" s="339" t="s">
        <v>1949</v>
      </c>
      <c r="J93" s="342" t="s">
        <v>92</v>
      </c>
      <c r="K93" s="342" t="s">
        <v>838</v>
      </c>
      <c r="L93" s="373">
        <v>0.05</v>
      </c>
      <c r="M93" s="352">
        <v>8183.0</v>
      </c>
      <c r="N93" s="347" t="s">
        <v>1941</v>
      </c>
      <c r="O93" s="339" t="s">
        <v>2017</v>
      </c>
    </row>
    <row r="94">
      <c r="A94" s="342">
        <v>35.0</v>
      </c>
      <c r="B94" s="348">
        <v>51.0</v>
      </c>
      <c r="C94" s="350">
        <v>46049.0</v>
      </c>
      <c r="D94" s="348" t="s">
        <v>2200</v>
      </c>
      <c r="E94" s="350">
        <v>46094.0</v>
      </c>
      <c r="F94" s="351">
        <v>1009.0</v>
      </c>
      <c r="G94" s="390">
        <v>46053.0</v>
      </c>
      <c r="H94" s="336" t="s">
        <v>2201</v>
      </c>
      <c r="I94" s="339" t="s">
        <v>2151</v>
      </c>
      <c r="J94" s="342">
        <v>66.0</v>
      </c>
      <c r="K94" s="342" t="s">
        <v>156</v>
      </c>
      <c r="L94" s="346">
        <v>130.0</v>
      </c>
      <c r="M94" s="105">
        <f t="shared" ref="M94:M97" si="11">J94*L94</f>
        <v>8580</v>
      </c>
      <c r="N94" s="347" t="s">
        <v>1376</v>
      </c>
      <c r="O94" s="339" t="s">
        <v>2139</v>
      </c>
    </row>
    <row r="95">
      <c r="A95" s="369"/>
      <c r="B95" s="47"/>
      <c r="C95" s="47"/>
      <c r="D95" s="47"/>
      <c r="E95" s="47"/>
      <c r="F95" s="47"/>
      <c r="G95" s="47"/>
      <c r="H95" s="336" t="s">
        <v>2202</v>
      </c>
      <c r="I95" s="339" t="s">
        <v>2151</v>
      </c>
      <c r="J95" s="342">
        <v>448.0</v>
      </c>
      <c r="K95" s="342" t="s">
        <v>156</v>
      </c>
      <c r="L95" s="346">
        <v>75.0</v>
      </c>
      <c r="M95" s="105">
        <f t="shared" si="11"/>
        <v>33600</v>
      </c>
      <c r="N95" s="347" t="s">
        <v>1376</v>
      </c>
      <c r="O95" s="339" t="s">
        <v>2139</v>
      </c>
    </row>
    <row r="96">
      <c r="A96" s="369"/>
      <c r="B96" s="47"/>
      <c r="C96" s="47"/>
      <c r="D96" s="47"/>
      <c r="E96" s="47"/>
      <c r="F96" s="47"/>
      <c r="G96" s="47"/>
      <c r="H96" s="336" t="s">
        <v>2203</v>
      </c>
      <c r="I96" s="339" t="s">
        <v>2151</v>
      </c>
      <c r="J96" s="342">
        <v>395.0</v>
      </c>
      <c r="K96" s="342" t="s">
        <v>156</v>
      </c>
      <c r="L96" s="346">
        <v>92.0</v>
      </c>
      <c r="M96" s="105">
        <f t="shared" si="11"/>
        <v>36340</v>
      </c>
      <c r="N96" s="347" t="s">
        <v>1376</v>
      </c>
      <c r="O96" s="339" t="s">
        <v>2139</v>
      </c>
    </row>
    <row r="97">
      <c r="A97" s="369"/>
      <c r="B97" s="47"/>
      <c r="C97" s="47"/>
      <c r="D97" s="47"/>
      <c r="E97" s="47"/>
      <c r="F97" s="47"/>
      <c r="G97" s="47"/>
      <c r="H97" s="336" t="s">
        <v>2204</v>
      </c>
      <c r="I97" s="339" t="s">
        <v>2151</v>
      </c>
      <c r="J97" s="342">
        <v>66.0</v>
      </c>
      <c r="K97" s="342" t="s">
        <v>156</v>
      </c>
      <c r="L97" s="346">
        <v>255.0</v>
      </c>
      <c r="M97" s="105">
        <f t="shared" si="11"/>
        <v>16830</v>
      </c>
      <c r="N97" s="347" t="s">
        <v>1376</v>
      </c>
      <c r="O97" s="339" t="s">
        <v>2139</v>
      </c>
    </row>
    <row r="98">
      <c r="A98" s="369"/>
      <c r="B98" s="48"/>
      <c r="C98" s="48"/>
      <c r="D98" s="48"/>
      <c r="E98" s="48"/>
      <c r="F98" s="48"/>
      <c r="G98" s="48"/>
      <c r="H98" s="336" t="s">
        <v>1941</v>
      </c>
      <c r="I98" s="339" t="s">
        <v>1949</v>
      </c>
      <c r="J98" s="342" t="s">
        <v>92</v>
      </c>
      <c r="K98" s="342" t="s">
        <v>838</v>
      </c>
      <c r="L98" s="373">
        <v>0.05</v>
      </c>
      <c r="M98" s="352">
        <v>4767.5</v>
      </c>
      <c r="N98" s="347" t="s">
        <v>1941</v>
      </c>
      <c r="O98" s="339" t="s">
        <v>2017</v>
      </c>
    </row>
    <row r="99">
      <c r="A99" s="342">
        <v>36.0</v>
      </c>
      <c r="B99" s="348">
        <v>104.0</v>
      </c>
      <c r="C99" s="350">
        <v>46041.0</v>
      </c>
      <c r="D99" s="348" t="s">
        <v>2200</v>
      </c>
      <c r="E99" s="350">
        <v>46094.0</v>
      </c>
      <c r="F99" s="351">
        <v>1019.0</v>
      </c>
      <c r="G99" s="390">
        <v>46076.0</v>
      </c>
      <c r="H99" s="336" t="s">
        <v>2205</v>
      </c>
      <c r="I99" s="339" t="s">
        <v>29</v>
      </c>
      <c r="J99" s="342">
        <v>5.0</v>
      </c>
      <c r="K99" s="342" t="s">
        <v>156</v>
      </c>
      <c r="L99" s="346">
        <v>350.0</v>
      </c>
      <c r="M99" s="105">
        <f>J99*L99</f>
        <v>1750</v>
      </c>
      <c r="N99" s="347" t="s">
        <v>1376</v>
      </c>
      <c r="O99" s="339" t="s">
        <v>2206</v>
      </c>
    </row>
    <row r="100">
      <c r="A100" s="369"/>
      <c r="B100" s="48"/>
      <c r="C100" s="48"/>
      <c r="D100" s="48"/>
      <c r="E100" s="48"/>
      <c r="F100" s="48"/>
      <c r="G100" s="48"/>
      <c r="H100" s="336" t="s">
        <v>1941</v>
      </c>
      <c r="I100" s="339" t="s">
        <v>1949</v>
      </c>
      <c r="J100" s="342" t="s">
        <v>92</v>
      </c>
      <c r="K100" s="342" t="s">
        <v>838</v>
      </c>
      <c r="L100" s="373">
        <v>0.05</v>
      </c>
      <c r="M100" s="352">
        <v>87.5</v>
      </c>
      <c r="N100" s="347" t="s">
        <v>1941</v>
      </c>
      <c r="O100" s="339" t="s">
        <v>2017</v>
      </c>
    </row>
    <row r="101">
      <c r="A101" s="342">
        <v>37.0</v>
      </c>
      <c r="B101" s="339">
        <v>1962.0</v>
      </c>
      <c r="C101" s="345">
        <v>46094.0</v>
      </c>
      <c r="D101" s="339" t="s">
        <v>2207</v>
      </c>
      <c r="E101" s="345">
        <v>46115.0</v>
      </c>
      <c r="F101" s="342">
        <v>1962.0</v>
      </c>
      <c r="G101" s="395">
        <v>46094.0</v>
      </c>
      <c r="H101" s="336" t="s">
        <v>2208</v>
      </c>
      <c r="I101" s="339" t="s">
        <v>29</v>
      </c>
      <c r="J101" s="342">
        <v>547.0</v>
      </c>
      <c r="K101" s="342" t="s">
        <v>2209</v>
      </c>
      <c r="L101" s="346">
        <v>20.0</v>
      </c>
      <c r="M101" s="105">
        <f t="shared" ref="M101:M102" si="12">J101*L101</f>
        <v>10940</v>
      </c>
      <c r="N101" s="347" t="s">
        <v>2210</v>
      </c>
      <c r="O101" s="339" t="s">
        <v>2211</v>
      </c>
    </row>
    <row r="102">
      <c r="A102" s="342">
        <v>38.0</v>
      </c>
      <c r="B102" s="348">
        <v>28.0</v>
      </c>
      <c r="C102" s="350">
        <v>46042.0</v>
      </c>
      <c r="D102" s="348" t="s">
        <v>2212</v>
      </c>
      <c r="E102" s="350">
        <v>46094.0</v>
      </c>
      <c r="F102" s="351">
        <v>597.0</v>
      </c>
      <c r="G102" s="390">
        <v>46042.0</v>
      </c>
      <c r="H102" s="336" t="s">
        <v>2213</v>
      </c>
      <c r="I102" s="339" t="s">
        <v>2084</v>
      </c>
      <c r="J102" s="342">
        <v>6.0</v>
      </c>
      <c r="K102" s="342" t="s">
        <v>256</v>
      </c>
      <c r="L102" s="346">
        <v>11880.0</v>
      </c>
      <c r="M102" s="105">
        <f t="shared" si="12"/>
        <v>71280</v>
      </c>
      <c r="N102" s="347" t="s">
        <v>208</v>
      </c>
      <c r="O102" s="339" t="s">
        <v>2214</v>
      </c>
    </row>
    <row r="103">
      <c r="A103" s="369"/>
      <c r="B103" s="48"/>
      <c r="C103" s="48"/>
      <c r="D103" s="48"/>
      <c r="E103" s="48"/>
      <c r="F103" s="48"/>
      <c r="G103" s="48"/>
      <c r="H103" s="336" t="s">
        <v>1941</v>
      </c>
      <c r="I103" s="339" t="s">
        <v>1949</v>
      </c>
      <c r="J103" s="342" t="s">
        <v>160</v>
      </c>
      <c r="K103" s="342" t="s">
        <v>838</v>
      </c>
      <c r="L103" s="373">
        <v>0.05</v>
      </c>
      <c r="M103" s="352">
        <v>3564.0</v>
      </c>
      <c r="N103" s="347" t="s">
        <v>1941</v>
      </c>
      <c r="O103" s="339" t="s">
        <v>2017</v>
      </c>
    </row>
    <row r="104">
      <c r="A104" s="342">
        <v>39.0</v>
      </c>
      <c r="B104" s="348">
        <v>29.0</v>
      </c>
      <c r="C104" s="350">
        <v>46043.0</v>
      </c>
      <c r="D104" s="348" t="s">
        <v>2212</v>
      </c>
      <c r="E104" s="350">
        <v>46094.0</v>
      </c>
      <c r="F104" s="351">
        <v>604.0</v>
      </c>
      <c r="G104" s="390">
        <v>46043.0</v>
      </c>
      <c r="H104" s="336" t="s">
        <v>2213</v>
      </c>
      <c r="I104" s="339" t="s">
        <v>2084</v>
      </c>
      <c r="J104" s="342">
        <v>4.0</v>
      </c>
      <c r="K104" s="342" t="s">
        <v>256</v>
      </c>
      <c r="L104" s="346">
        <v>11880.0</v>
      </c>
      <c r="M104" s="105">
        <f>J104*L104</f>
        <v>47520</v>
      </c>
      <c r="N104" s="347" t="s">
        <v>208</v>
      </c>
      <c r="O104" s="339" t="s">
        <v>2214</v>
      </c>
    </row>
    <row r="105">
      <c r="A105" s="369"/>
      <c r="B105" s="48"/>
      <c r="C105" s="48"/>
      <c r="D105" s="48"/>
      <c r="E105" s="48"/>
      <c r="F105" s="48"/>
      <c r="G105" s="48"/>
      <c r="H105" s="336" t="s">
        <v>1941</v>
      </c>
      <c r="I105" s="339" t="s">
        <v>1949</v>
      </c>
      <c r="J105" s="342" t="s">
        <v>92</v>
      </c>
      <c r="K105" s="342" t="s">
        <v>838</v>
      </c>
      <c r="L105" s="373">
        <v>0.05</v>
      </c>
      <c r="M105" s="352">
        <v>2376.0</v>
      </c>
      <c r="N105" s="347" t="s">
        <v>1941</v>
      </c>
      <c r="O105" s="339" t="s">
        <v>2017</v>
      </c>
    </row>
    <row r="106">
      <c r="A106" s="342">
        <v>40.0</v>
      </c>
      <c r="B106" s="348">
        <v>31.0</v>
      </c>
      <c r="C106" s="350">
        <v>46044.0</v>
      </c>
      <c r="D106" s="348" t="s">
        <v>2212</v>
      </c>
      <c r="E106" s="350">
        <v>46094.0</v>
      </c>
      <c r="F106" s="351">
        <v>608.0</v>
      </c>
      <c r="G106" s="390">
        <v>46044.0</v>
      </c>
      <c r="H106" s="336" t="s">
        <v>1972</v>
      </c>
      <c r="I106" s="339" t="s">
        <v>2084</v>
      </c>
      <c r="J106" s="342">
        <v>2.0</v>
      </c>
      <c r="K106" s="342" t="s">
        <v>256</v>
      </c>
      <c r="L106" s="346">
        <v>11880.0</v>
      </c>
      <c r="M106" s="105">
        <f>J106*L106</f>
        <v>23760</v>
      </c>
      <c r="N106" s="347" t="s">
        <v>208</v>
      </c>
      <c r="O106" s="339" t="s">
        <v>2214</v>
      </c>
    </row>
    <row r="107">
      <c r="A107" s="369"/>
      <c r="B107" s="48"/>
      <c r="C107" s="48"/>
      <c r="D107" s="48"/>
      <c r="E107" s="48"/>
      <c r="F107" s="48"/>
      <c r="G107" s="48"/>
      <c r="H107" s="336" t="s">
        <v>1941</v>
      </c>
      <c r="I107" s="339" t="s">
        <v>1949</v>
      </c>
      <c r="J107" s="342" t="s">
        <v>92</v>
      </c>
      <c r="K107" s="342" t="s">
        <v>838</v>
      </c>
      <c r="L107" s="373">
        <v>0.05</v>
      </c>
      <c r="M107" s="352">
        <v>1188.0</v>
      </c>
      <c r="N107" s="347" t="s">
        <v>208</v>
      </c>
      <c r="O107" s="339" t="s">
        <v>2215</v>
      </c>
    </row>
    <row r="108">
      <c r="A108" s="342">
        <v>41.0</v>
      </c>
      <c r="B108" s="348">
        <v>32.0</v>
      </c>
      <c r="C108" s="350">
        <v>46045.0</v>
      </c>
      <c r="D108" s="348" t="s">
        <v>2212</v>
      </c>
      <c r="E108" s="350">
        <v>46094.0</v>
      </c>
      <c r="F108" s="351">
        <v>610.0</v>
      </c>
      <c r="G108" s="390">
        <v>46045.0</v>
      </c>
      <c r="H108" s="336" t="s">
        <v>1972</v>
      </c>
      <c r="I108" s="339" t="s">
        <v>2084</v>
      </c>
      <c r="J108" s="342">
        <v>2.0</v>
      </c>
      <c r="K108" s="342" t="s">
        <v>256</v>
      </c>
      <c r="L108" s="346">
        <v>11880.0</v>
      </c>
      <c r="M108" s="105">
        <f>J108*L108</f>
        <v>23760</v>
      </c>
      <c r="N108" s="347" t="s">
        <v>208</v>
      </c>
      <c r="O108" s="339" t="s">
        <v>2214</v>
      </c>
    </row>
    <row r="109">
      <c r="A109" s="369"/>
      <c r="B109" s="48"/>
      <c r="C109" s="48"/>
      <c r="D109" s="48"/>
      <c r="E109" s="48"/>
      <c r="F109" s="48"/>
      <c r="G109" s="48"/>
      <c r="H109" s="336" t="s">
        <v>1941</v>
      </c>
      <c r="I109" s="339" t="s">
        <v>1949</v>
      </c>
      <c r="J109" s="342" t="s">
        <v>92</v>
      </c>
      <c r="K109" s="342" t="s">
        <v>838</v>
      </c>
      <c r="L109" s="373">
        <v>0.05</v>
      </c>
      <c r="M109" s="352">
        <v>1188.0</v>
      </c>
      <c r="N109" s="347" t="s">
        <v>1941</v>
      </c>
      <c r="O109" s="339" t="s">
        <v>2214</v>
      </c>
    </row>
    <row r="110">
      <c r="A110" s="342">
        <v>42.0</v>
      </c>
      <c r="B110" s="339">
        <v>285.0</v>
      </c>
      <c r="C110" s="345">
        <v>46068.0</v>
      </c>
      <c r="D110" s="339" t="s">
        <v>2216</v>
      </c>
      <c r="E110" s="345">
        <v>46094.0</v>
      </c>
      <c r="F110" s="342">
        <v>1016.0</v>
      </c>
      <c r="G110" s="395">
        <v>46068.0</v>
      </c>
      <c r="H110" s="336" t="s">
        <v>23</v>
      </c>
      <c r="I110" s="339" t="s">
        <v>24</v>
      </c>
      <c r="J110" s="342">
        <v>2640.0</v>
      </c>
      <c r="K110" s="342" t="s">
        <v>25</v>
      </c>
      <c r="L110" s="346">
        <v>64.91</v>
      </c>
      <c r="M110" s="105">
        <f t="shared" ref="M110:M120" si="13">J110*L110</f>
        <v>171362.4</v>
      </c>
      <c r="N110" s="347" t="s">
        <v>2184</v>
      </c>
      <c r="O110" s="339" t="s">
        <v>2217</v>
      </c>
    </row>
    <row r="111">
      <c r="A111" s="342">
        <v>43.0</v>
      </c>
      <c r="B111" s="348">
        <v>1734.0</v>
      </c>
      <c r="C111" s="350">
        <v>46080.0</v>
      </c>
      <c r="D111" s="348" t="s">
        <v>2216</v>
      </c>
      <c r="E111" s="350">
        <v>46094.0</v>
      </c>
      <c r="F111" s="351">
        <v>1020.0</v>
      </c>
      <c r="G111" s="390">
        <v>46080.0</v>
      </c>
      <c r="H111" s="336" t="s">
        <v>36</v>
      </c>
      <c r="I111" s="339" t="s">
        <v>24</v>
      </c>
      <c r="J111" s="342">
        <v>440.0</v>
      </c>
      <c r="K111" s="342" t="s">
        <v>25</v>
      </c>
      <c r="L111" s="346">
        <v>61.73</v>
      </c>
      <c r="M111" s="105">
        <f t="shared" si="13"/>
        <v>27161.2</v>
      </c>
      <c r="N111" s="347" t="s">
        <v>2184</v>
      </c>
      <c r="O111" s="339" t="s">
        <v>2217</v>
      </c>
    </row>
    <row r="112">
      <c r="A112" s="369"/>
      <c r="B112" s="48"/>
      <c r="C112" s="48"/>
      <c r="D112" s="48"/>
      <c r="E112" s="48"/>
      <c r="F112" s="48"/>
      <c r="G112" s="48"/>
      <c r="H112" s="336" t="s">
        <v>23</v>
      </c>
      <c r="I112" s="339" t="s">
        <v>24</v>
      </c>
      <c r="J112" s="342">
        <v>2640.0</v>
      </c>
      <c r="K112" s="342" t="s">
        <v>25</v>
      </c>
      <c r="L112" s="346">
        <v>68.36</v>
      </c>
      <c r="M112" s="105">
        <f t="shared" si="13"/>
        <v>180470.4</v>
      </c>
      <c r="N112" s="347" t="s">
        <v>2218</v>
      </c>
      <c r="O112" s="339" t="s">
        <v>2217</v>
      </c>
    </row>
    <row r="113">
      <c r="A113" s="342">
        <v>44.0</v>
      </c>
      <c r="B113" s="348">
        <v>2.0</v>
      </c>
      <c r="C113" s="350">
        <v>46037.0</v>
      </c>
      <c r="D113" s="348" t="s">
        <v>2219</v>
      </c>
      <c r="E113" s="350">
        <v>46094.0</v>
      </c>
      <c r="F113" s="351">
        <v>2.0</v>
      </c>
      <c r="G113" s="390">
        <v>46037.0</v>
      </c>
      <c r="H113" s="336" t="s">
        <v>2220</v>
      </c>
      <c r="I113" s="339" t="s">
        <v>2101</v>
      </c>
      <c r="J113" s="342">
        <v>5.0</v>
      </c>
      <c r="K113" s="342" t="s">
        <v>156</v>
      </c>
      <c r="L113" s="346">
        <v>100.0</v>
      </c>
      <c r="M113" s="105">
        <f t="shared" si="13"/>
        <v>500</v>
      </c>
      <c r="N113" s="347" t="s">
        <v>2221</v>
      </c>
      <c r="O113" s="339" t="s">
        <v>2222</v>
      </c>
    </row>
    <row r="114">
      <c r="A114" s="369"/>
      <c r="B114" s="47"/>
      <c r="C114" s="47"/>
      <c r="D114" s="47"/>
      <c r="E114" s="47"/>
      <c r="F114" s="47"/>
      <c r="G114" s="47"/>
      <c r="H114" s="336" t="s">
        <v>2223</v>
      </c>
      <c r="I114" s="339" t="s">
        <v>2101</v>
      </c>
      <c r="J114" s="342">
        <v>5.0</v>
      </c>
      <c r="K114" s="342" t="s">
        <v>156</v>
      </c>
      <c r="L114" s="346">
        <v>250.0</v>
      </c>
      <c r="M114" s="105">
        <f t="shared" si="13"/>
        <v>1250</v>
      </c>
      <c r="N114" s="347" t="s">
        <v>2221</v>
      </c>
      <c r="O114" s="339" t="s">
        <v>2222</v>
      </c>
    </row>
    <row r="115">
      <c r="A115" s="369"/>
      <c r="B115" s="47"/>
      <c r="C115" s="47"/>
      <c r="D115" s="47"/>
      <c r="E115" s="47"/>
      <c r="F115" s="47"/>
      <c r="G115" s="47"/>
      <c r="H115" s="336" t="s">
        <v>2224</v>
      </c>
      <c r="I115" s="339" t="s">
        <v>2101</v>
      </c>
      <c r="J115" s="342">
        <v>20.0</v>
      </c>
      <c r="K115" s="342" t="s">
        <v>156</v>
      </c>
      <c r="L115" s="346">
        <v>1200.0</v>
      </c>
      <c r="M115" s="105">
        <f t="shared" si="13"/>
        <v>24000</v>
      </c>
      <c r="N115" s="347" t="s">
        <v>2221</v>
      </c>
      <c r="O115" s="339" t="s">
        <v>2222</v>
      </c>
    </row>
    <row r="116">
      <c r="A116" s="369"/>
      <c r="B116" s="47"/>
      <c r="C116" s="47"/>
      <c r="D116" s="47"/>
      <c r="E116" s="47"/>
      <c r="F116" s="47"/>
      <c r="G116" s="47"/>
      <c r="H116" s="336" t="s">
        <v>2225</v>
      </c>
      <c r="I116" s="339" t="s">
        <v>2101</v>
      </c>
      <c r="J116" s="342">
        <v>20.0</v>
      </c>
      <c r="K116" s="342" t="s">
        <v>156</v>
      </c>
      <c r="L116" s="346">
        <v>100.0</v>
      </c>
      <c r="M116" s="105">
        <f t="shared" si="13"/>
        <v>2000</v>
      </c>
      <c r="N116" s="347" t="s">
        <v>2221</v>
      </c>
      <c r="O116" s="339" t="s">
        <v>2222</v>
      </c>
    </row>
    <row r="117">
      <c r="A117" s="369"/>
      <c r="B117" s="47"/>
      <c r="C117" s="47"/>
      <c r="D117" s="47"/>
      <c r="E117" s="47"/>
      <c r="F117" s="47"/>
      <c r="G117" s="47"/>
      <c r="H117" s="336" t="s">
        <v>2226</v>
      </c>
      <c r="I117" s="339" t="s">
        <v>2101</v>
      </c>
      <c r="J117" s="342">
        <v>10.0</v>
      </c>
      <c r="K117" s="342" t="s">
        <v>156</v>
      </c>
      <c r="L117" s="346">
        <v>4500.0</v>
      </c>
      <c r="M117" s="105">
        <f t="shared" si="13"/>
        <v>45000</v>
      </c>
      <c r="N117" s="347" t="s">
        <v>2221</v>
      </c>
      <c r="O117" s="339" t="s">
        <v>2222</v>
      </c>
    </row>
    <row r="118">
      <c r="A118" s="369"/>
      <c r="B118" s="48"/>
      <c r="C118" s="48"/>
      <c r="D118" s="48"/>
      <c r="E118" s="48"/>
      <c r="F118" s="48"/>
      <c r="G118" s="48"/>
      <c r="H118" s="336" t="s">
        <v>2227</v>
      </c>
      <c r="I118" s="339" t="s">
        <v>2101</v>
      </c>
      <c r="J118" s="342">
        <v>3.0</v>
      </c>
      <c r="K118" s="342" t="s">
        <v>156</v>
      </c>
      <c r="L118" s="346">
        <v>1800.0</v>
      </c>
      <c r="M118" s="105">
        <f t="shared" si="13"/>
        <v>5400</v>
      </c>
      <c r="N118" s="347" t="s">
        <v>2221</v>
      </c>
      <c r="O118" s="339" t="s">
        <v>2222</v>
      </c>
    </row>
    <row r="119">
      <c r="A119" s="342">
        <v>45.0</v>
      </c>
      <c r="B119" s="348">
        <v>2.60100007E8</v>
      </c>
      <c r="C119" s="350">
        <v>46027.0</v>
      </c>
      <c r="D119" s="348" t="s">
        <v>2228</v>
      </c>
      <c r="E119" s="350">
        <v>46094.0</v>
      </c>
      <c r="F119" s="351">
        <v>893.0</v>
      </c>
      <c r="G119" s="394">
        <v>46028.0</v>
      </c>
      <c r="H119" s="336" t="s">
        <v>2229</v>
      </c>
      <c r="I119" s="339" t="s">
        <v>29</v>
      </c>
      <c r="J119" s="342">
        <v>4.0</v>
      </c>
      <c r="K119" s="342" t="s">
        <v>156</v>
      </c>
      <c r="L119" s="346">
        <v>7645.0</v>
      </c>
      <c r="M119" s="105">
        <f t="shared" si="13"/>
        <v>30580</v>
      </c>
      <c r="N119" s="347" t="s">
        <v>2125</v>
      </c>
      <c r="O119" s="339" t="s">
        <v>2230</v>
      </c>
    </row>
    <row r="120">
      <c r="A120" s="369"/>
      <c r="B120" s="47"/>
      <c r="C120" s="47"/>
      <c r="D120" s="47"/>
      <c r="E120" s="47"/>
      <c r="F120" s="47"/>
      <c r="G120" s="47"/>
      <c r="H120" s="336" t="s">
        <v>2231</v>
      </c>
      <c r="I120" s="339" t="s">
        <v>29</v>
      </c>
      <c r="J120" s="342">
        <v>4.0</v>
      </c>
      <c r="K120" s="342" t="s">
        <v>156</v>
      </c>
      <c r="L120" s="346">
        <v>7645.0</v>
      </c>
      <c r="M120" s="105">
        <f t="shared" si="13"/>
        <v>30580</v>
      </c>
      <c r="N120" s="347" t="s">
        <v>2125</v>
      </c>
      <c r="O120" s="339" t="s">
        <v>2230</v>
      </c>
    </row>
    <row r="121">
      <c r="A121" s="369"/>
      <c r="B121" s="48"/>
      <c r="C121" s="48"/>
      <c r="D121" s="48"/>
      <c r="E121" s="48"/>
      <c r="F121" s="48"/>
      <c r="G121" s="48"/>
      <c r="H121" s="336" t="s">
        <v>1941</v>
      </c>
      <c r="I121" s="339" t="s">
        <v>1949</v>
      </c>
      <c r="J121" s="342" t="s">
        <v>160</v>
      </c>
      <c r="K121" s="342" t="s">
        <v>838</v>
      </c>
      <c r="L121" s="373">
        <v>0.05</v>
      </c>
      <c r="M121" s="352">
        <v>3058.0</v>
      </c>
      <c r="N121" s="347" t="s">
        <v>1941</v>
      </c>
      <c r="O121" s="339" t="s">
        <v>2017</v>
      </c>
    </row>
    <row r="122">
      <c r="A122" s="342">
        <v>58.0</v>
      </c>
      <c r="B122" s="348">
        <v>58.0</v>
      </c>
      <c r="C122" s="350">
        <v>46045.0</v>
      </c>
      <c r="D122" s="348" t="s">
        <v>2232</v>
      </c>
      <c r="E122" s="350">
        <v>46112.0</v>
      </c>
      <c r="F122" s="351">
        <v>1033.0</v>
      </c>
      <c r="G122" s="390">
        <v>46103.0</v>
      </c>
      <c r="H122" s="336" t="s">
        <v>2233</v>
      </c>
      <c r="I122" s="339" t="s">
        <v>29</v>
      </c>
      <c r="J122" s="342">
        <v>15.0</v>
      </c>
      <c r="K122" s="342" t="s">
        <v>156</v>
      </c>
      <c r="L122" s="346">
        <v>14.0</v>
      </c>
      <c r="M122" s="105">
        <f>J122*L122</f>
        <v>210</v>
      </c>
      <c r="N122" s="347" t="s">
        <v>2234</v>
      </c>
      <c r="O122" s="339" t="s">
        <v>2235</v>
      </c>
    </row>
    <row r="123">
      <c r="A123" s="369"/>
      <c r="B123" s="48"/>
      <c r="C123" s="48"/>
      <c r="D123" s="48"/>
      <c r="E123" s="48"/>
      <c r="F123" s="48"/>
      <c r="G123" s="48"/>
      <c r="H123" s="336" t="s">
        <v>1941</v>
      </c>
      <c r="I123" s="339" t="s">
        <v>1949</v>
      </c>
      <c r="J123" s="342" t="s">
        <v>160</v>
      </c>
      <c r="K123" s="342" t="s">
        <v>838</v>
      </c>
      <c r="L123" s="373">
        <v>0.05</v>
      </c>
      <c r="M123" s="352">
        <v>10.5</v>
      </c>
      <c r="N123" s="347" t="s">
        <v>1941</v>
      </c>
      <c r="O123" s="339" t="s">
        <v>2017</v>
      </c>
      <c r="Z123" s="90" t="s">
        <v>2236</v>
      </c>
    </row>
    <row r="124">
      <c r="A124" s="342">
        <v>59.0</v>
      </c>
      <c r="B124" s="348">
        <v>1112.0</v>
      </c>
      <c r="C124" s="350">
        <v>46046.0</v>
      </c>
      <c r="D124" s="348" t="s">
        <v>2232</v>
      </c>
      <c r="E124" s="350">
        <v>46112.0</v>
      </c>
      <c r="F124" s="351">
        <v>1033.0</v>
      </c>
      <c r="G124" s="390">
        <v>46103.0</v>
      </c>
      <c r="H124" s="336" t="s">
        <v>2091</v>
      </c>
      <c r="I124" s="339" t="s">
        <v>1401</v>
      </c>
      <c r="J124" s="342">
        <v>1.0</v>
      </c>
      <c r="K124" s="342" t="s">
        <v>89</v>
      </c>
      <c r="L124" s="346">
        <v>150.0</v>
      </c>
      <c r="M124" s="105">
        <f t="shared" ref="M124:M126" si="14">J124*L124</f>
        <v>150</v>
      </c>
      <c r="N124" s="347" t="s">
        <v>2092</v>
      </c>
      <c r="O124" s="339" t="s">
        <v>2237</v>
      </c>
    </row>
    <row r="125">
      <c r="A125" s="369"/>
      <c r="B125" s="47"/>
      <c r="C125" s="47"/>
      <c r="D125" s="47"/>
      <c r="E125" s="47"/>
      <c r="F125" s="47"/>
      <c r="G125" s="47"/>
      <c r="H125" s="336" t="s">
        <v>2093</v>
      </c>
      <c r="I125" s="339" t="s">
        <v>1401</v>
      </c>
      <c r="J125" s="342">
        <v>2.0</v>
      </c>
      <c r="K125" s="342" t="s">
        <v>156</v>
      </c>
      <c r="L125" s="346">
        <v>60.0</v>
      </c>
      <c r="M125" s="105">
        <f t="shared" si="14"/>
        <v>120</v>
      </c>
      <c r="N125" s="347" t="s">
        <v>2089</v>
      </c>
      <c r="O125" s="339" t="s">
        <v>2237</v>
      </c>
    </row>
    <row r="126">
      <c r="A126" s="369"/>
      <c r="B126" s="47"/>
      <c r="C126" s="47"/>
      <c r="D126" s="47"/>
      <c r="E126" s="47"/>
      <c r="F126" s="47"/>
      <c r="G126" s="47"/>
      <c r="H126" s="336" t="s">
        <v>2238</v>
      </c>
      <c r="I126" s="339" t="s">
        <v>1401</v>
      </c>
      <c r="J126" s="342">
        <v>1.0</v>
      </c>
      <c r="K126" s="342" t="s">
        <v>89</v>
      </c>
      <c r="L126" s="346">
        <v>425.0</v>
      </c>
      <c r="M126" s="105">
        <f t="shared" si="14"/>
        <v>425</v>
      </c>
      <c r="N126" s="347" t="s">
        <v>2089</v>
      </c>
      <c r="O126" s="339" t="s">
        <v>2237</v>
      </c>
    </row>
    <row r="127">
      <c r="A127" s="369"/>
      <c r="B127" s="48"/>
      <c r="C127" s="48"/>
      <c r="D127" s="48"/>
      <c r="E127" s="48"/>
      <c r="F127" s="48"/>
      <c r="G127" s="48"/>
      <c r="H127" s="336" t="s">
        <v>1941</v>
      </c>
      <c r="I127" s="339" t="s">
        <v>1949</v>
      </c>
      <c r="J127" s="342" t="s">
        <v>92</v>
      </c>
      <c r="K127" s="342" t="s">
        <v>838</v>
      </c>
      <c r="L127" s="373">
        <v>0.05</v>
      </c>
      <c r="M127" s="352">
        <v>34.75</v>
      </c>
      <c r="N127" s="347" t="s">
        <v>1941</v>
      </c>
      <c r="O127" s="339" t="s">
        <v>2017</v>
      </c>
    </row>
    <row r="128">
      <c r="A128" s="342">
        <v>60.0</v>
      </c>
      <c r="B128" s="348">
        <v>13.0</v>
      </c>
      <c r="C128" s="350">
        <v>46083.0</v>
      </c>
      <c r="D128" s="348" t="s">
        <v>2232</v>
      </c>
      <c r="E128" s="350">
        <v>46112.0</v>
      </c>
      <c r="F128" s="351">
        <v>1033.0</v>
      </c>
      <c r="G128" s="390">
        <v>46103.0</v>
      </c>
      <c r="H128" s="336" t="s">
        <v>2239</v>
      </c>
      <c r="I128" s="339" t="s">
        <v>1401</v>
      </c>
      <c r="J128" s="342">
        <v>108.0</v>
      </c>
      <c r="K128" s="342" t="s">
        <v>156</v>
      </c>
      <c r="L128" s="346">
        <v>50.0</v>
      </c>
      <c r="M128" s="105">
        <f>J128*L128</f>
        <v>5400</v>
      </c>
      <c r="N128" s="347" t="s">
        <v>2240</v>
      </c>
      <c r="O128" s="339" t="s">
        <v>2241</v>
      </c>
    </row>
    <row r="129">
      <c r="A129" s="369"/>
      <c r="B129" s="48"/>
      <c r="C129" s="48"/>
      <c r="D129" s="48"/>
      <c r="E129" s="48"/>
      <c r="F129" s="48"/>
      <c r="G129" s="48"/>
      <c r="H129" s="336" t="s">
        <v>1941</v>
      </c>
      <c r="I129" s="339" t="s">
        <v>1949</v>
      </c>
      <c r="J129" s="342" t="s">
        <v>92</v>
      </c>
      <c r="K129" s="342" t="s">
        <v>838</v>
      </c>
      <c r="L129" s="373">
        <v>0.05</v>
      </c>
      <c r="M129" s="352">
        <v>270.0</v>
      </c>
      <c r="N129" s="347" t="s">
        <v>1941</v>
      </c>
      <c r="O129" s="90" t="s">
        <v>2017</v>
      </c>
    </row>
    <row r="130">
      <c r="A130" s="342">
        <v>61.0</v>
      </c>
      <c r="B130" s="339">
        <v>90.0</v>
      </c>
      <c r="C130" s="345">
        <v>46091.0</v>
      </c>
      <c r="D130" s="339" t="s">
        <v>2232</v>
      </c>
      <c r="E130" s="345">
        <v>46112.0</v>
      </c>
      <c r="F130" s="342">
        <v>1034.0</v>
      </c>
      <c r="G130" s="395">
        <v>46103.0</v>
      </c>
      <c r="H130" s="336" t="s">
        <v>2242</v>
      </c>
      <c r="I130" s="339" t="s">
        <v>1401</v>
      </c>
      <c r="J130" s="342">
        <v>50.0</v>
      </c>
      <c r="K130" s="342" t="s">
        <v>156</v>
      </c>
      <c r="L130" s="346">
        <v>40.0</v>
      </c>
      <c r="M130" s="105">
        <f t="shared" ref="M130:M132" si="15">J130*L130</f>
        <v>2000</v>
      </c>
      <c r="N130" s="347" t="s">
        <v>2243</v>
      </c>
      <c r="O130" s="339" t="s">
        <v>2244</v>
      </c>
    </row>
    <row r="131">
      <c r="A131" s="342">
        <v>62.0</v>
      </c>
      <c r="B131" s="339">
        <v>66.0</v>
      </c>
      <c r="C131" s="345">
        <v>46108.0</v>
      </c>
      <c r="D131" s="339" t="s">
        <v>2245</v>
      </c>
      <c r="E131" s="345">
        <v>46112.0</v>
      </c>
      <c r="F131" s="342">
        <v>1036.0</v>
      </c>
      <c r="G131" s="395">
        <v>46109.0</v>
      </c>
      <c r="H131" s="336" t="s">
        <v>38</v>
      </c>
      <c r="I131" s="339" t="s">
        <v>24</v>
      </c>
      <c r="J131" s="342">
        <v>480.0</v>
      </c>
      <c r="K131" s="342" t="s">
        <v>25</v>
      </c>
      <c r="L131" s="346">
        <v>20.0</v>
      </c>
      <c r="M131" s="105">
        <f t="shared" si="15"/>
        <v>9600</v>
      </c>
      <c r="N131" s="347" t="s">
        <v>2246</v>
      </c>
      <c r="O131" s="339" t="s">
        <v>2247</v>
      </c>
    </row>
    <row r="132">
      <c r="A132" s="342">
        <v>63.0</v>
      </c>
      <c r="B132" s="348">
        <v>8456.0</v>
      </c>
      <c r="C132" s="350">
        <v>46108.0</v>
      </c>
      <c r="D132" s="348" t="s">
        <v>2245</v>
      </c>
      <c r="E132" s="350">
        <v>46112.0</v>
      </c>
      <c r="F132" s="351">
        <v>1036.0</v>
      </c>
      <c r="G132" s="390">
        <v>46109.0</v>
      </c>
      <c r="H132" s="336" t="s">
        <v>2248</v>
      </c>
      <c r="I132" s="339" t="s">
        <v>24</v>
      </c>
      <c r="J132" s="342">
        <v>210.0</v>
      </c>
      <c r="K132" s="342" t="s">
        <v>25</v>
      </c>
      <c r="L132" s="346">
        <v>48.0</v>
      </c>
      <c r="M132" s="105">
        <f t="shared" si="15"/>
        <v>10080</v>
      </c>
      <c r="N132" s="347" t="s">
        <v>2249</v>
      </c>
      <c r="O132" s="339" t="s">
        <v>2250</v>
      </c>
    </row>
    <row r="133">
      <c r="A133" s="369"/>
      <c r="B133" s="48"/>
      <c r="C133" s="48"/>
      <c r="D133" s="48"/>
      <c r="E133" s="48"/>
      <c r="F133" s="48"/>
      <c r="G133" s="48"/>
      <c r="H133" s="336" t="s">
        <v>1941</v>
      </c>
      <c r="I133" s="339" t="s">
        <v>1949</v>
      </c>
      <c r="J133" s="342" t="s">
        <v>160</v>
      </c>
      <c r="K133" s="342" t="s">
        <v>838</v>
      </c>
      <c r="L133" s="373">
        <v>0.05</v>
      </c>
      <c r="M133" s="352">
        <v>504.0</v>
      </c>
      <c r="N133" s="347" t="s">
        <v>1941</v>
      </c>
      <c r="O133" s="339" t="s">
        <v>2176</v>
      </c>
    </row>
    <row r="134">
      <c r="A134" s="342">
        <v>64.0</v>
      </c>
      <c r="B134" s="339">
        <v>375602.0</v>
      </c>
      <c r="C134" s="345">
        <v>46109.0</v>
      </c>
      <c r="D134" s="339" t="s">
        <v>2245</v>
      </c>
      <c r="E134" s="345">
        <v>46112.0</v>
      </c>
      <c r="F134" s="342">
        <v>1036.0</v>
      </c>
      <c r="G134" s="395">
        <v>46109.0</v>
      </c>
      <c r="H134" s="336" t="s">
        <v>36</v>
      </c>
      <c r="I134" s="339" t="s">
        <v>24</v>
      </c>
      <c r="J134" s="342">
        <v>440.0</v>
      </c>
      <c r="K134" s="342" t="s">
        <v>25</v>
      </c>
      <c r="L134" s="346">
        <v>85.3</v>
      </c>
      <c r="M134" s="105">
        <f>J134*L134</f>
        <v>37532</v>
      </c>
      <c r="N134" s="347" t="s">
        <v>2106</v>
      </c>
      <c r="O134" s="339" t="s">
        <v>2251</v>
      </c>
    </row>
    <row r="135">
      <c r="A135" s="342">
        <v>65.0</v>
      </c>
      <c r="B135" s="348">
        <v>1.0427131E7</v>
      </c>
      <c r="C135" s="350">
        <v>46109.0</v>
      </c>
      <c r="D135" s="348" t="s">
        <v>2245</v>
      </c>
      <c r="E135" s="350">
        <v>46112.0</v>
      </c>
      <c r="F135" s="351">
        <v>1036.0</v>
      </c>
      <c r="G135" s="390">
        <v>46109.0</v>
      </c>
      <c r="H135" s="336" t="s">
        <v>23</v>
      </c>
      <c r="I135" s="339" t="s">
        <v>24</v>
      </c>
      <c r="J135" s="342">
        <v>2640.0</v>
      </c>
      <c r="K135" s="342" t="s">
        <v>25</v>
      </c>
      <c r="L135" s="346">
        <v>87.78</v>
      </c>
      <c r="M135" s="352">
        <v>231741.71</v>
      </c>
      <c r="N135" s="347" t="s">
        <v>91</v>
      </c>
      <c r="O135" s="339" t="s">
        <v>2251</v>
      </c>
    </row>
    <row r="136">
      <c r="A136" s="369"/>
      <c r="B136" s="48"/>
      <c r="C136" s="48"/>
      <c r="D136" s="48"/>
      <c r="E136" s="48"/>
      <c r="F136" s="48"/>
      <c r="G136" s="48"/>
      <c r="H136" s="336" t="s">
        <v>1941</v>
      </c>
      <c r="I136" s="339" t="s">
        <v>1949</v>
      </c>
      <c r="J136" s="342" t="s">
        <v>92</v>
      </c>
      <c r="K136" s="342" t="s">
        <v>838</v>
      </c>
      <c r="L136" s="373">
        <v>0.05</v>
      </c>
      <c r="M136" s="352">
        <v>11587.09</v>
      </c>
      <c r="N136" s="347" t="s">
        <v>1941</v>
      </c>
      <c r="O136" s="339" t="s">
        <v>2176</v>
      </c>
    </row>
    <row r="137">
      <c r="A137" s="342">
        <v>66.0</v>
      </c>
      <c r="B137" s="339">
        <v>11207.0</v>
      </c>
      <c r="C137" s="345">
        <v>46053.0</v>
      </c>
      <c r="D137" s="339" t="s">
        <v>727</v>
      </c>
      <c r="E137" s="345">
        <v>46111.0</v>
      </c>
      <c r="F137" s="342">
        <v>11207.0</v>
      </c>
      <c r="G137" s="395">
        <v>46053.0</v>
      </c>
      <c r="H137" s="336" t="s">
        <v>2252</v>
      </c>
      <c r="I137" s="339" t="s">
        <v>1597</v>
      </c>
      <c r="J137" s="342">
        <v>5.0</v>
      </c>
      <c r="K137" s="342" t="s">
        <v>174</v>
      </c>
      <c r="L137" s="346">
        <v>3753.08</v>
      </c>
      <c r="M137" s="352">
        <v>18765.38</v>
      </c>
      <c r="N137" s="347" t="s">
        <v>48</v>
      </c>
      <c r="O137" s="339" t="s">
        <v>1453</v>
      </c>
    </row>
    <row r="138">
      <c r="A138" s="342">
        <v>67.0</v>
      </c>
      <c r="B138" s="348">
        <v>11208.0</v>
      </c>
      <c r="C138" s="350">
        <v>46053.0</v>
      </c>
      <c r="D138" s="348" t="s">
        <v>727</v>
      </c>
      <c r="E138" s="350">
        <v>46111.0</v>
      </c>
      <c r="F138" s="351">
        <v>11208.0</v>
      </c>
      <c r="G138" s="390">
        <v>46053.0</v>
      </c>
      <c r="H138" s="336" t="s">
        <v>2253</v>
      </c>
      <c r="I138" s="339" t="s">
        <v>1597</v>
      </c>
      <c r="J138" s="342">
        <v>23.0</v>
      </c>
      <c r="K138" s="342" t="s">
        <v>174</v>
      </c>
      <c r="L138" s="346">
        <v>3753.08</v>
      </c>
      <c r="M138" s="105">
        <f>J138*L138</f>
        <v>86320.84</v>
      </c>
      <c r="N138" s="347" t="s">
        <v>48</v>
      </c>
      <c r="O138" s="339" t="s">
        <v>1438</v>
      </c>
    </row>
    <row r="139">
      <c r="A139" s="369"/>
      <c r="B139" s="48"/>
      <c r="C139" s="48"/>
      <c r="D139" s="48"/>
      <c r="E139" s="48"/>
      <c r="F139" s="48"/>
      <c r="G139" s="48"/>
      <c r="H139" s="336" t="s">
        <v>1941</v>
      </c>
      <c r="I139" s="339" t="s">
        <v>1949</v>
      </c>
      <c r="J139" s="342" t="s">
        <v>160</v>
      </c>
      <c r="K139" s="342" t="s">
        <v>838</v>
      </c>
      <c r="L139" s="373">
        <v>0.05</v>
      </c>
      <c r="M139" s="352">
        <v>4316.04</v>
      </c>
      <c r="N139" s="347" t="s">
        <v>1941</v>
      </c>
      <c r="O139" s="339" t="s">
        <v>2017</v>
      </c>
    </row>
    <row r="140">
      <c r="A140" s="342">
        <v>68.0</v>
      </c>
      <c r="B140" s="339">
        <v>1056.0</v>
      </c>
      <c r="C140" s="345">
        <v>46097.0</v>
      </c>
      <c r="D140" s="339" t="s">
        <v>2254</v>
      </c>
      <c r="E140" s="345">
        <v>46106.0</v>
      </c>
      <c r="F140" s="342">
        <v>1030.0</v>
      </c>
      <c r="G140" s="398">
        <v>46098.0</v>
      </c>
      <c r="H140" s="336" t="s">
        <v>2255</v>
      </c>
      <c r="I140" s="339" t="s">
        <v>42</v>
      </c>
      <c r="J140" s="342">
        <v>2.0</v>
      </c>
      <c r="K140" s="342" t="s">
        <v>156</v>
      </c>
      <c r="L140" s="346">
        <v>2200.0</v>
      </c>
      <c r="M140" s="352">
        <v>4400.0</v>
      </c>
      <c r="N140" s="347" t="s">
        <v>1447</v>
      </c>
      <c r="O140" s="339" t="s">
        <v>2256</v>
      </c>
    </row>
    <row r="141">
      <c r="A141" s="342">
        <v>69.0</v>
      </c>
      <c r="B141" s="348">
        <v>1.0373393E7</v>
      </c>
      <c r="C141" s="350">
        <v>46098.0</v>
      </c>
      <c r="D141" s="348" t="s">
        <v>2254</v>
      </c>
      <c r="E141" s="350">
        <v>46106.0</v>
      </c>
      <c r="F141" s="351">
        <v>1030.0</v>
      </c>
      <c r="G141" s="390">
        <v>46098.0</v>
      </c>
      <c r="H141" s="336" t="s">
        <v>2257</v>
      </c>
      <c r="I141" s="339" t="s">
        <v>24</v>
      </c>
      <c r="J141" s="342">
        <v>2640.0</v>
      </c>
      <c r="K141" s="342" t="s">
        <v>25</v>
      </c>
      <c r="L141" s="346">
        <v>103.019</v>
      </c>
      <c r="M141" s="352">
        <v>271970.29</v>
      </c>
      <c r="N141" s="347" t="s">
        <v>91</v>
      </c>
      <c r="O141" s="339" t="s">
        <v>2258</v>
      </c>
    </row>
    <row r="142">
      <c r="A142" s="342"/>
      <c r="B142" s="48"/>
      <c r="C142" s="48"/>
      <c r="D142" s="48"/>
      <c r="E142" s="48"/>
      <c r="F142" s="48"/>
      <c r="G142" s="48"/>
      <c r="H142" s="336" t="s">
        <v>1941</v>
      </c>
      <c r="I142" s="339" t="s">
        <v>1949</v>
      </c>
      <c r="J142" s="342" t="s">
        <v>92</v>
      </c>
      <c r="K142" s="342" t="s">
        <v>838</v>
      </c>
      <c r="L142" s="373">
        <v>0.05</v>
      </c>
      <c r="M142" s="352">
        <v>13598.51</v>
      </c>
      <c r="N142" s="347" t="s">
        <v>1949</v>
      </c>
      <c r="O142" s="339" t="s">
        <v>2017</v>
      </c>
    </row>
    <row r="143">
      <c r="A143" s="342">
        <v>70.0</v>
      </c>
      <c r="B143" s="348">
        <v>1.0397493E7</v>
      </c>
      <c r="C143" s="350">
        <v>46103.0</v>
      </c>
      <c r="D143" s="348" t="s">
        <v>2254</v>
      </c>
      <c r="E143" s="350">
        <v>46106.0</v>
      </c>
      <c r="F143" s="351">
        <v>1032.0</v>
      </c>
      <c r="G143" s="390">
        <v>46103.0</v>
      </c>
      <c r="H143" s="336" t="s">
        <v>2259</v>
      </c>
      <c r="I143" s="339" t="s">
        <v>24</v>
      </c>
      <c r="J143" s="342">
        <v>2640.0</v>
      </c>
      <c r="K143" s="342" t="s">
        <v>25</v>
      </c>
      <c r="L143" s="346">
        <v>87.78</v>
      </c>
      <c r="M143" s="352">
        <v>231741.71</v>
      </c>
      <c r="N143" s="347" t="s">
        <v>91</v>
      </c>
      <c r="O143" s="339" t="s">
        <v>2258</v>
      </c>
    </row>
    <row r="144">
      <c r="A144" s="369"/>
      <c r="B144" s="48"/>
      <c r="C144" s="48"/>
      <c r="D144" s="48"/>
      <c r="E144" s="48"/>
      <c r="F144" s="48"/>
      <c r="G144" s="48"/>
      <c r="H144" s="336" t="s">
        <v>1941</v>
      </c>
      <c r="I144" s="339" t="s">
        <v>1949</v>
      </c>
      <c r="J144" s="342" t="s">
        <v>92</v>
      </c>
      <c r="K144" s="342" t="s">
        <v>838</v>
      </c>
      <c r="L144" s="373">
        <v>0.05</v>
      </c>
      <c r="M144" s="352">
        <v>11587.09</v>
      </c>
      <c r="N144" s="347" t="s">
        <v>1941</v>
      </c>
      <c r="O144" s="339" t="s">
        <v>2017</v>
      </c>
    </row>
    <row r="145">
      <c r="A145" s="342">
        <v>71.0</v>
      </c>
      <c r="B145" s="348">
        <v>46313.0</v>
      </c>
      <c r="C145" s="350">
        <v>46053.0</v>
      </c>
      <c r="D145" s="348" t="s">
        <v>2260</v>
      </c>
      <c r="E145" s="350">
        <v>46104.0</v>
      </c>
      <c r="F145" s="351">
        <v>46313.0</v>
      </c>
      <c r="G145" s="390">
        <v>46053.0</v>
      </c>
      <c r="H145" s="336" t="s">
        <v>2261</v>
      </c>
      <c r="I145" s="339" t="s">
        <v>1597</v>
      </c>
      <c r="J145" s="342">
        <v>25.0</v>
      </c>
      <c r="K145" s="342" t="s">
        <v>174</v>
      </c>
      <c r="L145" s="346">
        <v>7038.461</v>
      </c>
      <c r="M145" s="352">
        <v>175961.54</v>
      </c>
      <c r="N145" s="347" t="s">
        <v>48</v>
      </c>
      <c r="O145" s="339" t="s">
        <v>1453</v>
      </c>
    </row>
    <row r="146">
      <c r="A146" s="369"/>
      <c r="B146" s="48"/>
      <c r="C146" s="48"/>
      <c r="D146" s="48"/>
      <c r="E146" s="48"/>
      <c r="F146" s="48"/>
      <c r="G146" s="48"/>
      <c r="H146" s="336" t="s">
        <v>1941</v>
      </c>
      <c r="I146" s="339" t="s">
        <v>1949</v>
      </c>
      <c r="J146" s="342" t="s">
        <v>92</v>
      </c>
      <c r="K146" s="342" t="s">
        <v>838</v>
      </c>
      <c r="L146" s="373">
        <v>0.05</v>
      </c>
      <c r="M146" s="352">
        <v>8798.08</v>
      </c>
      <c r="N146" s="347" t="s">
        <v>1941</v>
      </c>
      <c r="O146" s="339" t="s">
        <v>2176</v>
      </c>
    </row>
    <row r="147">
      <c r="A147" s="342">
        <v>72.0</v>
      </c>
      <c r="B147" s="348">
        <v>1112.0</v>
      </c>
      <c r="C147" s="350">
        <v>46066.0</v>
      </c>
      <c r="D147" s="348" t="s">
        <v>2262</v>
      </c>
      <c r="E147" s="350">
        <v>46104.0</v>
      </c>
      <c r="F147" s="351">
        <v>1017.0</v>
      </c>
      <c r="G147" s="390">
        <v>46068.0</v>
      </c>
      <c r="H147" s="336" t="s">
        <v>2156</v>
      </c>
      <c r="I147" s="339" t="s">
        <v>2151</v>
      </c>
      <c r="J147" s="342">
        <v>9000.0</v>
      </c>
      <c r="K147" s="342" t="s">
        <v>74</v>
      </c>
      <c r="L147" s="346">
        <v>17.0</v>
      </c>
      <c r="M147" s="105">
        <f t="shared" ref="M147:M149" si="16">J147*L147</f>
        <v>153000</v>
      </c>
      <c r="N147" s="347" t="s">
        <v>2154</v>
      </c>
      <c r="O147" s="339" t="s">
        <v>2263</v>
      </c>
    </row>
    <row r="148">
      <c r="A148" s="369"/>
      <c r="B148" s="47"/>
      <c r="C148" s="47"/>
      <c r="D148" s="47"/>
      <c r="E148" s="47"/>
      <c r="F148" s="47"/>
      <c r="G148" s="47"/>
      <c r="H148" s="336" t="s">
        <v>2264</v>
      </c>
      <c r="I148" s="339" t="s">
        <v>2151</v>
      </c>
      <c r="J148" s="342">
        <v>7000.0</v>
      </c>
      <c r="K148" s="342" t="s">
        <v>74</v>
      </c>
      <c r="L148" s="346">
        <v>28.0</v>
      </c>
      <c r="M148" s="105">
        <f t="shared" si="16"/>
        <v>196000</v>
      </c>
      <c r="N148" s="347" t="s">
        <v>2154</v>
      </c>
      <c r="O148" s="339" t="s">
        <v>2139</v>
      </c>
    </row>
    <row r="149">
      <c r="A149" s="369"/>
      <c r="B149" s="47"/>
      <c r="C149" s="47"/>
      <c r="D149" s="47"/>
      <c r="E149" s="47"/>
      <c r="F149" s="47"/>
      <c r="G149" s="47"/>
      <c r="H149" s="336" t="s">
        <v>2265</v>
      </c>
      <c r="I149" s="339" t="s">
        <v>2151</v>
      </c>
      <c r="J149" s="342">
        <v>6000.0</v>
      </c>
      <c r="K149" s="342" t="s">
        <v>74</v>
      </c>
      <c r="L149" s="346">
        <v>10.5</v>
      </c>
      <c r="M149" s="105">
        <f t="shared" si="16"/>
        <v>63000</v>
      </c>
      <c r="N149" s="347" t="s">
        <v>2154</v>
      </c>
      <c r="O149" s="339" t="s">
        <v>2266</v>
      </c>
    </row>
    <row r="150">
      <c r="A150" s="369"/>
      <c r="B150" s="48"/>
      <c r="C150" s="48"/>
      <c r="D150" s="48"/>
      <c r="E150" s="48"/>
      <c r="F150" s="48"/>
      <c r="G150" s="48"/>
      <c r="H150" s="336" t="s">
        <v>1941</v>
      </c>
      <c r="I150" s="339" t="s">
        <v>1949</v>
      </c>
      <c r="J150" s="342" t="s">
        <v>92</v>
      </c>
      <c r="K150" s="342" t="s">
        <v>838</v>
      </c>
      <c r="L150" s="373">
        <v>0.05</v>
      </c>
      <c r="M150" s="352">
        <v>20600.0</v>
      </c>
      <c r="N150" s="347" t="s">
        <v>1941</v>
      </c>
      <c r="O150" s="339" t="s">
        <v>2176</v>
      </c>
    </row>
    <row r="151">
      <c r="A151" s="342">
        <v>73.0</v>
      </c>
      <c r="B151" s="348">
        <v>16201.0</v>
      </c>
      <c r="C151" s="350">
        <v>46053.0</v>
      </c>
      <c r="D151" s="348" t="s">
        <v>2267</v>
      </c>
      <c r="E151" s="350">
        <v>46104.0</v>
      </c>
      <c r="F151" s="351">
        <v>16201.0</v>
      </c>
      <c r="G151" s="390">
        <v>46053.0</v>
      </c>
      <c r="H151" s="336" t="s">
        <v>2268</v>
      </c>
      <c r="I151" s="339" t="s">
        <v>1597</v>
      </c>
      <c r="J151" s="342">
        <v>21.0</v>
      </c>
      <c r="K151" s="342" t="s">
        <v>174</v>
      </c>
      <c r="L151" s="346">
        <v>7038.0</v>
      </c>
      <c r="M151" s="105">
        <f>J151*L151</f>
        <v>147798</v>
      </c>
      <c r="N151" s="347" t="s">
        <v>48</v>
      </c>
      <c r="O151" s="339" t="s">
        <v>1438</v>
      </c>
    </row>
    <row r="152">
      <c r="A152" s="369"/>
      <c r="B152" s="48"/>
      <c r="C152" s="48"/>
      <c r="D152" s="48"/>
      <c r="E152" s="48"/>
      <c r="F152" s="48"/>
      <c r="G152" s="48"/>
      <c r="H152" s="336" t="s">
        <v>1941</v>
      </c>
      <c r="I152" s="339" t="s">
        <v>1949</v>
      </c>
      <c r="J152" s="342" t="s">
        <v>160</v>
      </c>
      <c r="K152" s="342" t="s">
        <v>838</v>
      </c>
      <c r="L152" s="373">
        <v>0.05</v>
      </c>
      <c r="M152" s="352">
        <v>7389.9</v>
      </c>
      <c r="N152" s="347" t="s">
        <v>1941</v>
      </c>
      <c r="O152" s="339" t="s">
        <v>2017</v>
      </c>
    </row>
    <row r="153">
      <c r="A153" s="342">
        <v>74.0</v>
      </c>
      <c r="B153" s="348">
        <v>16202.0</v>
      </c>
      <c r="C153" s="350">
        <v>46053.0</v>
      </c>
      <c r="D153" s="348" t="s">
        <v>2267</v>
      </c>
      <c r="E153" s="350">
        <v>46104.0</v>
      </c>
      <c r="F153" s="351">
        <v>16202.0</v>
      </c>
      <c r="G153" s="390">
        <v>46053.0</v>
      </c>
      <c r="H153" s="336" t="s">
        <v>2269</v>
      </c>
      <c r="I153" s="339" t="s">
        <v>1597</v>
      </c>
      <c r="J153" s="342">
        <v>22.0</v>
      </c>
      <c r="K153" s="342" t="s">
        <v>2270</v>
      </c>
      <c r="L153" s="346">
        <v>7038.0</v>
      </c>
      <c r="M153" s="105">
        <f>J153*L153</f>
        <v>154836</v>
      </c>
      <c r="N153" s="347" t="s">
        <v>48</v>
      </c>
      <c r="O153" s="339" t="s">
        <v>1438</v>
      </c>
    </row>
    <row r="154">
      <c r="A154" s="369"/>
      <c r="B154" s="48"/>
      <c r="C154" s="48"/>
      <c r="D154" s="48"/>
      <c r="E154" s="48"/>
      <c r="F154" s="48"/>
      <c r="G154" s="48"/>
      <c r="H154" s="336" t="s">
        <v>1941</v>
      </c>
      <c r="I154" s="339" t="s">
        <v>1949</v>
      </c>
      <c r="J154" s="342" t="s">
        <v>160</v>
      </c>
      <c r="K154" s="342" t="s">
        <v>838</v>
      </c>
      <c r="L154" s="373">
        <v>0.05</v>
      </c>
      <c r="M154" s="352">
        <v>7741.8</v>
      </c>
      <c r="N154" s="347" t="s">
        <v>1941</v>
      </c>
      <c r="O154" s="339" t="s">
        <v>2176</v>
      </c>
    </row>
    <row r="155">
      <c r="A155" s="342">
        <v>75.0</v>
      </c>
      <c r="B155" s="348">
        <v>16203.0</v>
      </c>
      <c r="C155" s="350">
        <v>46053.0</v>
      </c>
      <c r="D155" s="348" t="s">
        <v>2267</v>
      </c>
      <c r="E155" s="350">
        <v>46104.0</v>
      </c>
      <c r="F155" s="351">
        <v>16203.0</v>
      </c>
      <c r="G155" s="390">
        <v>46053.0</v>
      </c>
      <c r="H155" s="336" t="s">
        <v>2271</v>
      </c>
      <c r="I155" s="339" t="s">
        <v>1597</v>
      </c>
      <c r="J155" s="342">
        <v>23.0</v>
      </c>
      <c r="K155" s="342" t="s">
        <v>174</v>
      </c>
      <c r="L155" s="346">
        <v>7038.0</v>
      </c>
      <c r="M155" s="105">
        <f>J155*L155</f>
        <v>161874</v>
      </c>
      <c r="N155" s="347" t="s">
        <v>48</v>
      </c>
      <c r="O155" s="339" t="s">
        <v>1438</v>
      </c>
    </row>
    <row r="156">
      <c r="A156" s="369"/>
      <c r="B156" s="48"/>
      <c r="C156" s="48"/>
      <c r="D156" s="48"/>
      <c r="E156" s="48"/>
      <c r="F156" s="48"/>
      <c r="G156" s="48"/>
      <c r="H156" s="336" t="s">
        <v>1941</v>
      </c>
      <c r="I156" s="339" t="s">
        <v>1949</v>
      </c>
      <c r="J156" s="342" t="s">
        <v>92</v>
      </c>
      <c r="K156" s="342" t="s">
        <v>838</v>
      </c>
      <c r="L156" s="373">
        <v>0.05</v>
      </c>
      <c r="M156" s="352">
        <v>8093.7</v>
      </c>
      <c r="N156" s="347" t="s">
        <v>1941</v>
      </c>
      <c r="O156" s="339" t="s">
        <v>2181</v>
      </c>
    </row>
    <row r="157">
      <c r="A157" s="342">
        <v>76.0</v>
      </c>
      <c r="B157" s="348">
        <v>16204.0</v>
      </c>
      <c r="C157" s="350">
        <v>46053.0</v>
      </c>
      <c r="D157" s="348" t="s">
        <v>2267</v>
      </c>
      <c r="E157" s="350">
        <v>46104.0</v>
      </c>
      <c r="F157" s="351">
        <v>16204.0</v>
      </c>
      <c r="G157" s="390">
        <v>46053.0</v>
      </c>
      <c r="H157" s="336" t="s">
        <v>2272</v>
      </c>
      <c r="I157" s="339" t="s">
        <v>1597</v>
      </c>
      <c r="J157" s="342">
        <v>25.0</v>
      </c>
      <c r="K157" s="342" t="s">
        <v>174</v>
      </c>
      <c r="L157" s="346">
        <v>5923.0</v>
      </c>
      <c r="M157" s="105">
        <f>J157*L157</f>
        <v>148075</v>
      </c>
      <c r="N157" s="347" t="s">
        <v>48</v>
      </c>
      <c r="O157" s="339" t="s">
        <v>1438</v>
      </c>
    </row>
    <row r="158">
      <c r="A158" s="369"/>
      <c r="B158" s="48"/>
      <c r="C158" s="48"/>
      <c r="D158" s="48"/>
      <c r="E158" s="48"/>
      <c r="F158" s="48"/>
      <c r="G158" s="48"/>
      <c r="H158" s="336" t="s">
        <v>1941</v>
      </c>
      <c r="I158" s="339" t="s">
        <v>1949</v>
      </c>
      <c r="J158" s="342" t="s">
        <v>92</v>
      </c>
      <c r="K158" s="342" t="s">
        <v>838</v>
      </c>
      <c r="L158" s="373">
        <v>0.05</v>
      </c>
      <c r="M158" s="352">
        <v>7403.75</v>
      </c>
      <c r="N158" s="347" t="s">
        <v>1941</v>
      </c>
      <c r="O158" s="339" t="s">
        <v>2017</v>
      </c>
    </row>
    <row r="159">
      <c r="A159" s="342">
        <v>77.0</v>
      </c>
      <c r="B159" s="348">
        <v>16205.0</v>
      </c>
      <c r="C159" s="350">
        <v>46053.0</v>
      </c>
      <c r="D159" s="348" t="s">
        <v>2267</v>
      </c>
      <c r="E159" s="350">
        <v>46104.0</v>
      </c>
      <c r="F159" s="351">
        <v>16205.0</v>
      </c>
      <c r="G159" s="390">
        <v>45688.0</v>
      </c>
      <c r="H159" s="336" t="s">
        <v>2273</v>
      </c>
      <c r="I159" s="339" t="s">
        <v>1597</v>
      </c>
      <c r="J159" s="342">
        <v>25.0</v>
      </c>
      <c r="K159" s="342" t="s">
        <v>174</v>
      </c>
      <c r="L159" s="346">
        <v>7038.0</v>
      </c>
      <c r="M159" s="105">
        <f>J159*L159</f>
        <v>175950</v>
      </c>
      <c r="N159" s="347" t="s">
        <v>48</v>
      </c>
      <c r="O159" s="339" t="s">
        <v>1438</v>
      </c>
    </row>
    <row r="160">
      <c r="A160" s="369"/>
      <c r="B160" s="48"/>
      <c r="C160" s="48"/>
      <c r="D160" s="48"/>
      <c r="E160" s="48"/>
      <c r="F160" s="48"/>
      <c r="G160" s="48"/>
      <c r="H160" s="336" t="s">
        <v>1941</v>
      </c>
      <c r="I160" s="339" t="s">
        <v>1949</v>
      </c>
      <c r="J160" s="342" t="s">
        <v>160</v>
      </c>
      <c r="K160" s="342" t="s">
        <v>838</v>
      </c>
      <c r="L160" s="373">
        <v>0.05</v>
      </c>
      <c r="M160" s="352">
        <v>8797.5</v>
      </c>
      <c r="N160" s="347" t="s">
        <v>1941</v>
      </c>
      <c r="O160" s="339" t="s">
        <v>2181</v>
      </c>
    </row>
    <row r="161">
      <c r="A161" s="342">
        <v>78.0</v>
      </c>
      <c r="B161" s="348">
        <v>43702.0</v>
      </c>
      <c r="C161" s="350">
        <v>46053.0</v>
      </c>
      <c r="D161" s="348" t="s">
        <v>2274</v>
      </c>
      <c r="E161" s="350">
        <v>46104.0</v>
      </c>
      <c r="F161" s="351">
        <v>43702.0</v>
      </c>
      <c r="G161" s="390">
        <v>46053.0</v>
      </c>
      <c r="H161" s="336" t="s">
        <v>2275</v>
      </c>
      <c r="I161" s="339" t="s">
        <v>1597</v>
      </c>
      <c r="J161" s="342">
        <v>25.0</v>
      </c>
      <c r="K161" s="342" t="s">
        <v>174</v>
      </c>
      <c r="L161" s="346">
        <v>8692.3</v>
      </c>
      <c r="M161" s="105">
        <f>J161*L161</f>
        <v>217307.5</v>
      </c>
      <c r="N161" s="347" t="s">
        <v>48</v>
      </c>
      <c r="O161" s="339" t="s">
        <v>1438</v>
      </c>
    </row>
    <row r="162">
      <c r="A162" s="369"/>
      <c r="B162" s="48"/>
      <c r="C162" s="48"/>
      <c r="D162" s="48"/>
      <c r="E162" s="48"/>
      <c r="F162" s="48"/>
      <c r="G162" s="48"/>
      <c r="H162" s="336" t="s">
        <v>1941</v>
      </c>
      <c r="I162" s="339" t="s">
        <v>1949</v>
      </c>
      <c r="J162" s="342" t="s">
        <v>160</v>
      </c>
      <c r="K162" s="342" t="s">
        <v>838</v>
      </c>
      <c r="L162" s="373">
        <v>0.05</v>
      </c>
      <c r="M162" s="352">
        <v>10865.38</v>
      </c>
      <c r="N162" s="347" t="s">
        <v>1941</v>
      </c>
      <c r="O162" s="339" t="s">
        <v>2181</v>
      </c>
    </row>
    <row r="163">
      <c r="A163" s="342">
        <v>79.0</v>
      </c>
      <c r="B163" s="348">
        <v>16101.0</v>
      </c>
      <c r="C163" s="350">
        <v>46053.0</v>
      </c>
      <c r="D163" s="348" t="s">
        <v>2274</v>
      </c>
      <c r="E163" s="350">
        <v>46104.0</v>
      </c>
      <c r="F163" s="351">
        <v>16101.0</v>
      </c>
      <c r="G163" s="390">
        <v>46053.0</v>
      </c>
      <c r="H163" s="336" t="s">
        <v>2276</v>
      </c>
      <c r="I163" s="339" t="s">
        <v>1597</v>
      </c>
      <c r="J163" s="342">
        <v>23.0</v>
      </c>
      <c r="K163" s="342" t="s">
        <v>174</v>
      </c>
      <c r="L163" s="346">
        <v>3750.0</v>
      </c>
      <c r="M163" s="105">
        <f>J163*L163</f>
        <v>86250</v>
      </c>
      <c r="N163" s="347" t="s">
        <v>1438</v>
      </c>
      <c r="O163" s="339" t="s">
        <v>1438</v>
      </c>
    </row>
    <row r="164">
      <c r="A164" s="369"/>
      <c r="B164" s="48"/>
      <c r="C164" s="48"/>
      <c r="D164" s="48"/>
      <c r="E164" s="48"/>
      <c r="F164" s="48"/>
      <c r="G164" s="48"/>
      <c r="H164" s="336" t="s">
        <v>1941</v>
      </c>
      <c r="I164" s="339" t="s">
        <v>1949</v>
      </c>
      <c r="J164" s="342" t="s">
        <v>92</v>
      </c>
      <c r="K164" s="342" t="s">
        <v>838</v>
      </c>
      <c r="L164" s="373">
        <v>0.05</v>
      </c>
      <c r="M164" s="352">
        <v>4312.5</v>
      </c>
      <c r="N164" s="347" t="s">
        <v>1941</v>
      </c>
      <c r="O164" s="339" t="s">
        <v>2017</v>
      </c>
    </row>
    <row r="165">
      <c r="A165" s="342">
        <v>80.0</v>
      </c>
      <c r="B165" s="348">
        <v>64.0</v>
      </c>
      <c r="C165" s="350">
        <v>46083.0</v>
      </c>
      <c r="D165" s="348" t="s">
        <v>2277</v>
      </c>
      <c r="E165" s="350">
        <v>46104.0</v>
      </c>
      <c r="F165" s="351">
        <v>1028.0</v>
      </c>
      <c r="G165" s="394">
        <v>46089.0</v>
      </c>
      <c r="H165" s="336" t="s">
        <v>2278</v>
      </c>
      <c r="I165" s="339" t="s">
        <v>1401</v>
      </c>
      <c r="J165" s="342">
        <v>3.0</v>
      </c>
      <c r="K165" s="342" t="s">
        <v>156</v>
      </c>
      <c r="L165" s="346">
        <v>24500.0</v>
      </c>
      <c r="M165" s="105">
        <f t="shared" ref="M165:M169" si="17">J165*L165</f>
        <v>73500</v>
      </c>
      <c r="N165" s="347" t="s">
        <v>2279</v>
      </c>
      <c r="O165" s="339" t="s">
        <v>1453</v>
      </c>
    </row>
    <row r="166">
      <c r="A166" s="369"/>
      <c r="B166" s="47"/>
      <c r="C166" s="47"/>
      <c r="D166" s="47"/>
      <c r="E166" s="47"/>
      <c r="F166" s="47"/>
      <c r="G166" s="47"/>
      <c r="H166" s="336" t="s">
        <v>2280</v>
      </c>
      <c r="I166" s="339" t="s">
        <v>1401</v>
      </c>
      <c r="J166" s="342">
        <v>100.0</v>
      </c>
      <c r="K166" s="342" t="s">
        <v>156</v>
      </c>
      <c r="L166" s="346">
        <v>150.0</v>
      </c>
      <c r="M166" s="105">
        <f t="shared" si="17"/>
        <v>15000</v>
      </c>
      <c r="N166" s="347" t="s">
        <v>2279</v>
      </c>
      <c r="O166" s="339" t="s">
        <v>1438</v>
      </c>
    </row>
    <row r="167">
      <c r="A167" s="369"/>
      <c r="B167" s="47"/>
      <c r="C167" s="47"/>
      <c r="D167" s="47"/>
      <c r="E167" s="47"/>
      <c r="F167" s="47"/>
      <c r="G167" s="47"/>
      <c r="H167" s="336" t="s">
        <v>2281</v>
      </c>
      <c r="I167" s="339" t="s">
        <v>1401</v>
      </c>
      <c r="J167" s="342">
        <v>1.0</v>
      </c>
      <c r="K167" s="342" t="s">
        <v>89</v>
      </c>
      <c r="L167" s="346">
        <v>545000.0</v>
      </c>
      <c r="M167" s="105">
        <f t="shared" si="17"/>
        <v>545000</v>
      </c>
      <c r="N167" s="347" t="s">
        <v>2279</v>
      </c>
      <c r="O167" s="339" t="s">
        <v>1438</v>
      </c>
    </row>
    <row r="168">
      <c r="A168" s="369"/>
      <c r="B168" s="47"/>
      <c r="C168" s="47"/>
      <c r="D168" s="47"/>
      <c r="E168" s="47"/>
      <c r="F168" s="47"/>
      <c r="G168" s="47"/>
      <c r="H168" s="336" t="s">
        <v>2282</v>
      </c>
      <c r="I168" s="339" t="s">
        <v>1401</v>
      </c>
      <c r="J168" s="342">
        <v>1.0</v>
      </c>
      <c r="K168" s="342" t="s">
        <v>89</v>
      </c>
      <c r="L168" s="346">
        <v>107000.0</v>
      </c>
      <c r="M168" s="105">
        <f t="shared" si="17"/>
        <v>107000</v>
      </c>
      <c r="N168" s="347" t="s">
        <v>2279</v>
      </c>
      <c r="O168" s="339" t="s">
        <v>1438</v>
      </c>
    </row>
    <row r="169">
      <c r="A169" s="369"/>
      <c r="B169" s="47"/>
      <c r="C169" s="47"/>
      <c r="D169" s="47"/>
      <c r="E169" s="47"/>
      <c r="F169" s="47"/>
      <c r="G169" s="47"/>
      <c r="H169" s="336" t="s">
        <v>2283</v>
      </c>
      <c r="I169" s="339" t="s">
        <v>1401</v>
      </c>
      <c r="J169" s="342">
        <v>1.0</v>
      </c>
      <c r="K169" s="342" t="s">
        <v>89</v>
      </c>
      <c r="L169" s="346">
        <v>18000.0</v>
      </c>
      <c r="M169" s="105">
        <f t="shared" si="17"/>
        <v>18000</v>
      </c>
      <c r="N169" s="347" t="s">
        <v>2279</v>
      </c>
      <c r="O169" s="339" t="s">
        <v>1438</v>
      </c>
    </row>
    <row r="170">
      <c r="A170" s="369"/>
      <c r="B170" s="48"/>
      <c r="C170" s="48"/>
      <c r="D170" s="48"/>
      <c r="E170" s="48"/>
      <c r="F170" s="48"/>
      <c r="G170" s="48"/>
      <c r="H170" s="336" t="s">
        <v>1941</v>
      </c>
      <c r="I170" s="339" t="s">
        <v>1949</v>
      </c>
      <c r="J170" s="342" t="s">
        <v>92</v>
      </c>
      <c r="K170" s="342" t="s">
        <v>838</v>
      </c>
      <c r="L170" s="373">
        <v>0.05</v>
      </c>
      <c r="M170" s="352">
        <v>37925.0</v>
      </c>
      <c r="N170" s="347" t="s">
        <v>1941</v>
      </c>
      <c r="O170" s="339" t="s">
        <v>2017</v>
      </c>
    </row>
    <row r="171">
      <c r="A171" s="342">
        <v>81.0</v>
      </c>
      <c r="B171" s="339">
        <v>22.0</v>
      </c>
      <c r="C171" s="375">
        <v>46094.0</v>
      </c>
      <c r="D171" s="339" t="s">
        <v>127</v>
      </c>
      <c r="E171" s="345">
        <v>46095.0</v>
      </c>
      <c r="F171" s="342">
        <v>1029.0</v>
      </c>
      <c r="G171" s="395">
        <v>46094.0</v>
      </c>
      <c r="H171" s="336" t="s">
        <v>38</v>
      </c>
      <c r="I171" s="339" t="s">
        <v>24</v>
      </c>
      <c r="J171" s="342">
        <v>480.0</v>
      </c>
      <c r="K171" s="342" t="s">
        <v>39</v>
      </c>
      <c r="L171" s="346">
        <v>20.0</v>
      </c>
      <c r="M171" s="105">
        <f>J171*L171</f>
        <v>9600</v>
      </c>
      <c r="N171" s="347" t="s">
        <v>2246</v>
      </c>
      <c r="O171" s="339" t="s">
        <v>2258</v>
      </c>
    </row>
    <row r="172">
      <c r="A172" s="342">
        <v>82.0</v>
      </c>
      <c r="B172" s="339">
        <v>20820.0</v>
      </c>
      <c r="C172" s="345">
        <v>46094.0</v>
      </c>
      <c r="D172" s="339" t="s">
        <v>127</v>
      </c>
      <c r="E172" s="345">
        <v>46095.0</v>
      </c>
      <c r="F172" s="342">
        <v>1029.0</v>
      </c>
      <c r="G172" s="395">
        <v>46094.0</v>
      </c>
      <c r="H172" s="336" t="s">
        <v>36</v>
      </c>
      <c r="I172" s="339" t="s">
        <v>24</v>
      </c>
      <c r="J172" s="342">
        <v>440.0</v>
      </c>
      <c r="K172" s="342" t="s">
        <v>25</v>
      </c>
      <c r="L172" s="346">
        <v>63.29</v>
      </c>
      <c r="M172" s="352">
        <v>27847.59</v>
      </c>
      <c r="N172" s="347" t="s">
        <v>2246</v>
      </c>
      <c r="O172" s="339" t="s">
        <v>2258</v>
      </c>
    </row>
    <row r="173">
      <c r="A173" s="342">
        <v>83.0</v>
      </c>
      <c r="B173" s="339">
        <v>20819.0</v>
      </c>
      <c r="C173" s="345">
        <v>46094.0</v>
      </c>
      <c r="D173" s="339" t="s">
        <v>127</v>
      </c>
      <c r="E173" s="345">
        <v>46095.0</v>
      </c>
      <c r="F173" s="342">
        <v>1029.0</v>
      </c>
      <c r="G173" s="395">
        <v>46094.0</v>
      </c>
      <c r="H173" s="336" t="s">
        <v>23</v>
      </c>
      <c r="I173" s="339" t="s">
        <v>24</v>
      </c>
      <c r="J173" s="342">
        <v>2860.0</v>
      </c>
      <c r="K173" s="342" t="s">
        <v>25</v>
      </c>
      <c r="L173" s="346">
        <v>70.18</v>
      </c>
      <c r="M173" s="105">
        <f>L173*J173</f>
        <v>200714.8</v>
      </c>
      <c r="N173" s="340"/>
      <c r="O173" s="312"/>
    </row>
    <row r="174">
      <c r="A174" s="342">
        <v>84.0</v>
      </c>
      <c r="B174" s="348">
        <v>3.3817222E7</v>
      </c>
      <c r="C174" s="350">
        <v>46084.0</v>
      </c>
      <c r="D174" s="348" t="s">
        <v>2284</v>
      </c>
      <c r="E174" s="350">
        <v>46099.0</v>
      </c>
      <c r="F174" s="351" t="s">
        <v>22</v>
      </c>
      <c r="G174" s="394">
        <v>46084.0</v>
      </c>
      <c r="H174" s="336" t="s">
        <v>2285</v>
      </c>
      <c r="I174" s="339" t="s">
        <v>2286</v>
      </c>
      <c r="J174" s="342">
        <v>69408.0</v>
      </c>
      <c r="K174" s="342" t="s">
        <v>2014</v>
      </c>
      <c r="L174" s="346">
        <v>2.66</v>
      </c>
      <c r="M174" s="105">
        <f>J174*L174</f>
        <v>184625.28</v>
      </c>
      <c r="N174" s="347" t="s">
        <v>842</v>
      </c>
      <c r="O174" s="339" t="s">
        <v>2287</v>
      </c>
    </row>
    <row r="175">
      <c r="A175" s="369"/>
      <c r="B175" s="48"/>
      <c r="C175" s="48"/>
      <c r="D175" s="48"/>
      <c r="E175" s="48"/>
      <c r="F175" s="48"/>
      <c r="G175" s="48"/>
      <c r="H175" s="336" t="s">
        <v>1941</v>
      </c>
      <c r="I175" s="339" t="s">
        <v>1949</v>
      </c>
      <c r="J175" s="342" t="s">
        <v>92</v>
      </c>
      <c r="K175" s="342" t="s">
        <v>838</v>
      </c>
      <c r="L175" s="373">
        <v>0.05</v>
      </c>
      <c r="M175" s="352">
        <v>9231.26</v>
      </c>
      <c r="N175" s="347" t="s">
        <v>1941</v>
      </c>
      <c r="O175" s="339" t="s">
        <v>2288</v>
      </c>
    </row>
    <row r="176">
      <c r="A176" s="342">
        <v>85.0</v>
      </c>
      <c r="B176" s="348">
        <v>110.0</v>
      </c>
      <c r="C176" s="350">
        <v>46098.0</v>
      </c>
      <c r="D176" s="348" t="s">
        <v>2289</v>
      </c>
      <c r="E176" s="350">
        <v>46128.0</v>
      </c>
      <c r="F176" s="351">
        <v>1040.0</v>
      </c>
      <c r="G176" s="399">
        <v>46116.0</v>
      </c>
      <c r="H176" s="336" t="s">
        <v>2290</v>
      </c>
      <c r="I176" s="339" t="s">
        <v>2084</v>
      </c>
      <c r="J176" s="342">
        <v>2.0</v>
      </c>
      <c r="K176" s="342" t="s">
        <v>256</v>
      </c>
      <c r="L176" s="346">
        <v>11890.0</v>
      </c>
      <c r="M176" s="105">
        <f>J176*L176</f>
        <v>23780</v>
      </c>
      <c r="N176" s="347" t="s">
        <v>208</v>
      </c>
      <c r="O176" s="339" t="s">
        <v>2291</v>
      </c>
    </row>
    <row r="177">
      <c r="A177" s="369"/>
      <c r="B177" s="48"/>
      <c r="C177" s="48"/>
      <c r="D177" s="48"/>
      <c r="E177" s="48"/>
      <c r="F177" s="48"/>
      <c r="G177" s="48"/>
      <c r="H177" s="336" t="s">
        <v>1941</v>
      </c>
      <c r="I177" s="339" t="s">
        <v>1949</v>
      </c>
      <c r="J177" s="342" t="s">
        <v>92</v>
      </c>
      <c r="K177" s="342" t="s">
        <v>838</v>
      </c>
      <c r="L177" s="373">
        <v>0.05</v>
      </c>
      <c r="M177" s="352">
        <v>1189.0</v>
      </c>
      <c r="N177" s="347" t="s">
        <v>1941</v>
      </c>
      <c r="O177" s="339" t="s">
        <v>2288</v>
      </c>
    </row>
    <row r="178">
      <c r="A178" s="342">
        <v>86.0</v>
      </c>
      <c r="B178" s="339">
        <v>3370.0</v>
      </c>
      <c r="C178" s="345">
        <v>46076.0</v>
      </c>
      <c r="D178" s="339" t="s">
        <v>2292</v>
      </c>
      <c r="E178" s="345">
        <v>46097.0</v>
      </c>
      <c r="F178" s="342">
        <v>1019.0</v>
      </c>
      <c r="G178" s="395">
        <v>46076.0</v>
      </c>
      <c r="H178" s="336" t="s">
        <v>2293</v>
      </c>
      <c r="I178" s="339" t="s">
        <v>2151</v>
      </c>
      <c r="J178" s="342">
        <v>10.0</v>
      </c>
      <c r="K178" s="342" t="s">
        <v>1168</v>
      </c>
      <c r="L178" s="346">
        <v>91.0</v>
      </c>
      <c r="M178" s="105">
        <f t="shared" ref="M178:M179" si="18">J178*L178</f>
        <v>910</v>
      </c>
      <c r="N178" s="347" t="s">
        <v>2294</v>
      </c>
      <c r="O178" s="339" t="s">
        <v>2295</v>
      </c>
    </row>
    <row r="179">
      <c r="A179" s="342">
        <v>87.0</v>
      </c>
      <c r="B179" s="348">
        <v>77.0</v>
      </c>
      <c r="C179" s="350">
        <v>46077.0</v>
      </c>
      <c r="D179" s="348" t="s">
        <v>2296</v>
      </c>
      <c r="E179" s="350">
        <v>46097.0</v>
      </c>
      <c r="F179" s="351">
        <v>1021.0</v>
      </c>
      <c r="G179" s="394">
        <v>46082.0</v>
      </c>
      <c r="H179" s="336" t="s">
        <v>2297</v>
      </c>
      <c r="I179" s="339" t="s">
        <v>1516</v>
      </c>
      <c r="J179" s="342">
        <v>15.0</v>
      </c>
      <c r="K179" s="342" t="s">
        <v>156</v>
      </c>
      <c r="L179" s="346">
        <v>95.0</v>
      </c>
      <c r="M179" s="105">
        <f t="shared" si="18"/>
        <v>1425</v>
      </c>
      <c r="N179" s="347" t="s">
        <v>2128</v>
      </c>
      <c r="O179" s="339" t="s">
        <v>2298</v>
      </c>
    </row>
    <row r="180">
      <c r="A180" s="369"/>
      <c r="B180" s="48"/>
      <c r="C180" s="48"/>
      <c r="D180" s="48"/>
      <c r="E180" s="48"/>
      <c r="F180" s="48"/>
      <c r="G180" s="48"/>
      <c r="H180" s="336" t="s">
        <v>1941</v>
      </c>
      <c r="I180" s="339" t="s">
        <v>1949</v>
      </c>
      <c r="J180" s="342" t="s">
        <v>92</v>
      </c>
      <c r="K180" s="342" t="s">
        <v>838</v>
      </c>
      <c r="L180" s="373">
        <v>0.05</v>
      </c>
      <c r="M180" s="352">
        <v>71.25</v>
      </c>
      <c r="N180" s="347" t="s">
        <v>1941</v>
      </c>
      <c r="O180" s="339" t="s">
        <v>2288</v>
      </c>
    </row>
    <row r="181">
      <c r="A181" s="342">
        <v>88.0</v>
      </c>
      <c r="B181" s="348">
        <v>79.0</v>
      </c>
      <c r="C181" s="350">
        <v>46077.0</v>
      </c>
      <c r="D181" s="348" t="s">
        <v>2296</v>
      </c>
      <c r="E181" s="350">
        <v>46097.0</v>
      </c>
      <c r="F181" s="351">
        <v>1021.0</v>
      </c>
      <c r="G181" s="394">
        <v>46054.0</v>
      </c>
      <c r="H181" s="336" t="s">
        <v>2299</v>
      </c>
      <c r="I181" s="339" t="s">
        <v>2151</v>
      </c>
      <c r="J181" s="342">
        <v>10.0</v>
      </c>
      <c r="K181" s="342" t="s">
        <v>156</v>
      </c>
      <c r="L181" s="346">
        <v>210.0</v>
      </c>
      <c r="M181" s="105">
        <f>J181*L181</f>
        <v>2100</v>
      </c>
      <c r="N181" s="347" t="s">
        <v>2128</v>
      </c>
      <c r="O181" s="339" t="s">
        <v>2295</v>
      </c>
    </row>
    <row r="182">
      <c r="A182" s="369"/>
      <c r="B182" s="48"/>
      <c r="C182" s="48"/>
      <c r="D182" s="48"/>
      <c r="E182" s="48"/>
      <c r="F182" s="48"/>
      <c r="G182" s="48"/>
      <c r="H182" s="336" t="s">
        <v>1941</v>
      </c>
      <c r="I182" s="339" t="s">
        <v>1949</v>
      </c>
      <c r="J182" s="342" t="s">
        <v>92</v>
      </c>
      <c r="K182" s="342" t="s">
        <v>838</v>
      </c>
      <c r="L182" s="373">
        <v>0.05</v>
      </c>
      <c r="M182" s="352">
        <v>105.0</v>
      </c>
      <c r="N182" s="347" t="s">
        <v>1941</v>
      </c>
      <c r="O182" s="339" t="s">
        <v>2300</v>
      </c>
    </row>
    <row r="183">
      <c r="A183" s="342">
        <v>89.0</v>
      </c>
      <c r="B183" s="348">
        <v>38.0</v>
      </c>
      <c r="C183" s="350">
        <v>46037.0</v>
      </c>
      <c r="D183" s="348" t="s">
        <v>2301</v>
      </c>
      <c r="E183" s="350">
        <v>46097.0</v>
      </c>
      <c r="F183" s="351">
        <v>1006.0</v>
      </c>
      <c r="G183" s="390">
        <v>46049.0</v>
      </c>
      <c r="H183" s="336" t="s">
        <v>2302</v>
      </c>
      <c r="I183" s="339" t="s">
        <v>547</v>
      </c>
      <c r="J183" s="342">
        <v>10.0</v>
      </c>
      <c r="K183" s="342" t="s">
        <v>156</v>
      </c>
      <c r="L183" s="346">
        <v>86.0</v>
      </c>
      <c r="M183" s="105">
        <f t="shared" ref="M183:M185" si="19">J183*L183</f>
        <v>860</v>
      </c>
      <c r="N183" s="347" t="s">
        <v>535</v>
      </c>
      <c r="O183" s="339" t="s">
        <v>1696</v>
      </c>
    </row>
    <row r="184">
      <c r="A184" s="369"/>
      <c r="B184" s="47"/>
      <c r="C184" s="47"/>
      <c r="D184" s="47"/>
      <c r="E184" s="47"/>
      <c r="F184" s="47"/>
      <c r="G184" s="47"/>
      <c r="H184" s="336" t="s">
        <v>814</v>
      </c>
      <c r="I184" s="339" t="s">
        <v>547</v>
      </c>
      <c r="J184" s="342">
        <v>10.0</v>
      </c>
      <c r="K184" s="342" t="s">
        <v>156</v>
      </c>
      <c r="L184" s="346">
        <v>19.0</v>
      </c>
      <c r="M184" s="105">
        <f t="shared" si="19"/>
        <v>190</v>
      </c>
      <c r="N184" s="347" t="s">
        <v>535</v>
      </c>
      <c r="O184" s="339" t="s">
        <v>1696</v>
      </c>
    </row>
    <row r="185">
      <c r="A185" s="369"/>
      <c r="B185" s="47"/>
      <c r="C185" s="47"/>
      <c r="D185" s="47"/>
      <c r="E185" s="47"/>
      <c r="F185" s="47"/>
      <c r="G185" s="47"/>
      <c r="H185" s="336" t="s">
        <v>2303</v>
      </c>
      <c r="I185" s="339" t="s">
        <v>547</v>
      </c>
      <c r="J185" s="342">
        <v>10.0</v>
      </c>
      <c r="K185" s="342" t="s">
        <v>156</v>
      </c>
      <c r="L185" s="346">
        <v>12.0</v>
      </c>
      <c r="M185" s="105">
        <f t="shared" si="19"/>
        <v>120</v>
      </c>
      <c r="N185" s="347" t="s">
        <v>535</v>
      </c>
      <c r="O185" s="339" t="s">
        <v>1696</v>
      </c>
    </row>
    <row r="186">
      <c r="A186" s="369"/>
      <c r="B186" s="48"/>
      <c r="C186" s="48"/>
      <c r="D186" s="48"/>
      <c r="E186" s="48"/>
      <c r="F186" s="48"/>
      <c r="G186" s="48"/>
      <c r="H186" s="336" t="s">
        <v>1941</v>
      </c>
      <c r="I186" s="339" t="s">
        <v>1949</v>
      </c>
      <c r="J186" s="342" t="s">
        <v>92</v>
      </c>
      <c r="K186" s="342" t="s">
        <v>838</v>
      </c>
      <c r="L186" s="373">
        <v>0.05</v>
      </c>
      <c r="M186" s="352">
        <v>58.5</v>
      </c>
      <c r="N186" s="347" t="s">
        <v>1941</v>
      </c>
      <c r="O186" s="339" t="s">
        <v>2288</v>
      </c>
    </row>
    <row r="187">
      <c r="A187" s="342">
        <v>90.0</v>
      </c>
      <c r="B187" s="348">
        <v>13.0</v>
      </c>
      <c r="C187" s="350">
        <v>46030.0</v>
      </c>
      <c r="D187" s="348" t="s">
        <v>2304</v>
      </c>
      <c r="E187" s="350">
        <v>46097.0</v>
      </c>
      <c r="F187" s="351">
        <v>894.0</v>
      </c>
      <c r="G187" s="390">
        <v>46031.0</v>
      </c>
      <c r="H187" s="336" t="s">
        <v>2305</v>
      </c>
      <c r="I187" s="339" t="s">
        <v>29</v>
      </c>
      <c r="J187" s="342">
        <v>20.0</v>
      </c>
      <c r="K187" s="342" t="s">
        <v>156</v>
      </c>
      <c r="L187" s="346">
        <v>225.0</v>
      </c>
      <c r="M187" s="105">
        <f>J187*L187</f>
        <v>4500</v>
      </c>
      <c r="N187" s="347" t="s">
        <v>1376</v>
      </c>
      <c r="O187" s="339" t="s">
        <v>2306</v>
      </c>
    </row>
    <row r="188">
      <c r="A188" s="369"/>
      <c r="B188" s="48"/>
      <c r="C188" s="48"/>
      <c r="D188" s="48"/>
      <c r="E188" s="48"/>
      <c r="F188" s="48"/>
      <c r="G188" s="48"/>
      <c r="H188" s="336" t="s">
        <v>1941</v>
      </c>
      <c r="I188" s="339" t="s">
        <v>1949</v>
      </c>
      <c r="J188" s="342" t="s">
        <v>92</v>
      </c>
      <c r="K188" s="342" t="s">
        <v>838</v>
      </c>
      <c r="L188" s="373">
        <v>0.05</v>
      </c>
      <c r="M188" s="352">
        <v>225.0</v>
      </c>
      <c r="N188" s="347" t="s">
        <v>1941</v>
      </c>
      <c r="O188" s="339" t="s">
        <v>2288</v>
      </c>
    </row>
    <row r="189">
      <c r="A189" s="342">
        <v>91.0</v>
      </c>
      <c r="B189" s="348">
        <v>129.0</v>
      </c>
      <c r="C189" s="350">
        <v>46050.0</v>
      </c>
      <c r="D189" s="348" t="s">
        <v>2307</v>
      </c>
      <c r="E189" s="350">
        <v>46097.0</v>
      </c>
      <c r="F189" s="351">
        <v>1007.0</v>
      </c>
      <c r="G189" s="390">
        <v>46050.0</v>
      </c>
      <c r="H189" s="336" t="s">
        <v>2308</v>
      </c>
      <c r="I189" s="339" t="s">
        <v>29</v>
      </c>
      <c r="J189" s="342">
        <v>20.0</v>
      </c>
      <c r="K189" s="342" t="s">
        <v>156</v>
      </c>
      <c r="L189" s="346">
        <v>325.0</v>
      </c>
      <c r="M189" s="105">
        <f>J189*L189</f>
        <v>6500</v>
      </c>
      <c r="N189" s="347" t="s">
        <v>2119</v>
      </c>
      <c r="O189" s="339" t="s">
        <v>2306</v>
      </c>
    </row>
    <row r="190">
      <c r="A190" s="369"/>
      <c r="B190" s="48"/>
      <c r="C190" s="48"/>
      <c r="D190" s="48"/>
      <c r="E190" s="48"/>
      <c r="F190" s="48"/>
      <c r="G190" s="48"/>
      <c r="H190" s="336" t="s">
        <v>1941</v>
      </c>
      <c r="I190" s="339" t="s">
        <v>1949</v>
      </c>
      <c r="J190" s="342" t="s">
        <v>92</v>
      </c>
      <c r="K190" s="342" t="s">
        <v>838</v>
      </c>
      <c r="L190" s="373">
        <v>0.05</v>
      </c>
      <c r="M190" s="352">
        <v>325.0</v>
      </c>
      <c r="N190" s="347" t="s">
        <v>1941</v>
      </c>
      <c r="O190" s="339" t="s">
        <v>2288</v>
      </c>
    </row>
    <row r="191">
      <c r="A191" s="342">
        <v>92.0</v>
      </c>
      <c r="B191" s="348">
        <v>36.0</v>
      </c>
      <c r="C191" s="350">
        <v>46030.0</v>
      </c>
      <c r="D191" s="348" t="s">
        <v>2309</v>
      </c>
      <c r="E191" s="350">
        <v>46097.0</v>
      </c>
      <c r="F191" s="351">
        <v>894.0</v>
      </c>
      <c r="G191" s="390">
        <v>46031.0</v>
      </c>
      <c r="H191" s="336" t="s">
        <v>2310</v>
      </c>
      <c r="I191" s="339" t="s">
        <v>547</v>
      </c>
      <c r="J191" s="342">
        <v>12.0</v>
      </c>
      <c r="K191" s="342" t="s">
        <v>1662</v>
      </c>
      <c r="L191" s="346">
        <v>218.0</v>
      </c>
      <c r="M191" s="105">
        <f t="shared" ref="M191:M195" si="20">J191*L191</f>
        <v>2616</v>
      </c>
      <c r="N191" s="347" t="s">
        <v>2311</v>
      </c>
      <c r="O191" s="339" t="s">
        <v>2312</v>
      </c>
    </row>
    <row r="192">
      <c r="A192" s="369"/>
      <c r="B192" s="47"/>
      <c r="C192" s="47"/>
      <c r="D192" s="47"/>
      <c r="E192" s="47"/>
      <c r="F192" s="47"/>
      <c r="G192" s="47"/>
      <c r="H192" s="336" t="s">
        <v>1200</v>
      </c>
      <c r="I192" s="339" t="s">
        <v>547</v>
      </c>
      <c r="J192" s="342">
        <v>10.0</v>
      </c>
      <c r="K192" s="342" t="s">
        <v>156</v>
      </c>
      <c r="L192" s="346">
        <v>19.0</v>
      </c>
      <c r="M192" s="105">
        <f t="shared" si="20"/>
        <v>190</v>
      </c>
      <c r="N192" s="347" t="s">
        <v>2311</v>
      </c>
      <c r="O192" s="339" t="s">
        <v>2312</v>
      </c>
    </row>
    <row r="193">
      <c r="A193" s="369"/>
      <c r="B193" s="47"/>
      <c r="C193" s="47"/>
      <c r="D193" s="47"/>
      <c r="E193" s="47"/>
      <c r="F193" s="47"/>
      <c r="G193" s="47"/>
      <c r="H193" s="336" t="s">
        <v>1364</v>
      </c>
      <c r="I193" s="339" t="s">
        <v>547</v>
      </c>
      <c r="J193" s="342">
        <v>12.0</v>
      </c>
      <c r="K193" s="342" t="s">
        <v>156</v>
      </c>
      <c r="L193" s="346">
        <v>8.0</v>
      </c>
      <c r="M193" s="105">
        <f t="shared" si="20"/>
        <v>96</v>
      </c>
      <c r="N193" s="347" t="s">
        <v>2311</v>
      </c>
      <c r="O193" s="339" t="s">
        <v>2312</v>
      </c>
    </row>
    <row r="194">
      <c r="A194" s="369"/>
      <c r="B194" s="47"/>
      <c r="C194" s="47"/>
      <c r="D194" s="47"/>
      <c r="E194" s="47"/>
      <c r="F194" s="47"/>
      <c r="G194" s="47"/>
      <c r="H194" s="336" t="s">
        <v>2313</v>
      </c>
      <c r="I194" s="339" t="s">
        <v>547</v>
      </c>
      <c r="J194" s="342">
        <v>6.0</v>
      </c>
      <c r="K194" s="342" t="s">
        <v>156</v>
      </c>
      <c r="L194" s="346">
        <v>14.0</v>
      </c>
      <c r="M194" s="105">
        <f t="shared" si="20"/>
        <v>84</v>
      </c>
      <c r="N194" s="347" t="s">
        <v>2311</v>
      </c>
      <c r="O194" s="339" t="s">
        <v>2312</v>
      </c>
    </row>
    <row r="195">
      <c r="A195" s="369"/>
      <c r="B195" s="47"/>
      <c r="C195" s="47"/>
      <c r="D195" s="47"/>
      <c r="E195" s="47"/>
      <c r="F195" s="47"/>
      <c r="G195" s="47"/>
      <c r="H195" s="336" t="s">
        <v>370</v>
      </c>
      <c r="I195" s="339" t="s">
        <v>547</v>
      </c>
      <c r="J195" s="342">
        <v>2.0</v>
      </c>
      <c r="K195" s="342" t="s">
        <v>165</v>
      </c>
      <c r="L195" s="346">
        <v>398.0</v>
      </c>
      <c r="M195" s="105">
        <f t="shared" si="20"/>
        <v>796</v>
      </c>
      <c r="N195" s="347" t="s">
        <v>2311</v>
      </c>
      <c r="O195" s="339" t="s">
        <v>2312</v>
      </c>
    </row>
    <row r="196">
      <c r="A196" s="369"/>
      <c r="B196" s="48"/>
      <c r="C196" s="48"/>
      <c r="D196" s="48"/>
      <c r="E196" s="48"/>
      <c r="F196" s="48"/>
      <c r="G196" s="48"/>
      <c r="H196" s="336" t="s">
        <v>1941</v>
      </c>
      <c r="I196" s="339" t="s">
        <v>1949</v>
      </c>
      <c r="J196" s="342" t="s">
        <v>92</v>
      </c>
      <c r="K196" s="342" t="s">
        <v>838</v>
      </c>
      <c r="L196" s="373">
        <v>0.05</v>
      </c>
      <c r="M196" s="352">
        <v>188.5</v>
      </c>
      <c r="N196" s="347" t="s">
        <v>1941</v>
      </c>
      <c r="O196" s="339" t="s">
        <v>2300</v>
      </c>
    </row>
    <row r="197">
      <c r="A197" s="342">
        <v>93.0</v>
      </c>
      <c r="B197" s="348">
        <v>12.0</v>
      </c>
      <c r="C197" s="350">
        <v>46023.0</v>
      </c>
      <c r="D197" s="348" t="s">
        <v>2314</v>
      </c>
      <c r="E197" s="350">
        <v>46097.0</v>
      </c>
      <c r="F197" s="351">
        <v>891.0</v>
      </c>
      <c r="G197" s="394">
        <v>46024.0</v>
      </c>
      <c r="H197" s="336" t="s">
        <v>2315</v>
      </c>
      <c r="I197" s="339" t="s">
        <v>2151</v>
      </c>
      <c r="J197" s="342">
        <v>200.0</v>
      </c>
      <c r="K197" s="342" t="s">
        <v>156</v>
      </c>
      <c r="L197" s="346">
        <v>14.0</v>
      </c>
      <c r="M197" s="105">
        <f t="shared" ref="M197:M201" si="21">J197*L197</f>
        <v>2800</v>
      </c>
      <c r="N197" s="347" t="s">
        <v>99</v>
      </c>
      <c r="O197" s="339" t="s">
        <v>2316</v>
      </c>
    </row>
    <row r="198">
      <c r="A198" s="369"/>
      <c r="B198" s="47"/>
      <c r="C198" s="47"/>
      <c r="D198" s="47"/>
      <c r="E198" s="47"/>
      <c r="F198" s="47"/>
      <c r="G198" s="47"/>
      <c r="H198" s="336" t="s">
        <v>2317</v>
      </c>
      <c r="I198" s="339" t="s">
        <v>2151</v>
      </c>
      <c r="J198" s="342">
        <v>200.0</v>
      </c>
      <c r="K198" s="342" t="s">
        <v>156</v>
      </c>
      <c r="L198" s="346">
        <v>14.0</v>
      </c>
      <c r="M198" s="105">
        <f t="shared" si="21"/>
        <v>2800</v>
      </c>
      <c r="N198" s="347" t="s">
        <v>99</v>
      </c>
      <c r="O198" s="339" t="s">
        <v>2316</v>
      </c>
    </row>
    <row r="199">
      <c r="A199" s="369"/>
      <c r="B199" s="47"/>
      <c r="C199" s="47"/>
      <c r="D199" s="47"/>
      <c r="E199" s="47"/>
      <c r="F199" s="47"/>
      <c r="G199" s="47"/>
      <c r="H199" s="336" t="s">
        <v>2318</v>
      </c>
      <c r="I199" s="339" t="s">
        <v>2151</v>
      </c>
      <c r="J199" s="342">
        <v>200.0</v>
      </c>
      <c r="K199" s="342" t="s">
        <v>156</v>
      </c>
      <c r="L199" s="346">
        <v>14.0</v>
      </c>
      <c r="M199" s="105">
        <f t="shared" si="21"/>
        <v>2800</v>
      </c>
      <c r="N199" s="347" t="s">
        <v>99</v>
      </c>
      <c r="O199" s="339" t="s">
        <v>2316</v>
      </c>
    </row>
    <row r="200">
      <c r="A200" s="369"/>
      <c r="B200" s="47"/>
      <c r="C200" s="47"/>
      <c r="D200" s="47"/>
      <c r="E200" s="47"/>
      <c r="F200" s="47"/>
      <c r="G200" s="47"/>
      <c r="H200" s="336" t="s">
        <v>2319</v>
      </c>
      <c r="I200" s="339" t="s">
        <v>2151</v>
      </c>
      <c r="J200" s="342">
        <v>200.0</v>
      </c>
      <c r="K200" s="342" t="s">
        <v>156</v>
      </c>
      <c r="L200" s="346">
        <v>14.0</v>
      </c>
      <c r="M200" s="105">
        <f t="shared" si="21"/>
        <v>2800</v>
      </c>
      <c r="N200" s="347" t="s">
        <v>99</v>
      </c>
      <c r="O200" s="339" t="s">
        <v>2316</v>
      </c>
    </row>
    <row r="201">
      <c r="A201" s="369"/>
      <c r="B201" s="47"/>
      <c r="C201" s="47"/>
      <c r="D201" s="47"/>
      <c r="E201" s="47"/>
      <c r="F201" s="47"/>
      <c r="G201" s="47"/>
      <c r="H201" s="336" t="s">
        <v>2320</v>
      </c>
      <c r="I201" s="339" t="s">
        <v>2151</v>
      </c>
      <c r="J201" s="342">
        <v>2.0</v>
      </c>
      <c r="K201" s="342" t="s">
        <v>39</v>
      </c>
      <c r="L201" s="346">
        <v>220.0</v>
      </c>
      <c r="M201" s="105">
        <f t="shared" si="21"/>
        <v>440</v>
      </c>
      <c r="N201" s="347" t="s">
        <v>99</v>
      </c>
      <c r="O201" s="339" t="s">
        <v>2316</v>
      </c>
    </row>
    <row r="202">
      <c r="A202" s="369"/>
      <c r="B202" s="48"/>
      <c r="C202" s="48"/>
      <c r="D202" s="48"/>
      <c r="E202" s="48"/>
      <c r="F202" s="48"/>
      <c r="G202" s="48"/>
      <c r="H202" s="336" t="s">
        <v>1941</v>
      </c>
      <c r="I202" s="339" t="s">
        <v>1949</v>
      </c>
      <c r="J202" s="342" t="s">
        <v>92</v>
      </c>
      <c r="K202" s="342" t="s">
        <v>838</v>
      </c>
      <c r="L202" s="373">
        <v>0.05</v>
      </c>
      <c r="M202" s="352">
        <v>582.0</v>
      </c>
      <c r="N202" s="347" t="s">
        <v>1941</v>
      </c>
      <c r="O202" s="339" t="s">
        <v>2321</v>
      </c>
    </row>
    <row r="203">
      <c r="A203" s="342">
        <v>94.0</v>
      </c>
      <c r="B203" s="348">
        <v>20.0</v>
      </c>
      <c r="C203" s="350">
        <v>46028.0</v>
      </c>
      <c r="D203" s="348" t="s">
        <v>2314</v>
      </c>
      <c r="E203" s="350">
        <v>46097.0</v>
      </c>
      <c r="F203" s="351">
        <v>894.0</v>
      </c>
      <c r="G203" s="390">
        <v>46031.0</v>
      </c>
      <c r="H203" s="336" t="s">
        <v>736</v>
      </c>
      <c r="I203" s="339" t="s">
        <v>1401</v>
      </c>
      <c r="J203" s="342">
        <v>50.0</v>
      </c>
      <c r="K203" s="342" t="s">
        <v>156</v>
      </c>
      <c r="L203" s="346">
        <v>50.0</v>
      </c>
      <c r="M203" s="105">
        <f>J203*L203</f>
        <v>2500</v>
      </c>
      <c r="N203" s="347" t="s">
        <v>99</v>
      </c>
      <c r="O203" s="339" t="s">
        <v>2316</v>
      </c>
    </row>
    <row r="204">
      <c r="A204" s="369"/>
      <c r="B204" s="48"/>
      <c r="C204" s="48"/>
      <c r="D204" s="48"/>
      <c r="E204" s="48"/>
      <c r="F204" s="48"/>
      <c r="G204" s="48"/>
      <c r="H204" s="336" t="s">
        <v>1941</v>
      </c>
      <c r="I204" s="339" t="s">
        <v>1949</v>
      </c>
      <c r="J204" s="342" t="s">
        <v>92</v>
      </c>
      <c r="K204" s="342" t="s">
        <v>838</v>
      </c>
      <c r="L204" s="373">
        <v>0.05</v>
      </c>
      <c r="M204" s="352">
        <v>125.0</v>
      </c>
      <c r="N204" s="347" t="s">
        <v>1941</v>
      </c>
      <c r="O204" s="339" t="s">
        <v>2288</v>
      </c>
    </row>
    <row r="205">
      <c r="A205" s="342">
        <v>95.0</v>
      </c>
      <c r="B205" s="348">
        <v>63.0</v>
      </c>
      <c r="C205" s="350">
        <v>46041.0</v>
      </c>
      <c r="D205" s="348" t="s">
        <v>2314</v>
      </c>
      <c r="E205" s="350">
        <v>46097.0</v>
      </c>
      <c r="F205" s="351">
        <v>1019.0</v>
      </c>
      <c r="G205" s="390">
        <v>46054.0</v>
      </c>
      <c r="H205" s="336" t="s">
        <v>1422</v>
      </c>
      <c r="I205" s="339" t="s">
        <v>2151</v>
      </c>
      <c r="J205" s="342">
        <v>2.0</v>
      </c>
      <c r="K205" s="342" t="s">
        <v>156</v>
      </c>
      <c r="L205" s="346">
        <v>125.0</v>
      </c>
      <c r="M205" s="105">
        <f>J205*L205</f>
        <v>250</v>
      </c>
      <c r="N205" s="347" t="s">
        <v>99</v>
      </c>
      <c r="O205" s="339" t="s">
        <v>2322</v>
      </c>
    </row>
    <row r="206">
      <c r="A206" s="369"/>
      <c r="B206" s="48"/>
      <c r="C206" s="48"/>
      <c r="D206" s="48"/>
      <c r="E206" s="48"/>
      <c r="F206" s="48"/>
      <c r="G206" s="48"/>
      <c r="H206" s="336" t="s">
        <v>1941</v>
      </c>
      <c r="I206" s="339" t="s">
        <v>1949</v>
      </c>
      <c r="J206" s="342" t="s">
        <v>92</v>
      </c>
      <c r="K206" s="342" t="s">
        <v>838</v>
      </c>
      <c r="L206" s="373">
        <v>0.05</v>
      </c>
      <c r="M206" s="352">
        <v>12.0</v>
      </c>
      <c r="N206" s="347" t="s">
        <v>1941</v>
      </c>
      <c r="O206" s="339" t="s">
        <v>2288</v>
      </c>
    </row>
    <row r="207">
      <c r="A207" s="342">
        <v>96.0</v>
      </c>
      <c r="B207" s="348">
        <v>120.0</v>
      </c>
      <c r="C207" s="350">
        <v>46068.0</v>
      </c>
      <c r="D207" s="348" t="s">
        <v>2314</v>
      </c>
      <c r="E207" s="350">
        <v>46097.0</v>
      </c>
      <c r="F207" s="351">
        <v>1016.0</v>
      </c>
      <c r="G207" s="390">
        <v>46068.0</v>
      </c>
      <c r="H207" s="336" t="s">
        <v>2323</v>
      </c>
      <c r="I207" s="339" t="s">
        <v>2151</v>
      </c>
      <c r="J207" s="342">
        <v>2.0</v>
      </c>
      <c r="K207" s="342" t="s">
        <v>654</v>
      </c>
      <c r="L207" s="346">
        <v>2375.0</v>
      </c>
      <c r="M207" s="105">
        <f t="shared" ref="M207:M208" si="22">J207*L207</f>
        <v>4750</v>
      </c>
      <c r="N207" s="347" t="s">
        <v>99</v>
      </c>
      <c r="O207" s="339" t="s">
        <v>2324</v>
      </c>
    </row>
    <row r="208">
      <c r="A208" s="369"/>
      <c r="B208" s="47"/>
      <c r="C208" s="47"/>
      <c r="D208" s="47"/>
      <c r="E208" s="47"/>
      <c r="F208" s="47"/>
      <c r="G208" s="47"/>
      <c r="H208" s="336" t="s">
        <v>2325</v>
      </c>
      <c r="I208" s="339" t="s">
        <v>2151</v>
      </c>
      <c r="J208" s="342">
        <v>2.0</v>
      </c>
      <c r="K208" s="342" t="s">
        <v>1476</v>
      </c>
      <c r="L208" s="346">
        <v>680.0</v>
      </c>
      <c r="M208" s="105">
        <f t="shared" si="22"/>
        <v>1360</v>
      </c>
      <c r="N208" s="347" t="s">
        <v>99</v>
      </c>
      <c r="O208" s="339" t="s">
        <v>2326</v>
      </c>
    </row>
    <row r="209">
      <c r="A209" s="369"/>
      <c r="B209" s="48"/>
      <c r="C209" s="48"/>
      <c r="D209" s="48"/>
      <c r="E209" s="48"/>
      <c r="F209" s="48"/>
      <c r="G209" s="48"/>
      <c r="H209" s="336" t="s">
        <v>1941</v>
      </c>
      <c r="I209" s="339" t="s">
        <v>1949</v>
      </c>
      <c r="J209" s="342" t="s">
        <v>92</v>
      </c>
      <c r="K209" s="342" t="s">
        <v>838</v>
      </c>
      <c r="L209" s="373">
        <v>0.05</v>
      </c>
      <c r="M209" s="352">
        <v>305.0</v>
      </c>
      <c r="N209" s="347" t="s">
        <v>1941</v>
      </c>
      <c r="O209" s="339" t="s">
        <v>2300</v>
      </c>
    </row>
    <row r="210">
      <c r="A210" s="342">
        <v>97.0</v>
      </c>
      <c r="B210" s="348">
        <v>121.0</v>
      </c>
      <c r="C210" s="350">
        <v>46074.0</v>
      </c>
      <c r="D210" s="348" t="s">
        <v>2314</v>
      </c>
      <c r="E210" s="350">
        <v>46097.0</v>
      </c>
      <c r="F210" s="351">
        <v>1019.0</v>
      </c>
      <c r="G210" s="390">
        <v>46076.0</v>
      </c>
      <c r="H210" s="336" t="s">
        <v>2327</v>
      </c>
      <c r="I210" s="339" t="s">
        <v>24</v>
      </c>
      <c r="J210" s="342">
        <v>2.0</v>
      </c>
      <c r="K210" s="342" t="s">
        <v>156</v>
      </c>
      <c r="L210" s="346">
        <v>2795.0</v>
      </c>
      <c r="M210" s="105">
        <f>J210*L210</f>
        <v>5590</v>
      </c>
      <c r="N210" s="347" t="s">
        <v>99</v>
      </c>
      <c r="O210" s="339" t="s">
        <v>2328</v>
      </c>
    </row>
    <row r="211">
      <c r="A211" s="369"/>
      <c r="B211" s="48"/>
      <c r="C211" s="48"/>
      <c r="D211" s="48"/>
      <c r="E211" s="48"/>
      <c r="F211" s="48"/>
      <c r="G211" s="48"/>
      <c r="H211" s="336" t="s">
        <v>1941</v>
      </c>
      <c r="I211" s="339" t="s">
        <v>1949</v>
      </c>
      <c r="J211" s="342" t="s">
        <v>92</v>
      </c>
      <c r="K211" s="342" t="s">
        <v>838</v>
      </c>
      <c r="L211" s="373">
        <v>0.05</v>
      </c>
      <c r="M211" s="352">
        <v>279.5</v>
      </c>
      <c r="N211" s="347" t="s">
        <v>1941</v>
      </c>
      <c r="O211" s="339" t="s">
        <v>2300</v>
      </c>
    </row>
    <row r="212">
      <c r="A212" s="342">
        <v>98.0</v>
      </c>
      <c r="B212" s="339">
        <v>608.0</v>
      </c>
      <c r="C212" s="345">
        <v>46379.0</v>
      </c>
      <c r="D212" s="339" t="s">
        <v>2329</v>
      </c>
      <c r="E212" s="345">
        <v>46098.0</v>
      </c>
      <c r="F212" s="342">
        <v>612.0</v>
      </c>
      <c r="G212" s="395">
        <v>46379.0</v>
      </c>
      <c r="H212" s="336" t="s">
        <v>2330</v>
      </c>
      <c r="I212" s="339" t="s">
        <v>2084</v>
      </c>
      <c r="J212" s="342">
        <v>1.0</v>
      </c>
      <c r="K212" s="342" t="s">
        <v>207</v>
      </c>
      <c r="L212" s="346">
        <v>19500.0</v>
      </c>
      <c r="M212" s="105">
        <f t="shared" ref="M212:M213" si="23">J212*L212</f>
        <v>19500</v>
      </c>
      <c r="N212" s="347" t="s">
        <v>208</v>
      </c>
      <c r="O212" s="339" t="s">
        <v>1453</v>
      </c>
    </row>
    <row r="213">
      <c r="A213" s="342">
        <v>99.0</v>
      </c>
      <c r="B213" s="348">
        <v>11.0</v>
      </c>
      <c r="C213" s="350">
        <v>46037.0</v>
      </c>
      <c r="D213" s="348" t="s">
        <v>2329</v>
      </c>
      <c r="E213" s="350">
        <v>46098.0</v>
      </c>
      <c r="F213" s="351" t="s">
        <v>2331</v>
      </c>
      <c r="G213" s="390">
        <v>46030.0</v>
      </c>
      <c r="H213" s="336" t="s">
        <v>2332</v>
      </c>
      <c r="I213" s="339" t="s">
        <v>2084</v>
      </c>
      <c r="J213" s="342">
        <v>2.0</v>
      </c>
      <c r="K213" s="342" t="s">
        <v>256</v>
      </c>
      <c r="L213" s="346">
        <v>16000.0</v>
      </c>
      <c r="M213" s="105">
        <f t="shared" si="23"/>
        <v>32000</v>
      </c>
      <c r="N213" s="347" t="s">
        <v>208</v>
      </c>
      <c r="O213" s="339" t="s">
        <v>2333</v>
      </c>
    </row>
    <row r="214">
      <c r="A214" s="369"/>
      <c r="B214" s="48"/>
      <c r="C214" s="48"/>
      <c r="D214" s="48"/>
      <c r="E214" s="48"/>
      <c r="F214" s="48"/>
      <c r="G214" s="48"/>
      <c r="H214" s="336" t="s">
        <v>1941</v>
      </c>
      <c r="I214" s="339" t="s">
        <v>1949</v>
      </c>
      <c r="J214" s="342" t="s">
        <v>158</v>
      </c>
      <c r="K214" s="342" t="s">
        <v>838</v>
      </c>
      <c r="L214" s="373">
        <v>0.05</v>
      </c>
      <c r="M214" s="352">
        <v>1600.0</v>
      </c>
      <c r="N214" s="347" t="s">
        <v>1941</v>
      </c>
      <c r="O214" s="339" t="s">
        <v>2288</v>
      </c>
    </row>
    <row r="215">
      <c r="A215" s="342">
        <v>100.0</v>
      </c>
      <c r="B215" s="348">
        <v>26.0</v>
      </c>
      <c r="C215" s="350">
        <v>46035.0</v>
      </c>
      <c r="D215" s="348" t="s">
        <v>2334</v>
      </c>
      <c r="E215" s="350">
        <v>46098.0</v>
      </c>
      <c r="F215" s="351">
        <v>899.0</v>
      </c>
      <c r="G215" s="390">
        <v>46040.0</v>
      </c>
      <c r="H215" s="336" t="s">
        <v>2335</v>
      </c>
      <c r="I215" s="339" t="s">
        <v>2084</v>
      </c>
      <c r="J215" s="342">
        <v>2.0</v>
      </c>
      <c r="K215" s="342" t="s">
        <v>256</v>
      </c>
      <c r="L215" s="346">
        <v>11880.0</v>
      </c>
      <c r="M215" s="105">
        <f>J215*L215</f>
        <v>23760</v>
      </c>
      <c r="N215" s="347" t="s">
        <v>208</v>
      </c>
      <c r="O215" s="339" t="s">
        <v>2336</v>
      </c>
    </row>
    <row r="216">
      <c r="A216" s="369"/>
      <c r="B216" s="48"/>
      <c r="C216" s="48"/>
      <c r="D216" s="48"/>
      <c r="E216" s="48"/>
      <c r="F216" s="48"/>
      <c r="G216" s="48"/>
      <c r="H216" s="336" t="s">
        <v>1941</v>
      </c>
      <c r="I216" s="339" t="s">
        <v>1949</v>
      </c>
      <c r="J216" s="342" t="s">
        <v>92</v>
      </c>
      <c r="K216" s="342" t="s">
        <v>838</v>
      </c>
      <c r="L216" s="373">
        <v>0.05</v>
      </c>
      <c r="M216" s="352">
        <v>1188.0</v>
      </c>
      <c r="N216" s="347" t="s">
        <v>1941</v>
      </c>
      <c r="O216" s="339" t="s">
        <v>2300</v>
      </c>
    </row>
    <row r="217">
      <c r="A217" s="342">
        <v>101.0</v>
      </c>
      <c r="B217" s="348">
        <v>27.0</v>
      </c>
      <c r="C217" s="350">
        <v>46038.0</v>
      </c>
      <c r="D217" s="348" t="s">
        <v>2334</v>
      </c>
      <c r="E217" s="350">
        <v>46098.0</v>
      </c>
      <c r="F217" s="351">
        <v>899.0</v>
      </c>
      <c r="G217" s="390">
        <v>46040.0</v>
      </c>
      <c r="H217" s="336" t="s">
        <v>2335</v>
      </c>
      <c r="I217" s="339" t="s">
        <v>2084</v>
      </c>
      <c r="J217" s="342">
        <v>2.0</v>
      </c>
      <c r="K217" s="342" t="s">
        <v>256</v>
      </c>
      <c r="L217" s="346">
        <v>11880.0</v>
      </c>
      <c r="M217" s="105">
        <f>J217*L217</f>
        <v>23760</v>
      </c>
      <c r="N217" s="347" t="s">
        <v>208</v>
      </c>
      <c r="O217" s="339" t="s">
        <v>2336</v>
      </c>
    </row>
    <row r="218">
      <c r="A218" s="369"/>
      <c r="B218" s="48"/>
      <c r="C218" s="48"/>
      <c r="D218" s="48"/>
      <c r="E218" s="48"/>
      <c r="F218" s="48"/>
      <c r="G218" s="48"/>
      <c r="H218" s="336" t="s">
        <v>1941</v>
      </c>
      <c r="I218" s="339" t="s">
        <v>1949</v>
      </c>
      <c r="J218" s="342" t="s">
        <v>92</v>
      </c>
      <c r="K218" s="342" t="s">
        <v>838</v>
      </c>
      <c r="L218" s="373">
        <v>0.05</v>
      </c>
      <c r="M218" s="352">
        <v>1188.0</v>
      </c>
      <c r="N218" s="347" t="s">
        <v>1941</v>
      </c>
      <c r="O218" s="339" t="s">
        <v>2288</v>
      </c>
    </row>
    <row r="219">
      <c r="A219" s="342">
        <v>102.0</v>
      </c>
      <c r="B219" s="348">
        <v>23.0</v>
      </c>
      <c r="C219" s="350">
        <v>46030.0</v>
      </c>
      <c r="D219" s="348" t="s">
        <v>2337</v>
      </c>
      <c r="E219" s="350">
        <v>46098.0</v>
      </c>
      <c r="F219" s="351">
        <v>894.0</v>
      </c>
      <c r="G219" s="390">
        <v>46031.0</v>
      </c>
      <c r="H219" s="336" t="s">
        <v>914</v>
      </c>
      <c r="I219" s="339" t="s">
        <v>1401</v>
      </c>
      <c r="J219" s="342">
        <v>50.0</v>
      </c>
      <c r="K219" s="342" t="s">
        <v>156</v>
      </c>
      <c r="L219" s="346">
        <v>35.0</v>
      </c>
      <c r="M219" s="105">
        <f>J219*L219</f>
        <v>1750</v>
      </c>
      <c r="N219" s="347" t="s">
        <v>2338</v>
      </c>
      <c r="O219" s="339" t="s">
        <v>2336</v>
      </c>
    </row>
    <row r="220">
      <c r="A220" s="369"/>
      <c r="B220" s="48"/>
      <c r="C220" s="48"/>
      <c r="D220" s="48"/>
      <c r="E220" s="48"/>
      <c r="F220" s="48"/>
      <c r="G220" s="48"/>
      <c r="H220" s="336" t="s">
        <v>1941</v>
      </c>
      <c r="I220" s="339" t="s">
        <v>1949</v>
      </c>
      <c r="J220" s="342" t="s">
        <v>92</v>
      </c>
      <c r="K220" s="342" t="s">
        <v>838</v>
      </c>
      <c r="L220" s="373">
        <v>0.05</v>
      </c>
      <c r="M220" s="352">
        <v>87.5</v>
      </c>
      <c r="N220" s="347" t="s">
        <v>1941</v>
      </c>
      <c r="O220" s="339" t="s">
        <v>2288</v>
      </c>
    </row>
    <row r="221">
      <c r="A221" s="342">
        <v>103.0</v>
      </c>
      <c r="B221" s="348">
        <v>68.0</v>
      </c>
      <c r="C221" s="350">
        <v>46052.0</v>
      </c>
      <c r="D221" s="348" t="s">
        <v>2337</v>
      </c>
      <c r="E221" s="350">
        <v>46098.0</v>
      </c>
      <c r="F221" s="351">
        <v>1010.0</v>
      </c>
      <c r="G221" s="394">
        <v>46054.0</v>
      </c>
      <c r="H221" s="336" t="s">
        <v>2339</v>
      </c>
      <c r="I221" s="339" t="s">
        <v>1401</v>
      </c>
      <c r="J221" s="342">
        <v>3.0</v>
      </c>
      <c r="K221" s="342" t="s">
        <v>156</v>
      </c>
      <c r="L221" s="346">
        <v>4100.0</v>
      </c>
      <c r="M221" s="105">
        <f>J221*L221</f>
        <v>12300</v>
      </c>
      <c r="N221" s="347" t="s">
        <v>2338</v>
      </c>
      <c r="O221" s="339" t="s">
        <v>2298</v>
      </c>
    </row>
    <row r="222">
      <c r="A222" s="369"/>
      <c r="B222" s="48"/>
      <c r="C222" s="48"/>
      <c r="D222" s="48"/>
      <c r="E222" s="48"/>
      <c r="F222" s="48"/>
      <c r="G222" s="48"/>
      <c r="H222" s="336" t="s">
        <v>1941</v>
      </c>
      <c r="I222" s="339" t="s">
        <v>1949</v>
      </c>
      <c r="J222" s="342" t="s">
        <v>160</v>
      </c>
      <c r="K222" s="342" t="s">
        <v>838</v>
      </c>
      <c r="L222" s="373">
        <v>0.05</v>
      </c>
      <c r="M222" s="352">
        <v>615.0</v>
      </c>
      <c r="N222" s="347" t="s">
        <v>1941</v>
      </c>
      <c r="O222" s="339" t="s">
        <v>2288</v>
      </c>
    </row>
    <row r="223">
      <c r="A223" s="342">
        <v>104.0</v>
      </c>
      <c r="B223" s="348">
        <v>801.0</v>
      </c>
      <c r="C223" s="350">
        <v>46057.0</v>
      </c>
      <c r="D223" s="348" t="s">
        <v>2340</v>
      </c>
      <c r="E223" s="350">
        <v>46098.0</v>
      </c>
      <c r="F223" s="351">
        <v>1011.0</v>
      </c>
      <c r="G223" s="390">
        <v>46058.0</v>
      </c>
      <c r="H223" s="336" t="s">
        <v>2341</v>
      </c>
      <c r="I223" s="339" t="s">
        <v>2147</v>
      </c>
      <c r="J223" s="342">
        <v>100.0</v>
      </c>
      <c r="K223" s="342" t="s">
        <v>654</v>
      </c>
      <c r="L223" s="346">
        <v>70.0</v>
      </c>
      <c r="M223" s="105">
        <f t="shared" ref="M223:M227" si="24">J223*L223</f>
        <v>7000</v>
      </c>
      <c r="N223" s="347" t="s">
        <v>2342</v>
      </c>
      <c r="O223" s="339" t="s">
        <v>2343</v>
      </c>
    </row>
    <row r="224">
      <c r="A224" s="369"/>
      <c r="B224" s="47"/>
      <c r="C224" s="47"/>
      <c r="D224" s="47"/>
      <c r="E224" s="47"/>
      <c r="F224" s="47"/>
      <c r="G224" s="47"/>
      <c r="H224" s="336" t="s">
        <v>2344</v>
      </c>
      <c r="I224" s="339" t="s">
        <v>2147</v>
      </c>
      <c r="J224" s="342">
        <v>50.0</v>
      </c>
      <c r="K224" s="342" t="s">
        <v>654</v>
      </c>
      <c r="L224" s="346">
        <v>68.0</v>
      </c>
      <c r="M224" s="105">
        <f t="shared" si="24"/>
        <v>3400</v>
      </c>
      <c r="N224" s="347" t="s">
        <v>2342</v>
      </c>
      <c r="O224" s="339" t="s">
        <v>2343</v>
      </c>
    </row>
    <row r="225">
      <c r="A225" s="369"/>
      <c r="B225" s="47"/>
      <c r="C225" s="47"/>
      <c r="D225" s="47"/>
      <c r="E225" s="47"/>
      <c r="F225" s="47"/>
      <c r="G225" s="47"/>
      <c r="H225" s="336" t="s">
        <v>2345</v>
      </c>
      <c r="I225" s="339" t="s">
        <v>2147</v>
      </c>
      <c r="J225" s="342">
        <v>200.0</v>
      </c>
      <c r="K225" s="342" t="s">
        <v>2346</v>
      </c>
      <c r="L225" s="346">
        <v>68.0</v>
      </c>
      <c r="M225" s="105">
        <f t="shared" si="24"/>
        <v>13600</v>
      </c>
      <c r="N225" s="347" t="s">
        <v>2342</v>
      </c>
      <c r="O225" s="339" t="s">
        <v>2343</v>
      </c>
    </row>
    <row r="226">
      <c r="A226" s="369"/>
      <c r="B226" s="47"/>
      <c r="C226" s="47"/>
      <c r="D226" s="47"/>
      <c r="E226" s="47"/>
      <c r="F226" s="47"/>
      <c r="G226" s="47"/>
      <c r="H226" s="336" t="s">
        <v>2347</v>
      </c>
      <c r="I226" s="339" t="s">
        <v>2147</v>
      </c>
      <c r="J226" s="342">
        <v>200.0</v>
      </c>
      <c r="K226" s="342" t="s">
        <v>2346</v>
      </c>
      <c r="L226" s="346">
        <v>68.0</v>
      </c>
      <c r="M226" s="105">
        <f t="shared" si="24"/>
        <v>13600</v>
      </c>
      <c r="N226" s="347" t="s">
        <v>2342</v>
      </c>
      <c r="O226" s="339" t="s">
        <v>2343</v>
      </c>
    </row>
    <row r="227">
      <c r="A227" s="369"/>
      <c r="B227" s="47"/>
      <c r="C227" s="47"/>
      <c r="D227" s="47"/>
      <c r="E227" s="47"/>
      <c r="F227" s="47"/>
      <c r="G227" s="47"/>
      <c r="H227" s="336" t="s">
        <v>2348</v>
      </c>
      <c r="I227" s="339" t="s">
        <v>2147</v>
      </c>
      <c r="J227" s="342">
        <v>200.0</v>
      </c>
      <c r="K227" s="342" t="s">
        <v>2346</v>
      </c>
      <c r="L227" s="346">
        <v>68.0</v>
      </c>
      <c r="M227" s="105">
        <f t="shared" si="24"/>
        <v>13600</v>
      </c>
      <c r="N227" s="347" t="s">
        <v>2342</v>
      </c>
      <c r="O227" s="339" t="s">
        <v>2343</v>
      </c>
    </row>
    <row r="228">
      <c r="A228" s="369"/>
      <c r="B228" s="48"/>
      <c r="C228" s="48"/>
      <c r="D228" s="48"/>
      <c r="E228" s="48"/>
      <c r="F228" s="48"/>
      <c r="G228" s="48"/>
      <c r="H228" s="336" t="s">
        <v>1941</v>
      </c>
      <c r="I228" s="339" t="s">
        <v>1949</v>
      </c>
      <c r="J228" s="342" t="s">
        <v>92</v>
      </c>
      <c r="K228" s="342" t="s">
        <v>838</v>
      </c>
      <c r="L228" s="373">
        <v>0.05</v>
      </c>
      <c r="M228" s="352">
        <v>2543.33</v>
      </c>
      <c r="N228" s="347" t="s">
        <v>1941</v>
      </c>
      <c r="O228" s="339" t="s">
        <v>2288</v>
      </c>
    </row>
    <row r="229">
      <c r="A229" s="342">
        <v>105.0</v>
      </c>
      <c r="B229" s="348">
        <v>95.0</v>
      </c>
      <c r="C229" s="350">
        <v>46023.0</v>
      </c>
      <c r="D229" s="348" t="s">
        <v>2340</v>
      </c>
      <c r="E229" s="350">
        <v>46098.0</v>
      </c>
      <c r="F229" s="351">
        <v>891.0</v>
      </c>
      <c r="G229" s="390">
        <v>46024.0</v>
      </c>
      <c r="H229" s="336" t="s">
        <v>2349</v>
      </c>
      <c r="I229" s="339" t="s">
        <v>2151</v>
      </c>
      <c r="J229" s="342">
        <v>7.0</v>
      </c>
      <c r="K229" s="342" t="s">
        <v>156</v>
      </c>
      <c r="L229" s="346">
        <v>2490.0</v>
      </c>
      <c r="M229" s="105">
        <f t="shared" ref="M229:M230" si="25">J229*L229</f>
        <v>17430</v>
      </c>
      <c r="N229" s="347" t="s">
        <v>2342</v>
      </c>
      <c r="O229" s="339" t="s">
        <v>2350</v>
      </c>
    </row>
    <row r="230">
      <c r="A230" s="369"/>
      <c r="B230" s="47"/>
      <c r="C230" s="47"/>
      <c r="D230" s="47"/>
      <c r="E230" s="47"/>
      <c r="F230" s="47"/>
      <c r="G230" s="47"/>
      <c r="H230" s="336" t="s">
        <v>2351</v>
      </c>
      <c r="I230" s="339" t="s">
        <v>2151</v>
      </c>
      <c r="J230" s="342">
        <v>7.0</v>
      </c>
      <c r="K230" s="342" t="s">
        <v>981</v>
      </c>
      <c r="L230" s="346">
        <v>3456.0</v>
      </c>
      <c r="M230" s="105">
        <f t="shared" si="25"/>
        <v>24192</v>
      </c>
      <c r="N230" s="347" t="s">
        <v>2342</v>
      </c>
      <c r="O230" s="339" t="s">
        <v>2350</v>
      </c>
    </row>
    <row r="231">
      <c r="A231" s="369"/>
      <c r="B231" s="48"/>
      <c r="C231" s="48"/>
      <c r="D231" s="48"/>
      <c r="E231" s="48"/>
      <c r="F231" s="48"/>
      <c r="G231" s="48"/>
      <c r="H231" s="336" t="s">
        <v>1941</v>
      </c>
      <c r="I231" s="339" t="s">
        <v>1949</v>
      </c>
      <c r="J231" s="342" t="s">
        <v>92</v>
      </c>
      <c r="K231" s="342" t="s">
        <v>838</v>
      </c>
      <c r="L231" s="373">
        <v>0.05</v>
      </c>
      <c r="M231" s="352">
        <v>2081.1</v>
      </c>
      <c r="N231" s="347" t="s">
        <v>1941</v>
      </c>
      <c r="O231" s="339" t="s">
        <v>2288</v>
      </c>
    </row>
    <row r="232">
      <c r="A232" s="342">
        <v>106.0</v>
      </c>
      <c r="B232" s="348">
        <v>24.0</v>
      </c>
      <c r="C232" s="350">
        <v>46035.0</v>
      </c>
      <c r="D232" s="348" t="s">
        <v>2352</v>
      </c>
      <c r="E232" s="350">
        <v>46098.0</v>
      </c>
      <c r="F232" s="351">
        <v>896.0</v>
      </c>
      <c r="G232" s="390">
        <v>46036.0</v>
      </c>
      <c r="H232" s="336" t="s">
        <v>2353</v>
      </c>
      <c r="I232" s="339" t="s">
        <v>2151</v>
      </c>
      <c r="J232" s="342">
        <v>96.0</v>
      </c>
      <c r="K232" s="342" t="s">
        <v>156</v>
      </c>
      <c r="L232" s="346">
        <v>12.0</v>
      </c>
      <c r="M232" s="105">
        <f t="shared" ref="M232:M233" si="26">J232*L232</f>
        <v>1152</v>
      </c>
      <c r="N232" s="347" t="s">
        <v>2354</v>
      </c>
      <c r="O232" s="339" t="s">
        <v>2355</v>
      </c>
    </row>
    <row r="233">
      <c r="A233" s="369"/>
      <c r="B233" s="47"/>
      <c r="C233" s="47"/>
      <c r="D233" s="47"/>
      <c r="E233" s="47"/>
      <c r="F233" s="47"/>
      <c r="G233" s="47"/>
      <c r="H233" s="336" t="s">
        <v>1189</v>
      </c>
      <c r="I233" s="339" t="s">
        <v>2151</v>
      </c>
      <c r="J233" s="342">
        <v>200.0</v>
      </c>
      <c r="K233" s="342" t="s">
        <v>981</v>
      </c>
      <c r="L233" s="346">
        <v>9.0</v>
      </c>
      <c r="M233" s="105">
        <f t="shared" si="26"/>
        <v>1800</v>
      </c>
      <c r="N233" s="347" t="s">
        <v>2354</v>
      </c>
      <c r="O233" s="339" t="s">
        <v>2355</v>
      </c>
    </row>
    <row r="234">
      <c r="A234" s="369"/>
      <c r="B234" s="48"/>
      <c r="C234" s="48"/>
      <c r="D234" s="48"/>
      <c r="E234" s="48"/>
      <c r="F234" s="48"/>
      <c r="G234" s="48"/>
      <c r="H234" s="336" t="s">
        <v>1941</v>
      </c>
      <c r="I234" s="339" t="s">
        <v>1949</v>
      </c>
      <c r="J234" s="342" t="s">
        <v>92</v>
      </c>
      <c r="K234" s="342" t="s">
        <v>838</v>
      </c>
      <c r="L234" s="373">
        <v>0.05</v>
      </c>
      <c r="M234" s="352">
        <v>147.6</v>
      </c>
      <c r="N234" s="347" t="s">
        <v>1941</v>
      </c>
      <c r="O234" s="339" t="s">
        <v>2288</v>
      </c>
    </row>
    <row r="235">
      <c r="A235" s="342">
        <v>107.0</v>
      </c>
      <c r="B235" s="348">
        <v>1.0</v>
      </c>
      <c r="C235" s="350">
        <v>46024.0</v>
      </c>
      <c r="D235" s="348" t="s">
        <v>2352</v>
      </c>
      <c r="E235" s="350">
        <v>46098.0</v>
      </c>
      <c r="F235" s="351">
        <v>891.0</v>
      </c>
      <c r="G235" s="390">
        <v>46024.0</v>
      </c>
      <c r="H235" s="336" t="s">
        <v>1189</v>
      </c>
      <c r="I235" s="339" t="s">
        <v>2151</v>
      </c>
      <c r="J235" s="342">
        <v>60.0</v>
      </c>
      <c r="K235" s="342" t="s">
        <v>981</v>
      </c>
      <c r="L235" s="346">
        <v>9.0</v>
      </c>
      <c r="M235" s="105">
        <f t="shared" ref="M235:M237" si="27">J235*L235</f>
        <v>540</v>
      </c>
      <c r="N235" s="347" t="s">
        <v>2354</v>
      </c>
      <c r="O235" s="339" t="s">
        <v>2356</v>
      </c>
    </row>
    <row r="236">
      <c r="A236" s="369"/>
      <c r="B236" s="47"/>
      <c r="C236" s="47"/>
      <c r="D236" s="47"/>
      <c r="E236" s="47"/>
      <c r="F236" s="47"/>
      <c r="G236" s="47"/>
      <c r="H236" s="336" t="s">
        <v>2357</v>
      </c>
      <c r="I236" s="339" t="s">
        <v>2151</v>
      </c>
      <c r="J236" s="342">
        <v>32.0</v>
      </c>
      <c r="K236" s="342" t="s">
        <v>156</v>
      </c>
      <c r="L236" s="346">
        <v>8.0</v>
      </c>
      <c r="M236" s="105">
        <f t="shared" si="27"/>
        <v>256</v>
      </c>
      <c r="N236" s="347" t="s">
        <v>2354</v>
      </c>
      <c r="O236" s="339" t="s">
        <v>2356</v>
      </c>
    </row>
    <row r="237">
      <c r="A237" s="369"/>
      <c r="B237" s="47"/>
      <c r="C237" s="47"/>
      <c r="D237" s="47"/>
      <c r="E237" s="47"/>
      <c r="F237" s="47"/>
      <c r="G237" s="47"/>
      <c r="H237" s="336" t="s">
        <v>2353</v>
      </c>
      <c r="I237" s="339" t="s">
        <v>2151</v>
      </c>
      <c r="J237" s="342">
        <v>32.0</v>
      </c>
      <c r="K237" s="342" t="s">
        <v>156</v>
      </c>
      <c r="L237" s="346">
        <v>10.0</v>
      </c>
      <c r="M237" s="105">
        <f t="shared" si="27"/>
        <v>320</v>
      </c>
      <c r="N237" s="347" t="s">
        <v>2358</v>
      </c>
      <c r="O237" s="339" t="s">
        <v>2356</v>
      </c>
    </row>
    <row r="238">
      <c r="A238" s="369"/>
      <c r="B238" s="48"/>
      <c r="C238" s="48"/>
      <c r="D238" s="48"/>
      <c r="E238" s="48"/>
      <c r="F238" s="48"/>
      <c r="G238" s="48"/>
      <c r="H238" s="336" t="s">
        <v>1941</v>
      </c>
      <c r="I238" s="339" t="s">
        <v>1949</v>
      </c>
      <c r="J238" s="342" t="s">
        <v>92</v>
      </c>
      <c r="K238" s="342" t="s">
        <v>838</v>
      </c>
      <c r="L238" s="373">
        <v>0.05</v>
      </c>
      <c r="M238" s="352">
        <v>55.8</v>
      </c>
      <c r="N238" s="347" t="s">
        <v>1941</v>
      </c>
      <c r="O238" s="339" t="s">
        <v>2321</v>
      </c>
    </row>
    <row r="239">
      <c r="A239" s="342">
        <v>108.0</v>
      </c>
      <c r="B239" s="348">
        <v>78.0</v>
      </c>
      <c r="C239" s="350">
        <v>46077.0</v>
      </c>
      <c r="D239" s="348" t="s">
        <v>66</v>
      </c>
      <c r="E239" s="350">
        <v>46099.0</v>
      </c>
      <c r="F239" s="351">
        <v>1021.0</v>
      </c>
      <c r="G239" s="394">
        <v>46082.0</v>
      </c>
      <c r="H239" s="336" t="s">
        <v>2359</v>
      </c>
      <c r="I239" s="339" t="s">
        <v>2360</v>
      </c>
      <c r="J239" s="342">
        <v>20.0</v>
      </c>
      <c r="K239" s="342" t="s">
        <v>405</v>
      </c>
      <c r="L239" s="346">
        <v>95.0</v>
      </c>
      <c r="M239" s="105">
        <f t="shared" ref="M239:M240" si="28">J239*L239</f>
        <v>1900</v>
      </c>
      <c r="N239" s="347" t="s">
        <v>2128</v>
      </c>
      <c r="O239" s="339" t="s">
        <v>2361</v>
      </c>
    </row>
    <row r="240">
      <c r="A240" s="342"/>
      <c r="B240" s="47"/>
      <c r="C240" s="47"/>
      <c r="D240" s="47"/>
      <c r="E240" s="47"/>
      <c r="F240" s="47"/>
      <c r="G240" s="47"/>
      <c r="H240" s="336" t="s">
        <v>2362</v>
      </c>
      <c r="I240" s="339" t="s">
        <v>2360</v>
      </c>
      <c r="J240" s="342">
        <v>20.0</v>
      </c>
      <c r="K240" s="342" t="s">
        <v>165</v>
      </c>
      <c r="L240" s="346">
        <v>115.0</v>
      </c>
      <c r="M240" s="105">
        <f t="shared" si="28"/>
        <v>2300</v>
      </c>
      <c r="N240" s="347" t="s">
        <v>2128</v>
      </c>
      <c r="O240" s="339" t="s">
        <v>2361</v>
      </c>
    </row>
    <row r="241">
      <c r="A241" s="369"/>
      <c r="B241" s="48"/>
      <c r="C241" s="48"/>
      <c r="D241" s="48"/>
      <c r="E241" s="48"/>
      <c r="F241" s="48"/>
      <c r="G241" s="48"/>
      <c r="H241" s="336" t="s">
        <v>1941</v>
      </c>
      <c r="I241" s="339" t="s">
        <v>1949</v>
      </c>
      <c r="J241" s="342" t="s">
        <v>92</v>
      </c>
      <c r="K241" s="342" t="s">
        <v>838</v>
      </c>
      <c r="L241" s="373">
        <v>0.05</v>
      </c>
      <c r="M241" s="352">
        <v>210.0</v>
      </c>
      <c r="N241" s="347" t="s">
        <v>1941</v>
      </c>
      <c r="O241" s="339" t="s">
        <v>2321</v>
      </c>
    </row>
    <row r="242">
      <c r="A242" s="342">
        <v>109.0</v>
      </c>
      <c r="B242" s="348">
        <v>107.0</v>
      </c>
      <c r="C242" s="350">
        <v>46055.0</v>
      </c>
      <c r="D242" s="348" t="s">
        <v>2363</v>
      </c>
      <c r="E242" s="350">
        <v>46099.0</v>
      </c>
      <c r="F242" s="351">
        <v>1019.0</v>
      </c>
      <c r="G242" s="390">
        <v>46076.0</v>
      </c>
      <c r="H242" s="336" t="s">
        <v>2364</v>
      </c>
      <c r="I242" s="339" t="s">
        <v>2151</v>
      </c>
      <c r="J242" s="342">
        <v>48.0</v>
      </c>
      <c r="K242" s="342" t="s">
        <v>156</v>
      </c>
      <c r="L242" s="346">
        <v>2350.0</v>
      </c>
      <c r="M242" s="105">
        <f t="shared" ref="M242:M243" si="29">J242*L242</f>
        <v>112800</v>
      </c>
      <c r="N242" s="347" t="s">
        <v>2365</v>
      </c>
      <c r="O242" s="339" t="s">
        <v>2355</v>
      </c>
    </row>
    <row r="243">
      <c r="A243" s="369"/>
      <c r="B243" s="47"/>
      <c r="C243" s="47"/>
      <c r="D243" s="47"/>
      <c r="E243" s="47"/>
      <c r="F243" s="47"/>
      <c r="G243" s="47"/>
      <c r="H243" s="336" t="s">
        <v>2366</v>
      </c>
      <c r="I243" s="339" t="s">
        <v>2151</v>
      </c>
      <c r="J243" s="342">
        <v>450.0</v>
      </c>
      <c r="K243" s="342" t="s">
        <v>156</v>
      </c>
      <c r="L243" s="346">
        <v>23.0</v>
      </c>
      <c r="M243" s="105">
        <f t="shared" si="29"/>
        <v>10350</v>
      </c>
      <c r="N243" s="347" t="s">
        <v>2365</v>
      </c>
      <c r="O243" s="339" t="s">
        <v>2355</v>
      </c>
    </row>
    <row r="244">
      <c r="A244" s="369"/>
      <c r="B244" s="48"/>
      <c r="C244" s="48"/>
      <c r="D244" s="48"/>
      <c r="E244" s="48"/>
      <c r="F244" s="48"/>
      <c r="G244" s="48"/>
      <c r="H244" s="336" t="s">
        <v>1941</v>
      </c>
      <c r="I244" s="339" t="s">
        <v>1949</v>
      </c>
      <c r="J244" s="342" t="s">
        <v>92</v>
      </c>
      <c r="K244" s="342" t="s">
        <v>838</v>
      </c>
      <c r="L244" s="373">
        <v>0.05</v>
      </c>
      <c r="M244" s="352">
        <v>6157.0</v>
      </c>
      <c r="N244" s="347" t="s">
        <v>1941</v>
      </c>
      <c r="O244" s="339" t="s">
        <v>2288</v>
      </c>
    </row>
    <row r="245">
      <c r="A245" s="342">
        <v>110.0</v>
      </c>
      <c r="B245" s="348">
        <v>72.0</v>
      </c>
      <c r="C245" s="350">
        <v>46080.0</v>
      </c>
      <c r="D245" s="348" t="s">
        <v>2367</v>
      </c>
      <c r="E245" s="350">
        <v>46099.0</v>
      </c>
      <c r="F245" s="351">
        <v>1022.0</v>
      </c>
      <c r="G245" s="390">
        <v>46082.0</v>
      </c>
      <c r="H245" s="336" t="s">
        <v>2368</v>
      </c>
      <c r="I245" s="339" t="s">
        <v>2084</v>
      </c>
      <c r="J245" s="342">
        <v>7.0</v>
      </c>
      <c r="K245" s="342" t="s">
        <v>256</v>
      </c>
      <c r="L245" s="346">
        <v>23380.0</v>
      </c>
      <c r="M245" s="105">
        <f>J245*L245</f>
        <v>163660</v>
      </c>
      <c r="N245" s="347" t="s">
        <v>208</v>
      </c>
      <c r="O245" s="339" t="s">
        <v>2369</v>
      </c>
    </row>
    <row r="246">
      <c r="A246" s="369"/>
      <c r="B246" s="48"/>
      <c r="C246" s="48"/>
      <c r="D246" s="48"/>
      <c r="E246" s="48"/>
      <c r="F246" s="48"/>
      <c r="G246" s="48"/>
      <c r="H246" s="336" t="s">
        <v>1941</v>
      </c>
      <c r="I246" s="339" t="s">
        <v>1949</v>
      </c>
      <c r="J246" s="342" t="s">
        <v>92</v>
      </c>
      <c r="K246" s="342" t="s">
        <v>838</v>
      </c>
      <c r="L246" s="373">
        <v>0.05</v>
      </c>
      <c r="M246" s="352">
        <v>8183.0</v>
      </c>
      <c r="N246" s="347" t="s">
        <v>1941</v>
      </c>
      <c r="O246" s="339" t="s">
        <v>2288</v>
      </c>
    </row>
    <row r="247">
      <c r="A247" s="342">
        <v>111.0</v>
      </c>
      <c r="B247" s="348">
        <v>4461.0</v>
      </c>
      <c r="C247" s="350">
        <v>46113.0</v>
      </c>
      <c r="D247" s="348" t="s">
        <v>2370</v>
      </c>
      <c r="E247" s="350">
        <v>46128.0</v>
      </c>
      <c r="F247" s="351">
        <v>1039.0</v>
      </c>
      <c r="G247" s="399">
        <v>46113.0</v>
      </c>
      <c r="H247" s="336" t="s">
        <v>2371</v>
      </c>
      <c r="I247" s="339" t="s">
        <v>2151</v>
      </c>
      <c r="J247" s="342">
        <v>10.0</v>
      </c>
      <c r="K247" s="342" t="s">
        <v>1486</v>
      </c>
      <c r="L247" s="346">
        <v>1875.0</v>
      </c>
      <c r="M247" s="105">
        <f>J247*L247</f>
        <v>18750</v>
      </c>
      <c r="N247" s="347" t="s">
        <v>1473</v>
      </c>
      <c r="O247" s="339" t="s">
        <v>2372</v>
      </c>
    </row>
    <row r="248">
      <c r="A248" s="369"/>
      <c r="B248" s="48"/>
      <c r="C248" s="48"/>
      <c r="D248" s="48"/>
      <c r="E248" s="48"/>
      <c r="F248" s="48"/>
      <c r="G248" s="48"/>
      <c r="H248" s="336" t="s">
        <v>1941</v>
      </c>
      <c r="I248" s="339" t="s">
        <v>1949</v>
      </c>
      <c r="J248" s="342" t="s">
        <v>92</v>
      </c>
      <c r="K248" s="342" t="s">
        <v>838</v>
      </c>
      <c r="L248" s="373">
        <v>0.05</v>
      </c>
      <c r="M248" s="352">
        <v>937.5</v>
      </c>
      <c r="N248" s="347" t="s">
        <v>1941</v>
      </c>
      <c r="O248" s="339" t="s">
        <v>2288</v>
      </c>
    </row>
    <row r="249">
      <c r="A249" s="342">
        <v>112.0</v>
      </c>
      <c r="B249" s="348">
        <v>179.0</v>
      </c>
      <c r="C249" s="350">
        <v>46113.0</v>
      </c>
      <c r="D249" s="348" t="s">
        <v>2373</v>
      </c>
      <c r="E249" s="350">
        <v>46128.0</v>
      </c>
      <c r="F249" s="351">
        <v>1039.0</v>
      </c>
      <c r="G249" s="399">
        <v>46113.0</v>
      </c>
      <c r="H249" s="336" t="s">
        <v>2374</v>
      </c>
      <c r="I249" s="339" t="s">
        <v>325</v>
      </c>
      <c r="J249" s="342">
        <v>20.0</v>
      </c>
      <c r="K249" s="342" t="s">
        <v>25</v>
      </c>
      <c r="L249" s="346">
        <v>205.5</v>
      </c>
      <c r="M249" s="105">
        <f t="shared" ref="M249:M251" si="30">J249*L249</f>
        <v>4110</v>
      </c>
      <c r="N249" s="347" t="s">
        <v>2354</v>
      </c>
      <c r="O249" s="339" t="s">
        <v>2375</v>
      </c>
    </row>
    <row r="250">
      <c r="A250" s="369"/>
      <c r="B250" s="47"/>
      <c r="C250" s="47"/>
      <c r="D250" s="47"/>
      <c r="E250" s="47"/>
      <c r="F250" s="47"/>
      <c r="G250" s="47"/>
      <c r="H250" s="336" t="s">
        <v>2376</v>
      </c>
      <c r="I250" s="339" t="s">
        <v>325</v>
      </c>
      <c r="J250" s="342">
        <v>20.0</v>
      </c>
      <c r="K250" s="342" t="s">
        <v>25</v>
      </c>
      <c r="L250" s="346">
        <v>166.4</v>
      </c>
      <c r="M250" s="105">
        <f t="shared" si="30"/>
        <v>3328</v>
      </c>
      <c r="N250" s="347" t="s">
        <v>2354</v>
      </c>
      <c r="O250" s="339" t="s">
        <v>2375</v>
      </c>
    </row>
    <row r="251">
      <c r="A251" s="369"/>
      <c r="B251" s="47"/>
      <c r="C251" s="47"/>
      <c r="D251" s="47"/>
      <c r="E251" s="47"/>
      <c r="F251" s="47"/>
      <c r="G251" s="47"/>
      <c r="H251" s="336" t="s">
        <v>332</v>
      </c>
      <c r="I251" s="339" t="s">
        <v>325</v>
      </c>
      <c r="J251" s="342">
        <v>10.0</v>
      </c>
      <c r="K251" s="342" t="s">
        <v>156</v>
      </c>
      <c r="L251" s="346">
        <v>38.0</v>
      </c>
      <c r="M251" s="105">
        <f t="shared" si="30"/>
        <v>380</v>
      </c>
      <c r="N251" s="347" t="s">
        <v>2354</v>
      </c>
      <c r="O251" s="339" t="s">
        <v>2375</v>
      </c>
    </row>
    <row r="252">
      <c r="A252" s="369"/>
      <c r="B252" s="48"/>
      <c r="C252" s="48"/>
      <c r="D252" s="48"/>
      <c r="E252" s="48"/>
      <c r="F252" s="48"/>
      <c r="G252" s="48"/>
      <c r="H252" s="336" t="s">
        <v>1941</v>
      </c>
      <c r="I252" s="339" t="s">
        <v>1949</v>
      </c>
      <c r="J252" s="342" t="s">
        <v>160</v>
      </c>
      <c r="K252" s="342" t="s">
        <v>838</v>
      </c>
      <c r="L252" s="373">
        <v>0.05</v>
      </c>
      <c r="M252" s="352">
        <v>390.9</v>
      </c>
      <c r="N252" s="347" t="s">
        <v>1941</v>
      </c>
      <c r="O252" s="339" t="s">
        <v>2300</v>
      </c>
    </row>
    <row r="253">
      <c r="A253" s="342">
        <v>113.0</v>
      </c>
      <c r="B253" s="348">
        <v>16215.0</v>
      </c>
      <c r="C253" s="350">
        <v>46081.0</v>
      </c>
      <c r="D253" s="348" t="s">
        <v>2377</v>
      </c>
      <c r="E253" s="350">
        <v>46127.0</v>
      </c>
      <c r="F253" s="351">
        <v>16215.0</v>
      </c>
      <c r="G253" s="390">
        <v>46081.0</v>
      </c>
      <c r="H253" s="336" t="s">
        <v>1991</v>
      </c>
      <c r="I253" s="339" t="s">
        <v>1597</v>
      </c>
      <c r="J253" s="342">
        <v>21.0</v>
      </c>
      <c r="K253" s="342" t="s">
        <v>174</v>
      </c>
      <c r="L253" s="346">
        <v>7028.0</v>
      </c>
      <c r="M253" s="352">
        <v>147798.0</v>
      </c>
      <c r="N253" s="347" t="s">
        <v>48</v>
      </c>
      <c r="O253" s="339" t="s">
        <v>1438</v>
      </c>
    </row>
    <row r="254">
      <c r="A254" s="369"/>
      <c r="B254" s="48"/>
      <c r="C254" s="48"/>
      <c r="D254" s="48"/>
      <c r="E254" s="48"/>
      <c r="F254" s="48"/>
      <c r="G254" s="48"/>
      <c r="H254" s="336" t="s">
        <v>1941</v>
      </c>
      <c r="I254" s="339" t="s">
        <v>1949</v>
      </c>
      <c r="J254" s="342" t="s">
        <v>92</v>
      </c>
      <c r="K254" s="342" t="s">
        <v>838</v>
      </c>
      <c r="L254" s="373">
        <v>0.05</v>
      </c>
      <c r="M254" s="352">
        <v>7389.9</v>
      </c>
      <c r="N254" s="347" t="s">
        <v>1941</v>
      </c>
      <c r="O254" s="339" t="s">
        <v>2288</v>
      </c>
    </row>
    <row r="255">
      <c r="A255" s="342">
        <v>114.0</v>
      </c>
      <c r="B255" s="348">
        <v>16214.0</v>
      </c>
      <c r="C255" s="350">
        <v>46081.0</v>
      </c>
      <c r="D255" s="348" t="s">
        <v>2377</v>
      </c>
      <c r="E255" s="350">
        <v>46127.0</v>
      </c>
      <c r="F255" s="351">
        <v>16214.0</v>
      </c>
      <c r="G255" s="390">
        <v>46081.0</v>
      </c>
      <c r="H255" s="336" t="s">
        <v>1992</v>
      </c>
      <c r="I255" s="339" t="s">
        <v>1597</v>
      </c>
      <c r="J255" s="342">
        <v>19.0</v>
      </c>
      <c r="K255" s="342" t="s">
        <v>1603</v>
      </c>
      <c r="L255" s="346">
        <v>7038.0</v>
      </c>
      <c r="M255" s="105">
        <f>J255*L255</f>
        <v>133722</v>
      </c>
      <c r="N255" s="347" t="s">
        <v>48</v>
      </c>
      <c r="O255" s="339" t="s">
        <v>1438</v>
      </c>
    </row>
    <row r="256">
      <c r="A256" s="369"/>
      <c r="B256" s="48"/>
      <c r="C256" s="48"/>
      <c r="D256" s="48"/>
      <c r="E256" s="48"/>
      <c r="F256" s="48"/>
      <c r="G256" s="48"/>
      <c r="H256" s="336" t="s">
        <v>1941</v>
      </c>
      <c r="I256" s="339" t="s">
        <v>1949</v>
      </c>
      <c r="J256" s="342" t="s">
        <v>92</v>
      </c>
      <c r="K256" s="342" t="s">
        <v>838</v>
      </c>
      <c r="L256" s="373">
        <v>0.05</v>
      </c>
      <c r="M256" s="352">
        <v>6686.1</v>
      </c>
      <c r="N256" s="347" t="s">
        <v>1941</v>
      </c>
      <c r="O256" s="339" t="s">
        <v>2288</v>
      </c>
    </row>
    <row r="257">
      <c r="A257" s="342">
        <v>115.0</v>
      </c>
      <c r="B257" s="348">
        <v>16212.0</v>
      </c>
      <c r="C257" s="350">
        <v>46081.0</v>
      </c>
      <c r="D257" s="348" t="s">
        <v>2377</v>
      </c>
      <c r="E257" s="350">
        <v>46127.0</v>
      </c>
      <c r="F257" s="351">
        <v>16212.0</v>
      </c>
      <c r="G257" s="390">
        <v>46081.0</v>
      </c>
      <c r="H257" s="336" t="s">
        <v>2378</v>
      </c>
      <c r="I257" s="339" t="s">
        <v>1597</v>
      </c>
      <c r="J257" s="342">
        <v>21.0</v>
      </c>
      <c r="K257" s="342" t="s">
        <v>174</v>
      </c>
      <c r="L257" s="346">
        <v>7038.0</v>
      </c>
      <c r="M257" s="105">
        <f>J257*L257</f>
        <v>147798</v>
      </c>
      <c r="N257" s="347" t="s">
        <v>48</v>
      </c>
      <c r="O257" s="339" t="s">
        <v>1438</v>
      </c>
    </row>
    <row r="258">
      <c r="A258" s="369"/>
      <c r="B258" s="48"/>
      <c r="C258" s="48"/>
      <c r="D258" s="48"/>
      <c r="E258" s="48"/>
      <c r="F258" s="48"/>
      <c r="G258" s="48"/>
      <c r="H258" s="336" t="s">
        <v>1941</v>
      </c>
      <c r="I258" s="339" t="s">
        <v>1949</v>
      </c>
      <c r="J258" s="342" t="s">
        <v>92</v>
      </c>
      <c r="K258" s="342" t="s">
        <v>838</v>
      </c>
      <c r="L258" s="373">
        <v>0.05</v>
      </c>
      <c r="M258" s="352">
        <v>7389.9</v>
      </c>
      <c r="N258" s="347" t="s">
        <v>1941</v>
      </c>
      <c r="O258" s="339" t="s">
        <v>2288</v>
      </c>
    </row>
    <row r="259">
      <c r="A259" s="342">
        <v>116.0</v>
      </c>
      <c r="B259" s="348">
        <v>16216.0</v>
      </c>
      <c r="C259" s="350">
        <v>46081.0</v>
      </c>
      <c r="D259" s="348" t="s">
        <v>2377</v>
      </c>
      <c r="E259" s="350">
        <v>46127.0</v>
      </c>
      <c r="F259" s="351">
        <v>16216.0</v>
      </c>
      <c r="G259" s="390">
        <v>46081.0</v>
      </c>
      <c r="H259" s="336" t="s">
        <v>2379</v>
      </c>
      <c r="I259" s="339" t="s">
        <v>1597</v>
      </c>
      <c r="J259" s="342">
        <v>21.0</v>
      </c>
      <c r="K259" s="342" t="s">
        <v>1603</v>
      </c>
      <c r="L259" s="346">
        <v>5923.0</v>
      </c>
      <c r="M259" s="105">
        <f>J259*L259</f>
        <v>124383</v>
      </c>
      <c r="N259" s="347" t="s">
        <v>48</v>
      </c>
      <c r="O259" s="339" t="s">
        <v>1438</v>
      </c>
    </row>
    <row r="260">
      <c r="A260" s="369"/>
      <c r="B260" s="48"/>
      <c r="C260" s="48"/>
      <c r="D260" s="48"/>
      <c r="E260" s="48"/>
      <c r="F260" s="48"/>
      <c r="G260" s="48"/>
      <c r="H260" s="336" t="s">
        <v>1941</v>
      </c>
      <c r="I260" s="339" t="s">
        <v>1949</v>
      </c>
      <c r="J260" s="342" t="s">
        <v>92</v>
      </c>
      <c r="K260" s="342" t="s">
        <v>838</v>
      </c>
      <c r="L260" s="373">
        <v>0.05</v>
      </c>
      <c r="M260" s="352">
        <v>6219.15</v>
      </c>
      <c r="N260" s="347" t="s">
        <v>1941</v>
      </c>
      <c r="O260" s="339" t="s">
        <v>2288</v>
      </c>
    </row>
    <row r="261">
      <c r="A261" s="342">
        <v>117.0</v>
      </c>
      <c r="B261" s="348">
        <v>16213.0</v>
      </c>
      <c r="C261" s="350">
        <v>46081.0</v>
      </c>
      <c r="D261" s="348" t="s">
        <v>2377</v>
      </c>
      <c r="E261" s="350">
        <v>46127.0</v>
      </c>
      <c r="F261" s="351">
        <v>16213.0</v>
      </c>
      <c r="G261" s="390">
        <v>46081.0</v>
      </c>
      <c r="H261" s="336" t="s">
        <v>1990</v>
      </c>
      <c r="I261" s="339" t="s">
        <v>1597</v>
      </c>
      <c r="J261" s="342">
        <v>21.0</v>
      </c>
      <c r="K261" s="342" t="s">
        <v>174</v>
      </c>
      <c r="L261" s="346">
        <v>7038.0</v>
      </c>
      <c r="M261" s="105">
        <f>J261*L261</f>
        <v>147798</v>
      </c>
      <c r="N261" s="347" t="s">
        <v>48</v>
      </c>
      <c r="O261" s="339" t="s">
        <v>1438</v>
      </c>
    </row>
    <row r="262">
      <c r="A262" s="369"/>
      <c r="B262" s="48"/>
      <c r="C262" s="48"/>
      <c r="D262" s="48"/>
      <c r="E262" s="48"/>
      <c r="F262" s="48"/>
      <c r="G262" s="48"/>
      <c r="H262" s="336" t="s">
        <v>1941</v>
      </c>
      <c r="I262" s="339" t="s">
        <v>1949</v>
      </c>
      <c r="J262" s="342" t="s">
        <v>92</v>
      </c>
      <c r="K262" s="342" t="s">
        <v>838</v>
      </c>
      <c r="L262" s="373">
        <v>0.05</v>
      </c>
      <c r="M262" s="352">
        <v>7389.9</v>
      </c>
      <c r="N262" s="347" t="s">
        <v>1941</v>
      </c>
      <c r="O262" s="339" t="s">
        <v>2288</v>
      </c>
    </row>
    <row r="263">
      <c r="A263" s="342">
        <v>118.0</v>
      </c>
      <c r="B263" s="348">
        <v>43704.0</v>
      </c>
      <c r="C263" s="350">
        <v>46081.0</v>
      </c>
      <c r="D263" s="348" t="s">
        <v>2377</v>
      </c>
      <c r="E263" s="350">
        <v>46127.0</v>
      </c>
      <c r="F263" s="351">
        <v>43704.0</v>
      </c>
      <c r="G263" s="390">
        <v>46081.0</v>
      </c>
      <c r="H263" s="336" t="s">
        <v>1994</v>
      </c>
      <c r="I263" s="339" t="s">
        <v>1597</v>
      </c>
      <c r="J263" s="342">
        <v>21.0</v>
      </c>
      <c r="K263" s="342" t="s">
        <v>174</v>
      </c>
      <c r="L263" s="346">
        <v>8692.3</v>
      </c>
      <c r="M263" s="105">
        <f>J263*L263</f>
        <v>182538.3</v>
      </c>
      <c r="N263" s="347" t="s">
        <v>48</v>
      </c>
      <c r="O263" s="339" t="s">
        <v>1438</v>
      </c>
    </row>
    <row r="264">
      <c r="A264" s="369"/>
      <c r="B264" s="48"/>
      <c r="C264" s="48"/>
      <c r="D264" s="48"/>
      <c r="E264" s="48"/>
      <c r="F264" s="48"/>
      <c r="G264" s="48"/>
      <c r="H264" s="336" t="s">
        <v>1941</v>
      </c>
      <c r="I264" s="339" t="s">
        <v>1949</v>
      </c>
      <c r="J264" s="342" t="s">
        <v>92</v>
      </c>
      <c r="K264" s="342" t="s">
        <v>838</v>
      </c>
      <c r="L264" s="373">
        <v>0.05</v>
      </c>
      <c r="M264" s="352">
        <v>9126.92</v>
      </c>
      <c r="N264" s="347" t="s">
        <v>1941</v>
      </c>
      <c r="O264" s="339" t="s">
        <v>2288</v>
      </c>
    </row>
    <row r="265">
      <c r="A265" s="342">
        <v>119.0</v>
      </c>
      <c r="B265" s="348">
        <v>46332.0</v>
      </c>
      <c r="C265" s="350">
        <v>46081.0</v>
      </c>
      <c r="D265" s="348" t="s">
        <v>2377</v>
      </c>
      <c r="E265" s="350">
        <v>46127.0</v>
      </c>
      <c r="F265" s="351">
        <v>46332.0</v>
      </c>
      <c r="G265" s="390">
        <v>46081.0</v>
      </c>
      <c r="H265" s="336" t="s">
        <v>2380</v>
      </c>
      <c r="I265" s="339" t="s">
        <v>1597</v>
      </c>
      <c r="J265" s="342">
        <v>21.0</v>
      </c>
      <c r="K265" s="342" t="s">
        <v>174</v>
      </c>
      <c r="L265" s="346">
        <v>7038.461</v>
      </c>
      <c r="M265" s="105">
        <f>J265*L265</f>
        <v>147807.681</v>
      </c>
      <c r="N265" s="347" t="s">
        <v>48</v>
      </c>
      <c r="O265" s="339" t="s">
        <v>1438</v>
      </c>
    </row>
    <row r="266">
      <c r="A266" s="369"/>
      <c r="B266" s="48"/>
      <c r="C266" s="48"/>
      <c r="D266" s="48"/>
      <c r="E266" s="48"/>
      <c r="F266" s="48"/>
      <c r="G266" s="48"/>
      <c r="H266" s="336" t="s">
        <v>1941</v>
      </c>
      <c r="I266" s="339" t="s">
        <v>2381</v>
      </c>
      <c r="J266" s="342" t="s">
        <v>92</v>
      </c>
      <c r="K266" s="342" t="s">
        <v>838</v>
      </c>
      <c r="L266" s="373">
        <v>0.05</v>
      </c>
      <c r="M266" s="352">
        <v>7390.38</v>
      </c>
      <c r="N266" s="347" t="s">
        <v>1941</v>
      </c>
      <c r="O266" s="339" t="s">
        <v>2288</v>
      </c>
    </row>
    <row r="267">
      <c r="A267" s="342">
        <v>120.0</v>
      </c>
      <c r="B267" s="348">
        <v>11285.0</v>
      </c>
      <c r="C267" s="350">
        <v>46083.0</v>
      </c>
      <c r="D267" s="348" t="s">
        <v>2377</v>
      </c>
      <c r="E267" s="350">
        <v>46127.0</v>
      </c>
      <c r="F267" s="351">
        <v>11285.0</v>
      </c>
      <c r="G267" s="390">
        <v>46081.0</v>
      </c>
      <c r="H267" s="336" t="s">
        <v>1756</v>
      </c>
      <c r="I267" s="339" t="s">
        <v>1597</v>
      </c>
      <c r="J267" s="342">
        <v>21.0</v>
      </c>
      <c r="K267" s="342" t="s">
        <v>174</v>
      </c>
      <c r="L267" s="346">
        <v>3753.08</v>
      </c>
      <c r="M267" s="105">
        <f>J267*L267</f>
        <v>78814.68</v>
      </c>
      <c r="N267" s="347" t="s">
        <v>48</v>
      </c>
      <c r="O267" s="339" t="s">
        <v>1438</v>
      </c>
    </row>
    <row r="268">
      <c r="A268" s="369"/>
      <c r="B268" s="48"/>
      <c r="C268" s="48"/>
      <c r="D268" s="48"/>
      <c r="E268" s="48"/>
      <c r="F268" s="48"/>
      <c r="G268" s="48"/>
      <c r="H268" s="336" t="s">
        <v>1941</v>
      </c>
      <c r="I268" s="339" t="s">
        <v>1949</v>
      </c>
      <c r="J268" s="342" t="s">
        <v>92</v>
      </c>
      <c r="K268" s="342" t="s">
        <v>838</v>
      </c>
      <c r="L268" s="373">
        <v>0.05</v>
      </c>
      <c r="M268" s="352">
        <v>3940.734</v>
      </c>
      <c r="N268" s="347" t="s">
        <v>1941</v>
      </c>
      <c r="O268" s="339" t="s">
        <v>2288</v>
      </c>
    </row>
    <row r="269">
      <c r="A269" s="342">
        <v>121.0</v>
      </c>
      <c r="B269" s="348">
        <v>16106.0</v>
      </c>
      <c r="C269" s="350">
        <v>46081.0</v>
      </c>
      <c r="D269" s="348" t="s">
        <v>2377</v>
      </c>
      <c r="E269" s="350">
        <v>46127.0</v>
      </c>
      <c r="F269" s="351">
        <v>16106.0</v>
      </c>
      <c r="G269" s="390">
        <v>46081.0</v>
      </c>
      <c r="H269" s="336" t="s">
        <v>2382</v>
      </c>
      <c r="I269" s="339" t="s">
        <v>1597</v>
      </c>
      <c r="J269" s="342">
        <v>20.0</v>
      </c>
      <c r="K269" s="342" t="s">
        <v>174</v>
      </c>
      <c r="L269" s="346">
        <v>3750.0</v>
      </c>
      <c r="M269" s="105">
        <f>J269*L269</f>
        <v>75000</v>
      </c>
      <c r="N269" s="347" t="s">
        <v>48</v>
      </c>
      <c r="O269" s="339" t="s">
        <v>1438</v>
      </c>
    </row>
    <row r="270">
      <c r="A270" s="369"/>
      <c r="B270" s="48"/>
      <c r="C270" s="48"/>
      <c r="D270" s="48"/>
      <c r="E270" s="48"/>
      <c r="F270" s="48"/>
      <c r="G270" s="48"/>
      <c r="H270" s="336" t="s">
        <v>1941</v>
      </c>
      <c r="I270" s="339" t="s">
        <v>1949</v>
      </c>
      <c r="J270" s="342" t="s">
        <v>92</v>
      </c>
      <c r="K270" s="342" t="s">
        <v>838</v>
      </c>
      <c r="L270" s="373">
        <v>0.05</v>
      </c>
      <c r="M270" s="352">
        <v>3750.0</v>
      </c>
      <c r="N270" s="347" t="s">
        <v>1941</v>
      </c>
      <c r="O270" s="339" t="s">
        <v>2288</v>
      </c>
    </row>
    <row r="271">
      <c r="A271" s="342">
        <v>122.0</v>
      </c>
      <c r="B271" s="348">
        <v>260326.0</v>
      </c>
      <c r="C271" s="350">
        <v>46083.0</v>
      </c>
      <c r="D271" s="348" t="s">
        <v>2383</v>
      </c>
      <c r="E271" s="350">
        <v>46128.0</v>
      </c>
      <c r="F271" s="351">
        <v>1026.0</v>
      </c>
      <c r="G271" s="390">
        <v>46086.0</v>
      </c>
      <c r="H271" s="336" t="s">
        <v>2384</v>
      </c>
      <c r="I271" s="339" t="s">
        <v>1401</v>
      </c>
      <c r="J271" s="342">
        <v>500.0</v>
      </c>
      <c r="K271" s="342" t="s">
        <v>2346</v>
      </c>
      <c r="L271" s="346">
        <v>58.0</v>
      </c>
      <c r="M271" s="105">
        <f>J271*L271</f>
        <v>29000</v>
      </c>
      <c r="N271" s="347" t="s">
        <v>2385</v>
      </c>
      <c r="O271" s="339" t="s">
        <v>2386</v>
      </c>
    </row>
    <row r="272">
      <c r="A272" s="369"/>
      <c r="B272" s="48"/>
      <c r="C272" s="48"/>
      <c r="D272" s="48"/>
      <c r="E272" s="48"/>
      <c r="F272" s="48"/>
      <c r="G272" s="48"/>
      <c r="H272" s="336" t="s">
        <v>1941</v>
      </c>
      <c r="I272" s="339" t="s">
        <v>1949</v>
      </c>
      <c r="J272" s="342" t="s">
        <v>92</v>
      </c>
      <c r="K272" s="342" t="s">
        <v>838</v>
      </c>
      <c r="L272" s="373">
        <v>0.05</v>
      </c>
      <c r="M272" s="352">
        <v>1450.0</v>
      </c>
      <c r="N272" s="347" t="s">
        <v>1941</v>
      </c>
      <c r="O272" s="339" t="s">
        <v>2288</v>
      </c>
    </row>
    <row r="273">
      <c r="A273" s="342">
        <v>123.0</v>
      </c>
      <c r="B273" s="348">
        <v>2879.0</v>
      </c>
      <c r="C273" s="350">
        <v>46113.0</v>
      </c>
      <c r="D273" s="348" t="s">
        <v>2387</v>
      </c>
      <c r="E273" s="350">
        <v>46128.0</v>
      </c>
      <c r="F273" s="351">
        <v>1039.0</v>
      </c>
      <c r="G273" s="399">
        <v>46113.0</v>
      </c>
      <c r="H273" s="336" t="s">
        <v>2388</v>
      </c>
      <c r="I273" s="339" t="s">
        <v>1516</v>
      </c>
      <c r="J273" s="342">
        <v>6.0</v>
      </c>
      <c r="K273" s="342" t="s">
        <v>156</v>
      </c>
      <c r="L273" s="346">
        <v>1570.0</v>
      </c>
      <c r="M273" s="105">
        <f t="shared" ref="M273:M274" si="31">J273*L273</f>
        <v>9420</v>
      </c>
      <c r="N273" s="347" t="s">
        <v>2342</v>
      </c>
      <c r="O273" s="339" t="s">
        <v>2389</v>
      </c>
    </row>
    <row r="274">
      <c r="A274" s="369"/>
      <c r="B274" s="47"/>
      <c r="C274" s="47"/>
      <c r="D274" s="47"/>
      <c r="E274" s="47"/>
      <c r="F274" s="47"/>
      <c r="G274" s="47"/>
      <c r="H274" s="336" t="s">
        <v>2390</v>
      </c>
      <c r="I274" s="339" t="s">
        <v>1401</v>
      </c>
      <c r="J274" s="342">
        <v>20.0</v>
      </c>
      <c r="K274" s="342" t="s">
        <v>156</v>
      </c>
      <c r="L274" s="346">
        <v>150.0</v>
      </c>
      <c r="M274" s="105">
        <f t="shared" si="31"/>
        <v>3000</v>
      </c>
      <c r="N274" s="347" t="s">
        <v>2342</v>
      </c>
      <c r="O274" s="339" t="s">
        <v>2389</v>
      </c>
    </row>
    <row r="275">
      <c r="A275" s="369"/>
      <c r="B275" s="48"/>
      <c r="C275" s="48"/>
      <c r="D275" s="48"/>
      <c r="E275" s="48"/>
      <c r="F275" s="48"/>
      <c r="G275" s="48"/>
      <c r="H275" s="336" t="s">
        <v>1941</v>
      </c>
      <c r="I275" s="339" t="s">
        <v>1949</v>
      </c>
      <c r="J275" s="342" t="s">
        <v>92</v>
      </c>
      <c r="K275" s="342" t="s">
        <v>838</v>
      </c>
      <c r="L275" s="373">
        <v>0.05</v>
      </c>
      <c r="M275" s="352">
        <v>621.0</v>
      </c>
      <c r="N275" s="347" t="s">
        <v>1941</v>
      </c>
      <c r="O275" s="339" t="s">
        <v>2321</v>
      </c>
    </row>
    <row r="276">
      <c r="A276" s="342">
        <v>124.0</v>
      </c>
      <c r="B276" s="348">
        <v>108.0</v>
      </c>
      <c r="C276" s="350">
        <v>46098.0</v>
      </c>
      <c r="D276" s="348" t="s">
        <v>2391</v>
      </c>
      <c r="E276" s="350">
        <v>46128.0</v>
      </c>
      <c r="F276" s="351">
        <v>926.0</v>
      </c>
      <c r="G276" s="390">
        <v>46098.0</v>
      </c>
      <c r="H276" s="336" t="s">
        <v>2392</v>
      </c>
      <c r="I276" s="339" t="s">
        <v>2084</v>
      </c>
      <c r="J276" s="342">
        <v>1.0</v>
      </c>
      <c r="K276" s="342" t="s">
        <v>207</v>
      </c>
      <c r="L276" s="346">
        <v>19500.0</v>
      </c>
      <c r="M276" s="105">
        <f>J276*L276</f>
        <v>19500</v>
      </c>
      <c r="N276" s="347" t="s">
        <v>208</v>
      </c>
      <c r="O276" s="339" t="s">
        <v>2393</v>
      </c>
    </row>
    <row r="277">
      <c r="A277" s="369"/>
      <c r="B277" s="48"/>
      <c r="C277" s="48"/>
      <c r="D277" s="48"/>
      <c r="E277" s="48"/>
      <c r="F277" s="48"/>
      <c r="G277" s="48"/>
      <c r="H277" s="336" t="s">
        <v>1941</v>
      </c>
      <c r="I277" s="339" t="s">
        <v>1949</v>
      </c>
      <c r="J277" s="342" t="s">
        <v>92</v>
      </c>
      <c r="K277" s="342" t="s">
        <v>838</v>
      </c>
      <c r="L277" s="373">
        <v>0.05</v>
      </c>
      <c r="M277" s="352">
        <v>975.0</v>
      </c>
      <c r="N277" s="347" t="s">
        <v>1941</v>
      </c>
      <c r="O277" s="339" t="s">
        <v>2321</v>
      </c>
    </row>
    <row r="278">
      <c r="A278" s="342">
        <v>125.0</v>
      </c>
      <c r="B278" s="348">
        <v>65.0</v>
      </c>
      <c r="C278" s="350">
        <v>46058.0</v>
      </c>
      <c r="D278" s="348" t="s">
        <v>2394</v>
      </c>
      <c r="E278" s="350">
        <v>46099.0</v>
      </c>
      <c r="F278" s="351">
        <v>614.0</v>
      </c>
      <c r="G278" s="390">
        <v>46058.0</v>
      </c>
      <c r="H278" s="336" t="s">
        <v>2395</v>
      </c>
      <c r="I278" s="339" t="s">
        <v>2084</v>
      </c>
      <c r="J278" s="342">
        <v>1.0</v>
      </c>
      <c r="K278" s="342" t="s">
        <v>207</v>
      </c>
      <c r="L278" s="346">
        <v>19500.0</v>
      </c>
      <c r="M278" s="352">
        <v>19500.0</v>
      </c>
      <c r="N278" s="347" t="s">
        <v>208</v>
      </c>
      <c r="O278" s="339" t="s">
        <v>2396</v>
      </c>
    </row>
    <row r="279">
      <c r="A279" s="369"/>
      <c r="B279" s="48"/>
      <c r="C279" s="48"/>
      <c r="D279" s="48"/>
      <c r="E279" s="48"/>
      <c r="F279" s="48"/>
      <c r="G279" s="48"/>
      <c r="H279" s="336" t="s">
        <v>1941</v>
      </c>
      <c r="I279" s="339" t="s">
        <v>1949</v>
      </c>
      <c r="J279" s="342" t="s">
        <v>92</v>
      </c>
      <c r="K279" s="342" t="s">
        <v>838</v>
      </c>
      <c r="L279" s="373">
        <v>0.05</v>
      </c>
      <c r="M279" s="352">
        <v>975.0</v>
      </c>
      <c r="N279" s="347" t="s">
        <v>1941</v>
      </c>
      <c r="O279" s="339" t="s">
        <v>2288</v>
      </c>
    </row>
    <row r="280">
      <c r="A280" s="342">
        <v>126.0</v>
      </c>
      <c r="B280" s="348">
        <v>66.0</v>
      </c>
      <c r="C280" s="350">
        <v>46066.0</v>
      </c>
      <c r="D280" s="348" t="s">
        <v>2394</v>
      </c>
      <c r="E280" s="350">
        <v>46099.0</v>
      </c>
      <c r="F280" s="351">
        <v>630.0</v>
      </c>
      <c r="G280" s="390">
        <v>46066.0</v>
      </c>
      <c r="H280" s="336" t="s">
        <v>2395</v>
      </c>
      <c r="I280" s="339" t="s">
        <v>2084</v>
      </c>
      <c r="J280" s="342">
        <v>1.0</v>
      </c>
      <c r="K280" s="342" t="s">
        <v>207</v>
      </c>
      <c r="L280" s="396">
        <v>19500.0</v>
      </c>
      <c r="M280" s="105">
        <f>J280*L280</f>
        <v>19500</v>
      </c>
      <c r="N280" s="347" t="s">
        <v>208</v>
      </c>
      <c r="O280" s="339" t="s">
        <v>2396</v>
      </c>
    </row>
    <row r="281">
      <c r="A281" s="369"/>
      <c r="B281" s="48"/>
      <c r="C281" s="48"/>
      <c r="D281" s="48"/>
      <c r="E281" s="48"/>
      <c r="F281" s="48"/>
      <c r="G281" s="48"/>
      <c r="H281" s="336" t="s">
        <v>1941</v>
      </c>
      <c r="I281" s="339" t="s">
        <v>1949</v>
      </c>
      <c r="J281" s="342" t="s">
        <v>92</v>
      </c>
      <c r="K281" s="342" t="s">
        <v>838</v>
      </c>
      <c r="L281" s="373">
        <v>0.05</v>
      </c>
      <c r="M281" s="352">
        <v>975.0</v>
      </c>
      <c r="N281" s="347" t="s">
        <v>1941</v>
      </c>
      <c r="O281" s="339" t="s">
        <v>2288</v>
      </c>
    </row>
    <row r="282">
      <c r="A282" s="342">
        <v>127.0</v>
      </c>
      <c r="B282" s="348">
        <v>61.0</v>
      </c>
      <c r="C282" s="350">
        <v>46032.0</v>
      </c>
      <c r="D282" s="348" t="s">
        <v>2394</v>
      </c>
      <c r="E282" s="350">
        <v>46099.0</v>
      </c>
      <c r="F282" s="351">
        <v>591.0</v>
      </c>
      <c r="G282" s="390">
        <v>46032.0</v>
      </c>
      <c r="H282" s="336" t="s">
        <v>2395</v>
      </c>
      <c r="I282" s="339" t="s">
        <v>2084</v>
      </c>
      <c r="J282" s="342">
        <v>1.0</v>
      </c>
      <c r="K282" s="342" t="s">
        <v>207</v>
      </c>
      <c r="L282" s="346">
        <v>19500.0</v>
      </c>
      <c r="M282" s="105">
        <f>J282*L282</f>
        <v>19500</v>
      </c>
      <c r="N282" s="347" t="s">
        <v>208</v>
      </c>
      <c r="O282" s="339" t="s">
        <v>2397</v>
      </c>
    </row>
    <row r="283">
      <c r="A283" s="369"/>
      <c r="B283" s="48"/>
      <c r="C283" s="48"/>
      <c r="D283" s="48"/>
      <c r="E283" s="48"/>
      <c r="F283" s="48"/>
      <c r="G283" s="48"/>
      <c r="H283" s="336" t="s">
        <v>1941</v>
      </c>
      <c r="I283" s="339" t="s">
        <v>1949</v>
      </c>
      <c r="J283" s="342" t="s">
        <v>92</v>
      </c>
      <c r="K283" s="342" t="s">
        <v>838</v>
      </c>
      <c r="L283" s="373">
        <v>0.05</v>
      </c>
      <c r="M283" s="352">
        <v>975.0</v>
      </c>
      <c r="N283" s="347" t="s">
        <v>1941</v>
      </c>
      <c r="O283" s="339" t="s">
        <v>2300</v>
      </c>
    </row>
    <row r="284">
      <c r="A284" s="342">
        <v>128.0</v>
      </c>
      <c r="B284" s="348">
        <v>62.0</v>
      </c>
      <c r="C284" s="350">
        <v>46040.0</v>
      </c>
      <c r="D284" s="348" t="s">
        <v>2394</v>
      </c>
      <c r="E284" s="350">
        <v>46099.0</v>
      </c>
      <c r="F284" s="351">
        <v>596.0</v>
      </c>
      <c r="G284" s="390">
        <v>46040.0</v>
      </c>
      <c r="H284" s="336" t="s">
        <v>2395</v>
      </c>
      <c r="I284" s="339" t="s">
        <v>2084</v>
      </c>
      <c r="J284" s="342">
        <v>1.0</v>
      </c>
      <c r="K284" s="342" t="s">
        <v>207</v>
      </c>
      <c r="L284" s="346">
        <v>19500.0</v>
      </c>
      <c r="M284" s="105">
        <f>J284*L284</f>
        <v>19500</v>
      </c>
      <c r="N284" s="347" t="s">
        <v>208</v>
      </c>
      <c r="O284" s="339" t="s">
        <v>2397</v>
      </c>
    </row>
    <row r="285">
      <c r="A285" s="369"/>
      <c r="B285" s="48"/>
      <c r="C285" s="48"/>
      <c r="D285" s="48"/>
      <c r="E285" s="48"/>
      <c r="F285" s="48"/>
      <c r="G285" s="48"/>
      <c r="H285" s="336" t="s">
        <v>1941</v>
      </c>
      <c r="I285" s="339" t="s">
        <v>1949</v>
      </c>
      <c r="J285" s="342" t="s">
        <v>160</v>
      </c>
      <c r="K285" s="342" t="s">
        <v>838</v>
      </c>
      <c r="L285" s="373">
        <v>0.05</v>
      </c>
      <c r="M285" s="352">
        <v>975.0</v>
      </c>
      <c r="N285" s="347" t="s">
        <v>1941</v>
      </c>
      <c r="O285" s="339" t="s">
        <v>2288</v>
      </c>
    </row>
    <row r="286">
      <c r="A286" s="342">
        <v>129.0</v>
      </c>
      <c r="B286" s="348">
        <v>63.0</v>
      </c>
      <c r="C286" s="350">
        <v>46043.0</v>
      </c>
      <c r="D286" s="348" t="s">
        <v>2394</v>
      </c>
      <c r="E286" s="350">
        <v>46099.0</v>
      </c>
      <c r="F286" s="351">
        <v>603.0</v>
      </c>
      <c r="G286" s="390">
        <v>46043.0</v>
      </c>
      <c r="H286" s="336" t="s">
        <v>2395</v>
      </c>
      <c r="I286" s="339" t="s">
        <v>2084</v>
      </c>
      <c r="J286" s="342">
        <v>1.0</v>
      </c>
      <c r="K286" s="342" t="s">
        <v>207</v>
      </c>
      <c r="L286" s="346">
        <v>19500.0</v>
      </c>
      <c r="M286" s="105">
        <f>J286*L286</f>
        <v>19500</v>
      </c>
      <c r="N286" s="347" t="s">
        <v>208</v>
      </c>
      <c r="O286" s="339" t="s">
        <v>2397</v>
      </c>
    </row>
    <row r="287">
      <c r="A287" s="369"/>
      <c r="B287" s="48"/>
      <c r="C287" s="48"/>
      <c r="D287" s="48"/>
      <c r="E287" s="48"/>
      <c r="F287" s="48"/>
      <c r="G287" s="48"/>
      <c r="H287" s="336" t="s">
        <v>1941</v>
      </c>
      <c r="I287" s="339" t="s">
        <v>1949</v>
      </c>
      <c r="J287" s="342" t="s">
        <v>160</v>
      </c>
      <c r="K287" s="342" t="s">
        <v>838</v>
      </c>
      <c r="L287" s="373">
        <v>0.05</v>
      </c>
      <c r="M287" s="352">
        <v>975.0</v>
      </c>
      <c r="N287" s="347" t="s">
        <v>1941</v>
      </c>
      <c r="O287" s="339" t="s">
        <v>2288</v>
      </c>
    </row>
    <row r="288">
      <c r="A288" s="342">
        <v>130.0</v>
      </c>
      <c r="B288" s="348">
        <v>64.0</v>
      </c>
      <c r="C288" s="350">
        <v>46053.0</v>
      </c>
      <c r="D288" s="348" t="s">
        <v>2394</v>
      </c>
      <c r="E288" s="350">
        <v>46099.0</v>
      </c>
      <c r="F288" s="351">
        <v>613.0</v>
      </c>
      <c r="G288" s="390">
        <v>46053.0</v>
      </c>
      <c r="H288" s="336" t="s">
        <v>2395</v>
      </c>
      <c r="I288" s="339" t="s">
        <v>2084</v>
      </c>
      <c r="J288" s="342">
        <v>1.0</v>
      </c>
      <c r="K288" s="342" t="s">
        <v>207</v>
      </c>
      <c r="L288" s="346">
        <v>19500.0</v>
      </c>
      <c r="M288" s="105">
        <f>J288*L288</f>
        <v>19500</v>
      </c>
      <c r="N288" s="347" t="s">
        <v>208</v>
      </c>
      <c r="O288" s="339" t="s">
        <v>2397</v>
      </c>
    </row>
    <row r="289">
      <c r="A289" s="369"/>
      <c r="B289" s="48"/>
      <c r="C289" s="48"/>
      <c r="D289" s="48"/>
      <c r="E289" s="48"/>
      <c r="F289" s="48"/>
      <c r="G289" s="48"/>
      <c r="H289" s="336" t="s">
        <v>1941</v>
      </c>
      <c r="I289" s="339" t="s">
        <v>1949</v>
      </c>
      <c r="J289" s="342" t="s">
        <v>92</v>
      </c>
      <c r="K289" s="342" t="s">
        <v>838</v>
      </c>
      <c r="L289" s="373">
        <v>0.05</v>
      </c>
      <c r="M289" s="352">
        <v>975.0</v>
      </c>
      <c r="N289" s="347" t="s">
        <v>1941</v>
      </c>
      <c r="O289" s="339" t="s">
        <v>2288</v>
      </c>
    </row>
    <row r="290">
      <c r="A290" s="342">
        <v>131.0</v>
      </c>
      <c r="B290" s="348">
        <v>2828.0</v>
      </c>
      <c r="C290" s="350">
        <v>46086.0</v>
      </c>
      <c r="D290" s="348" t="s">
        <v>2398</v>
      </c>
      <c r="E290" s="350">
        <v>46099.0</v>
      </c>
      <c r="F290" s="351">
        <v>1026.0</v>
      </c>
      <c r="G290" s="394">
        <v>46086.0</v>
      </c>
      <c r="H290" s="336" t="s">
        <v>2399</v>
      </c>
      <c r="I290" s="339" t="s">
        <v>1401</v>
      </c>
      <c r="J290" s="342">
        <v>15.0</v>
      </c>
      <c r="K290" s="342" t="s">
        <v>2346</v>
      </c>
      <c r="L290" s="346">
        <v>155.0</v>
      </c>
      <c r="M290" s="105">
        <f t="shared" ref="M290:M294" si="32">J290*L290</f>
        <v>2325</v>
      </c>
      <c r="N290" s="347" t="s">
        <v>1473</v>
      </c>
      <c r="O290" s="339" t="s">
        <v>2400</v>
      </c>
    </row>
    <row r="291">
      <c r="A291" s="369"/>
      <c r="B291" s="47"/>
      <c r="C291" s="47"/>
      <c r="D291" s="47"/>
      <c r="E291" s="47"/>
      <c r="F291" s="47"/>
      <c r="G291" s="47"/>
      <c r="H291" s="336" t="s">
        <v>2401</v>
      </c>
      <c r="I291" s="339" t="s">
        <v>1401</v>
      </c>
      <c r="J291" s="342">
        <v>17.0</v>
      </c>
      <c r="K291" s="342" t="s">
        <v>2346</v>
      </c>
      <c r="L291" s="346">
        <v>155.0</v>
      </c>
      <c r="M291" s="105">
        <f t="shared" si="32"/>
        <v>2635</v>
      </c>
      <c r="N291" s="347" t="s">
        <v>1473</v>
      </c>
      <c r="O291" s="339" t="s">
        <v>2400</v>
      </c>
    </row>
    <row r="292">
      <c r="A292" s="369"/>
      <c r="B292" s="47"/>
      <c r="C292" s="47"/>
      <c r="D292" s="47"/>
      <c r="E292" s="47"/>
      <c r="F292" s="47"/>
      <c r="G292" s="47"/>
      <c r="H292" s="336" t="s">
        <v>2402</v>
      </c>
      <c r="I292" s="339" t="s">
        <v>1401</v>
      </c>
      <c r="J292" s="342">
        <v>155.0</v>
      </c>
      <c r="K292" s="342" t="s">
        <v>2346</v>
      </c>
      <c r="L292" s="346">
        <v>155.0</v>
      </c>
      <c r="M292" s="105">
        <f t="shared" si="32"/>
        <v>24025</v>
      </c>
      <c r="N292" s="347" t="s">
        <v>1473</v>
      </c>
      <c r="O292" s="339" t="s">
        <v>2400</v>
      </c>
    </row>
    <row r="293">
      <c r="A293" s="369"/>
      <c r="B293" s="47"/>
      <c r="C293" s="47"/>
      <c r="D293" s="47"/>
      <c r="E293" s="47"/>
      <c r="F293" s="47"/>
      <c r="G293" s="47"/>
      <c r="H293" s="336" t="s">
        <v>2403</v>
      </c>
      <c r="I293" s="339" t="s">
        <v>1401</v>
      </c>
      <c r="J293" s="342">
        <v>20.0</v>
      </c>
      <c r="K293" s="342" t="s">
        <v>156</v>
      </c>
      <c r="L293" s="346">
        <v>60.0</v>
      </c>
      <c r="M293" s="105">
        <f t="shared" si="32"/>
        <v>1200</v>
      </c>
      <c r="N293" s="347" t="s">
        <v>1473</v>
      </c>
      <c r="O293" s="339" t="s">
        <v>2400</v>
      </c>
    </row>
    <row r="294">
      <c r="A294" s="369"/>
      <c r="B294" s="47"/>
      <c r="C294" s="47"/>
      <c r="D294" s="47"/>
      <c r="E294" s="47"/>
      <c r="F294" s="47"/>
      <c r="G294" s="47"/>
      <c r="H294" s="336" t="s">
        <v>2404</v>
      </c>
      <c r="I294" s="339" t="s">
        <v>1401</v>
      </c>
      <c r="J294" s="342">
        <v>20.0</v>
      </c>
      <c r="K294" s="342" t="s">
        <v>156</v>
      </c>
      <c r="L294" s="346">
        <v>50.0</v>
      </c>
      <c r="M294" s="105">
        <f t="shared" si="32"/>
        <v>1000</v>
      </c>
      <c r="N294" s="347" t="s">
        <v>1473</v>
      </c>
      <c r="O294" s="339" t="s">
        <v>2400</v>
      </c>
    </row>
    <row r="295">
      <c r="A295" s="369"/>
      <c r="B295" s="48"/>
      <c r="C295" s="48"/>
      <c r="D295" s="48"/>
      <c r="E295" s="48"/>
      <c r="F295" s="48"/>
      <c r="G295" s="48"/>
      <c r="H295" s="336" t="s">
        <v>1941</v>
      </c>
      <c r="I295" s="339" t="s">
        <v>1949</v>
      </c>
      <c r="J295" s="342" t="s">
        <v>160</v>
      </c>
      <c r="K295" s="342" t="s">
        <v>838</v>
      </c>
      <c r="L295" s="373">
        <v>0.05</v>
      </c>
      <c r="M295" s="352">
        <v>1509.25</v>
      </c>
      <c r="N295" s="347" t="s">
        <v>1941</v>
      </c>
      <c r="O295" s="339" t="s">
        <v>2288</v>
      </c>
    </row>
    <row r="296">
      <c r="A296" s="342">
        <v>132.0</v>
      </c>
      <c r="B296" s="348">
        <v>2827.0</v>
      </c>
      <c r="C296" s="350">
        <v>46086.0</v>
      </c>
      <c r="D296" s="348" t="s">
        <v>2398</v>
      </c>
      <c r="E296" s="350">
        <v>46099.0</v>
      </c>
      <c r="F296" s="351">
        <v>1027.0</v>
      </c>
      <c r="G296" s="394">
        <v>46089.0</v>
      </c>
      <c r="H296" s="336" t="s">
        <v>2405</v>
      </c>
      <c r="I296" s="339" t="s">
        <v>1401</v>
      </c>
      <c r="J296" s="342">
        <v>10.0</v>
      </c>
      <c r="K296" s="342" t="s">
        <v>156</v>
      </c>
      <c r="L296" s="346">
        <v>2750.0</v>
      </c>
      <c r="M296" s="105">
        <f>J296*L296</f>
        <v>27500</v>
      </c>
      <c r="N296" s="347" t="s">
        <v>1473</v>
      </c>
      <c r="O296" s="339" t="s">
        <v>2406</v>
      </c>
    </row>
    <row r="297">
      <c r="A297" s="369"/>
      <c r="B297" s="48"/>
      <c r="C297" s="48"/>
      <c r="D297" s="48"/>
      <c r="E297" s="48"/>
      <c r="F297" s="48"/>
      <c r="G297" s="48"/>
      <c r="H297" s="336" t="s">
        <v>1941</v>
      </c>
      <c r="I297" s="339" t="s">
        <v>1949</v>
      </c>
      <c r="J297" s="342" t="s">
        <v>92</v>
      </c>
      <c r="K297" s="342" t="s">
        <v>838</v>
      </c>
      <c r="L297" s="373">
        <v>0.05</v>
      </c>
      <c r="M297" s="352">
        <v>1375.0</v>
      </c>
      <c r="N297" s="347" t="s">
        <v>2407</v>
      </c>
      <c r="O297" s="339" t="s">
        <v>2288</v>
      </c>
    </row>
    <row r="298">
      <c r="A298" s="342">
        <v>133.0</v>
      </c>
      <c r="B298" s="348">
        <v>2963.0</v>
      </c>
      <c r="C298" s="350">
        <v>46088.0</v>
      </c>
      <c r="D298" s="348" t="s">
        <v>2398</v>
      </c>
      <c r="E298" s="350">
        <v>46099.0</v>
      </c>
      <c r="F298" s="351">
        <v>1027.0</v>
      </c>
      <c r="G298" s="394">
        <v>46089.0</v>
      </c>
      <c r="H298" s="336" t="s">
        <v>2408</v>
      </c>
      <c r="I298" s="339" t="s">
        <v>1401</v>
      </c>
      <c r="J298" s="342">
        <v>4.0</v>
      </c>
      <c r="K298" s="342" t="s">
        <v>156</v>
      </c>
      <c r="L298" s="346">
        <v>1645.0</v>
      </c>
      <c r="M298" s="105">
        <f>J298*L298</f>
        <v>6580</v>
      </c>
      <c r="N298" s="347" t="s">
        <v>1473</v>
      </c>
      <c r="O298" s="339" t="s">
        <v>2409</v>
      </c>
    </row>
    <row r="299">
      <c r="A299" s="369"/>
      <c r="B299" s="48"/>
      <c r="C299" s="48"/>
      <c r="D299" s="48"/>
      <c r="E299" s="48"/>
      <c r="F299" s="48"/>
      <c r="G299" s="48"/>
      <c r="H299" s="336" t="s">
        <v>1941</v>
      </c>
      <c r="I299" s="339" t="s">
        <v>1949</v>
      </c>
      <c r="J299" s="342" t="s">
        <v>92</v>
      </c>
      <c r="K299" s="342" t="s">
        <v>838</v>
      </c>
      <c r="L299" s="373">
        <v>0.05</v>
      </c>
      <c r="M299" s="352">
        <v>329.0</v>
      </c>
      <c r="N299" s="347" t="s">
        <v>1941</v>
      </c>
      <c r="O299" s="339" t="s">
        <v>2288</v>
      </c>
    </row>
    <row r="300">
      <c r="A300" s="342">
        <v>134.0</v>
      </c>
      <c r="B300" s="348">
        <v>95.0</v>
      </c>
      <c r="C300" s="348" t="s">
        <v>2410</v>
      </c>
      <c r="D300" s="348" t="s">
        <v>2411</v>
      </c>
      <c r="E300" s="350">
        <v>46100.0</v>
      </c>
      <c r="F300" s="351" t="s">
        <v>92</v>
      </c>
      <c r="G300" s="400" t="s">
        <v>92</v>
      </c>
      <c r="H300" s="336" t="s">
        <v>2412</v>
      </c>
      <c r="I300" s="339" t="s">
        <v>1597</v>
      </c>
      <c r="J300" s="342">
        <v>12.0</v>
      </c>
      <c r="K300" s="342" t="s">
        <v>174</v>
      </c>
      <c r="L300" s="346">
        <v>14552.0</v>
      </c>
      <c r="M300" s="105">
        <f t="shared" ref="M300:M302" si="33">J300*L300</f>
        <v>174624</v>
      </c>
      <c r="N300" s="347" t="s">
        <v>2413</v>
      </c>
      <c r="O300" s="339" t="s">
        <v>2414</v>
      </c>
    </row>
    <row r="301">
      <c r="A301" s="369"/>
      <c r="B301" s="48"/>
      <c r="C301" s="48"/>
      <c r="D301" s="48"/>
      <c r="E301" s="48"/>
      <c r="F301" s="48"/>
      <c r="G301" s="48"/>
      <c r="H301" s="336" t="s">
        <v>2415</v>
      </c>
      <c r="I301" s="339" t="s">
        <v>1597</v>
      </c>
      <c r="J301" s="342">
        <v>1.0</v>
      </c>
      <c r="K301" s="342" t="s">
        <v>137</v>
      </c>
      <c r="L301" s="346">
        <v>378352.0</v>
      </c>
      <c r="M301" s="105">
        <f t="shared" si="33"/>
        <v>378352</v>
      </c>
      <c r="N301" s="347" t="s">
        <v>2413</v>
      </c>
      <c r="O301" s="339" t="s">
        <v>1453</v>
      </c>
    </row>
    <row r="302">
      <c r="A302" s="342">
        <v>135.0</v>
      </c>
      <c r="B302" s="348">
        <v>68.0</v>
      </c>
      <c r="C302" s="350">
        <v>46063.0</v>
      </c>
      <c r="D302" s="348" t="s">
        <v>95</v>
      </c>
      <c r="E302" s="350">
        <v>46099.0</v>
      </c>
      <c r="F302" s="351">
        <v>1016.0</v>
      </c>
      <c r="G302" s="390">
        <v>46068.0</v>
      </c>
      <c r="H302" s="336" t="s">
        <v>1976</v>
      </c>
      <c r="I302" s="339" t="s">
        <v>2084</v>
      </c>
      <c r="J302" s="342">
        <v>3.0</v>
      </c>
      <c r="K302" s="342" t="s">
        <v>256</v>
      </c>
      <c r="L302" s="346">
        <v>11880.0</v>
      </c>
      <c r="M302" s="105">
        <f t="shared" si="33"/>
        <v>35640</v>
      </c>
      <c r="N302" s="347" t="s">
        <v>208</v>
      </c>
      <c r="O302" s="339" t="s">
        <v>2416</v>
      </c>
    </row>
    <row r="303">
      <c r="A303" s="369"/>
      <c r="B303" s="48"/>
      <c r="C303" s="48"/>
      <c r="D303" s="48"/>
      <c r="E303" s="48"/>
      <c r="F303" s="48"/>
      <c r="G303" s="48"/>
      <c r="H303" s="336" t="s">
        <v>1941</v>
      </c>
      <c r="I303" s="339" t="s">
        <v>1949</v>
      </c>
      <c r="J303" s="342" t="s">
        <v>92</v>
      </c>
      <c r="K303" s="342" t="s">
        <v>838</v>
      </c>
      <c r="L303" s="373">
        <v>0.05</v>
      </c>
      <c r="M303" s="352">
        <v>1782.0</v>
      </c>
      <c r="N303" s="347" t="s">
        <v>1941</v>
      </c>
      <c r="O303" s="339" t="s">
        <v>2288</v>
      </c>
    </row>
    <row r="304">
      <c r="A304" s="342">
        <v>136.0</v>
      </c>
      <c r="B304" s="348">
        <v>69.0</v>
      </c>
      <c r="C304" s="350">
        <v>46064.0</v>
      </c>
      <c r="D304" s="348" t="s">
        <v>95</v>
      </c>
      <c r="E304" s="350">
        <v>46099.0</v>
      </c>
      <c r="F304" s="351">
        <v>1016.0</v>
      </c>
      <c r="G304" s="390">
        <v>46068.0</v>
      </c>
      <c r="H304" s="336" t="s">
        <v>2417</v>
      </c>
      <c r="I304" s="339" t="s">
        <v>2084</v>
      </c>
      <c r="J304" s="342">
        <v>5.0</v>
      </c>
      <c r="K304" s="342" t="s">
        <v>256</v>
      </c>
      <c r="L304" s="346">
        <v>11880.0</v>
      </c>
      <c r="M304" s="105">
        <f>J304*L304</f>
        <v>59400</v>
      </c>
      <c r="N304" s="347" t="s">
        <v>208</v>
      </c>
      <c r="O304" s="339" t="s">
        <v>2418</v>
      </c>
    </row>
    <row r="305">
      <c r="A305" s="369"/>
      <c r="B305" s="48"/>
      <c r="C305" s="48"/>
      <c r="D305" s="48"/>
      <c r="E305" s="48"/>
      <c r="F305" s="48"/>
      <c r="G305" s="48"/>
      <c r="H305" s="336" t="s">
        <v>1941</v>
      </c>
      <c r="I305" s="339" t="s">
        <v>1949</v>
      </c>
      <c r="J305" s="342" t="s">
        <v>92</v>
      </c>
      <c r="K305" s="342" t="s">
        <v>838</v>
      </c>
      <c r="L305" s="373">
        <v>0.05</v>
      </c>
      <c r="M305" s="352">
        <v>2970.0</v>
      </c>
      <c r="N305" s="347" t="s">
        <v>1941</v>
      </c>
      <c r="O305" s="339" t="s">
        <v>2288</v>
      </c>
    </row>
    <row r="306">
      <c r="A306" s="342">
        <v>137.0</v>
      </c>
      <c r="B306" s="348">
        <v>67.0</v>
      </c>
      <c r="C306" s="350">
        <v>46062.0</v>
      </c>
      <c r="D306" s="348" t="s">
        <v>95</v>
      </c>
      <c r="E306" s="350">
        <v>46099.0</v>
      </c>
      <c r="F306" s="351">
        <v>1015.0</v>
      </c>
      <c r="G306" s="390">
        <v>46063.0</v>
      </c>
      <c r="H306" s="336" t="s">
        <v>2417</v>
      </c>
      <c r="I306" s="339" t="s">
        <v>2084</v>
      </c>
      <c r="J306" s="342">
        <v>2.0</v>
      </c>
      <c r="K306" s="342" t="s">
        <v>207</v>
      </c>
      <c r="L306" s="346">
        <v>11880.0</v>
      </c>
      <c r="M306" s="105">
        <f>J306*L306</f>
        <v>23760</v>
      </c>
      <c r="N306" s="347" t="s">
        <v>208</v>
      </c>
      <c r="O306" s="339" t="s">
        <v>2419</v>
      </c>
    </row>
    <row r="307">
      <c r="A307" s="369"/>
      <c r="B307" s="48"/>
      <c r="C307" s="48"/>
      <c r="D307" s="48"/>
      <c r="E307" s="48"/>
      <c r="F307" s="48"/>
      <c r="G307" s="48"/>
      <c r="H307" s="336" t="s">
        <v>1941</v>
      </c>
      <c r="I307" s="339" t="s">
        <v>1949</v>
      </c>
      <c r="J307" s="342" t="s">
        <v>92</v>
      </c>
      <c r="K307" s="342" t="s">
        <v>838</v>
      </c>
      <c r="L307" s="373">
        <v>0.05</v>
      </c>
      <c r="M307" s="352">
        <v>1188.0</v>
      </c>
      <c r="N307" s="347" t="s">
        <v>1941</v>
      </c>
      <c r="O307" s="339" t="s">
        <v>2288</v>
      </c>
    </row>
    <row r="308">
      <c r="A308" s="342">
        <v>138.0</v>
      </c>
      <c r="B308" s="348">
        <v>70.0</v>
      </c>
      <c r="C308" s="350">
        <v>46065.0</v>
      </c>
      <c r="D308" s="348" t="s">
        <v>95</v>
      </c>
      <c r="E308" s="350">
        <v>46099.0</v>
      </c>
      <c r="F308" s="351">
        <v>1020.0</v>
      </c>
      <c r="G308" s="390">
        <v>46080.0</v>
      </c>
      <c r="H308" s="336" t="s">
        <v>2417</v>
      </c>
      <c r="I308" s="339" t="s">
        <v>2084</v>
      </c>
      <c r="J308" s="342">
        <v>2.0</v>
      </c>
      <c r="K308" s="342" t="s">
        <v>256</v>
      </c>
      <c r="L308" s="346">
        <v>11880.0</v>
      </c>
      <c r="M308" s="105">
        <f>J308*L308</f>
        <v>23760</v>
      </c>
      <c r="N308" s="347" t="s">
        <v>208</v>
      </c>
      <c r="O308" s="339" t="s">
        <v>2420</v>
      </c>
    </row>
    <row r="309">
      <c r="A309" s="369"/>
      <c r="B309" s="48"/>
      <c r="C309" s="48"/>
      <c r="D309" s="48"/>
      <c r="E309" s="48"/>
      <c r="F309" s="48"/>
      <c r="G309" s="48"/>
      <c r="H309" s="336" t="s">
        <v>1941</v>
      </c>
      <c r="I309" s="339" t="s">
        <v>1949</v>
      </c>
      <c r="J309" s="342" t="s">
        <v>160</v>
      </c>
      <c r="K309" s="342" t="s">
        <v>838</v>
      </c>
      <c r="L309" s="373">
        <v>0.05</v>
      </c>
      <c r="M309" s="352">
        <v>1188.0</v>
      </c>
      <c r="N309" s="347" t="s">
        <v>1941</v>
      </c>
      <c r="O309" s="339" t="s">
        <v>2288</v>
      </c>
    </row>
    <row r="310">
      <c r="A310" s="342">
        <v>139.0</v>
      </c>
      <c r="B310" s="348">
        <v>71.0</v>
      </c>
      <c r="C310" s="350">
        <v>46066.0</v>
      </c>
      <c r="D310" s="348" t="s">
        <v>95</v>
      </c>
      <c r="E310" s="350">
        <v>46099.0</v>
      </c>
      <c r="F310" s="351">
        <v>1020.0</v>
      </c>
      <c r="G310" s="390">
        <v>46080.0</v>
      </c>
      <c r="H310" s="336" t="s">
        <v>2417</v>
      </c>
      <c r="I310" s="339" t="s">
        <v>2084</v>
      </c>
      <c r="J310" s="342">
        <v>3.0</v>
      </c>
      <c r="K310" s="342" t="s">
        <v>256</v>
      </c>
      <c r="L310" s="346">
        <v>11880.0</v>
      </c>
      <c r="M310" s="105">
        <f>J310*L310</f>
        <v>35640</v>
      </c>
      <c r="N310" s="347" t="s">
        <v>208</v>
      </c>
      <c r="O310" s="339" t="s">
        <v>2419</v>
      </c>
    </row>
    <row r="311">
      <c r="A311" s="369"/>
      <c r="B311" s="48"/>
      <c r="C311" s="48"/>
      <c r="D311" s="48"/>
      <c r="E311" s="48"/>
      <c r="F311" s="48"/>
      <c r="G311" s="48"/>
      <c r="H311" s="336" t="s">
        <v>1941</v>
      </c>
      <c r="I311" s="339" t="s">
        <v>1949</v>
      </c>
      <c r="J311" s="342" t="s">
        <v>92</v>
      </c>
      <c r="K311" s="342" t="s">
        <v>838</v>
      </c>
      <c r="L311" s="373">
        <v>0.05</v>
      </c>
      <c r="M311" s="352">
        <v>1782.0</v>
      </c>
      <c r="N311" s="347" t="s">
        <v>1941</v>
      </c>
      <c r="O311" s="339" t="s">
        <v>2288</v>
      </c>
    </row>
    <row r="312">
      <c r="A312" s="342">
        <v>140.0</v>
      </c>
      <c r="B312" s="348">
        <v>114.0</v>
      </c>
      <c r="C312" s="350">
        <v>46065.0</v>
      </c>
      <c r="D312" s="348" t="s">
        <v>139</v>
      </c>
      <c r="E312" s="350">
        <v>46099.0</v>
      </c>
      <c r="F312" s="351">
        <v>1016.0</v>
      </c>
      <c r="G312" s="390">
        <v>46068.0</v>
      </c>
      <c r="H312" s="336" t="s">
        <v>2421</v>
      </c>
      <c r="I312" s="339" t="s">
        <v>2151</v>
      </c>
      <c r="J312" s="342">
        <v>3.0</v>
      </c>
      <c r="K312" s="342" t="s">
        <v>39</v>
      </c>
      <c r="L312" s="346">
        <v>1080.0</v>
      </c>
      <c r="M312" s="105">
        <f t="shared" ref="M312:M315" si="34">J312*L312</f>
        <v>3240</v>
      </c>
      <c r="N312" s="347" t="s">
        <v>99</v>
      </c>
      <c r="O312" s="339" t="s">
        <v>2422</v>
      </c>
    </row>
    <row r="313">
      <c r="A313" s="369"/>
      <c r="B313" s="47"/>
      <c r="C313" s="47"/>
      <c r="D313" s="47"/>
      <c r="E313" s="47"/>
      <c r="F313" s="47"/>
      <c r="G313" s="47"/>
      <c r="H313" s="336" t="s">
        <v>2423</v>
      </c>
      <c r="I313" s="339" t="s">
        <v>2151</v>
      </c>
      <c r="J313" s="342">
        <v>3.0</v>
      </c>
      <c r="K313" s="342" t="s">
        <v>39</v>
      </c>
      <c r="L313" s="346">
        <v>850.0</v>
      </c>
      <c r="M313" s="105">
        <f t="shared" si="34"/>
        <v>2550</v>
      </c>
      <c r="N313" s="347" t="s">
        <v>99</v>
      </c>
      <c r="O313" s="339" t="s">
        <v>2422</v>
      </c>
    </row>
    <row r="314">
      <c r="A314" s="369"/>
      <c r="B314" s="47"/>
      <c r="C314" s="47"/>
      <c r="D314" s="47"/>
      <c r="E314" s="47"/>
      <c r="F314" s="47"/>
      <c r="G314" s="47"/>
      <c r="H314" s="336" t="s">
        <v>2424</v>
      </c>
      <c r="I314" s="339" t="s">
        <v>2151</v>
      </c>
      <c r="J314" s="342">
        <v>5.0</v>
      </c>
      <c r="K314" s="342" t="s">
        <v>156</v>
      </c>
      <c r="L314" s="346">
        <v>28.0</v>
      </c>
      <c r="M314" s="105">
        <f t="shared" si="34"/>
        <v>140</v>
      </c>
      <c r="N314" s="347" t="s">
        <v>99</v>
      </c>
      <c r="O314" s="339" t="s">
        <v>2422</v>
      </c>
    </row>
    <row r="315">
      <c r="A315" s="369"/>
      <c r="B315" s="47"/>
      <c r="C315" s="47"/>
      <c r="D315" s="47"/>
      <c r="E315" s="47"/>
      <c r="F315" s="47"/>
      <c r="G315" s="47"/>
      <c r="H315" s="336" t="s">
        <v>2425</v>
      </c>
      <c r="I315" s="339" t="s">
        <v>2151</v>
      </c>
      <c r="J315" s="342">
        <v>5.0</v>
      </c>
      <c r="K315" s="342" t="s">
        <v>156</v>
      </c>
      <c r="L315" s="346">
        <v>50.0</v>
      </c>
      <c r="M315" s="105">
        <f t="shared" si="34"/>
        <v>250</v>
      </c>
      <c r="N315" s="347" t="s">
        <v>99</v>
      </c>
      <c r="O315" s="339" t="s">
        <v>2422</v>
      </c>
    </row>
    <row r="316">
      <c r="A316" s="369"/>
      <c r="B316" s="48"/>
      <c r="C316" s="48"/>
      <c r="D316" s="48"/>
      <c r="E316" s="48"/>
      <c r="F316" s="48"/>
      <c r="G316" s="48"/>
      <c r="H316" s="336" t="s">
        <v>1941</v>
      </c>
      <c r="I316" s="339" t="s">
        <v>1949</v>
      </c>
      <c r="J316" s="342" t="s">
        <v>160</v>
      </c>
      <c r="K316" s="342" t="s">
        <v>838</v>
      </c>
      <c r="L316" s="373">
        <v>0.05</v>
      </c>
      <c r="M316" s="352">
        <v>309.0</v>
      </c>
      <c r="N316" s="347" t="s">
        <v>1941</v>
      </c>
      <c r="O316" s="339" t="s">
        <v>2300</v>
      </c>
    </row>
    <row r="317">
      <c r="A317" s="342">
        <v>141.0</v>
      </c>
      <c r="B317" s="348">
        <v>140.0</v>
      </c>
      <c r="C317" s="350">
        <v>46080.0</v>
      </c>
      <c r="D317" s="348" t="s">
        <v>139</v>
      </c>
      <c r="E317" s="350">
        <v>46099.0</v>
      </c>
      <c r="F317" s="351">
        <v>1025.0</v>
      </c>
      <c r="G317" s="394">
        <v>46085.0</v>
      </c>
      <c r="H317" s="336" t="s">
        <v>2426</v>
      </c>
      <c r="I317" s="339" t="s">
        <v>325</v>
      </c>
      <c r="J317" s="342">
        <v>20.0</v>
      </c>
      <c r="K317" s="342" t="s">
        <v>156</v>
      </c>
      <c r="L317" s="346">
        <v>995.0</v>
      </c>
      <c r="M317" s="105">
        <f>J317*L317</f>
        <v>19900</v>
      </c>
      <c r="N317" s="347" t="s">
        <v>99</v>
      </c>
      <c r="O317" s="339" t="s">
        <v>2427</v>
      </c>
    </row>
    <row r="318">
      <c r="A318" s="369"/>
      <c r="B318" s="48"/>
      <c r="C318" s="48"/>
      <c r="D318" s="48"/>
      <c r="E318" s="48"/>
      <c r="F318" s="48"/>
      <c r="G318" s="48"/>
      <c r="H318" s="336" t="s">
        <v>1941</v>
      </c>
      <c r="I318" s="339" t="s">
        <v>1949</v>
      </c>
      <c r="J318" s="342" t="s">
        <v>160</v>
      </c>
      <c r="K318" s="342" t="s">
        <v>838</v>
      </c>
      <c r="L318" s="373">
        <v>0.05</v>
      </c>
      <c r="M318" s="352">
        <v>995.0</v>
      </c>
      <c r="N318" s="347" t="s">
        <v>1941</v>
      </c>
      <c r="O318" s="339" t="s">
        <v>2300</v>
      </c>
    </row>
    <row r="319">
      <c r="A319" s="342">
        <v>142.0</v>
      </c>
      <c r="B319" s="348">
        <v>117.0</v>
      </c>
      <c r="C319" s="350">
        <v>46052.0</v>
      </c>
      <c r="D319" s="348" t="s">
        <v>2428</v>
      </c>
      <c r="E319" s="350">
        <v>46100.0</v>
      </c>
      <c r="F319" s="351">
        <v>1022.0</v>
      </c>
      <c r="G319" s="390">
        <v>46082.0</v>
      </c>
      <c r="H319" s="336" t="s">
        <v>2429</v>
      </c>
      <c r="I319" s="339" t="s">
        <v>2151</v>
      </c>
      <c r="J319" s="342">
        <v>120.0</v>
      </c>
      <c r="K319" s="342" t="s">
        <v>156</v>
      </c>
      <c r="L319" s="346">
        <v>57.0</v>
      </c>
      <c r="M319" s="105">
        <f t="shared" ref="M319:M320" si="35">J319*L319</f>
        <v>6840</v>
      </c>
      <c r="N319" s="347" t="s">
        <v>2338</v>
      </c>
      <c r="O319" s="339" t="s">
        <v>2422</v>
      </c>
    </row>
    <row r="320">
      <c r="A320" s="369"/>
      <c r="B320" s="47"/>
      <c r="C320" s="47"/>
      <c r="D320" s="47"/>
      <c r="E320" s="47"/>
      <c r="F320" s="47"/>
      <c r="G320" s="47"/>
      <c r="H320" s="336" t="s">
        <v>2430</v>
      </c>
      <c r="I320" s="339" t="s">
        <v>2151</v>
      </c>
      <c r="J320" s="342">
        <v>120.0</v>
      </c>
      <c r="K320" s="342" t="s">
        <v>156</v>
      </c>
      <c r="L320" s="346">
        <v>57.0</v>
      </c>
      <c r="M320" s="105">
        <f t="shared" si="35"/>
        <v>6840</v>
      </c>
      <c r="N320" s="347" t="s">
        <v>2338</v>
      </c>
      <c r="O320" s="339" t="s">
        <v>2422</v>
      </c>
    </row>
    <row r="321">
      <c r="A321" s="369"/>
      <c r="B321" s="48"/>
      <c r="C321" s="48"/>
      <c r="D321" s="48"/>
      <c r="E321" s="48"/>
      <c r="F321" s="48"/>
      <c r="G321" s="48"/>
      <c r="H321" s="336" t="s">
        <v>1941</v>
      </c>
      <c r="I321" s="339" t="s">
        <v>1949</v>
      </c>
      <c r="J321" s="342" t="s">
        <v>92</v>
      </c>
      <c r="K321" s="342" t="s">
        <v>838</v>
      </c>
      <c r="L321" s="373">
        <v>0.05</v>
      </c>
      <c r="M321" s="352">
        <v>684.0</v>
      </c>
      <c r="N321" s="347" t="s">
        <v>1941</v>
      </c>
      <c r="O321" s="339" t="s">
        <v>2288</v>
      </c>
    </row>
    <row r="322">
      <c r="A322" s="342">
        <v>143.0</v>
      </c>
      <c r="B322" s="348">
        <v>102.0</v>
      </c>
      <c r="C322" s="350">
        <v>46073.0</v>
      </c>
      <c r="D322" s="348" t="s">
        <v>2428</v>
      </c>
      <c r="E322" s="350">
        <v>46100.0</v>
      </c>
      <c r="F322" s="351">
        <v>1022.0</v>
      </c>
      <c r="G322" s="390">
        <v>46082.0</v>
      </c>
      <c r="H322" s="336" t="s">
        <v>2431</v>
      </c>
      <c r="I322" s="339" t="s">
        <v>2151</v>
      </c>
      <c r="J322" s="342">
        <v>30.0</v>
      </c>
      <c r="K322" s="342" t="s">
        <v>156</v>
      </c>
      <c r="L322" s="346">
        <v>20.0</v>
      </c>
      <c r="M322" s="105">
        <f t="shared" ref="M322:M323" si="36">J322*L322</f>
        <v>600</v>
      </c>
      <c r="N322" s="347" t="s">
        <v>2338</v>
      </c>
      <c r="O322" s="339" t="s">
        <v>2422</v>
      </c>
    </row>
    <row r="323">
      <c r="A323" s="369"/>
      <c r="B323" s="47"/>
      <c r="C323" s="47"/>
      <c r="D323" s="47"/>
      <c r="E323" s="47"/>
      <c r="F323" s="47"/>
      <c r="G323" s="47"/>
      <c r="H323" s="336" t="s">
        <v>2432</v>
      </c>
      <c r="I323" s="339" t="s">
        <v>2151</v>
      </c>
      <c r="J323" s="342">
        <v>4.0</v>
      </c>
      <c r="K323" s="342" t="s">
        <v>156</v>
      </c>
      <c r="L323" s="346">
        <v>140.0</v>
      </c>
      <c r="M323" s="105">
        <f t="shared" si="36"/>
        <v>560</v>
      </c>
      <c r="N323" s="347" t="s">
        <v>2338</v>
      </c>
      <c r="O323" s="339" t="s">
        <v>2422</v>
      </c>
    </row>
    <row r="324">
      <c r="A324" s="369"/>
      <c r="B324" s="48"/>
      <c r="C324" s="48"/>
      <c r="D324" s="48"/>
      <c r="E324" s="48"/>
      <c r="F324" s="48"/>
      <c r="G324" s="48"/>
      <c r="H324" s="336" t="s">
        <v>1941</v>
      </c>
      <c r="I324" s="339" t="s">
        <v>1949</v>
      </c>
      <c r="J324" s="342" t="s">
        <v>160</v>
      </c>
      <c r="K324" s="342" t="s">
        <v>838</v>
      </c>
      <c r="L324" s="373">
        <v>0.05</v>
      </c>
      <c r="M324" s="352">
        <v>58.0</v>
      </c>
      <c r="N324" s="347" t="s">
        <v>1941</v>
      </c>
      <c r="O324" s="339" t="s">
        <v>2288</v>
      </c>
    </row>
    <row r="325">
      <c r="A325" s="342">
        <v>144.0</v>
      </c>
      <c r="B325" s="348">
        <v>805.0</v>
      </c>
      <c r="C325" s="350">
        <v>46057.0</v>
      </c>
      <c r="D325" s="348" t="s">
        <v>2433</v>
      </c>
      <c r="E325" s="350">
        <v>46100.0</v>
      </c>
      <c r="F325" s="351">
        <v>1012.0</v>
      </c>
      <c r="G325" s="394">
        <v>46058.0</v>
      </c>
      <c r="H325" s="336" t="s">
        <v>2434</v>
      </c>
      <c r="I325" s="339" t="s">
        <v>1401</v>
      </c>
      <c r="J325" s="342">
        <v>50.0</v>
      </c>
      <c r="K325" s="342" t="s">
        <v>156</v>
      </c>
      <c r="L325" s="346">
        <v>120.0</v>
      </c>
      <c r="M325" s="105">
        <f>J325*L325</f>
        <v>6000</v>
      </c>
      <c r="N325" s="347" t="s">
        <v>2342</v>
      </c>
      <c r="O325" s="339" t="s">
        <v>2435</v>
      </c>
    </row>
    <row r="326">
      <c r="A326" s="369"/>
      <c r="B326" s="48"/>
      <c r="C326" s="48"/>
      <c r="D326" s="48"/>
      <c r="E326" s="48"/>
      <c r="F326" s="48"/>
      <c r="G326" s="48"/>
      <c r="H326" s="336" t="s">
        <v>1941</v>
      </c>
      <c r="I326" s="339" t="s">
        <v>1949</v>
      </c>
      <c r="J326" s="342" t="s">
        <v>160</v>
      </c>
      <c r="K326" s="342" t="s">
        <v>838</v>
      </c>
      <c r="L326" s="373">
        <v>0.05</v>
      </c>
      <c r="M326" s="352">
        <v>300.0</v>
      </c>
      <c r="N326" s="347" t="s">
        <v>1941</v>
      </c>
      <c r="O326" s="339" t="s">
        <v>2288</v>
      </c>
    </row>
    <row r="327">
      <c r="A327" s="342">
        <v>145.0</v>
      </c>
      <c r="B327" s="348">
        <v>1111.0</v>
      </c>
      <c r="C327" s="350">
        <v>46066.0</v>
      </c>
      <c r="D327" s="348" t="s">
        <v>2433</v>
      </c>
      <c r="E327" s="350">
        <v>46100.0</v>
      </c>
      <c r="F327" s="351">
        <v>1017.0</v>
      </c>
      <c r="G327" s="390">
        <v>46068.0</v>
      </c>
      <c r="H327" s="336" t="s">
        <v>2436</v>
      </c>
      <c r="I327" s="339" t="s">
        <v>1401</v>
      </c>
      <c r="J327" s="342">
        <v>4.0</v>
      </c>
      <c r="K327" s="342" t="s">
        <v>156</v>
      </c>
      <c r="L327" s="346">
        <v>900.0</v>
      </c>
      <c r="M327" s="105">
        <f>J327*L327</f>
        <v>3600</v>
      </c>
      <c r="N327" s="347" t="s">
        <v>2342</v>
      </c>
      <c r="O327" s="339" t="s">
        <v>2437</v>
      </c>
    </row>
    <row r="328">
      <c r="A328" s="369"/>
      <c r="B328" s="48"/>
      <c r="C328" s="48"/>
      <c r="D328" s="48"/>
      <c r="E328" s="48"/>
      <c r="F328" s="48"/>
      <c r="G328" s="48"/>
      <c r="H328" s="336" t="s">
        <v>1941</v>
      </c>
      <c r="I328" s="339" t="s">
        <v>1949</v>
      </c>
      <c r="J328" s="342" t="s">
        <v>160</v>
      </c>
      <c r="K328" s="342" t="s">
        <v>838</v>
      </c>
      <c r="L328" s="373">
        <v>0.05</v>
      </c>
      <c r="M328" s="352">
        <v>180.0</v>
      </c>
      <c r="N328" s="347" t="s">
        <v>1941</v>
      </c>
      <c r="O328" s="339" t="s">
        <v>2300</v>
      </c>
    </row>
    <row r="329">
      <c r="A329" s="342">
        <v>146.0</v>
      </c>
      <c r="B329" s="348">
        <v>4.0</v>
      </c>
      <c r="C329" s="350">
        <v>46076.0</v>
      </c>
      <c r="D329" s="348" t="s">
        <v>2438</v>
      </c>
      <c r="E329" s="350">
        <v>46100.0</v>
      </c>
      <c r="F329" s="351">
        <v>1021.0</v>
      </c>
      <c r="G329" s="394">
        <v>46082.0</v>
      </c>
      <c r="H329" s="336" t="s">
        <v>2439</v>
      </c>
      <c r="I329" s="339" t="s">
        <v>1401</v>
      </c>
      <c r="J329" s="342">
        <v>40.0</v>
      </c>
      <c r="K329" s="342" t="s">
        <v>156</v>
      </c>
      <c r="L329" s="346">
        <v>1200.0</v>
      </c>
      <c r="M329" s="105">
        <f t="shared" ref="M329:M339" si="37">J329*L329</f>
        <v>48000</v>
      </c>
      <c r="N329" s="347" t="s">
        <v>2221</v>
      </c>
      <c r="O329" s="339" t="s">
        <v>2440</v>
      </c>
    </row>
    <row r="330">
      <c r="A330" s="369"/>
      <c r="B330" s="47"/>
      <c r="C330" s="47"/>
      <c r="D330" s="47"/>
      <c r="E330" s="47"/>
      <c r="F330" s="47"/>
      <c r="G330" s="47"/>
      <c r="H330" s="336" t="s">
        <v>2441</v>
      </c>
      <c r="I330" s="339" t="s">
        <v>1401</v>
      </c>
      <c r="J330" s="342">
        <v>15.0</v>
      </c>
      <c r="K330" s="342" t="s">
        <v>156</v>
      </c>
      <c r="L330" s="346">
        <v>60.0</v>
      </c>
      <c r="M330" s="105">
        <f t="shared" si="37"/>
        <v>900</v>
      </c>
      <c r="N330" s="347" t="s">
        <v>2221</v>
      </c>
      <c r="O330" s="339" t="s">
        <v>2440</v>
      </c>
    </row>
    <row r="331">
      <c r="A331" s="369"/>
      <c r="B331" s="48"/>
      <c r="C331" s="48"/>
      <c r="D331" s="48"/>
      <c r="E331" s="48"/>
      <c r="F331" s="48"/>
      <c r="G331" s="48"/>
      <c r="H331" s="336" t="s">
        <v>2442</v>
      </c>
      <c r="I331" s="339" t="s">
        <v>1401</v>
      </c>
      <c r="J331" s="342">
        <v>15.0</v>
      </c>
      <c r="K331" s="342" t="s">
        <v>156</v>
      </c>
      <c r="L331" s="346">
        <v>80.0</v>
      </c>
      <c r="M331" s="105">
        <f t="shared" si="37"/>
        <v>1200</v>
      </c>
      <c r="N331" s="347" t="s">
        <v>2221</v>
      </c>
      <c r="O331" s="339" t="s">
        <v>2440</v>
      </c>
    </row>
    <row r="332">
      <c r="A332" s="342">
        <v>147.0</v>
      </c>
      <c r="B332" s="348">
        <v>5.0</v>
      </c>
      <c r="C332" s="350">
        <v>46076.0</v>
      </c>
      <c r="D332" s="348" t="s">
        <v>2438</v>
      </c>
      <c r="E332" s="350">
        <v>46100.0</v>
      </c>
      <c r="F332" s="351">
        <v>1024.0</v>
      </c>
      <c r="G332" s="394">
        <v>46082.0</v>
      </c>
      <c r="H332" s="336" t="s">
        <v>2443</v>
      </c>
      <c r="I332" s="339" t="s">
        <v>2147</v>
      </c>
      <c r="J332" s="342">
        <v>6.0</v>
      </c>
      <c r="K332" s="342" t="s">
        <v>156</v>
      </c>
      <c r="L332" s="396">
        <v>450.0</v>
      </c>
      <c r="M332" s="105">
        <f t="shared" si="37"/>
        <v>2700</v>
      </c>
      <c r="N332" s="347" t="s">
        <v>2221</v>
      </c>
      <c r="O332" s="339" t="s">
        <v>2444</v>
      </c>
    </row>
    <row r="333">
      <c r="A333" s="369"/>
      <c r="B333" s="47"/>
      <c r="C333" s="47"/>
      <c r="D333" s="47"/>
      <c r="E333" s="47"/>
      <c r="F333" s="47"/>
      <c r="G333" s="47"/>
      <c r="H333" s="336" t="s">
        <v>2445</v>
      </c>
      <c r="I333" s="339" t="s">
        <v>2147</v>
      </c>
      <c r="J333" s="342">
        <v>4.0</v>
      </c>
      <c r="K333" s="342" t="s">
        <v>156</v>
      </c>
      <c r="L333" s="346">
        <v>1800.0</v>
      </c>
      <c r="M333" s="105">
        <f t="shared" si="37"/>
        <v>7200</v>
      </c>
      <c r="N333" s="347" t="s">
        <v>2221</v>
      </c>
      <c r="O333" s="339" t="s">
        <v>2444</v>
      </c>
    </row>
    <row r="334">
      <c r="A334" s="369"/>
      <c r="B334" s="47"/>
      <c r="C334" s="47"/>
      <c r="D334" s="47"/>
      <c r="E334" s="47"/>
      <c r="F334" s="47"/>
      <c r="G334" s="47"/>
      <c r="H334" s="336" t="s">
        <v>2446</v>
      </c>
      <c r="I334" s="339" t="s">
        <v>24</v>
      </c>
      <c r="J334" s="342">
        <v>2.0</v>
      </c>
      <c r="K334" s="342" t="s">
        <v>156</v>
      </c>
      <c r="L334" s="346">
        <v>500.0</v>
      </c>
      <c r="M334" s="105">
        <f t="shared" si="37"/>
        <v>1000</v>
      </c>
      <c r="N334" s="347" t="s">
        <v>2221</v>
      </c>
      <c r="O334" s="339" t="s">
        <v>2444</v>
      </c>
    </row>
    <row r="335">
      <c r="A335" s="369"/>
      <c r="B335" s="47"/>
      <c r="C335" s="47"/>
      <c r="D335" s="47"/>
      <c r="E335" s="47"/>
      <c r="F335" s="47"/>
      <c r="G335" s="47"/>
      <c r="H335" s="336" t="s">
        <v>2447</v>
      </c>
      <c r="I335" s="339" t="s">
        <v>24</v>
      </c>
      <c r="J335" s="342">
        <v>2.0</v>
      </c>
      <c r="K335" s="342" t="s">
        <v>156</v>
      </c>
      <c r="L335" s="346">
        <v>450.0</v>
      </c>
      <c r="M335" s="105">
        <f t="shared" si="37"/>
        <v>900</v>
      </c>
      <c r="N335" s="347" t="s">
        <v>2221</v>
      </c>
      <c r="O335" s="339" t="s">
        <v>2444</v>
      </c>
    </row>
    <row r="336">
      <c r="A336" s="369"/>
      <c r="B336" s="47"/>
      <c r="C336" s="47"/>
      <c r="D336" s="47"/>
      <c r="E336" s="47"/>
      <c r="F336" s="47"/>
      <c r="G336" s="47"/>
      <c r="H336" s="336" t="s">
        <v>2448</v>
      </c>
      <c r="I336" s="339" t="s">
        <v>24</v>
      </c>
      <c r="J336" s="342">
        <v>3.0</v>
      </c>
      <c r="K336" s="342" t="s">
        <v>156</v>
      </c>
      <c r="L336" s="346">
        <v>4500.0</v>
      </c>
      <c r="M336" s="105">
        <f t="shared" si="37"/>
        <v>13500</v>
      </c>
      <c r="N336" s="347" t="s">
        <v>2221</v>
      </c>
      <c r="O336" s="339" t="s">
        <v>2444</v>
      </c>
    </row>
    <row r="337">
      <c r="A337" s="369"/>
      <c r="B337" s="47"/>
      <c r="C337" s="47"/>
      <c r="D337" s="47"/>
      <c r="E337" s="47"/>
      <c r="F337" s="47"/>
      <c r="G337" s="47"/>
      <c r="H337" s="336" t="s">
        <v>2449</v>
      </c>
      <c r="I337" s="339" t="s">
        <v>1401</v>
      </c>
      <c r="J337" s="342">
        <v>20.0</v>
      </c>
      <c r="K337" s="342" t="s">
        <v>156</v>
      </c>
      <c r="L337" s="346">
        <v>150.0</v>
      </c>
      <c r="M337" s="105">
        <f t="shared" si="37"/>
        <v>3000</v>
      </c>
      <c r="N337" s="347" t="s">
        <v>2221</v>
      </c>
      <c r="O337" s="339" t="s">
        <v>2444</v>
      </c>
    </row>
    <row r="338">
      <c r="A338" s="369"/>
      <c r="B338" s="48"/>
      <c r="C338" s="48"/>
      <c r="D338" s="48"/>
      <c r="E338" s="48"/>
      <c r="F338" s="48"/>
      <c r="G338" s="48"/>
      <c r="H338" s="336" t="s">
        <v>2450</v>
      </c>
      <c r="I338" s="339" t="s">
        <v>1401</v>
      </c>
      <c r="J338" s="342">
        <v>1.0</v>
      </c>
      <c r="K338" s="342" t="s">
        <v>89</v>
      </c>
      <c r="L338" s="346">
        <v>400.0</v>
      </c>
      <c r="M338" s="105">
        <f t="shared" si="37"/>
        <v>400</v>
      </c>
      <c r="N338" s="347" t="s">
        <v>2221</v>
      </c>
      <c r="O338" s="339" t="s">
        <v>2444</v>
      </c>
    </row>
    <row r="339">
      <c r="A339" s="342">
        <v>148.0</v>
      </c>
      <c r="B339" s="348">
        <v>286.0</v>
      </c>
      <c r="C339" s="350">
        <v>46098.0</v>
      </c>
      <c r="D339" s="348" t="s">
        <v>2451</v>
      </c>
      <c r="E339" s="350">
        <v>46128.0</v>
      </c>
      <c r="F339" s="351">
        <v>1036.0</v>
      </c>
      <c r="G339" s="390">
        <v>46109.0</v>
      </c>
      <c r="H339" s="336" t="s">
        <v>1249</v>
      </c>
      <c r="I339" s="339" t="s">
        <v>2147</v>
      </c>
      <c r="J339" s="342">
        <v>30.0</v>
      </c>
      <c r="K339" s="342" t="s">
        <v>2346</v>
      </c>
      <c r="L339" s="346">
        <v>450.0</v>
      </c>
      <c r="M339" s="105">
        <f t="shared" si="37"/>
        <v>13500</v>
      </c>
      <c r="N339" s="347" t="s">
        <v>99</v>
      </c>
      <c r="O339" s="339" t="s">
        <v>2452</v>
      </c>
    </row>
    <row r="340">
      <c r="A340" s="369"/>
      <c r="B340" s="48"/>
      <c r="C340" s="48"/>
      <c r="D340" s="48"/>
      <c r="E340" s="48"/>
      <c r="F340" s="48"/>
      <c r="G340" s="48"/>
      <c r="H340" s="336" t="s">
        <v>1941</v>
      </c>
      <c r="I340" s="339" t="s">
        <v>1949</v>
      </c>
      <c r="J340" s="342" t="s">
        <v>92</v>
      </c>
      <c r="K340" s="342" t="s">
        <v>838</v>
      </c>
      <c r="L340" s="373">
        <v>0.05</v>
      </c>
      <c r="M340" s="352">
        <v>675.0</v>
      </c>
      <c r="N340" s="347" t="s">
        <v>1941</v>
      </c>
      <c r="O340" s="339" t="s">
        <v>2288</v>
      </c>
    </row>
    <row r="341">
      <c r="A341" s="342">
        <v>149.0</v>
      </c>
      <c r="B341" s="348">
        <v>301.0</v>
      </c>
      <c r="C341" s="350">
        <v>46099.0</v>
      </c>
      <c r="D341" s="348" t="s">
        <v>2451</v>
      </c>
      <c r="E341" s="350">
        <v>46128.0</v>
      </c>
      <c r="F341" s="351">
        <v>1030.0</v>
      </c>
      <c r="G341" s="390">
        <v>46098.0</v>
      </c>
      <c r="H341" s="336" t="s">
        <v>2453</v>
      </c>
      <c r="I341" s="339" t="s">
        <v>2151</v>
      </c>
      <c r="J341" s="342">
        <v>10.0</v>
      </c>
      <c r="K341" s="342" t="s">
        <v>74</v>
      </c>
      <c r="L341" s="346">
        <v>1056.0</v>
      </c>
      <c r="M341" s="352">
        <v>1056.0</v>
      </c>
      <c r="N341" s="347" t="s">
        <v>99</v>
      </c>
      <c r="O341" s="339" t="s">
        <v>2454</v>
      </c>
    </row>
    <row r="342">
      <c r="A342" s="369"/>
      <c r="B342" s="48"/>
      <c r="C342" s="48"/>
      <c r="D342" s="48"/>
      <c r="E342" s="48"/>
      <c r="F342" s="48"/>
      <c r="G342" s="48"/>
      <c r="H342" s="336" t="s">
        <v>1941</v>
      </c>
      <c r="I342" s="339" t="s">
        <v>1949</v>
      </c>
      <c r="J342" s="342" t="s">
        <v>92</v>
      </c>
      <c r="K342" s="342" t="s">
        <v>838</v>
      </c>
      <c r="L342" s="373">
        <v>0.05</v>
      </c>
      <c r="M342" s="352">
        <v>52.0</v>
      </c>
      <c r="N342" s="347" t="s">
        <v>1941</v>
      </c>
      <c r="O342" s="339" t="s">
        <v>2288</v>
      </c>
    </row>
    <row r="343">
      <c r="A343" s="342">
        <v>150.0</v>
      </c>
      <c r="B343" s="348">
        <v>3205.0</v>
      </c>
      <c r="C343" s="350">
        <v>46098.0</v>
      </c>
      <c r="D343" s="348" t="s">
        <v>2455</v>
      </c>
      <c r="E343" s="350">
        <v>46128.0</v>
      </c>
      <c r="F343" s="351">
        <v>1041.0</v>
      </c>
      <c r="G343" s="399">
        <v>46113.0</v>
      </c>
      <c r="H343" s="336" t="s">
        <v>2456</v>
      </c>
      <c r="I343" s="339" t="s">
        <v>1401</v>
      </c>
      <c r="J343" s="342">
        <v>192.0</v>
      </c>
      <c r="K343" s="342" t="s">
        <v>156</v>
      </c>
      <c r="L343" s="346">
        <v>1509.3</v>
      </c>
      <c r="M343" s="105">
        <f t="shared" ref="M343:M346" si="38">J343*L343</f>
        <v>289785.6</v>
      </c>
      <c r="N343" s="347" t="s">
        <v>2342</v>
      </c>
      <c r="O343" s="339" t="s">
        <v>2452</v>
      </c>
    </row>
    <row r="344">
      <c r="A344" s="369"/>
      <c r="B344" s="47"/>
      <c r="C344" s="47"/>
      <c r="D344" s="47"/>
      <c r="E344" s="47"/>
      <c r="F344" s="47"/>
      <c r="G344" s="47"/>
      <c r="H344" s="336" t="s">
        <v>2457</v>
      </c>
      <c r="I344" s="339" t="s">
        <v>1401</v>
      </c>
      <c r="J344" s="342">
        <v>192.0</v>
      </c>
      <c r="K344" s="342" t="s">
        <v>156</v>
      </c>
      <c r="L344" s="346">
        <v>1385.46</v>
      </c>
      <c r="M344" s="105">
        <f t="shared" si="38"/>
        <v>266008.32</v>
      </c>
      <c r="N344" s="347" t="s">
        <v>2342</v>
      </c>
      <c r="O344" s="339" t="s">
        <v>2452</v>
      </c>
    </row>
    <row r="345">
      <c r="A345" s="369"/>
      <c r="B345" s="47"/>
      <c r="C345" s="47"/>
      <c r="D345" s="47"/>
      <c r="E345" s="47"/>
      <c r="F345" s="47"/>
      <c r="G345" s="47"/>
      <c r="H345" s="336" t="s">
        <v>2458</v>
      </c>
      <c r="I345" s="339" t="s">
        <v>1401</v>
      </c>
      <c r="J345" s="342">
        <v>120.0</v>
      </c>
      <c r="K345" s="342" t="s">
        <v>156</v>
      </c>
      <c r="L345" s="346">
        <v>1006.2</v>
      </c>
      <c r="M345" s="105">
        <f t="shared" si="38"/>
        <v>120744</v>
      </c>
      <c r="N345" s="347" t="s">
        <v>2342</v>
      </c>
      <c r="O345" s="339" t="s">
        <v>2452</v>
      </c>
    </row>
    <row r="346">
      <c r="A346" s="369"/>
      <c r="B346" s="47"/>
      <c r="C346" s="47"/>
      <c r="D346" s="47"/>
      <c r="E346" s="47"/>
      <c r="F346" s="47"/>
      <c r="G346" s="47"/>
      <c r="H346" s="336" t="s">
        <v>2459</v>
      </c>
      <c r="I346" s="339" t="s">
        <v>1401</v>
      </c>
      <c r="J346" s="342">
        <v>75.0</v>
      </c>
      <c r="K346" s="342" t="s">
        <v>156</v>
      </c>
      <c r="L346" s="346">
        <v>890.0</v>
      </c>
      <c r="M346" s="105">
        <f t="shared" si="38"/>
        <v>66750</v>
      </c>
      <c r="N346" s="347" t="s">
        <v>2342</v>
      </c>
      <c r="O346" s="339" t="s">
        <v>2452</v>
      </c>
    </row>
    <row r="347">
      <c r="A347" s="369"/>
      <c r="B347" s="48"/>
      <c r="C347" s="48"/>
      <c r="D347" s="48"/>
      <c r="E347" s="48"/>
      <c r="F347" s="48"/>
      <c r="G347" s="48"/>
      <c r="H347" s="336" t="s">
        <v>1941</v>
      </c>
      <c r="I347" s="339" t="s">
        <v>1949</v>
      </c>
      <c r="J347" s="342" t="s">
        <v>92</v>
      </c>
      <c r="K347" s="342" t="s">
        <v>838</v>
      </c>
      <c r="L347" s="373">
        <v>0.05</v>
      </c>
      <c r="M347" s="352">
        <v>37164.4</v>
      </c>
      <c r="N347" s="347" t="s">
        <v>1941</v>
      </c>
      <c r="O347" s="339" t="s">
        <v>2288</v>
      </c>
    </row>
    <row r="348">
      <c r="A348" s="342">
        <v>151.0</v>
      </c>
      <c r="B348" s="401">
        <v>154.0</v>
      </c>
      <c r="C348" s="350">
        <v>46093.0</v>
      </c>
      <c r="D348" s="348" t="s">
        <v>2460</v>
      </c>
      <c r="E348" s="350">
        <v>6620480.0</v>
      </c>
      <c r="F348" s="351">
        <v>207.0</v>
      </c>
      <c r="G348" s="390">
        <v>46094.0</v>
      </c>
      <c r="H348" s="336" t="s">
        <v>2461</v>
      </c>
      <c r="I348" s="339" t="s">
        <v>2360</v>
      </c>
      <c r="J348" s="342">
        <v>40.0</v>
      </c>
      <c r="K348" s="342" t="s">
        <v>405</v>
      </c>
      <c r="L348" s="346">
        <v>45.0</v>
      </c>
      <c r="M348" s="105">
        <f>J348*L348</f>
        <v>1800</v>
      </c>
      <c r="N348" s="347" t="s">
        <v>1376</v>
      </c>
      <c r="O348" s="339" t="s">
        <v>2462</v>
      </c>
    </row>
    <row r="349">
      <c r="A349" s="369"/>
      <c r="B349" s="48"/>
      <c r="C349" s="48"/>
      <c r="D349" s="48"/>
      <c r="E349" s="48"/>
      <c r="F349" s="48"/>
      <c r="G349" s="48"/>
      <c r="H349" s="336" t="s">
        <v>1941</v>
      </c>
      <c r="I349" s="339" t="s">
        <v>1949</v>
      </c>
      <c r="J349" s="342" t="s">
        <v>92</v>
      </c>
      <c r="K349" s="342" t="s">
        <v>838</v>
      </c>
      <c r="L349" s="373">
        <v>0.05</v>
      </c>
      <c r="M349" s="352">
        <v>90.0</v>
      </c>
      <c r="N349" s="347" t="s">
        <v>1941</v>
      </c>
      <c r="O349" s="339" t="s">
        <v>2288</v>
      </c>
    </row>
    <row r="350">
      <c r="A350" s="342">
        <v>152.0</v>
      </c>
      <c r="B350" s="348">
        <v>193.0</v>
      </c>
      <c r="C350" s="350">
        <v>46094.0</v>
      </c>
      <c r="D350" s="348" t="s">
        <v>2463</v>
      </c>
      <c r="E350" s="350">
        <v>46118.0</v>
      </c>
      <c r="F350" s="351">
        <v>1029.0</v>
      </c>
      <c r="G350" s="390">
        <v>46094.0</v>
      </c>
      <c r="H350" s="336" t="s">
        <v>2310</v>
      </c>
      <c r="I350" s="339" t="s">
        <v>547</v>
      </c>
      <c r="J350" s="342">
        <v>10.0</v>
      </c>
      <c r="K350" s="342" t="s">
        <v>1662</v>
      </c>
      <c r="L350" s="346">
        <v>233.0</v>
      </c>
      <c r="M350" s="105">
        <f>J350*L350</f>
        <v>2330</v>
      </c>
      <c r="N350" s="347" t="s">
        <v>2464</v>
      </c>
      <c r="O350" s="339" t="s">
        <v>2465</v>
      </c>
    </row>
    <row r="351">
      <c r="A351" s="369"/>
      <c r="B351" s="48"/>
      <c r="C351" s="48"/>
      <c r="D351" s="48"/>
      <c r="E351" s="48"/>
      <c r="F351" s="48"/>
      <c r="G351" s="48"/>
      <c r="H351" s="336" t="s">
        <v>1941</v>
      </c>
      <c r="I351" s="339" t="s">
        <v>1949</v>
      </c>
      <c r="J351" s="342" t="s">
        <v>92</v>
      </c>
      <c r="K351" s="342" t="s">
        <v>838</v>
      </c>
      <c r="L351" s="373">
        <v>0.05</v>
      </c>
      <c r="M351" s="352">
        <v>116.5</v>
      </c>
      <c r="N351" s="347" t="s">
        <v>1941</v>
      </c>
      <c r="O351" s="339" t="s">
        <v>2321</v>
      </c>
    </row>
    <row r="352">
      <c r="A352" s="342">
        <v>153.0</v>
      </c>
      <c r="B352" s="348">
        <v>228.0</v>
      </c>
      <c r="C352" s="350">
        <v>46097.0</v>
      </c>
      <c r="D352" s="348" t="s">
        <v>2463</v>
      </c>
      <c r="E352" s="350">
        <v>46118.0</v>
      </c>
      <c r="F352" s="351">
        <v>1035.0</v>
      </c>
      <c r="G352" s="390">
        <v>46109.0</v>
      </c>
      <c r="H352" s="336" t="s">
        <v>2466</v>
      </c>
      <c r="I352" s="339" t="s">
        <v>547</v>
      </c>
      <c r="J352" s="342">
        <v>3.0</v>
      </c>
      <c r="K352" s="342" t="s">
        <v>156</v>
      </c>
      <c r="L352" s="346">
        <v>117.0</v>
      </c>
      <c r="M352" s="105">
        <f t="shared" ref="M352:M355" si="39">J352*L352</f>
        <v>351</v>
      </c>
      <c r="N352" s="347" t="s">
        <v>2464</v>
      </c>
      <c r="O352" s="339" t="s">
        <v>2465</v>
      </c>
    </row>
    <row r="353">
      <c r="A353" s="369"/>
      <c r="B353" s="47"/>
      <c r="C353" s="47"/>
      <c r="D353" s="47"/>
      <c r="E353" s="47"/>
      <c r="F353" s="47"/>
      <c r="G353" s="47"/>
      <c r="H353" s="336" t="s">
        <v>2467</v>
      </c>
      <c r="I353" s="339" t="s">
        <v>547</v>
      </c>
      <c r="J353" s="342">
        <v>10.0</v>
      </c>
      <c r="K353" s="342" t="s">
        <v>39</v>
      </c>
      <c r="L353" s="346">
        <v>17.0</v>
      </c>
      <c r="M353" s="105">
        <f t="shared" si="39"/>
        <v>170</v>
      </c>
      <c r="N353" s="347" t="s">
        <v>2464</v>
      </c>
      <c r="O353" s="339" t="s">
        <v>2465</v>
      </c>
    </row>
    <row r="354">
      <c r="A354" s="369"/>
      <c r="B354" s="47"/>
      <c r="C354" s="47"/>
      <c r="D354" s="47"/>
      <c r="E354" s="47"/>
      <c r="F354" s="47"/>
      <c r="G354" s="47"/>
      <c r="H354" s="336" t="s">
        <v>2468</v>
      </c>
      <c r="I354" s="339" t="s">
        <v>547</v>
      </c>
      <c r="J354" s="342">
        <v>2.0</v>
      </c>
      <c r="K354" s="342" t="s">
        <v>156</v>
      </c>
      <c r="L354" s="346">
        <v>83.0</v>
      </c>
      <c r="M354" s="105">
        <f t="shared" si="39"/>
        <v>166</v>
      </c>
      <c r="N354" s="347" t="s">
        <v>2469</v>
      </c>
      <c r="O354" s="339" t="s">
        <v>2465</v>
      </c>
    </row>
    <row r="355">
      <c r="A355" s="369"/>
      <c r="B355" s="47"/>
      <c r="C355" s="47"/>
      <c r="D355" s="47"/>
      <c r="E355" s="47"/>
      <c r="F355" s="47"/>
      <c r="G355" s="47"/>
      <c r="H355" s="336" t="s">
        <v>2470</v>
      </c>
      <c r="I355" s="339" t="s">
        <v>547</v>
      </c>
      <c r="J355" s="342">
        <v>12.0</v>
      </c>
      <c r="K355" s="342" t="s">
        <v>156</v>
      </c>
      <c r="L355" s="346">
        <v>8.0</v>
      </c>
      <c r="M355" s="105">
        <f t="shared" si="39"/>
        <v>96</v>
      </c>
      <c r="N355" s="347" t="s">
        <v>2469</v>
      </c>
      <c r="O355" s="339" t="s">
        <v>2465</v>
      </c>
    </row>
    <row r="356">
      <c r="A356" s="369"/>
      <c r="B356" s="48"/>
      <c r="C356" s="48"/>
      <c r="D356" s="48"/>
      <c r="E356" s="48"/>
      <c r="F356" s="48"/>
      <c r="G356" s="48"/>
      <c r="H356" s="336" t="s">
        <v>1941</v>
      </c>
      <c r="I356" s="339" t="s">
        <v>1949</v>
      </c>
      <c r="J356" s="342" t="s">
        <v>92</v>
      </c>
      <c r="K356" s="342" t="s">
        <v>838</v>
      </c>
      <c r="L356" s="373">
        <v>0.05</v>
      </c>
      <c r="M356" s="352">
        <v>39.15</v>
      </c>
      <c r="N356" s="347" t="s">
        <v>1941</v>
      </c>
      <c r="O356" s="339" t="s">
        <v>2288</v>
      </c>
    </row>
    <row r="357">
      <c r="A357" s="342">
        <v>154.0</v>
      </c>
      <c r="B357" s="339">
        <v>639.0</v>
      </c>
      <c r="C357" s="345">
        <v>46099.0</v>
      </c>
      <c r="D357" s="339" t="s">
        <v>2471</v>
      </c>
      <c r="E357" s="345">
        <v>46099.0</v>
      </c>
      <c r="F357" s="342" t="s">
        <v>92</v>
      </c>
      <c r="G357" s="336" t="s">
        <v>92</v>
      </c>
      <c r="H357" s="336" t="s">
        <v>2472</v>
      </c>
      <c r="I357" s="339" t="s">
        <v>2473</v>
      </c>
      <c r="J357" s="342" t="s">
        <v>160</v>
      </c>
      <c r="K357" s="342" t="s">
        <v>838</v>
      </c>
      <c r="L357" s="346">
        <v>652719.5</v>
      </c>
      <c r="M357" s="352">
        <v>652719.5</v>
      </c>
      <c r="N357" s="347" t="s">
        <v>2474</v>
      </c>
      <c r="O357" s="339" t="s">
        <v>2475</v>
      </c>
    </row>
    <row r="358">
      <c r="A358" s="342">
        <v>155.0</v>
      </c>
      <c r="B358" s="339">
        <v>2237.0</v>
      </c>
      <c r="C358" s="345">
        <v>46132.0</v>
      </c>
      <c r="D358" s="339" t="s">
        <v>2476</v>
      </c>
      <c r="E358" s="345">
        <v>46132.0</v>
      </c>
      <c r="F358" s="342" t="s">
        <v>92</v>
      </c>
      <c r="G358" s="336" t="s">
        <v>92</v>
      </c>
      <c r="H358" s="336" t="s">
        <v>2477</v>
      </c>
      <c r="I358" s="339" t="s">
        <v>2477</v>
      </c>
      <c r="J358" s="342" t="s">
        <v>160</v>
      </c>
      <c r="K358" s="342" t="s">
        <v>838</v>
      </c>
      <c r="L358" s="346">
        <v>4375.0</v>
      </c>
      <c r="M358" s="352">
        <v>4375.0</v>
      </c>
      <c r="N358" s="347" t="s">
        <v>2478</v>
      </c>
      <c r="O358" s="339" t="s">
        <v>2479</v>
      </c>
    </row>
    <row r="359">
      <c r="A359" s="342">
        <v>156.0</v>
      </c>
      <c r="B359" s="348">
        <v>14.0</v>
      </c>
      <c r="C359" s="350">
        <v>46113.0</v>
      </c>
      <c r="D359" s="348" t="s">
        <v>2480</v>
      </c>
      <c r="E359" s="350">
        <v>46127.0</v>
      </c>
      <c r="F359" s="351" t="s">
        <v>92</v>
      </c>
      <c r="G359" s="400" t="s">
        <v>92</v>
      </c>
      <c r="H359" s="336" t="s">
        <v>2481</v>
      </c>
      <c r="I359" s="339" t="s">
        <v>1597</v>
      </c>
      <c r="J359" s="342">
        <v>26.0</v>
      </c>
      <c r="K359" s="342" t="s">
        <v>174</v>
      </c>
      <c r="L359" s="346">
        <v>6153.84</v>
      </c>
      <c r="M359" s="352">
        <v>160000.0</v>
      </c>
      <c r="N359" s="347" t="s">
        <v>2482</v>
      </c>
      <c r="O359" s="339" t="s">
        <v>2483</v>
      </c>
    </row>
    <row r="360">
      <c r="A360" s="369"/>
      <c r="B360" s="47"/>
      <c r="C360" s="47"/>
      <c r="D360" s="47"/>
      <c r="E360" s="47"/>
      <c r="F360" s="47"/>
      <c r="G360" s="47"/>
      <c r="H360" s="336" t="s">
        <v>2484</v>
      </c>
      <c r="I360" s="339" t="s">
        <v>1597</v>
      </c>
      <c r="J360" s="342">
        <v>26.0</v>
      </c>
      <c r="K360" s="342" t="s">
        <v>174</v>
      </c>
      <c r="L360" s="346">
        <v>6153.84</v>
      </c>
      <c r="M360" s="352">
        <v>160000.0</v>
      </c>
      <c r="N360" s="347" t="s">
        <v>2482</v>
      </c>
      <c r="O360" s="339" t="s">
        <v>2483</v>
      </c>
    </row>
    <row r="361">
      <c r="A361" s="369"/>
      <c r="B361" s="47"/>
      <c r="C361" s="47"/>
      <c r="D361" s="47"/>
      <c r="E361" s="47"/>
      <c r="F361" s="47"/>
      <c r="G361" s="47"/>
      <c r="H361" s="336" t="s">
        <v>2485</v>
      </c>
      <c r="I361" s="339" t="s">
        <v>1597</v>
      </c>
      <c r="J361" s="342">
        <v>26.0</v>
      </c>
      <c r="K361" s="342" t="s">
        <v>174</v>
      </c>
      <c r="L361" s="346">
        <v>6153.84</v>
      </c>
      <c r="M361" s="352">
        <v>160000.0</v>
      </c>
      <c r="N361" s="347" t="s">
        <v>2482</v>
      </c>
      <c r="O361" s="339" t="s">
        <v>2483</v>
      </c>
    </row>
    <row r="362">
      <c r="A362" s="369"/>
      <c r="B362" s="47"/>
      <c r="C362" s="47"/>
      <c r="D362" s="47"/>
      <c r="E362" s="47"/>
      <c r="F362" s="47"/>
      <c r="G362" s="47"/>
      <c r="H362" s="336" t="s">
        <v>2486</v>
      </c>
      <c r="I362" s="339" t="s">
        <v>1597</v>
      </c>
      <c r="J362" s="342">
        <v>26.0</v>
      </c>
      <c r="K362" s="342" t="s">
        <v>174</v>
      </c>
      <c r="L362" s="346">
        <v>6153.84</v>
      </c>
      <c r="M362" s="352">
        <v>160000.0</v>
      </c>
      <c r="N362" s="347" t="s">
        <v>2482</v>
      </c>
      <c r="O362" s="339" t="s">
        <v>2483</v>
      </c>
    </row>
    <row r="363">
      <c r="A363" s="369"/>
      <c r="B363" s="47"/>
      <c r="C363" s="47"/>
      <c r="D363" s="47"/>
      <c r="E363" s="47"/>
      <c r="F363" s="47"/>
      <c r="G363" s="47"/>
      <c r="H363" s="336" t="s">
        <v>2487</v>
      </c>
      <c r="I363" s="339" t="s">
        <v>1597</v>
      </c>
      <c r="J363" s="342">
        <v>26.0</v>
      </c>
      <c r="K363" s="342" t="s">
        <v>174</v>
      </c>
      <c r="L363" s="346">
        <v>6153.84</v>
      </c>
      <c r="M363" s="352">
        <v>160000.0</v>
      </c>
      <c r="N363" s="347" t="s">
        <v>2482</v>
      </c>
      <c r="O363" s="339" t="s">
        <v>2483</v>
      </c>
    </row>
    <row r="364">
      <c r="A364" s="369"/>
      <c r="B364" s="48"/>
      <c r="C364" s="48"/>
      <c r="D364" s="48"/>
      <c r="E364" s="48"/>
      <c r="F364" s="48"/>
      <c r="G364" s="48"/>
      <c r="H364" s="336" t="s">
        <v>1941</v>
      </c>
      <c r="I364" s="339" t="s">
        <v>1949</v>
      </c>
      <c r="J364" s="342" t="s">
        <v>92</v>
      </c>
      <c r="K364" s="342" t="s">
        <v>838</v>
      </c>
      <c r="L364" s="373">
        <v>0.05</v>
      </c>
      <c r="M364" s="352">
        <v>40000.0</v>
      </c>
      <c r="N364" s="347" t="s">
        <v>1941</v>
      </c>
      <c r="O364" s="339" t="s">
        <v>2300</v>
      </c>
    </row>
    <row r="365">
      <c r="A365" s="342">
        <v>157.0</v>
      </c>
      <c r="B365" s="348">
        <v>444.0</v>
      </c>
      <c r="C365" s="350">
        <v>46094.0</v>
      </c>
      <c r="D365" s="348" t="s">
        <v>2488</v>
      </c>
      <c r="E365" s="350">
        <v>46121.0</v>
      </c>
      <c r="F365" s="351">
        <v>1029.0</v>
      </c>
      <c r="G365" s="390">
        <v>46094.0</v>
      </c>
      <c r="H365" s="336" t="s">
        <v>2489</v>
      </c>
      <c r="I365" s="339" t="s">
        <v>29</v>
      </c>
      <c r="J365" s="342">
        <v>3.0</v>
      </c>
      <c r="K365" s="342" t="s">
        <v>1168</v>
      </c>
      <c r="L365" s="346">
        <v>496.0</v>
      </c>
      <c r="M365" s="105">
        <f t="shared" ref="M365:M367" si="40">J365*L365</f>
        <v>1488</v>
      </c>
      <c r="N365" s="347" t="s">
        <v>2490</v>
      </c>
      <c r="O365" s="339" t="s">
        <v>2491</v>
      </c>
    </row>
    <row r="366">
      <c r="A366" s="369"/>
      <c r="B366" s="47"/>
      <c r="C366" s="47"/>
      <c r="D366" s="47"/>
      <c r="E366" s="47"/>
      <c r="F366" s="47"/>
      <c r="G366" s="47"/>
      <c r="H366" s="336" t="s">
        <v>2492</v>
      </c>
      <c r="I366" s="339" t="s">
        <v>29</v>
      </c>
      <c r="J366" s="342">
        <v>3.0</v>
      </c>
      <c r="K366" s="342" t="s">
        <v>1168</v>
      </c>
      <c r="L366" s="346">
        <v>429.0</v>
      </c>
      <c r="M366" s="105">
        <f t="shared" si="40"/>
        <v>1287</v>
      </c>
      <c r="N366" s="347" t="s">
        <v>2490</v>
      </c>
      <c r="O366" s="339" t="s">
        <v>2491</v>
      </c>
    </row>
    <row r="367">
      <c r="A367" s="369"/>
      <c r="B367" s="47"/>
      <c r="C367" s="47"/>
      <c r="D367" s="47"/>
      <c r="E367" s="47"/>
      <c r="F367" s="47"/>
      <c r="G367" s="47"/>
      <c r="H367" s="336" t="s">
        <v>2493</v>
      </c>
      <c r="I367" s="339" t="s">
        <v>29</v>
      </c>
      <c r="J367" s="342">
        <v>10.0</v>
      </c>
      <c r="K367" s="342" t="s">
        <v>1168</v>
      </c>
      <c r="L367" s="346">
        <v>652.0</v>
      </c>
      <c r="M367" s="105">
        <f t="shared" si="40"/>
        <v>6520</v>
      </c>
      <c r="N367" s="347" t="s">
        <v>2490</v>
      </c>
      <c r="O367" s="339" t="s">
        <v>2494</v>
      </c>
    </row>
    <row r="368">
      <c r="A368" s="369"/>
      <c r="B368" s="48"/>
      <c r="C368" s="48"/>
      <c r="D368" s="48"/>
      <c r="E368" s="48"/>
      <c r="F368" s="48"/>
      <c r="G368" s="48"/>
      <c r="H368" s="336" t="s">
        <v>1941</v>
      </c>
      <c r="I368" s="339" t="s">
        <v>1949</v>
      </c>
      <c r="J368" s="342" t="s">
        <v>92</v>
      </c>
      <c r="K368" s="342" t="s">
        <v>838</v>
      </c>
      <c r="L368" s="373">
        <v>0.05</v>
      </c>
      <c r="M368" s="352">
        <v>464.75</v>
      </c>
      <c r="N368" s="347" t="s">
        <v>1941</v>
      </c>
      <c r="O368" s="339" t="s">
        <v>2300</v>
      </c>
    </row>
    <row r="369">
      <c r="A369" s="342">
        <v>158.0</v>
      </c>
      <c r="B369" s="348">
        <v>85.0</v>
      </c>
      <c r="C369" s="350">
        <v>46057.0</v>
      </c>
      <c r="D369" s="348" t="s">
        <v>2495</v>
      </c>
      <c r="E369" s="350">
        <v>46118.0</v>
      </c>
      <c r="F369" s="351">
        <v>1025.0</v>
      </c>
      <c r="G369" s="390">
        <v>46085.0</v>
      </c>
      <c r="H369" s="336" t="s">
        <v>2417</v>
      </c>
      <c r="I369" s="339" t="s">
        <v>2084</v>
      </c>
      <c r="J369" s="342">
        <v>2.0</v>
      </c>
      <c r="K369" s="342" t="s">
        <v>256</v>
      </c>
      <c r="L369" s="346">
        <v>11890.0</v>
      </c>
      <c r="M369" s="105">
        <f>J369*L369</f>
        <v>23780</v>
      </c>
      <c r="N369" s="347" t="s">
        <v>208</v>
      </c>
      <c r="O369" s="339" t="s">
        <v>2494</v>
      </c>
    </row>
    <row r="370">
      <c r="A370" s="369"/>
      <c r="B370" s="48"/>
      <c r="C370" s="48"/>
      <c r="D370" s="48"/>
      <c r="E370" s="48"/>
      <c r="F370" s="48"/>
      <c r="G370" s="48"/>
      <c r="H370" s="336" t="s">
        <v>1941</v>
      </c>
      <c r="I370" s="339" t="s">
        <v>1949</v>
      </c>
      <c r="J370" s="342" t="s">
        <v>92</v>
      </c>
      <c r="K370" s="342" t="s">
        <v>838</v>
      </c>
      <c r="L370" s="373">
        <v>0.05</v>
      </c>
      <c r="M370" s="352">
        <v>1189.0</v>
      </c>
      <c r="N370" s="347" t="s">
        <v>1941</v>
      </c>
      <c r="O370" s="339" t="s">
        <v>2288</v>
      </c>
    </row>
    <row r="371">
      <c r="A371" s="342">
        <v>159.0</v>
      </c>
      <c r="B371" s="348">
        <v>92.0</v>
      </c>
      <c r="C371" s="350">
        <v>46084.0</v>
      </c>
      <c r="D371" s="348" t="s">
        <v>2495</v>
      </c>
      <c r="E371" s="350">
        <v>46118.0</v>
      </c>
      <c r="F371" s="351">
        <v>1025.0</v>
      </c>
      <c r="G371" s="390">
        <v>46085.0</v>
      </c>
      <c r="H371" s="336" t="s">
        <v>2417</v>
      </c>
      <c r="I371" s="339" t="s">
        <v>2084</v>
      </c>
      <c r="J371" s="342">
        <v>4.0</v>
      </c>
      <c r="K371" s="342" t="s">
        <v>256</v>
      </c>
      <c r="L371" s="346">
        <v>11890.0</v>
      </c>
      <c r="M371" s="105">
        <f>J371*L371</f>
        <v>47560</v>
      </c>
      <c r="N371" s="347" t="s">
        <v>208</v>
      </c>
      <c r="O371" s="339" t="s">
        <v>2494</v>
      </c>
    </row>
    <row r="372">
      <c r="A372" s="369"/>
      <c r="B372" s="48"/>
      <c r="C372" s="48"/>
      <c r="D372" s="48"/>
      <c r="E372" s="48"/>
      <c r="F372" s="48"/>
      <c r="G372" s="48"/>
      <c r="H372" s="336" t="s">
        <v>1941</v>
      </c>
      <c r="I372" s="339" t="s">
        <v>1949</v>
      </c>
      <c r="J372" s="342" t="s">
        <v>92</v>
      </c>
      <c r="K372" s="342" t="s">
        <v>838</v>
      </c>
      <c r="L372" s="373">
        <v>0.05</v>
      </c>
      <c r="M372" s="352">
        <v>2378.0</v>
      </c>
      <c r="N372" s="347" t="s">
        <v>1941</v>
      </c>
      <c r="O372" s="339" t="s">
        <v>2300</v>
      </c>
    </row>
    <row r="373">
      <c r="A373" s="342">
        <v>160.0</v>
      </c>
      <c r="B373" s="348">
        <v>93.0</v>
      </c>
      <c r="C373" s="350">
        <v>46085.0</v>
      </c>
      <c r="D373" s="348" t="s">
        <v>2495</v>
      </c>
      <c r="E373" s="350">
        <v>46118.0</v>
      </c>
      <c r="F373" s="351">
        <v>1025.0</v>
      </c>
      <c r="G373" s="390">
        <v>46085.0</v>
      </c>
      <c r="H373" s="336" t="s">
        <v>2417</v>
      </c>
      <c r="I373" s="339" t="s">
        <v>2084</v>
      </c>
      <c r="J373" s="342">
        <v>2.0</v>
      </c>
      <c r="K373" s="342" t="s">
        <v>256</v>
      </c>
      <c r="L373" s="346">
        <v>11890.0</v>
      </c>
      <c r="M373" s="105">
        <f>J373*L373</f>
        <v>23780</v>
      </c>
      <c r="N373" s="402" t="s">
        <v>208</v>
      </c>
      <c r="O373" s="339" t="s">
        <v>2494</v>
      </c>
    </row>
    <row r="374">
      <c r="A374" s="369"/>
      <c r="B374" s="48"/>
      <c r="C374" s="48"/>
      <c r="D374" s="48"/>
      <c r="E374" s="48"/>
      <c r="F374" s="48"/>
      <c r="G374" s="48"/>
      <c r="H374" s="336" t="s">
        <v>1941</v>
      </c>
      <c r="I374" s="339" t="s">
        <v>1949</v>
      </c>
      <c r="J374" s="342" t="s">
        <v>92</v>
      </c>
      <c r="K374" s="342" t="s">
        <v>838</v>
      </c>
      <c r="L374" s="373">
        <v>0.05</v>
      </c>
      <c r="M374" s="352">
        <v>1189.0</v>
      </c>
      <c r="N374" s="347" t="s">
        <v>1941</v>
      </c>
      <c r="O374" s="339" t="s">
        <v>2288</v>
      </c>
    </row>
    <row r="375">
      <c r="A375" s="342">
        <v>161.0</v>
      </c>
      <c r="B375" s="348">
        <v>94.0</v>
      </c>
      <c r="C375" s="350">
        <v>46086.0</v>
      </c>
      <c r="D375" s="348" t="s">
        <v>2495</v>
      </c>
      <c r="E375" s="350">
        <v>46118.0</v>
      </c>
      <c r="F375" s="351">
        <v>1027.0</v>
      </c>
      <c r="G375" s="394">
        <v>46089.0</v>
      </c>
      <c r="H375" s="336" t="s">
        <v>2417</v>
      </c>
      <c r="I375" s="339" t="s">
        <v>2084</v>
      </c>
      <c r="J375" s="342">
        <v>4.0</v>
      </c>
      <c r="K375" s="342" t="s">
        <v>256</v>
      </c>
      <c r="L375" s="346">
        <v>11890.0</v>
      </c>
      <c r="M375" s="105">
        <f>J375*L375</f>
        <v>47560</v>
      </c>
      <c r="N375" s="347" t="s">
        <v>208</v>
      </c>
      <c r="O375" s="339" t="s">
        <v>2494</v>
      </c>
    </row>
    <row r="376">
      <c r="A376" s="369"/>
      <c r="B376" s="48"/>
      <c r="C376" s="48"/>
      <c r="D376" s="48"/>
      <c r="E376" s="48"/>
      <c r="F376" s="48"/>
      <c r="G376" s="48"/>
      <c r="H376" s="336" t="s">
        <v>1941</v>
      </c>
      <c r="I376" s="339" t="s">
        <v>1949</v>
      </c>
      <c r="J376" s="342" t="s">
        <v>92</v>
      </c>
      <c r="K376" s="342" t="s">
        <v>838</v>
      </c>
      <c r="L376" s="373">
        <v>0.05</v>
      </c>
      <c r="M376" s="352">
        <v>2378.0</v>
      </c>
      <c r="N376" s="347" t="s">
        <v>1941</v>
      </c>
      <c r="O376" s="339" t="s">
        <v>2288</v>
      </c>
    </row>
    <row r="377">
      <c r="A377" s="342">
        <v>162.0</v>
      </c>
      <c r="B377" s="348">
        <v>98.0</v>
      </c>
      <c r="C377" s="350">
        <v>46090.0</v>
      </c>
      <c r="D377" s="348" t="s">
        <v>2495</v>
      </c>
      <c r="E377" s="350">
        <v>46118.0</v>
      </c>
      <c r="F377" s="351">
        <v>1037.0</v>
      </c>
      <c r="G377" s="390">
        <v>46109.0</v>
      </c>
      <c r="H377" s="336" t="s">
        <v>2417</v>
      </c>
      <c r="I377" s="339" t="s">
        <v>2084</v>
      </c>
      <c r="J377" s="342">
        <v>2.0</v>
      </c>
      <c r="K377" s="342" t="s">
        <v>256</v>
      </c>
      <c r="L377" s="346">
        <v>11890.0</v>
      </c>
      <c r="M377" s="105">
        <f>J377*L377</f>
        <v>23780</v>
      </c>
      <c r="N377" s="347" t="s">
        <v>208</v>
      </c>
      <c r="O377" s="339" t="s">
        <v>2494</v>
      </c>
    </row>
    <row r="378">
      <c r="A378" s="369"/>
      <c r="B378" s="48"/>
      <c r="C378" s="48"/>
      <c r="D378" s="48"/>
      <c r="E378" s="48"/>
      <c r="F378" s="48"/>
      <c r="G378" s="48"/>
      <c r="H378" s="336" t="s">
        <v>1941</v>
      </c>
      <c r="I378" s="339" t="s">
        <v>2381</v>
      </c>
      <c r="J378" s="342" t="s">
        <v>92</v>
      </c>
      <c r="K378" s="342" t="s">
        <v>838</v>
      </c>
      <c r="L378" s="373">
        <v>0.05</v>
      </c>
      <c r="M378" s="352">
        <v>1189.0</v>
      </c>
      <c r="N378" s="347" t="s">
        <v>1941</v>
      </c>
      <c r="O378" s="339" t="s">
        <v>2288</v>
      </c>
    </row>
    <row r="379">
      <c r="A379" s="342">
        <v>163.0</v>
      </c>
      <c r="B379" s="348">
        <v>99.0</v>
      </c>
      <c r="C379" s="350">
        <v>46092.0</v>
      </c>
      <c r="D379" s="348" t="s">
        <v>2495</v>
      </c>
      <c r="E379" s="350">
        <v>46118.0</v>
      </c>
      <c r="F379" s="351">
        <v>1037.0</v>
      </c>
      <c r="G379" s="390">
        <v>46109.0</v>
      </c>
      <c r="H379" s="336" t="s">
        <v>2417</v>
      </c>
      <c r="I379" s="339" t="s">
        <v>2084</v>
      </c>
      <c r="J379" s="342">
        <v>1.0</v>
      </c>
      <c r="K379" s="342" t="s">
        <v>207</v>
      </c>
      <c r="L379" s="346">
        <v>11890.0</v>
      </c>
      <c r="M379" s="105">
        <f>J379*L379</f>
        <v>11890</v>
      </c>
      <c r="N379" s="347" t="s">
        <v>208</v>
      </c>
      <c r="O379" s="339" t="s">
        <v>2494</v>
      </c>
    </row>
    <row r="380">
      <c r="A380" s="369"/>
      <c r="B380" s="48"/>
      <c r="C380" s="48"/>
      <c r="D380" s="48"/>
      <c r="E380" s="48"/>
      <c r="F380" s="48"/>
      <c r="G380" s="48"/>
      <c r="H380" s="336" t="s">
        <v>1941</v>
      </c>
      <c r="I380" s="339" t="s">
        <v>1949</v>
      </c>
      <c r="J380" s="342" t="s">
        <v>92</v>
      </c>
      <c r="K380" s="342" t="s">
        <v>838</v>
      </c>
      <c r="L380" s="373">
        <v>0.05</v>
      </c>
      <c r="M380" s="352">
        <v>594.0</v>
      </c>
      <c r="N380" s="347" t="s">
        <v>1941</v>
      </c>
      <c r="O380" s="339" t="s">
        <v>2288</v>
      </c>
    </row>
    <row r="381">
      <c r="A381" s="342">
        <v>164.0</v>
      </c>
      <c r="B381" s="348">
        <v>87.0</v>
      </c>
      <c r="C381" s="350">
        <v>46078.0</v>
      </c>
      <c r="D381" s="348" t="s">
        <v>2496</v>
      </c>
      <c r="E381" s="350">
        <v>46118.0</v>
      </c>
      <c r="F381" s="351">
        <v>1038.0</v>
      </c>
      <c r="G381" s="390">
        <v>46109.0</v>
      </c>
      <c r="H381" s="336" t="s">
        <v>2417</v>
      </c>
      <c r="I381" s="339" t="s">
        <v>2084</v>
      </c>
      <c r="J381" s="342">
        <v>4.0</v>
      </c>
      <c r="K381" s="342" t="s">
        <v>256</v>
      </c>
      <c r="L381" s="346">
        <v>11890.0</v>
      </c>
      <c r="M381" s="105">
        <f>J381*L381</f>
        <v>47560</v>
      </c>
      <c r="N381" s="347" t="s">
        <v>208</v>
      </c>
      <c r="O381" s="339" t="s">
        <v>2497</v>
      </c>
    </row>
    <row r="382">
      <c r="A382" s="369"/>
      <c r="B382" s="48"/>
      <c r="C382" s="48"/>
      <c r="D382" s="48"/>
      <c r="E382" s="48"/>
      <c r="F382" s="48"/>
      <c r="G382" s="48"/>
      <c r="H382" s="336" t="s">
        <v>1941</v>
      </c>
      <c r="I382" s="339" t="s">
        <v>1949</v>
      </c>
      <c r="J382" s="342" t="s">
        <v>92</v>
      </c>
      <c r="K382" s="342" t="s">
        <v>838</v>
      </c>
      <c r="L382" s="373">
        <v>0.05</v>
      </c>
      <c r="M382" s="352">
        <v>2378.0</v>
      </c>
      <c r="N382" s="347" t="s">
        <v>1941</v>
      </c>
      <c r="O382" s="339" t="s">
        <v>2288</v>
      </c>
    </row>
    <row r="383">
      <c r="A383" s="342">
        <v>165.0</v>
      </c>
      <c r="B383" s="348">
        <v>88.0</v>
      </c>
      <c r="C383" s="350">
        <v>46079.0</v>
      </c>
      <c r="D383" s="348" t="s">
        <v>2496</v>
      </c>
      <c r="E383" s="350">
        <v>46118.0</v>
      </c>
      <c r="F383" s="351">
        <v>1038.0</v>
      </c>
      <c r="G383" s="390">
        <v>46109.0</v>
      </c>
      <c r="H383" s="336" t="s">
        <v>2417</v>
      </c>
      <c r="I383" s="339" t="s">
        <v>2084</v>
      </c>
      <c r="J383" s="342">
        <v>4.0</v>
      </c>
      <c r="K383" s="342" t="s">
        <v>256</v>
      </c>
      <c r="L383" s="346">
        <v>11890.0</v>
      </c>
      <c r="M383" s="105">
        <f>J383*L383</f>
        <v>47560</v>
      </c>
      <c r="N383" s="347" t="s">
        <v>208</v>
      </c>
      <c r="O383" s="339" t="s">
        <v>2498</v>
      </c>
    </row>
    <row r="384">
      <c r="A384" s="369"/>
      <c r="B384" s="48"/>
      <c r="C384" s="48"/>
      <c r="D384" s="48"/>
      <c r="E384" s="48"/>
      <c r="F384" s="48"/>
      <c r="G384" s="48"/>
      <c r="H384" s="336" t="s">
        <v>1941</v>
      </c>
      <c r="I384" s="339" t="s">
        <v>1949</v>
      </c>
      <c r="J384" s="342" t="s">
        <v>92</v>
      </c>
      <c r="K384" s="342" t="s">
        <v>838</v>
      </c>
      <c r="L384" s="373">
        <v>0.05</v>
      </c>
      <c r="M384" s="352">
        <v>2378.0</v>
      </c>
      <c r="N384" s="347" t="s">
        <v>1941</v>
      </c>
      <c r="O384" s="339" t="s">
        <v>2288</v>
      </c>
    </row>
    <row r="385">
      <c r="A385" s="342">
        <v>166.0</v>
      </c>
      <c r="B385" s="348">
        <v>89.0</v>
      </c>
      <c r="C385" s="350">
        <v>46080.0</v>
      </c>
      <c r="D385" s="348" t="s">
        <v>2496</v>
      </c>
      <c r="E385" s="350">
        <v>46118.0</v>
      </c>
      <c r="F385" s="351">
        <v>1038.0</v>
      </c>
      <c r="G385" s="390">
        <v>46109.0</v>
      </c>
      <c r="H385" s="336" t="s">
        <v>2417</v>
      </c>
      <c r="I385" s="339" t="s">
        <v>2084</v>
      </c>
      <c r="J385" s="342">
        <v>2.0</v>
      </c>
      <c r="K385" s="342" t="s">
        <v>2499</v>
      </c>
      <c r="L385" s="346">
        <v>11890.0</v>
      </c>
      <c r="M385" s="105">
        <f>J385*L385</f>
        <v>23780</v>
      </c>
      <c r="N385" s="347" t="s">
        <v>208</v>
      </c>
      <c r="O385" s="339" t="s">
        <v>2498</v>
      </c>
    </row>
    <row r="386">
      <c r="A386" s="369"/>
      <c r="B386" s="48"/>
      <c r="C386" s="48"/>
      <c r="D386" s="48"/>
      <c r="E386" s="48"/>
      <c r="F386" s="48"/>
      <c r="G386" s="48"/>
      <c r="H386" s="336" t="s">
        <v>1941</v>
      </c>
      <c r="I386" s="339" t="s">
        <v>1949</v>
      </c>
      <c r="J386" s="342" t="s">
        <v>92</v>
      </c>
      <c r="K386" s="342" t="s">
        <v>838</v>
      </c>
      <c r="L386" s="373">
        <v>0.05</v>
      </c>
      <c r="M386" s="352">
        <v>1189.0</v>
      </c>
      <c r="N386" s="347" t="s">
        <v>1941</v>
      </c>
      <c r="O386" s="339" t="s">
        <v>2288</v>
      </c>
    </row>
    <row r="387">
      <c r="A387" s="342">
        <v>167.0</v>
      </c>
      <c r="B387" s="348">
        <v>96.0</v>
      </c>
      <c r="C387" s="350">
        <v>46092.0</v>
      </c>
      <c r="D387" s="348" t="s">
        <v>2496</v>
      </c>
      <c r="E387" s="350">
        <v>46118.0</v>
      </c>
      <c r="F387" s="351">
        <v>1038.0</v>
      </c>
      <c r="G387" s="390">
        <v>46109.0</v>
      </c>
      <c r="H387" s="336" t="s">
        <v>2417</v>
      </c>
      <c r="I387" s="339" t="s">
        <v>2084</v>
      </c>
      <c r="J387" s="342">
        <v>1.0</v>
      </c>
      <c r="K387" s="342" t="s">
        <v>207</v>
      </c>
      <c r="L387" s="346">
        <v>11890.0</v>
      </c>
      <c r="M387" s="105">
        <f>J387*L387</f>
        <v>11890</v>
      </c>
      <c r="N387" s="347" t="s">
        <v>208</v>
      </c>
      <c r="O387" s="339" t="s">
        <v>2498</v>
      </c>
    </row>
    <row r="388">
      <c r="A388" s="369"/>
      <c r="B388" s="48"/>
      <c r="C388" s="48"/>
      <c r="D388" s="48"/>
      <c r="E388" s="48"/>
      <c r="F388" s="48"/>
      <c r="G388" s="48"/>
      <c r="H388" s="336" t="s">
        <v>1941</v>
      </c>
      <c r="I388" s="339" t="s">
        <v>1949</v>
      </c>
      <c r="J388" s="342" t="s">
        <v>92</v>
      </c>
      <c r="K388" s="342" t="s">
        <v>838</v>
      </c>
      <c r="L388" s="373">
        <v>0.05</v>
      </c>
      <c r="M388" s="352">
        <v>594.5</v>
      </c>
      <c r="N388" s="347" t="s">
        <v>1941</v>
      </c>
      <c r="O388" s="339" t="s">
        <v>2288</v>
      </c>
    </row>
    <row r="389">
      <c r="A389" s="342">
        <v>168.0</v>
      </c>
      <c r="B389" s="348">
        <v>100.0</v>
      </c>
      <c r="C389" s="350">
        <v>46093.0</v>
      </c>
      <c r="D389" s="348" t="s">
        <v>2496</v>
      </c>
      <c r="E389" s="350">
        <v>46118.0</v>
      </c>
      <c r="F389" s="351">
        <v>1038.0</v>
      </c>
      <c r="G389" s="390">
        <v>46109.0</v>
      </c>
      <c r="H389" s="336" t="s">
        <v>2417</v>
      </c>
      <c r="I389" s="339" t="s">
        <v>2084</v>
      </c>
      <c r="J389" s="342">
        <v>1.0</v>
      </c>
      <c r="K389" s="342" t="s">
        <v>207</v>
      </c>
      <c r="L389" s="346">
        <v>11890.0</v>
      </c>
      <c r="M389" s="105">
        <f>J389*L389</f>
        <v>11890</v>
      </c>
      <c r="N389" s="347" t="s">
        <v>208</v>
      </c>
      <c r="O389" s="339" t="s">
        <v>2498</v>
      </c>
    </row>
    <row r="390">
      <c r="A390" s="369"/>
      <c r="B390" s="48"/>
      <c r="C390" s="48"/>
      <c r="D390" s="48"/>
      <c r="E390" s="48"/>
      <c r="F390" s="48"/>
      <c r="G390" s="48"/>
      <c r="H390" s="336" t="s">
        <v>1941</v>
      </c>
      <c r="I390" s="339" t="s">
        <v>1949</v>
      </c>
      <c r="J390" s="342" t="s">
        <v>92</v>
      </c>
      <c r="K390" s="342" t="s">
        <v>838</v>
      </c>
      <c r="L390" s="373">
        <v>0.05</v>
      </c>
      <c r="M390" s="352">
        <v>594.0</v>
      </c>
      <c r="N390" s="347" t="s">
        <v>1941</v>
      </c>
      <c r="O390" s="339" t="s">
        <v>2288</v>
      </c>
    </row>
    <row r="391">
      <c r="A391" s="342">
        <v>169.0</v>
      </c>
      <c r="B391" s="348">
        <v>101.0</v>
      </c>
      <c r="C391" s="350">
        <v>46094.0</v>
      </c>
      <c r="D391" s="348" t="s">
        <v>2496</v>
      </c>
      <c r="E391" s="350">
        <v>46118.0</v>
      </c>
      <c r="F391" s="351">
        <v>1038.0</v>
      </c>
      <c r="G391" s="390">
        <v>46109.0</v>
      </c>
      <c r="H391" s="336" t="s">
        <v>2417</v>
      </c>
      <c r="I391" s="339" t="s">
        <v>2084</v>
      </c>
      <c r="J391" s="342">
        <v>4.0</v>
      </c>
      <c r="K391" s="342" t="s">
        <v>256</v>
      </c>
      <c r="L391" s="346">
        <v>11890.0</v>
      </c>
      <c r="M391" s="105">
        <f>J391*L391</f>
        <v>47560</v>
      </c>
      <c r="N391" s="347" t="s">
        <v>208</v>
      </c>
      <c r="O391" s="339" t="s">
        <v>2498</v>
      </c>
    </row>
    <row r="392">
      <c r="A392" s="369"/>
      <c r="B392" s="48"/>
      <c r="C392" s="48"/>
      <c r="D392" s="48"/>
      <c r="E392" s="48"/>
      <c r="F392" s="48"/>
      <c r="G392" s="48"/>
      <c r="H392" s="336" t="s">
        <v>1941</v>
      </c>
      <c r="I392" s="339" t="s">
        <v>1949</v>
      </c>
      <c r="J392" s="342" t="s">
        <v>92</v>
      </c>
      <c r="K392" s="342" t="s">
        <v>838</v>
      </c>
      <c r="L392" s="373">
        <v>0.05</v>
      </c>
      <c r="M392" s="352">
        <v>2378.0</v>
      </c>
      <c r="N392" s="347" t="s">
        <v>1941</v>
      </c>
      <c r="O392" s="339" t="s">
        <v>2288</v>
      </c>
    </row>
    <row r="393">
      <c r="A393" s="342">
        <v>170.0</v>
      </c>
      <c r="B393" s="348">
        <v>86.0</v>
      </c>
      <c r="C393" s="350">
        <v>46076.0</v>
      </c>
      <c r="D393" s="348" t="s">
        <v>2500</v>
      </c>
      <c r="E393" s="350">
        <v>46118.0</v>
      </c>
      <c r="F393" s="351" t="s">
        <v>92</v>
      </c>
      <c r="G393" s="400" t="s">
        <v>92</v>
      </c>
      <c r="H393" s="336" t="s">
        <v>2501</v>
      </c>
      <c r="I393" s="339" t="s">
        <v>2084</v>
      </c>
      <c r="J393" s="342">
        <v>1.0</v>
      </c>
      <c r="K393" s="342" t="s">
        <v>207</v>
      </c>
      <c r="L393" s="346">
        <v>19500.0</v>
      </c>
      <c r="M393" s="105">
        <f>J393*L393</f>
        <v>19500</v>
      </c>
      <c r="N393" s="347" t="s">
        <v>208</v>
      </c>
      <c r="O393" s="339" t="s">
        <v>2397</v>
      </c>
    </row>
    <row r="394">
      <c r="A394" s="369"/>
      <c r="B394" s="48"/>
      <c r="C394" s="48"/>
      <c r="D394" s="48"/>
      <c r="E394" s="48"/>
      <c r="F394" s="48"/>
      <c r="G394" s="48"/>
      <c r="H394" s="336" t="s">
        <v>1941</v>
      </c>
      <c r="I394" s="339" t="s">
        <v>1949</v>
      </c>
      <c r="J394" s="342" t="s">
        <v>92</v>
      </c>
      <c r="K394" s="342" t="s">
        <v>838</v>
      </c>
      <c r="L394" s="373">
        <v>0.05</v>
      </c>
      <c r="M394" s="352">
        <v>975.0</v>
      </c>
      <c r="N394" s="347" t="s">
        <v>1941</v>
      </c>
      <c r="O394" s="339" t="s">
        <v>2288</v>
      </c>
    </row>
    <row r="395">
      <c r="A395" s="342">
        <v>171.0</v>
      </c>
      <c r="B395" s="348">
        <v>90.0</v>
      </c>
      <c r="C395" s="350">
        <v>46081.0</v>
      </c>
      <c r="D395" s="348" t="s">
        <v>2500</v>
      </c>
      <c r="E395" s="350">
        <v>46118.0</v>
      </c>
      <c r="F395" s="351" t="s">
        <v>92</v>
      </c>
      <c r="G395" s="400" t="s">
        <v>92</v>
      </c>
      <c r="H395" s="336" t="s">
        <v>2501</v>
      </c>
      <c r="I395" s="339" t="s">
        <v>2084</v>
      </c>
      <c r="J395" s="342">
        <v>1.0</v>
      </c>
      <c r="K395" s="342" t="s">
        <v>207</v>
      </c>
      <c r="L395" s="346">
        <v>19500.0</v>
      </c>
      <c r="M395" s="105">
        <f>J395*L395</f>
        <v>19500</v>
      </c>
      <c r="N395" s="347" t="s">
        <v>208</v>
      </c>
      <c r="O395" s="339" t="s">
        <v>2397</v>
      </c>
    </row>
    <row r="396">
      <c r="A396" s="369"/>
      <c r="B396" s="48"/>
      <c r="C396" s="48"/>
      <c r="D396" s="48"/>
      <c r="E396" s="48"/>
      <c r="F396" s="48"/>
      <c r="G396" s="48"/>
      <c r="H396" s="336" t="s">
        <v>1941</v>
      </c>
      <c r="I396" s="339" t="s">
        <v>1949</v>
      </c>
      <c r="J396" s="342" t="s">
        <v>92</v>
      </c>
      <c r="K396" s="342" t="s">
        <v>838</v>
      </c>
      <c r="L396" s="373">
        <v>0.05</v>
      </c>
      <c r="M396" s="352">
        <v>975.0</v>
      </c>
      <c r="N396" s="347" t="s">
        <v>1941</v>
      </c>
      <c r="O396" s="339" t="s">
        <v>2288</v>
      </c>
    </row>
    <row r="397">
      <c r="A397" s="342">
        <v>172.0</v>
      </c>
      <c r="B397" s="348">
        <v>91.0</v>
      </c>
      <c r="C397" s="350">
        <v>46082.0</v>
      </c>
      <c r="D397" s="348" t="s">
        <v>2500</v>
      </c>
      <c r="E397" s="350">
        <v>46118.0</v>
      </c>
      <c r="F397" s="351" t="s">
        <v>92</v>
      </c>
      <c r="G397" s="400" t="s">
        <v>92</v>
      </c>
      <c r="H397" s="336" t="s">
        <v>2501</v>
      </c>
      <c r="I397" s="339" t="s">
        <v>2084</v>
      </c>
      <c r="J397" s="342">
        <v>1.0</v>
      </c>
      <c r="K397" s="342" t="s">
        <v>207</v>
      </c>
      <c r="L397" s="346">
        <v>19500.0</v>
      </c>
      <c r="M397" s="105">
        <f>J397*L397</f>
        <v>19500</v>
      </c>
      <c r="N397" s="347" t="s">
        <v>208</v>
      </c>
      <c r="O397" s="339" t="s">
        <v>2397</v>
      </c>
    </row>
    <row r="398">
      <c r="A398" s="369"/>
      <c r="B398" s="48"/>
      <c r="C398" s="48"/>
      <c r="D398" s="48"/>
      <c r="E398" s="48"/>
      <c r="F398" s="48"/>
      <c r="G398" s="48"/>
      <c r="H398" s="336" t="s">
        <v>1941</v>
      </c>
      <c r="I398" s="339" t="s">
        <v>1949</v>
      </c>
      <c r="J398" s="342" t="s">
        <v>92</v>
      </c>
      <c r="K398" s="342" t="s">
        <v>838</v>
      </c>
      <c r="L398" s="373">
        <v>0.05</v>
      </c>
      <c r="M398" s="352">
        <v>975.0</v>
      </c>
      <c r="N398" s="347" t="s">
        <v>1941</v>
      </c>
      <c r="O398" s="339" t="s">
        <v>2288</v>
      </c>
    </row>
    <row r="399">
      <c r="A399" s="342">
        <v>173.0</v>
      </c>
      <c r="B399" s="348">
        <v>95.0</v>
      </c>
      <c r="C399" s="350">
        <v>46090.0</v>
      </c>
      <c r="D399" s="348" t="s">
        <v>2500</v>
      </c>
      <c r="E399" s="350">
        <v>46118.0</v>
      </c>
      <c r="F399" s="351" t="s">
        <v>160</v>
      </c>
      <c r="G399" s="400" t="s">
        <v>92</v>
      </c>
      <c r="H399" s="336" t="s">
        <v>2501</v>
      </c>
      <c r="I399" s="339" t="s">
        <v>2084</v>
      </c>
      <c r="J399" s="342">
        <v>1.0</v>
      </c>
      <c r="K399" s="342" t="s">
        <v>207</v>
      </c>
      <c r="L399" s="346">
        <v>19500.0</v>
      </c>
      <c r="M399" s="105">
        <f>J399*L399</f>
        <v>19500</v>
      </c>
      <c r="N399" s="347" t="s">
        <v>208</v>
      </c>
      <c r="O399" s="339" t="s">
        <v>2397</v>
      </c>
    </row>
    <row r="400">
      <c r="A400" s="369"/>
      <c r="B400" s="48"/>
      <c r="C400" s="48"/>
      <c r="D400" s="48"/>
      <c r="E400" s="48"/>
      <c r="F400" s="48"/>
      <c r="G400" s="48"/>
      <c r="H400" s="336" t="s">
        <v>1941</v>
      </c>
      <c r="I400" s="339" t="s">
        <v>1949</v>
      </c>
      <c r="J400" s="342" t="s">
        <v>92</v>
      </c>
      <c r="K400" s="342" t="s">
        <v>838</v>
      </c>
      <c r="L400" s="373">
        <v>0.05</v>
      </c>
      <c r="M400" s="352">
        <v>975.0</v>
      </c>
      <c r="N400" s="347" t="s">
        <v>1941</v>
      </c>
      <c r="O400" s="339" t="s">
        <v>2288</v>
      </c>
    </row>
    <row r="401">
      <c r="A401" s="342">
        <v>174.0</v>
      </c>
      <c r="B401" s="348">
        <v>107.0</v>
      </c>
      <c r="C401" s="350">
        <v>46097.0</v>
      </c>
      <c r="D401" s="348" t="s">
        <v>2500</v>
      </c>
      <c r="E401" s="350">
        <v>46118.0</v>
      </c>
      <c r="F401" s="351" t="s">
        <v>92</v>
      </c>
      <c r="G401" s="400" t="s">
        <v>92</v>
      </c>
      <c r="H401" s="336" t="s">
        <v>2501</v>
      </c>
      <c r="I401" s="339" t="s">
        <v>2084</v>
      </c>
      <c r="J401" s="342">
        <v>1.0</v>
      </c>
      <c r="K401" s="342" t="s">
        <v>207</v>
      </c>
      <c r="L401" s="346">
        <v>19500.0</v>
      </c>
      <c r="M401" s="105">
        <f>J401*L401</f>
        <v>19500</v>
      </c>
      <c r="N401" s="347" t="s">
        <v>208</v>
      </c>
      <c r="O401" s="339" t="s">
        <v>2397</v>
      </c>
    </row>
    <row r="402">
      <c r="A402" s="369"/>
      <c r="B402" s="48"/>
      <c r="C402" s="48"/>
      <c r="D402" s="48"/>
      <c r="E402" s="48"/>
      <c r="F402" s="48"/>
      <c r="G402" s="48"/>
      <c r="H402" s="336" t="s">
        <v>1941</v>
      </c>
      <c r="I402" s="339" t="s">
        <v>1949</v>
      </c>
      <c r="J402" s="342" t="s">
        <v>92</v>
      </c>
      <c r="K402" s="342" t="s">
        <v>838</v>
      </c>
      <c r="L402" s="373">
        <v>0.05</v>
      </c>
      <c r="M402" s="352">
        <v>975.0</v>
      </c>
      <c r="N402" s="347" t="s">
        <v>1941</v>
      </c>
      <c r="O402" s="339" t="s">
        <v>2300</v>
      </c>
    </row>
    <row r="403">
      <c r="A403" s="342">
        <v>175.0</v>
      </c>
      <c r="B403" s="348">
        <v>26.0</v>
      </c>
      <c r="C403" s="350">
        <v>46078.0</v>
      </c>
      <c r="D403" s="348" t="s">
        <v>2502</v>
      </c>
      <c r="E403" s="350">
        <v>46118.0</v>
      </c>
      <c r="F403" s="351">
        <v>1020.0</v>
      </c>
      <c r="G403" s="390">
        <v>46080.0</v>
      </c>
      <c r="H403" s="336" t="s">
        <v>2503</v>
      </c>
      <c r="I403" s="339" t="s">
        <v>2084</v>
      </c>
      <c r="J403" s="342">
        <v>1443.0</v>
      </c>
      <c r="K403" s="342" t="s">
        <v>391</v>
      </c>
      <c r="L403" s="346">
        <v>430.0</v>
      </c>
      <c r="M403" s="352">
        <v>619200.0</v>
      </c>
      <c r="N403" s="347" t="s">
        <v>2504</v>
      </c>
      <c r="O403" s="339" t="s">
        <v>2505</v>
      </c>
    </row>
    <row r="404">
      <c r="A404" s="369"/>
      <c r="B404" s="48"/>
      <c r="C404" s="48"/>
      <c r="D404" s="48"/>
      <c r="E404" s="48"/>
      <c r="F404" s="48"/>
      <c r="G404" s="48"/>
      <c r="H404" s="336" t="s">
        <v>1941</v>
      </c>
      <c r="I404" s="339" t="s">
        <v>1949</v>
      </c>
      <c r="J404" s="342" t="s">
        <v>92</v>
      </c>
      <c r="K404" s="342" t="s">
        <v>838</v>
      </c>
      <c r="L404" s="373">
        <v>0.05</v>
      </c>
      <c r="M404" s="352">
        <v>30960.0</v>
      </c>
      <c r="N404" s="347" t="s">
        <v>1941</v>
      </c>
      <c r="O404" s="339" t="s">
        <v>2288</v>
      </c>
    </row>
    <row r="405">
      <c r="A405" s="342">
        <v>176.0</v>
      </c>
      <c r="B405" s="348">
        <v>73.0</v>
      </c>
      <c r="C405" s="350">
        <v>46090.0</v>
      </c>
      <c r="D405" s="348" t="s">
        <v>2506</v>
      </c>
      <c r="E405" s="350">
        <v>46115.0</v>
      </c>
      <c r="F405" s="351">
        <v>1030.0</v>
      </c>
      <c r="G405" s="390">
        <v>46098.0</v>
      </c>
      <c r="H405" s="336" t="s">
        <v>363</v>
      </c>
      <c r="I405" s="339" t="s">
        <v>2151</v>
      </c>
      <c r="J405" s="342">
        <v>1500.0</v>
      </c>
      <c r="K405" s="342" t="s">
        <v>74</v>
      </c>
      <c r="L405" s="346" t="s">
        <v>2507</v>
      </c>
      <c r="M405" s="352">
        <v>599250.0</v>
      </c>
      <c r="N405" s="347" t="s">
        <v>2508</v>
      </c>
      <c r="O405" s="339" t="s">
        <v>2509</v>
      </c>
    </row>
    <row r="406">
      <c r="A406" s="369"/>
      <c r="B406" s="48"/>
      <c r="C406" s="48"/>
      <c r="D406" s="48"/>
      <c r="E406" s="48"/>
      <c r="F406" s="48"/>
      <c r="G406" s="48"/>
      <c r="H406" s="336" t="s">
        <v>1941</v>
      </c>
      <c r="I406" s="339" t="s">
        <v>1949</v>
      </c>
      <c r="J406" s="342" t="s">
        <v>92</v>
      </c>
      <c r="K406" s="342" t="s">
        <v>838</v>
      </c>
      <c r="L406" s="373">
        <v>0.05</v>
      </c>
      <c r="M406" s="352">
        <v>29962.5</v>
      </c>
      <c r="N406" s="347" t="s">
        <v>1941</v>
      </c>
      <c r="O406" s="339" t="s">
        <v>2288</v>
      </c>
    </row>
    <row r="407">
      <c r="A407" s="342">
        <v>177.0</v>
      </c>
      <c r="B407" s="348">
        <v>159.0</v>
      </c>
      <c r="C407" s="350">
        <v>46102.0</v>
      </c>
      <c r="D407" s="348" t="s">
        <v>2510</v>
      </c>
      <c r="E407" s="350">
        <v>46115.0</v>
      </c>
      <c r="F407" s="351">
        <v>1032.0</v>
      </c>
      <c r="G407" s="390">
        <v>46103.0</v>
      </c>
      <c r="H407" s="336" t="s">
        <v>2511</v>
      </c>
      <c r="I407" s="339" t="s">
        <v>547</v>
      </c>
      <c r="J407" s="342">
        <v>20.0</v>
      </c>
      <c r="K407" s="342" t="s">
        <v>156</v>
      </c>
      <c r="L407" s="346">
        <v>69.0</v>
      </c>
      <c r="M407" s="105">
        <f>J407*L407</f>
        <v>1380</v>
      </c>
      <c r="N407" s="347" t="s">
        <v>2512</v>
      </c>
      <c r="O407" s="339" t="s">
        <v>2513</v>
      </c>
    </row>
    <row r="408">
      <c r="A408" s="369"/>
      <c r="B408" s="48"/>
      <c r="C408" s="48"/>
      <c r="D408" s="48"/>
      <c r="E408" s="48"/>
      <c r="F408" s="48"/>
      <c r="G408" s="48"/>
      <c r="H408" s="336" t="s">
        <v>1941</v>
      </c>
      <c r="I408" s="339" t="s">
        <v>1949</v>
      </c>
      <c r="J408" s="342" t="s">
        <v>92</v>
      </c>
      <c r="K408" s="342" t="s">
        <v>838</v>
      </c>
      <c r="L408" s="373">
        <v>0.05</v>
      </c>
      <c r="M408" s="352">
        <v>69.0</v>
      </c>
      <c r="N408" s="347" t="s">
        <v>1941</v>
      </c>
      <c r="O408" s="339" t="s">
        <v>2288</v>
      </c>
    </row>
    <row r="409">
      <c r="A409" s="342">
        <v>178.0</v>
      </c>
      <c r="B409" s="348">
        <v>12.0</v>
      </c>
      <c r="C409" s="350">
        <v>46102.0</v>
      </c>
      <c r="D409" s="348" t="s">
        <v>2514</v>
      </c>
      <c r="E409" s="350">
        <v>46118.0</v>
      </c>
      <c r="F409" s="351">
        <v>1037.0</v>
      </c>
      <c r="G409" s="390">
        <v>46109.0</v>
      </c>
      <c r="H409" s="336" t="s">
        <v>2515</v>
      </c>
      <c r="I409" s="339" t="s">
        <v>1516</v>
      </c>
      <c r="J409" s="342">
        <v>5.0</v>
      </c>
      <c r="K409" s="342" t="s">
        <v>981</v>
      </c>
      <c r="L409" s="346">
        <v>6259.0</v>
      </c>
      <c r="M409" s="105">
        <f>J409*L409</f>
        <v>31295</v>
      </c>
      <c r="N409" s="347" t="s">
        <v>1904</v>
      </c>
      <c r="O409" s="339" t="s">
        <v>2516</v>
      </c>
    </row>
    <row r="410">
      <c r="A410" s="369"/>
      <c r="B410" s="48"/>
      <c r="C410" s="48"/>
      <c r="D410" s="48"/>
      <c r="E410" s="48"/>
      <c r="F410" s="48"/>
      <c r="G410" s="48"/>
      <c r="H410" s="336" t="s">
        <v>1941</v>
      </c>
      <c r="I410" s="339" t="s">
        <v>1949</v>
      </c>
      <c r="J410" s="342" t="s">
        <v>92</v>
      </c>
      <c r="K410" s="342" t="s">
        <v>838</v>
      </c>
      <c r="L410" s="373">
        <v>0.05</v>
      </c>
      <c r="M410" s="352">
        <v>1564.75</v>
      </c>
      <c r="N410" s="347" t="s">
        <v>1941</v>
      </c>
      <c r="O410" s="339" t="s">
        <v>2288</v>
      </c>
    </row>
    <row r="411">
      <c r="A411" s="342">
        <v>179.0</v>
      </c>
      <c r="B411" s="339">
        <v>34.0</v>
      </c>
      <c r="C411" s="345">
        <v>46101.0</v>
      </c>
      <c r="D411" s="339" t="s">
        <v>2517</v>
      </c>
      <c r="E411" s="345">
        <v>46118.0</v>
      </c>
      <c r="F411" s="342">
        <v>1032.0</v>
      </c>
      <c r="G411" s="395">
        <v>46103.0</v>
      </c>
      <c r="H411" s="336" t="s">
        <v>2518</v>
      </c>
      <c r="I411" s="339" t="s">
        <v>547</v>
      </c>
      <c r="J411" s="342">
        <v>50.0</v>
      </c>
      <c r="K411" s="342" t="s">
        <v>156</v>
      </c>
      <c r="L411" s="346">
        <v>42.0</v>
      </c>
      <c r="M411" s="105">
        <f t="shared" ref="M411:M412" si="41">J411*L411</f>
        <v>2100</v>
      </c>
      <c r="N411" s="347" t="s">
        <v>2519</v>
      </c>
      <c r="O411" s="339" t="s">
        <v>2513</v>
      </c>
    </row>
    <row r="412">
      <c r="A412" s="342">
        <v>180.0</v>
      </c>
      <c r="B412" s="348">
        <v>399.0</v>
      </c>
      <c r="C412" s="350">
        <v>46085.0</v>
      </c>
      <c r="D412" s="348" t="s">
        <v>2520</v>
      </c>
      <c r="E412" s="350">
        <v>46118.0</v>
      </c>
      <c r="F412" s="351">
        <v>1028.0</v>
      </c>
      <c r="G412" s="394">
        <v>46089.0</v>
      </c>
      <c r="H412" s="336" t="s">
        <v>2521</v>
      </c>
      <c r="I412" s="339" t="s">
        <v>547</v>
      </c>
      <c r="J412" s="342">
        <v>3.0</v>
      </c>
      <c r="K412" s="342" t="s">
        <v>156</v>
      </c>
      <c r="L412" s="346">
        <v>998.0</v>
      </c>
      <c r="M412" s="105">
        <f t="shared" si="41"/>
        <v>2994</v>
      </c>
      <c r="N412" s="347" t="s">
        <v>1659</v>
      </c>
      <c r="O412" s="339" t="s">
        <v>2522</v>
      </c>
    </row>
    <row r="413">
      <c r="A413" s="369"/>
      <c r="B413" s="48"/>
      <c r="C413" s="48"/>
      <c r="D413" s="48"/>
      <c r="E413" s="48"/>
      <c r="F413" s="48"/>
      <c r="G413" s="48"/>
      <c r="H413" s="336" t="s">
        <v>1941</v>
      </c>
      <c r="I413" s="339" t="s">
        <v>1949</v>
      </c>
      <c r="J413" s="342" t="s">
        <v>92</v>
      </c>
      <c r="K413" s="342" t="s">
        <v>838</v>
      </c>
      <c r="L413" s="373">
        <v>0.05</v>
      </c>
      <c r="M413" s="352">
        <v>150.0</v>
      </c>
      <c r="N413" s="347" t="s">
        <v>1941</v>
      </c>
      <c r="O413" s="339" t="s">
        <v>2288</v>
      </c>
    </row>
    <row r="414">
      <c r="A414" s="342">
        <v>181.0</v>
      </c>
      <c r="B414" s="348">
        <v>613.0</v>
      </c>
      <c r="C414" s="350">
        <v>46104.0</v>
      </c>
      <c r="D414" s="348" t="s">
        <v>2523</v>
      </c>
      <c r="E414" s="350">
        <v>46115.0</v>
      </c>
      <c r="F414" s="351">
        <v>1035.0</v>
      </c>
      <c r="G414" s="390">
        <v>46109.0</v>
      </c>
      <c r="H414" s="336" t="s">
        <v>2524</v>
      </c>
      <c r="I414" s="339" t="s">
        <v>547</v>
      </c>
      <c r="J414" s="342">
        <v>10.0</v>
      </c>
      <c r="K414" s="342" t="s">
        <v>156</v>
      </c>
      <c r="L414" s="346">
        <v>14.0</v>
      </c>
      <c r="M414" s="105">
        <f t="shared" ref="M414:M417" si="42">J414*L414</f>
        <v>140</v>
      </c>
      <c r="N414" s="347" t="s">
        <v>570</v>
      </c>
      <c r="O414" s="339" t="s">
        <v>2513</v>
      </c>
    </row>
    <row r="415">
      <c r="A415" s="369"/>
      <c r="B415" s="47"/>
      <c r="C415" s="47"/>
      <c r="D415" s="47"/>
      <c r="E415" s="47"/>
      <c r="F415" s="47"/>
      <c r="G415" s="47"/>
      <c r="H415" s="336" t="s">
        <v>2525</v>
      </c>
      <c r="I415" s="339" t="s">
        <v>547</v>
      </c>
      <c r="J415" s="342">
        <v>10.0</v>
      </c>
      <c r="K415" s="342" t="s">
        <v>39</v>
      </c>
      <c r="L415" s="346">
        <v>28.0</v>
      </c>
      <c r="M415" s="105">
        <f t="shared" si="42"/>
        <v>280</v>
      </c>
      <c r="N415" s="347" t="s">
        <v>570</v>
      </c>
      <c r="O415" s="339" t="s">
        <v>2513</v>
      </c>
    </row>
    <row r="416">
      <c r="A416" s="369"/>
      <c r="B416" s="47"/>
      <c r="C416" s="47"/>
      <c r="D416" s="47"/>
      <c r="E416" s="47"/>
      <c r="F416" s="47"/>
      <c r="G416" s="47"/>
      <c r="H416" s="336" t="s">
        <v>2526</v>
      </c>
      <c r="I416" s="339" t="s">
        <v>547</v>
      </c>
      <c r="J416" s="342">
        <v>2.0</v>
      </c>
      <c r="K416" s="342" t="s">
        <v>156</v>
      </c>
      <c r="L416" s="346">
        <v>64.0</v>
      </c>
      <c r="M416" s="105">
        <f t="shared" si="42"/>
        <v>128</v>
      </c>
      <c r="N416" s="347" t="s">
        <v>570</v>
      </c>
      <c r="O416" s="339" t="s">
        <v>2513</v>
      </c>
    </row>
    <row r="417">
      <c r="A417" s="369"/>
      <c r="B417" s="47"/>
      <c r="C417" s="47"/>
      <c r="D417" s="47"/>
      <c r="E417" s="47"/>
      <c r="F417" s="47"/>
      <c r="G417" s="47"/>
      <c r="H417" s="336" t="s">
        <v>2527</v>
      </c>
      <c r="I417" s="339" t="s">
        <v>547</v>
      </c>
      <c r="J417" s="342">
        <v>2.0</v>
      </c>
      <c r="K417" s="342" t="s">
        <v>156</v>
      </c>
      <c r="L417" s="346">
        <v>9.0</v>
      </c>
      <c r="M417" s="105">
        <f t="shared" si="42"/>
        <v>18</v>
      </c>
      <c r="N417" s="347" t="s">
        <v>570</v>
      </c>
      <c r="O417" s="339" t="s">
        <v>2513</v>
      </c>
    </row>
    <row r="418">
      <c r="A418" s="369"/>
      <c r="B418" s="48"/>
      <c r="C418" s="48"/>
      <c r="D418" s="48"/>
      <c r="E418" s="48"/>
      <c r="F418" s="48"/>
      <c r="G418" s="48"/>
      <c r="H418" s="336" t="s">
        <v>1941</v>
      </c>
      <c r="I418" s="339" t="s">
        <v>1949</v>
      </c>
      <c r="J418" s="342" t="s">
        <v>92</v>
      </c>
      <c r="K418" s="342" t="s">
        <v>838</v>
      </c>
      <c r="L418" s="373">
        <v>0.05</v>
      </c>
      <c r="M418" s="352">
        <v>28.3</v>
      </c>
      <c r="N418" s="347" t="s">
        <v>1941</v>
      </c>
      <c r="O418" s="339" t="s">
        <v>2288</v>
      </c>
    </row>
    <row r="419">
      <c r="A419" s="342">
        <v>182.0</v>
      </c>
      <c r="B419" s="339">
        <v>6.0</v>
      </c>
      <c r="C419" s="345">
        <v>46091.0</v>
      </c>
      <c r="D419" s="339" t="s">
        <v>2528</v>
      </c>
      <c r="E419" s="345">
        <v>46118.0</v>
      </c>
      <c r="F419" s="342">
        <v>1029.0</v>
      </c>
      <c r="G419" s="395">
        <v>46094.0</v>
      </c>
      <c r="H419" s="336" t="s">
        <v>2529</v>
      </c>
      <c r="I419" s="339" t="s">
        <v>1401</v>
      </c>
      <c r="J419" s="342">
        <v>20.0</v>
      </c>
      <c r="K419" s="342" t="s">
        <v>156</v>
      </c>
      <c r="L419" s="346">
        <v>400.0</v>
      </c>
      <c r="M419" s="105">
        <f t="shared" ref="M419:M423" si="43">J419*L419</f>
        <v>8000</v>
      </c>
      <c r="N419" s="347" t="s">
        <v>2221</v>
      </c>
      <c r="O419" s="339" t="s">
        <v>2530</v>
      </c>
    </row>
    <row r="420">
      <c r="A420" s="342">
        <v>183.0</v>
      </c>
      <c r="B420" s="348">
        <v>2619.0</v>
      </c>
      <c r="C420" s="350">
        <v>46107.0</v>
      </c>
      <c r="D420" s="348" t="s">
        <v>2531</v>
      </c>
      <c r="E420" s="350">
        <v>46118.0</v>
      </c>
      <c r="F420" s="351">
        <v>1035.0</v>
      </c>
      <c r="G420" s="390">
        <v>46109.0</v>
      </c>
      <c r="H420" s="336" t="s">
        <v>2344</v>
      </c>
      <c r="I420" s="339" t="s">
        <v>2147</v>
      </c>
      <c r="J420" s="342">
        <v>100.0</v>
      </c>
      <c r="K420" s="342" t="s">
        <v>2346</v>
      </c>
      <c r="L420" s="346">
        <v>68.0</v>
      </c>
      <c r="M420" s="105">
        <f t="shared" si="43"/>
        <v>6800</v>
      </c>
      <c r="N420" s="347" t="s">
        <v>2342</v>
      </c>
      <c r="O420" s="339" t="s">
        <v>2532</v>
      </c>
    </row>
    <row r="421">
      <c r="A421" s="369"/>
      <c r="B421" s="47"/>
      <c r="C421" s="47"/>
      <c r="D421" s="47"/>
      <c r="E421" s="47"/>
      <c r="F421" s="47"/>
      <c r="G421" s="47"/>
      <c r="H421" s="336" t="s">
        <v>2345</v>
      </c>
      <c r="I421" s="339" t="s">
        <v>2533</v>
      </c>
      <c r="J421" s="342">
        <v>100.0</v>
      </c>
      <c r="K421" s="342" t="s">
        <v>2346</v>
      </c>
      <c r="L421" s="346">
        <v>68.0</v>
      </c>
      <c r="M421" s="105">
        <f t="shared" si="43"/>
        <v>6800</v>
      </c>
      <c r="N421" s="347" t="s">
        <v>2342</v>
      </c>
      <c r="O421" s="339" t="s">
        <v>2532</v>
      </c>
    </row>
    <row r="422">
      <c r="A422" s="369"/>
      <c r="B422" s="47"/>
      <c r="C422" s="47"/>
      <c r="D422" s="47"/>
      <c r="E422" s="47"/>
      <c r="F422" s="47"/>
      <c r="G422" s="47"/>
      <c r="H422" s="336" t="s">
        <v>2534</v>
      </c>
      <c r="I422" s="339" t="s">
        <v>2533</v>
      </c>
      <c r="J422" s="342">
        <v>100.0</v>
      </c>
      <c r="K422" s="342" t="s">
        <v>2346</v>
      </c>
      <c r="L422" s="346">
        <v>68.0</v>
      </c>
      <c r="M422" s="105">
        <f t="shared" si="43"/>
        <v>6800</v>
      </c>
      <c r="N422" s="347" t="s">
        <v>2342</v>
      </c>
      <c r="O422" s="339" t="s">
        <v>2532</v>
      </c>
    </row>
    <row r="423">
      <c r="A423" s="369"/>
      <c r="B423" s="47"/>
      <c r="C423" s="47"/>
      <c r="D423" s="47"/>
      <c r="E423" s="47"/>
      <c r="F423" s="47"/>
      <c r="G423" s="47"/>
      <c r="H423" s="336" t="s">
        <v>2348</v>
      </c>
      <c r="I423" s="339" t="s">
        <v>2533</v>
      </c>
      <c r="J423" s="342">
        <v>100.0</v>
      </c>
      <c r="K423" s="342" t="s">
        <v>2346</v>
      </c>
      <c r="L423" s="346">
        <v>68.0</v>
      </c>
      <c r="M423" s="105">
        <f t="shared" si="43"/>
        <v>6800</v>
      </c>
      <c r="N423" s="347" t="s">
        <v>2342</v>
      </c>
      <c r="O423" s="339" t="s">
        <v>2532</v>
      </c>
    </row>
    <row r="424">
      <c r="A424" s="369"/>
      <c r="B424" s="48"/>
      <c r="C424" s="48"/>
      <c r="D424" s="48"/>
      <c r="E424" s="48"/>
      <c r="F424" s="48"/>
      <c r="G424" s="48"/>
      <c r="H424" s="336" t="s">
        <v>1941</v>
      </c>
      <c r="I424" s="339" t="s">
        <v>1949</v>
      </c>
      <c r="J424" s="342" t="s">
        <v>92</v>
      </c>
      <c r="K424" s="342" t="s">
        <v>838</v>
      </c>
      <c r="L424" s="373">
        <v>0.05</v>
      </c>
      <c r="M424" s="352">
        <v>1360.0</v>
      </c>
      <c r="N424" s="347" t="s">
        <v>1941</v>
      </c>
      <c r="O424" s="339" t="s">
        <v>2300</v>
      </c>
    </row>
    <row r="425">
      <c r="A425" s="342">
        <v>184.0</v>
      </c>
      <c r="B425" s="348">
        <v>163.0</v>
      </c>
      <c r="C425" s="350">
        <v>46035.0</v>
      </c>
      <c r="D425" s="348" t="s">
        <v>2535</v>
      </c>
      <c r="E425" s="350">
        <v>46118.0</v>
      </c>
      <c r="F425" s="351">
        <v>897.0</v>
      </c>
      <c r="G425" s="390">
        <v>46036.0</v>
      </c>
      <c r="H425" s="336" t="s">
        <v>2536</v>
      </c>
      <c r="I425" s="339" t="s">
        <v>2151</v>
      </c>
      <c r="J425" s="342">
        <v>1050.0</v>
      </c>
      <c r="K425" s="342" t="s">
        <v>156</v>
      </c>
      <c r="L425" s="346">
        <v>29.7</v>
      </c>
      <c r="M425" s="105">
        <f t="shared" ref="M425:M433" si="44">J425*L425</f>
        <v>31185</v>
      </c>
      <c r="N425" s="347" t="s">
        <v>2342</v>
      </c>
      <c r="O425" s="339" t="s">
        <v>2537</v>
      </c>
    </row>
    <row r="426">
      <c r="A426" s="369"/>
      <c r="B426" s="47"/>
      <c r="C426" s="47"/>
      <c r="D426" s="47"/>
      <c r="E426" s="47"/>
      <c r="F426" s="47"/>
      <c r="G426" s="47"/>
      <c r="H426" s="336" t="s">
        <v>2538</v>
      </c>
      <c r="I426" s="339" t="s">
        <v>2151</v>
      </c>
      <c r="J426" s="342">
        <v>395.0</v>
      </c>
      <c r="K426" s="342" t="s">
        <v>156</v>
      </c>
      <c r="L426" s="346">
        <v>82.0</v>
      </c>
      <c r="M426" s="105">
        <f t="shared" si="44"/>
        <v>32390</v>
      </c>
      <c r="N426" s="347" t="s">
        <v>2342</v>
      </c>
      <c r="O426" s="339" t="s">
        <v>2537</v>
      </c>
    </row>
    <row r="427">
      <c r="A427" s="369"/>
      <c r="B427" s="47"/>
      <c r="C427" s="47"/>
      <c r="D427" s="47"/>
      <c r="E427" s="47"/>
      <c r="F427" s="47"/>
      <c r="G427" s="47"/>
      <c r="H427" s="336" t="s">
        <v>2539</v>
      </c>
      <c r="I427" s="339" t="s">
        <v>2151</v>
      </c>
      <c r="J427" s="342">
        <v>8.0</v>
      </c>
      <c r="K427" s="342" t="s">
        <v>156</v>
      </c>
      <c r="L427" s="346">
        <v>5300.0</v>
      </c>
      <c r="M427" s="105">
        <f t="shared" si="44"/>
        <v>42400</v>
      </c>
      <c r="N427" s="347" t="s">
        <v>2342</v>
      </c>
      <c r="O427" s="339" t="s">
        <v>2537</v>
      </c>
    </row>
    <row r="428">
      <c r="A428" s="369"/>
      <c r="B428" s="47"/>
      <c r="C428" s="47"/>
      <c r="D428" s="47"/>
      <c r="E428" s="47"/>
      <c r="F428" s="47"/>
      <c r="G428" s="47"/>
      <c r="H428" s="336" t="s">
        <v>2540</v>
      </c>
      <c r="I428" s="339" t="s">
        <v>2151</v>
      </c>
      <c r="J428" s="342">
        <v>195.0</v>
      </c>
      <c r="K428" s="342" t="s">
        <v>156</v>
      </c>
      <c r="L428" s="346">
        <v>129.0</v>
      </c>
      <c r="M428" s="105">
        <f t="shared" si="44"/>
        <v>25155</v>
      </c>
      <c r="N428" s="347" t="s">
        <v>2342</v>
      </c>
      <c r="O428" s="339" t="s">
        <v>2537</v>
      </c>
    </row>
    <row r="429">
      <c r="A429" s="369"/>
      <c r="B429" s="47"/>
      <c r="C429" s="47"/>
      <c r="D429" s="47"/>
      <c r="E429" s="47"/>
      <c r="F429" s="47"/>
      <c r="G429" s="47"/>
      <c r="H429" s="336" t="s">
        <v>2541</v>
      </c>
      <c r="I429" s="339" t="s">
        <v>2151</v>
      </c>
      <c r="J429" s="342">
        <v>85.0</v>
      </c>
      <c r="K429" s="342" t="s">
        <v>156</v>
      </c>
      <c r="L429" s="346">
        <v>14.0</v>
      </c>
      <c r="M429" s="105">
        <f t="shared" si="44"/>
        <v>1190</v>
      </c>
      <c r="N429" s="347" t="s">
        <v>2342</v>
      </c>
      <c r="O429" s="339" t="s">
        <v>2537</v>
      </c>
    </row>
    <row r="430">
      <c r="A430" s="369"/>
      <c r="B430" s="47"/>
      <c r="C430" s="47"/>
      <c r="D430" s="47"/>
      <c r="E430" s="47"/>
      <c r="F430" s="47"/>
      <c r="G430" s="47"/>
      <c r="H430" s="336" t="s">
        <v>2542</v>
      </c>
      <c r="I430" s="339" t="s">
        <v>2151</v>
      </c>
      <c r="J430" s="342">
        <v>190.0</v>
      </c>
      <c r="K430" s="342" t="s">
        <v>156</v>
      </c>
      <c r="L430" s="346">
        <v>14.0</v>
      </c>
      <c r="M430" s="105">
        <f t="shared" si="44"/>
        <v>2660</v>
      </c>
      <c r="N430" s="347" t="s">
        <v>2342</v>
      </c>
      <c r="O430" s="339" t="s">
        <v>2537</v>
      </c>
    </row>
    <row r="431">
      <c r="A431" s="369"/>
      <c r="B431" s="47"/>
      <c r="C431" s="47"/>
      <c r="D431" s="47"/>
      <c r="E431" s="47"/>
      <c r="F431" s="47"/>
      <c r="G431" s="47"/>
      <c r="H431" s="336" t="s">
        <v>2543</v>
      </c>
      <c r="I431" s="339" t="s">
        <v>2151</v>
      </c>
      <c r="J431" s="342">
        <v>190.0</v>
      </c>
      <c r="K431" s="342" t="s">
        <v>156</v>
      </c>
      <c r="L431" s="346">
        <v>14.0</v>
      </c>
      <c r="M431" s="105">
        <f t="shared" si="44"/>
        <v>2660</v>
      </c>
      <c r="N431" s="347" t="s">
        <v>2342</v>
      </c>
      <c r="O431" s="339" t="s">
        <v>2537</v>
      </c>
    </row>
    <row r="432">
      <c r="A432" s="369"/>
      <c r="B432" s="47"/>
      <c r="C432" s="47"/>
      <c r="D432" s="47"/>
      <c r="E432" s="47"/>
      <c r="F432" s="47"/>
      <c r="G432" s="47"/>
      <c r="H432" s="336" t="s">
        <v>2544</v>
      </c>
      <c r="I432" s="339" t="s">
        <v>2151</v>
      </c>
      <c r="J432" s="342">
        <v>150.0</v>
      </c>
      <c r="K432" s="342" t="s">
        <v>156</v>
      </c>
      <c r="L432" s="346">
        <v>14.0</v>
      </c>
      <c r="M432" s="105">
        <f t="shared" si="44"/>
        <v>2100</v>
      </c>
      <c r="N432" s="347" t="s">
        <v>2342</v>
      </c>
      <c r="O432" s="339" t="s">
        <v>2537</v>
      </c>
    </row>
    <row r="433">
      <c r="A433" s="369"/>
      <c r="B433" s="47"/>
      <c r="C433" s="47"/>
      <c r="D433" s="47"/>
      <c r="E433" s="47"/>
      <c r="F433" s="47"/>
      <c r="G433" s="47"/>
      <c r="H433" s="336" t="s">
        <v>2545</v>
      </c>
      <c r="I433" s="339" t="s">
        <v>2151</v>
      </c>
      <c r="J433" s="342">
        <v>386.0</v>
      </c>
      <c r="K433" s="342" t="s">
        <v>156</v>
      </c>
      <c r="L433" s="346">
        <v>129.0</v>
      </c>
      <c r="M433" s="105">
        <f t="shared" si="44"/>
        <v>49794</v>
      </c>
      <c r="N433" s="347" t="s">
        <v>2342</v>
      </c>
      <c r="O433" s="339" t="s">
        <v>2537</v>
      </c>
    </row>
    <row r="434">
      <c r="A434" s="369"/>
      <c r="B434" s="48"/>
      <c r="C434" s="48"/>
      <c r="D434" s="48"/>
      <c r="E434" s="48"/>
      <c r="F434" s="48"/>
      <c r="G434" s="48"/>
      <c r="H434" s="336" t="s">
        <v>1941</v>
      </c>
      <c r="I434" s="339" t="s">
        <v>1949</v>
      </c>
      <c r="J434" s="342" t="s">
        <v>92</v>
      </c>
      <c r="K434" s="342" t="s">
        <v>838</v>
      </c>
      <c r="L434" s="373">
        <v>0.05</v>
      </c>
      <c r="M434" s="352">
        <v>9476.7</v>
      </c>
      <c r="N434" s="347" t="s">
        <v>1941</v>
      </c>
      <c r="O434" s="339" t="s">
        <v>2300</v>
      </c>
    </row>
    <row r="435">
      <c r="A435" s="342">
        <v>185.0</v>
      </c>
      <c r="B435" s="348">
        <v>122.0</v>
      </c>
      <c r="C435" s="350">
        <v>46086.0</v>
      </c>
      <c r="D435" s="348" t="s">
        <v>2546</v>
      </c>
      <c r="E435" s="350">
        <v>46118.0</v>
      </c>
      <c r="F435" s="351">
        <v>1026.0</v>
      </c>
      <c r="G435" s="394">
        <v>46086.0</v>
      </c>
      <c r="H435" s="336" t="s">
        <v>2547</v>
      </c>
      <c r="I435" s="339" t="s">
        <v>1401</v>
      </c>
      <c r="J435" s="342">
        <v>32.0</v>
      </c>
      <c r="K435" s="342" t="s">
        <v>156</v>
      </c>
      <c r="L435" s="346">
        <v>1309.0</v>
      </c>
      <c r="M435" s="105">
        <f>J435*L435</f>
        <v>41888</v>
      </c>
      <c r="N435" s="347" t="s">
        <v>2354</v>
      </c>
      <c r="O435" s="339" t="s">
        <v>2400</v>
      </c>
    </row>
    <row r="436">
      <c r="A436" s="369"/>
      <c r="B436" s="48"/>
      <c r="C436" s="48"/>
      <c r="D436" s="48"/>
      <c r="E436" s="48"/>
      <c r="F436" s="48"/>
      <c r="G436" s="48"/>
      <c r="H436" s="336" t="s">
        <v>1941</v>
      </c>
      <c r="I436" s="339" t="s">
        <v>1949</v>
      </c>
      <c r="J436" s="342" t="s">
        <v>92</v>
      </c>
      <c r="K436" s="342" t="s">
        <v>838</v>
      </c>
      <c r="L436" s="373">
        <v>0.05</v>
      </c>
      <c r="M436" s="352">
        <v>2094.4</v>
      </c>
      <c r="N436" s="347" t="s">
        <v>1941</v>
      </c>
      <c r="O436" s="339" t="s">
        <v>2288</v>
      </c>
    </row>
    <row r="437">
      <c r="A437" s="342">
        <v>186.0</v>
      </c>
      <c r="B437" s="348">
        <v>156.0</v>
      </c>
      <c r="C437" s="350">
        <v>46099.0</v>
      </c>
      <c r="D437" s="348" t="s">
        <v>2546</v>
      </c>
      <c r="E437" s="350">
        <v>46118.0</v>
      </c>
      <c r="F437" s="351">
        <v>1030.0</v>
      </c>
      <c r="G437" s="390">
        <v>46098.0</v>
      </c>
      <c r="H437" s="336" t="s">
        <v>2548</v>
      </c>
      <c r="I437" s="339" t="s">
        <v>1401</v>
      </c>
      <c r="J437" s="342">
        <v>50.0</v>
      </c>
      <c r="K437" s="342" t="s">
        <v>156</v>
      </c>
      <c r="L437" s="346">
        <v>14.0</v>
      </c>
      <c r="M437" s="105">
        <f>J437*L437</f>
        <v>700</v>
      </c>
      <c r="N437" s="347" t="s">
        <v>2354</v>
      </c>
      <c r="O437" s="339" t="s">
        <v>2454</v>
      </c>
    </row>
    <row r="438">
      <c r="A438" s="369"/>
      <c r="B438" s="48"/>
      <c r="C438" s="48"/>
      <c r="D438" s="48"/>
      <c r="E438" s="48"/>
      <c r="F438" s="48"/>
      <c r="G438" s="48"/>
      <c r="H438" s="336" t="s">
        <v>1941</v>
      </c>
      <c r="I438" s="339" t="s">
        <v>1949</v>
      </c>
      <c r="J438" s="342" t="s">
        <v>92</v>
      </c>
      <c r="K438" s="342" t="s">
        <v>838</v>
      </c>
      <c r="L438" s="373">
        <v>0.05</v>
      </c>
      <c r="M438" s="352">
        <v>35.0</v>
      </c>
      <c r="N438" s="347" t="s">
        <v>1941</v>
      </c>
      <c r="O438" s="339" t="s">
        <v>2288</v>
      </c>
    </row>
    <row r="439">
      <c r="A439" s="342">
        <v>187.0</v>
      </c>
      <c r="B439" s="348">
        <v>38.0</v>
      </c>
      <c r="C439" s="350">
        <v>46034.0</v>
      </c>
      <c r="D439" s="348" t="s">
        <v>2549</v>
      </c>
      <c r="E439" s="350">
        <v>46118.0</v>
      </c>
      <c r="F439" s="351">
        <v>898.0</v>
      </c>
      <c r="G439" s="390">
        <v>46040.0</v>
      </c>
      <c r="H439" s="336" t="s">
        <v>2550</v>
      </c>
      <c r="I439" s="339" t="s">
        <v>1571</v>
      </c>
      <c r="J439" s="342">
        <v>1.0</v>
      </c>
      <c r="K439" s="342" t="s">
        <v>89</v>
      </c>
      <c r="L439" s="346">
        <v>1680.0</v>
      </c>
      <c r="M439" s="105">
        <f t="shared" ref="M439:M440" si="45">J439*L439</f>
        <v>1680</v>
      </c>
      <c r="N439" s="347" t="s">
        <v>99</v>
      </c>
      <c r="O439" s="339" t="s">
        <v>2551</v>
      </c>
    </row>
    <row r="440">
      <c r="A440" s="369"/>
      <c r="B440" s="47"/>
      <c r="C440" s="47"/>
      <c r="D440" s="47"/>
      <c r="E440" s="47"/>
      <c r="F440" s="47"/>
      <c r="G440" s="47"/>
      <c r="H440" s="336" t="s">
        <v>2552</v>
      </c>
      <c r="I440" s="339" t="s">
        <v>1571</v>
      </c>
      <c r="J440" s="342">
        <v>1.0</v>
      </c>
      <c r="K440" s="342" t="s">
        <v>319</v>
      </c>
      <c r="L440" s="346">
        <v>179.0</v>
      </c>
      <c r="M440" s="105">
        <f t="shared" si="45"/>
        <v>179</v>
      </c>
      <c r="N440" s="347" t="s">
        <v>99</v>
      </c>
      <c r="O440" s="339" t="s">
        <v>2551</v>
      </c>
    </row>
    <row r="441">
      <c r="A441" s="369"/>
      <c r="B441" s="48"/>
      <c r="C441" s="48"/>
      <c r="D441" s="48"/>
      <c r="E441" s="48"/>
      <c r="F441" s="48"/>
      <c r="G441" s="48"/>
      <c r="H441" s="336" t="s">
        <v>1941</v>
      </c>
      <c r="I441" s="339" t="s">
        <v>1949</v>
      </c>
      <c r="J441" s="342" t="s">
        <v>92</v>
      </c>
      <c r="K441" s="342" t="s">
        <v>838</v>
      </c>
      <c r="L441" s="373">
        <v>0.05</v>
      </c>
      <c r="M441" s="352">
        <v>92.95</v>
      </c>
      <c r="N441" s="347" t="s">
        <v>1941</v>
      </c>
      <c r="O441" s="339" t="s">
        <v>2288</v>
      </c>
    </row>
    <row r="442">
      <c r="A442" s="342">
        <v>188.0</v>
      </c>
      <c r="B442" s="348">
        <v>195.0</v>
      </c>
      <c r="C442" s="374">
        <v>46094.0</v>
      </c>
      <c r="D442" s="348" t="s">
        <v>2549</v>
      </c>
      <c r="E442" s="350">
        <v>46118.0</v>
      </c>
      <c r="F442" s="351">
        <v>1029.0</v>
      </c>
      <c r="G442" s="390">
        <v>46094.0</v>
      </c>
      <c r="H442" s="336" t="s">
        <v>2553</v>
      </c>
      <c r="I442" s="339" t="s">
        <v>1401</v>
      </c>
      <c r="J442" s="342">
        <v>2.0</v>
      </c>
      <c r="K442" s="342" t="s">
        <v>156</v>
      </c>
      <c r="L442" s="346">
        <v>32750.0</v>
      </c>
      <c r="M442" s="105">
        <f>J442*L442</f>
        <v>65500</v>
      </c>
      <c r="N442" s="347" t="s">
        <v>99</v>
      </c>
      <c r="O442" s="339" t="s">
        <v>2554</v>
      </c>
    </row>
    <row r="443">
      <c r="A443" s="369"/>
      <c r="B443" s="48"/>
      <c r="C443" s="48"/>
      <c r="D443" s="48"/>
      <c r="E443" s="48"/>
      <c r="F443" s="48"/>
      <c r="G443" s="48"/>
      <c r="H443" s="336" t="s">
        <v>1941</v>
      </c>
      <c r="I443" s="339" t="s">
        <v>2381</v>
      </c>
      <c r="J443" s="342" t="s">
        <v>92</v>
      </c>
      <c r="K443" s="342" t="s">
        <v>838</v>
      </c>
      <c r="L443" s="373">
        <v>0.05</v>
      </c>
      <c r="M443" s="352">
        <v>3275.0</v>
      </c>
      <c r="N443" s="347" t="s">
        <v>1941</v>
      </c>
      <c r="O443" s="339" t="s">
        <v>2288</v>
      </c>
    </row>
    <row r="444">
      <c r="A444" s="342">
        <v>189.0</v>
      </c>
      <c r="B444" s="348">
        <v>124.0</v>
      </c>
      <c r="C444" s="350">
        <v>46055.0</v>
      </c>
      <c r="D444" s="348" t="s">
        <v>2549</v>
      </c>
      <c r="E444" s="350">
        <v>46118.0</v>
      </c>
      <c r="F444" s="351">
        <v>1012.0</v>
      </c>
      <c r="G444" s="394">
        <v>46058.0</v>
      </c>
      <c r="H444" s="336" t="s">
        <v>2555</v>
      </c>
      <c r="I444" s="339" t="s">
        <v>24</v>
      </c>
      <c r="J444" s="342">
        <v>2.0</v>
      </c>
      <c r="K444" s="342" t="s">
        <v>156</v>
      </c>
      <c r="L444" s="346">
        <v>350.0</v>
      </c>
      <c r="M444" s="105">
        <f>J444*L444</f>
        <v>700</v>
      </c>
      <c r="N444" s="347" t="s">
        <v>99</v>
      </c>
      <c r="O444" s="339" t="s">
        <v>2556</v>
      </c>
    </row>
    <row r="445">
      <c r="A445" s="369"/>
      <c r="B445" s="48"/>
      <c r="C445" s="48"/>
      <c r="D445" s="48"/>
      <c r="E445" s="48"/>
      <c r="F445" s="48"/>
      <c r="G445" s="48"/>
      <c r="H445" s="336" t="s">
        <v>1941</v>
      </c>
      <c r="I445" s="339" t="s">
        <v>1949</v>
      </c>
      <c r="J445" s="342" t="s">
        <v>92</v>
      </c>
      <c r="K445" s="342" t="s">
        <v>838</v>
      </c>
      <c r="L445" s="373">
        <v>0.05</v>
      </c>
      <c r="M445" s="352">
        <v>35.0</v>
      </c>
      <c r="N445" s="347" t="s">
        <v>1941</v>
      </c>
      <c r="O445" s="339" t="s">
        <v>2288</v>
      </c>
    </row>
    <row r="446">
      <c r="A446" s="342">
        <v>190.0</v>
      </c>
      <c r="B446" s="348">
        <v>148.0</v>
      </c>
      <c r="C446" s="350">
        <v>46084.0</v>
      </c>
      <c r="D446" s="348" t="s">
        <v>2549</v>
      </c>
      <c r="E446" s="350">
        <v>46118.0</v>
      </c>
      <c r="F446" s="351">
        <v>1026.0</v>
      </c>
      <c r="G446" s="394">
        <v>46086.0</v>
      </c>
      <c r="H446" s="336" t="s">
        <v>2557</v>
      </c>
      <c r="I446" s="339" t="s">
        <v>1401</v>
      </c>
      <c r="J446" s="342">
        <v>7.0</v>
      </c>
      <c r="K446" s="342" t="s">
        <v>156</v>
      </c>
      <c r="L446" s="346">
        <v>150.0</v>
      </c>
      <c r="M446" s="105">
        <f t="shared" ref="M446:M447" si="46">J446*L446</f>
        <v>1050</v>
      </c>
      <c r="N446" s="347" t="s">
        <v>99</v>
      </c>
      <c r="O446" s="339" t="s">
        <v>2558</v>
      </c>
    </row>
    <row r="447">
      <c r="A447" s="369"/>
      <c r="B447" s="47"/>
      <c r="C447" s="47"/>
      <c r="D447" s="47"/>
      <c r="E447" s="47"/>
      <c r="F447" s="47"/>
      <c r="G447" s="47"/>
      <c r="H447" s="336" t="s">
        <v>750</v>
      </c>
      <c r="I447" s="339" t="s">
        <v>1401</v>
      </c>
      <c r="J447" s="342">
        <v>8.0</v>
      </c>
      <c r="K447" s="342" t="s">
        <v>39</v>
      </c>
      <c r="L447" s="346">
        <v>425.0</v>
      </c>
      <c r="M447" s="105">
        <f t="shared" si="46"/>
        <v>3400</v>
      </c>
      <c r="N447" s="347" t="s">
        <v>99</v>
      </c>
      <c r="O447" s="339" t="s">
        <v>2559</v>
      </c>
    </row>
    <row r="448">
      <c r="A448" s="369"/>
      <c r="B448" s="48"/>
      <c r="C448" s="48"/>
      <c r="D448" s="48"/>
      <c r="E448" s="48"/>
      <c r="F448" s="48"/>
      <c r="G448" s="48"/>
      <c r="H448" s="336" t="s">
        <v>1941</v>
      </c>
      <c r="I448" s="339" t="s">
        <v>1949</v>
      </c>
      <c r="J448" s="342" t="s">
        <v>92</v>
      </c>
      <c r="K448" s="342" t="s">
        <v>838</v>
      </c>
      <c r="L448" s="373">
        <v>0.05</v>
      </c>
      <c r="M448" s="352">
        <v>222.5</v>
      </c>
      <c r="N448" s="347" t="s">
        <v>1941</v>
      </c>
      <c r="O448" s="339" t="s">
        <v>2288</v>
      </c>
    </row>
    <row r="449">
      <c r="A449" s="342">
        <v>191.0</v>
      </c>
      <c r="B449" s="348">
        <v>1.0447022E7</v>
      </c>
      <c r="C449" s="350">
        <v>46113.0</v>
      </c>
      <c r="D449" s="348" t="s">
        <v>2560</v>
      </c>
      <c r="E449" s="350">
        <v>46128.0</v>
      </c>
      <c r="F449" s="351">
        <v>1039.0</v>
      </c>
      <c r="G449" s="390">
        <v>46113.0</v>
      </c>
      <c r="H449" s="336" t="s">
        <v>2259</v>
      </c>
      <c r="I449" s="339" t="s">
        <v>24</v>
      </c>
      <c r="J449" s="342">
        <v>2640.0</v>
      </c>
      <c r="K449" s="342" t="s">
        <v>25</v>
      </c>
      <c r="L449" s="346">
        <v>87.781</v>
      </c>
      <c r="M449" s="352">
        <v>231741.71</v>
      </c>
      <c r="N449" s="347" t="s">
        <v>91</v>
      </c>
      <c r="O449" s="339" t="s">
        <v>2561</v>
      </c>
    </row>
    <row r="450">
      <c r="A450" s="369"/>
      <c r="B450" s="48"/>
      <c r="C450" s="48"/>
      <c r="D450" s="48"/>
      <c r="E450" s="48"/>
      <c r="F450" s="48"/>
      <c r="G450" s="48"/>
      <c r="H450" s="336" t="s">
        <v>1941</v>
      </c>
      <c r="I450" s="339" t="s">
        <v>1949</v>
      </c>
      <c r="J450" s="342" t="s">
        <v>92</v>
      </c>
      <c r="K450" s="342" t="s">
        <v>838</v>
      </c>
      <c r="L450" s="373">
        <v>0.05</v>
      </c>
      <c r="M450" s="352">
        <v>11587.09</v>
      </c>
      <c r="N450" s="347" t="s">
        <v>1941</v>
      </c>
      <c r="O450" s="339" t="s">
        <v>2288</v>
      </c>
    </row>
    <row r="451">
      <c r="A451" s="342">
        <v>192.0</v>
      </c>
      <c r="B451" s="348">
        <v>58.0</v>
      </c>
      <c r="C451" s="350">
        <v>46104.0</v>
      </c>
      <c r="D451" s="348" t="s">
        <v>2562</v>
      </c>
      <c r="E451" s="350">
        <v>46135.0</v>
      </c>
      <c r="F451" s="351">
        <v>1039.0</v>
      </c>
      <c r="G451" s="399">
        <v>46113.0</v>
      </c>
      <c r="H451" s="336" t="s">
        <v>2563</v>
      </c>
      <c r="I451" s="339" t="s">
        <v>2151</v>
      </c>
      <c r="J451" s="342">
        <v>2.0</v>
      </c>
      <c r="K451" s="342" t="s">
        <v>156</v>
      </c>
      <c r="L451" s="346">
        <v>405.0</v>
      </c>
      <c r="M451" s="105">
        <f>J451*L451</f>
        <v>810</v>
      </c>
      <c r="N451" s="347" t="s">
        <v>2564</v>
      </c>
      <c r="O451" s="339" t="s">
        <v>2565</v>
      </c>
    </row>
    <row r="452">
      <c r="A452" s="369"/>
      <c r="B452" s="48"/>
      <c r="C452" s="48"/>
      <c r="D452" s="48"/>
      <c r="E452" s="48"/>
      <c r="F452" s="48"/>
      <c r="G452" s="48"/>
      <c r="H452" s="336" t="s">
        <v>1941</v>
      </c>
      <c r="I452" s="339" t="s">
        <v>1949</v>
      </c>
      <c r="J452" s="342" t="s">
        <v>92</v>
      </c>
      <c r="K452" s="342" t="s">
        <v>838</v>
      </c>
      <c r="L452" s="373">
        <v>0.05</v>
      </c>
      <c r="M452" s="352">
        <v>40.5</v>
      </c>
      <c r="N452" s="347" t="s">
        <v>1941</v>
      </c>
      <c r="O452" s="339" t="s">
        <v>2288</v>
      </c>
    </row>
    <row r="453">
      <c r="A453" s="342">
        <v>193.0</v>
      </c>
      <c r="B453" s="348">
        <v>43.0</v>
      </c>
      <c r="C453" s="350">
        <v>46115.0</v>
      </c>
      <c r="D453" s="348" t="s">
        <v>2566</v>
      </c>
      <c r="E453" s="350">
        <v>46134.0</v>
      </c>
      <c r="F453" s="351">
        <v>1045.0</v>
      </c>
      <c r="G453" s="403">
        <v>46126.0</v>
      </c>
      <c r="H453" s="336" t="s">
        <v>2503</v>
      </c>
      <c r="I453" s="339" t="s">
        <v>2084</v>
      </c>
      <c r="J453" s="342">
        <v>720.0</v>
      </c>
      <c r="K453" s="342" t="s">
        <v>391</v>
      </c>
      <c r="L453" s="346">
        <v>430.0</v>
      </c>
      <c r="M453" s="105">
        <f>J453*L453</f>
        <v>309600</v>
      </c>
      <c r="N453" s="347" t="s">
        <v>2504</v>
      </c>
      <c r="O453" s="339" t="s">
        <v>2567</v>
      </c>
    </row>
    <row r="454">
      <c r="A454" s="369"/>
      <c r="B454" s="48"/>
      <c r="C454" s="48"/>
      <c r="D454" s="48"/>
      <c r="E454" s="48"/>
      <c r="F454" s="48"/>
      <c r="G454" s="48"/>
      <c r="H454" s="336" t="s">
        <v>1941</v>
      </c>
      <c r="I454" s="339" t="s">
        <v>1949</v>
      </c>
      <c r="J454" s="342" t="s">
        <v>92</v>
      </c>
      <c r="K454" s="342" t="s">
        <v>838</v>
      </c>
      <c r="L454" s="373">
        <v>0.05</v>
      </c>
      <c r="M454" s="352">
        <v>15480.0</v>
      </c>
      <c r="N454" s="347" t="s">
        <v>1941</v>
      </c>
      <c r="O454" s="339" t="s">
        <v>2300</v>
      </c>
    </row>
    <row r="455">
      <c r="A455" s="342">
        <v>194.0</v>
      </c>
      <c r="B455" s="348">
        <v>26.0</v>
      </c>
      <c r="C455" s="350">
        <v>46124.0</v>
      </c>
      <c r="D455" s="348" t="s">
        <v>2568</v>
      </c>
      <c r="E455" s="350">
        <v>46135.0</v>
      </c>
      <c r="F455" s="351">
        <v>1045.0</v>
      </c>
      <c r="G455" s="403">
        <v>46126.0</v>
      </c>
      <c r="H455" s="336" t="s">
        <v>2569</v>
      </c>
      <c r="I455" s="339" t="s">
        <v>1401</v>
      </c>
      <c r="J455" s="342">
        <v>40.0</v>
      </c>
      <c r="K455" s="342" t="s">
        <v>156</v>
      </c>
      <c r="L455" s="346">
        <v>10680.0</v>
      </c>
      <c r="M455" s="352">
        <v>10680.0</v>
      </c>
      <c r="N455" s="347" t="s">
        <v>2570</v>
      </c>
      <c r="O455" s="339" t="s">
        <v>2571</v>
      </c>
    </row>
    <row r="456">
      <c r="A456" s="369"/>
      <c r="B456" s="48"/>
      <c r="C456" s="48"/>
      <c r="D456" s="48"/>
      <c r="E456" s="48"/>
      <c r="F456" s="48"/>
      <c r="G456" s="48"/>
      <c r="H456" s="336" t="s">
        <v>2572</v>
      </c>
      <c r="I456" s="339" t="s">
        <v>1401</v>
      </c>
      <c r="J456" s="342">
        <v>40.0</v>
      </c>
      <c r="K456" s="342" t="s">
        <v>156</v>
      </c>
      <c r="L456" s="346">
        <v>1280.0</v>
      </c>
      <c r="M456" s="352">
        <v>1280.0</v>
      </c>
      <c r="N456" s="347" t="s">
        <v>2570</v>
      </c>
      <c r="O456" s="339" t="s">
        <v>2571</v>
      </c>
    </row>
    <row r="457">
      <c r="A457" s="342">
        <v>195.0</v>
      </c>
      <c r="B457" s="348">
        <v>3.4075992E7</v>
      </c>
      <c r="C457" s="365">
        <v>46115.0</v>
      </c>
      <c r="D457" s="348" t="s">
        <v>2573</v>
      </c>
      <c r="E457" s="350">
        <v>46128.0</v>
      </c>
      <c r="F457" s="351" t="s">
        <v>92</v>
      </c>
      <c r="G457" s="400" t="s">
        <v>92</v>
      </c>
      <c r="H457" s="336" t="s">
        <v>2574</v>
      </c>
      <c r="I457" s="339" t="s">
        <v>1592</v>
      </c>
      <c r="J457" s="342">
        <v>56524.0</v>
      </c>
      <c r="K457" s="342" t="s">
        <v>2575</v>
      </c>
      <c r="L457" s="346">
        <v>2.66</v>
      </c>
      <c r="M457" s="105">
        <f>J457*L457</f>
        <v>150353.84</v>
      </c>
      <c r="N457" s="347" t="s">
        <v>2576</v>
      </c>
      <c r="O457" s="339" t="s">
        <v>2577</v>
      </c>
    </row>
    <row r="458">
      <c r="A458" s="369"/>
      <c r="B458" s="48"/>
      <c r="C458" s="48"/>
      <c r="D458" s="48"/>
      <c r="E458" s="48"/>
      <c r="F458" s="48"/>
      <c r="G458" s="48"/>
      <c r="H458" s="336" t="s">
        <v>1941</v>
      </c>
      <c r="I458" s="339" t="s">
        <v>1949</v>
      </c>
      <c r="J458" s="342" t="s">
        <v>1941</v>
      </c>
      <c r="K458" s="342" t="s">
        <v>92</v>
      </c>
      <c r="L458" s="346" t="s">
        <v>838</v>
      </c>
      <c r="M458" s="352">
        <v>7517.69</v>
      </c>
      <c r="N458" s="347" t="s">
        <v>1941</v>
      </c>
      <c r="O458" s="339" t="s">
        <v>2288</v>
      </c>
    </row>
    <row r="459">
      <c r="A459" s="342">
        <v>196.0</v>
      </c>
      <c r="B459" s="339">
        <v>417397.0</v>
      </c>
      <c r="C459" s="345">
        <v>46118.0</v>
      </c>
      <c r="D459" s="339" t="s">
        <v>2578</v>
      </c>
      <c r="E459" s="345">
        <v>46135.0</v>
      </c>
      <c r="F459" s="342">
        <v>220.0</v>
      </c>
      <c r="G459" s="336" t="s">
        <v>25</v>
      </c>
      <c r="H459" s="336" t="s">
        <v>36</v>
      </c>
      <c r="I459" s="339" t="s">
        <v>24</v>
      </c>
      <c r="J459" s="342">
        <v>220.0</v>
      </c>
      <c r="K459" s="342" t="s">
        <v>25</v>
      </c>
      <c r="L459" s="346">
        <v>98.0</v>
      </c>
      <c r="M459" s="105">
        <f>J459*L459</f>
        <v>21560</v>
      </c>
      <c r="N459" s="347" t="s">
        <v>2579</v>
      </c>
      <c r="O459" s="339" t="s">
        <v>2580</v>
      </c>
    </row>
    <row r="460">
      <c r="A460" s="342">
        <v>197.0</v>
      </c>
      <c r="B460" s="339">
        <v>1.0475194E7</v>
      </c>
      <c r="C460" s="345">
        <v>46118.0</v>
      </c>
      <c r="D460" s="339" t="s">
        <v>2578</v>
      </c>
      <c r="E460" s="345">
        <v>46135.0</v>
      </c>
      <c r="F460" s="342">
        <v>1042.0</v>
      </c>
      <c r="G460" s="404">
        <v>46118.0</v>
      </c>
      <c r="H460" s="336" t="s">
        <v>2259</v>
      </c>
      <c r="I460" s="339" t="s">
        <v>24</v>
      </c>
      <c r="J460" s="342">
        <v>2200.0</v>
      </c>
      <c r="K460" s="342" t="s">
        <v>25</v>
      </c>
      <c r="L460" s="346">
        <v>93.63</v>
      </c>
      <c r="M460" s="352">
        <v>205983.0</v>
      </c>
      <c r="N460" s="347" t="s">
        <v>91</v>
      </c>
      <c r="O460" s="339" t="s">
        <v>2580</v>
      </c>
    </row>
    <row r="461">
      <c r="A461" s="342">
        <v>198.0</v>
      </c>
      <c r="B461" s="339">
        <v>402.0</v>
      </c>
      <c r="C461" s="345">
        <v>46118.0</v>
      </c>
      <c r="D461" s="339" t="s">
        <v>2578</v>
      </c>
      <c r="E461" s="345">
        <v>46135.0</v>
      </c>
      <c r="F461" s="342">
        <v>1042.0</v>
      </c>
      <c r="G461" s="404">
        <v>46118.0</v>
      </c>
      <c r="H461" s="336" t="s">
        <v>38</v>
      </c>
      <c r="I461" s="339" t="s">
        <v>24</v>
      </c>
      <c r="J461" s="342">
        <v>480.0</v>
      </c>
      <c r="K461" s="342" t="s">
        <v>25</v>
      </c>
      <c r="L461" s="346">
        <v>20.0</v>
      </c>
      <c r="M461" s="105">
        <f t="shared" ref="M461:M463" si="47">J461*L461</f>
        <v>9600</v>
      </c>
      <c r="N461" s="347" t="s">
        <v>2581</v>
      </c>
      <c r="O461" s="339" t="s">
        <v>2580</v>
      </c>
    </row>
    <row r="462">
      <c r="A462" s="342">
        <v>199.0</v>
      </c>
      <c r="B462" s="339">
        <v>693.0</v>
      </c>
      <c r="C462" s="345">
        <v>46118.0</v>
      </c>
      <c r="D462" s="339" t="s">
        <v>2578</v>
      </c>
      <c r="E462" s="345">
        <v>46135.0</v>
      </c>
      <c r="F462" s="342">
        <v>1042.0</v>
      </c>
      <c r="G462" s="404">
        <v>46118.0</v>
      </c>
      <c r="H462" s="336" t="s">
        <v>2582</v>
      </c>
      <c r="I462" s="339" t="s">
        <v>24</v>
      </c>
      <c r="J462" s="342">
        <v>420.0</v>
      </c>
      <c r="K462" s="342" t="s">
        <v>25</v>
      </c>
      <c r="L462" s="346">
        <v>48.0</v>
      </c>
      <c r="M462" s="105">
        <f t="shared" si="47"/>
        <v>20160</v>
      </c>
      <c r="N462" s="347" t="s">
        <v>2583</v>
      </c>
      <c r="O462" s="339" t="s">
        <v>2580</v>
      </c>
    </row>
    <row r="463">
      <c r="A463" s="342">
        <v>200.0</v>
      </c>
      <c r="B463" s="339">
        <v>446322.0</v>
      </c>
      <c r="C463" s="345">
        <v>46125.0</v>
      </c>
      <c r="D463" s="339" t="s">
        <v>2584</v>
      </c>
      <c r="E463" s="345">
        <v>46135.0</v>
      </c>
      <c r="F463" s="342">
        <v>440.0</v>
      </c>
      <c r="G463" s="405">
        <v>46135.0</v>
      </c>
      <c r="H463" s="336" t="s">
        <v>2585</v>
      </c>
      <c r="I463" s="339" t="s">
        <v>24</v>
      </c>
      <c r="J463" s="342">
        <v>440.0</v>
      </c>
      <c r="K463" s="342" t="s">
        <v>25</v>
      </c>
      <c r="L463" s="346">
        <v>98.0</v>
      </c>
      <c r="M463" s="105">
        <f t="shared" si="47"/>
        <v>43120</v>
      </c>
      <c r="N463" s="347" t="s">
        <v>2579</v>
      </c>
      <c r="O463" s="339" t="s">
        <v>2586</v>
      </c>
    </row>
    <row r="464">
      <c r="A464" s="342">
        <v>201.0</v>
      </c>
      <c r="B464" s="339">
        <v>1.0508486E7</v>
      </c>
      <c r="C464" s="345">
        <v>46125.0</v>
      </c>
      <c r="D464" s="339" t="s">
        <v>2584</v>
      </c>
      <c r="E464" s="345">
        <v>46135.0</v>
      </c>
      <c r="F464" s="342">
        <v>1044.0</v>
      </c>
      <c r="G464" s="405">
        <v>46125.0</v>
      </c>
      <c r="H464" s="336" t="s">
        <v>2259</v>
      </c>
      <c r="I464" s="339" t="s">
        <v>24</v>
      </c>
      <c r="J464" s="342">
        <v>2200.0</v>
      </c>
      <c r="K464" s="342" t="s">
        <v>25</v>
      </c>
      <c r="L464" s="396">
        <v>93.63</v>
      </c>
      <c r="M464" s="352">
        <v>205983.0</v>
      </c>
      <c r="N464" s="347" t="s">
        <v>91</v>
      </c>
      <c r="O464" s="339" t="s">
        <v>2586</v>
      </c>
    </row>
    <row r="465">
      <c r="A465" s="342">
        <v>202.0</v>
      </c>
      <c r="B465" s="348">
        <v>1.0536142E7</v>
      </c>
      <c r="C465" s="350">
        <v>46131.0</v>
      </c>
      <c r="D465" s="348" t="s">
        <v>2587</v>
      </c>
      <c r="E465" s="350">
        <v>46135.0</v>
      </c>
      <c r="F465" s="351">
        <v>1047.0</v>
      </c>
      <c r="G465" s="403">
        <v>46131.0</v>
      </c>
      <c r="H465" s="336" t="s">
        <v>2259</v>
      </c>
      <c r="I465" s="339" t="s">
        <v>24</v>
      </c>
      <c r="J465" s="342">
        <v>2200.0</v>
      </c>
      <c r="K465" s="342" t="s">
        <v>25</v>
      </c>
      <c r="L465" s="346">
        <v>93.63</v>
      </c>
      <c r="M465" s="352">
        <v>205982.86</v>
      </c>
      <c r="N465" s="347" t="s">
        <v>2588</v>
      </c>
      <c r="O465" s="339" t="s">
        <v>2586</v>
      </c>
    </row>
    <row r="466">
      <c r="A466" s="369"/>
      <c r="B466" s="48"/>
      <c r="C466" s="48"/>
      <c r="D466" s="48"/>
      <c r="E466" s="48"/>
      <c r="F466" s="48"/>
      <c r="G466" s="48"/>
      <c r="H466" s="336" t="s">
        <v>1941</v>
      </c>
      <c r="I466" s="339" t="s">
        <v>1949</v>
      </c>
      <c r="J466" s="342" t="s">
        <v>92</v>
      </c>
      <c r="K466" s="342" t="s">
        <v>838</v>
      </c>
      <c r="L466" s="373">
        <v>0.05</v>
      </c>
      <c r="M466" s="352">
        <v>10299.14</v>
      </c>
      <c r="N466" s="347" t="s">
        <v>1941</v>
      </c>
      <c r="O466" s="339" t="s">
        <v>2288</v>
      </c>
    </row>
    <row r="467">
      <c r="A467" s="342">
        <v>203.0</v>
      </c>
      <c r="B467" s="348">
        <v>62.0</v>
      </c>
      <c r="C467" s="350">
        <v>46125.0</v>
      </c>
      <c r="D467" s="348" t="s">
        <v>2589</v>
      </c>
      <c r="E467" s="350">
        <v>46135.0</v>
      </c>
      <c r="F467" s="351">
        <v>1045.0</v>
      </c>
      <c r="G467" s="403">
        <v>46126.0</v>
      </c>
      <c r="H467" s="336" t="s">
        <v>902</v>
      </c>
      <c r="I467" s="339" t="s">
        <v>547</v>
      </c>
      <c r="J467" s="342">
        <v>10.0</v>
      </c>
      <c r="K467" s="342" t="s">
        <v>156</v>
      </c>
      <c r="L467" s="346">
        <v>200.0</v>
      </c>
      <c r="M467" s="105">
        <f>J467*L467</f>
        <v>2000</v>
      </c>
      <c r="N467" s="347" t="s">
        <v>2590</v>
      </c>
      <c r="O467" s="339" t="s">
        <v>2591</v>
      </c>
    </row>
    <row r="468">
      <c r="A468" s="342">
        <v>204.0</v>
      </c>
      <c r="B468" s="48"/>
      <c r="C468" s="48"/>
      <c r="D468" s="48"/>
      <c r="E468" s="48"/>
      <c r="F468" s="48"/>
      <c r="G468" s="47"/>
      <c r="H468" s="336" t="s">
        <v>1941</v>
      </c>
      <c r="I468" s="339" t="s">
        <v>1949</v>
      </c>
      <c r="J468" s="342" t="s">
        <v>92</v>
      </c>
      <c r="K468" s="342" t="s">
        <v>838</v>
      </c>
      <c r="L468" s="373">
        <v>0.05</v>
      </c>
      <c r="M468" s="352">
        <v>100.0</v>
      </c>
      <c r="N468" s="347" t="s">
        <v>1941</v>
      </c>
      <c r="O468" s="339" t="s">
        <v>2288</v>
      </c>
    </row>
    <row r="469">
      <c r="A469" s="342">
        <v>205.0</v>
      </c>
      <c r="B469" s="348">
        <v>23.0</v>
      </c>
      <c r="C469" s="350">
        <v>46121.0</v>
      </c>
      <c r="D469" s="348" t="s">
        <v>2592</v>
      </c>
      <c r="E469" s="350">
        <v>46135.0</v>
      </c>
      <c r="F469" s="351">
        <v>1048.0</v>
      </c>
      <c r="G469" s="406">
        <v>46131.0</v>
      </c>
      <c r="H469" s="336" t="s">
        <v>2593</v>
      </c>
      <c r="I469" s="339" t="s">
        <v>2594</v>
      </c>
      <c r="J469" s="342">
        <v>15.0</v>
      </c>
      <c r="K469" s="342" t="s">
        <v>156</v>
      </c>
      <c r="L469" s="346">
        <v>11000.0</v>
      </c>
      <c r="M469" s="105">
        <f>J469*L469</f>
        <v>165000</v>
      </c>
      <c r="N469" s="347" t="s">
        <v>2595</v>
      </c>
      <c r="O469" s="339" t="s">
        <v>2596</v>
      </c>
    </row>
    <row r="470">
      <c r="A470" s="369"/>
      <c r="B470" s="48"/>
      <c r="C470" s="48"/>
      <c r="D470" s="48"/>
      <c r="E470" s="48"/>
      <c r="F470" s="48"/>
      <c r="G470" s="48"/>
      <c r="H470" s="336" t="s">
        <v>1941</v>
      </c>
      <c r="I470" s="339" t="s">
        <v>1949</v>
      </c>
      <c r="J470" s="342" t="s">
        <v>92</v>
      </c>
      <c r="K470" s="342" t="s">
        <v>838</v>
      </c>
      <c r="L470" s="373">
        <v>0.05</v>
      </c>
      <c r="M470" s="352">
        <v>8250.0</v>
      </c>
      <c r="N470" s="347" t="s">
        <v>1941</v>
      </c>
      <c r="O470" s="339" t="s">
        <v>2288</v>
      </c>
    </row>
    <row r="471">
      <c r="A471" s="342">
        <v>206.0</v>
      </c>
      <c r="B471" s="348">
        <v>7201.0</v>
      </c>
      <c r="C471" s="350">
        <v>46085.0</v>
      </c>
      <c r="D471" s="348" t="s">
        <v>2182</v>
      </c>
      <c r="E471" s="350">
        <v>46097.0</v>
      </c>
      <c r="F471" s="351">
        <v>1025.0</v>
      </c>
      <c r="G471" s="390">
        <v>46085.0</v>
      </c>
      <c r="H471" s="336" t="s">
        <v>36</v>
      </c>
      <c r="I471" s="339" t="s">
        <v>24</v>
      </c>
      <c r="J471" s="342">
        <v>220.0</v>
      </c>
      <c r="K471" s="342" t="s">
        <v>25</v>
      </c>
      <c r="L471" s="346">
        <v>63.29</v>
      </c>
      <c r="M471" s="105">
        <f t="shared" ref="M471:M472" si="48">J471*L471</f>
        <v>13923.8</v>
      </c>
      <c r="N471" s="347" t="s">
        <v>1689</v>
      </c>
      <c r="O471" s="339" t="s">
        <v>2597</v>
      </c>
    </row>
    <row r="472">
      <c r="A472" s="369"/>
      <c r="B472" s="47"/>
      <c r="C472" s="47"/>
      <c r="D472" s="47"/>
      <c r="E472" s="47"/>
      <c r="F472" s="47"/>
      <c r="G472" s="47"/>
      <c r="H472" s="336" t="s">
        <v>2259</v>
      </c>
      <c r="I472" s="339" t="s">
        <v>24</v>
      </c>
      <c r="J472" s="342">
        <v>2640.0</v>
      </c>
      <c r="K472" s="342" t="s">
        <v>25</v>
      </c>
      <c r="L472" s="346">
        <v>70.18</v>
      </c>
      <c r="M472" s="105">
        <f t="shared" si="48"/>
        <v>185275.2</v>
      </c>
      <c r="N472" s="347" t="s">
        <v>1689</v>
      </c>
      <c r="O472" s="339" t="s">
        <v>2597</v>
      </c>
    </row>
    <row r="473">
      <c r="A473" s="369"/>
      <c r="B473" s="48"/>
      <c r="C473" s="48"/>
      <c r="D473" s="48"/>
      <c r="E473" s="48"/>
      <c r="F473" s="48"/>
      <c r="G473" s="48"/>
      <c r="H473" s="336"/>
      <c r="I473" s="339"/>
      <c r="J473" s="342"/>
      <c r="K473" s="342"/>
      <c r="L473" s="373"/>
      <c r="M473" s="352"/>
      <c r="N473" s="347"/>
      <c r="O473" s="339"/>
    </row>
    <row r="474">
      <c r="A474" s="342">
        <v>207.0</v>
      </c>
      <c r="B474" s="339">
        <v>15425.0</v>
      </c>
      <c r="C474" s="345">
        <v>46089.0</v>
      </c>
      <c r="D474" s="339" t="s">
        <v>2182</v>
      </c>
      <c r="E474" s="345">
        <v>46097.0</v>
      </c>
      <c r="F474" s="342">
        <v>1027.0</v>
      </c>
      <c r="G474" s="398">
        <v>46089.0</v>
      </c>
      <c r="H474" s="336" t="s">
        <v>2598</v>
      </c>
      <c r="I474" s="339" t="s">
        <v>24</v>
      </c>
      <c r="J474" s="342">
        <v>2860.0</v>
      </c>
      <c r="K474" s="342" t="s">
        <v>25</v>
      </c>
      <c r="L474" s="346">
        <v>70.06</v>
      </c>
      <c r="M474" s="105">
        <f t="shared" ref="M474:M515" si="49">J474*L474</f>
        <v>200371.6</v>
      </c>
      <c r="N474" s="347" t="s">
        <v>1689</v>
      </c>
      <c r="O474" s="339" t="s">
        <v>2597</v>
      </c>
    </row>
    <row r="475">
      <c r="A475" s="342">
        <v>208.0</v>
      </c>
      <c r="B475" s="339">
        <v>15428.0</v>
      </c>
      <c r="C475" s="345">
        <v>46089.0</v>
      </c>
      <c r="D475" s="339" t="s">
        <v>2182</v>
      </c>
      <c r="E475" s="345">
        <v>46097.0</v>
      </c>
      <c r="F475" s="342">
        <v>1027.0</v>
      </c>
      <c r="G475" s="398">
        <v>46089.0</v>
      </c>
      <c r="H475" s="336" t="s">
        <v>2585</v>
      </c>
      <c r="I475" s="339" t="s">
        <v>24</v>
      </c>
      <c r="J475" s="342">
        <v>220.0</v>
      </c>
      <c r="K475" s="342" t="s">
        <v>25</v>
      </c>
      <c r="L475" s="396">
        <v>63.17</v>
      </c>
      <c r="M475" s="105">
        <f t="shared" si="49"/>
        <v>13897.4</v>
      </c>
      <c r="N475" s="347" t="s">
        <v>1689</v>
      </c>
      <c r="O475" s="339" t="s">
        <v>2597</v>
      </c>
    </row>
    <row r="476">
      <c r="A476" s="342">
        <v>209.0</v>
      </c>
      <c r="B476" s="339">
        <v>59.0</v>
      </c>
      <c r="C476" s="345">
        <v>46014.0</v>
      </c>
      <c r="D476" s="339" t="s">
        <v>2599</v>
      </c>
      <c r="E476" s="345">
        <v>46149.0</v>
      </c>
      <c r="F476" s="342">
        <v>888.0</v>
      </c>
      <c r="G476" s="395">
        <v>46015.0</v>
      </c>
      <c r="H476" s="336" t="s">
        <v>2600</v>
      </c>
      <c r="I476" s="339" t="s">
        <v>55</v>
      </c>
      <c r="J476" s="342">
        <v>472.5</v>
      </c>
      <c r="K476" s="342" t="s">
        <v>2601</v>
      </c>
      <c r="L476" s="346">
        <v>334.0</v>
      </c>
      <c r="M476" s="105">
        <f t="shared" si="49"/>
        <v>157815</v>
      </c>
      <c r="N476" s="347" t="s">
        <v>2602</v>
      </c>
      <c r="O476" s="339" t="s">
        <v>2603</v>
      </c>
    </row>
    <row r="477">
      <c r="A477" s="342">
        <v>210.0</v>
      </c>
      <c r="B477" s="348">
        <v>60.0</v>
      </c>
      <c r="C477" s="350">
        <v>46032.0</v>
      </c>
      <c r="D477" s="348" t="s">
        <v>2599</v>
      </c>
      <c r="E477" s="350">
        <v>46149.0</v>
      </c>
      <c r="F477" s="351">
        <v>1012.0</v>
      </c>
      <c r="G477" s="394">
        <v>46058.0</v>
      </c>
      <c r="H477" s="336" t="s">
        <v>2604</v>
      </c>
      <c r="I477" s="339" t="s">
        <v>55</v>
      </c>
      <c r="J477" s="342">
        <v>299.27</v>
      </c>
      <c r="K477" s="342" t="s">
        <v>1168</v>
      </c>
      <c r="L477" s="346">
        <v>334.0</v>
      </c>
      <c r="M477" s="105">
        <f t="shared" si="49"/>
        <v>99956.18</v>
      </c>
      <c r="N477" s="347" t="s">
        <v>2602</v>
      </c>
      <c r="O477" s="339" t="s">
        <v>2603</v>
      </c>
    </row>
    <row r="478">
      <c r="A478" s="369"/>
      <c r="B478" s="48"/>
      <c r="C478" s="48"/>
      <c r="D478" s="48"/>
      <c r="E478" s="48"/>
      <c r="F478" s="48"/>
      <c r="G478" s="48"/>
      <c r="H478" s="336" t="s">
        <v>2605</v>
      </c>
      <c r="I478" s="339" t="s">
        <v>55</v>
      </c>
      <c r="J478" s="342">
        <v>230.66</v>
      </c>
      <c r="K478" s="342" t="s">
        <v>1168</v>
      </c>
      <c r="L478" s="346">
        <v>334.0</v>
      </c>
      <c r="M478" s="105">
        <f t="shared" si="49"/>
        <v>77040.44</v>
      </c>
      <c r="N478" s="347" t="s">
        <v>2602</v>
      </c>
      <c r="O478" s="339" t="s">
        <v>2603</v>
      </c>
    </row>
    <row r="479">
      <c r="A479" s="342">
        <v>211.0</v>
      </c>
      <c r="B479" s="339">
        <v>61.0</v>
      </c>
      <c r="C479" s="345">
        <v>46039.0</v>
      </c>
      <c r="D479" s="339" t="s">
        <v>2599</v>
      </c>
      <c r="E479" s="345">
        <v>46149.0</v>
      </c>
      <c r="F479" s="342">
        <v>1012.0</v>
      </c>
      <c r="G479" s="398">
        <v>46058.0</v>
      </c>
      <c r="H479" s="393" t="s">
        <v>2606</v>
      </c>
      <c r="I479" s="339" t="s">
        <v>55</v>
      </c>
      <c r="J479" s="342">
        <v>641.23</v>
      </c>
      <c r="K479" s="342" t="s">
        <v>2601</v>
      </c>
      <c r="L479" s="346">
        <v>334.0</v>
      </c>
      <c r="M479" s="105">
        <f t="shared" si="49"/>
        <v>214170.82</v>
      </c>
      <c r="N479" s="347" t="s">
        <v>2602</v>
      </c>
      <c r="O479" s="339" t="s">
        <v>2603</v>
      </c>
    </row>
    <row r="480">
      <c r="A480" s="342">
        <v>212.0</v>
      </c>
      <c r="B480" s="339">
        <v>62.0</v>
      </c>
      <c r="C480" s="345">
        <v>46043.0</v>
      </c>
      <c r="D480" s="339" t="s">
        <v>2599</v>
      </c>
      <c r="E480" s="345">
        <v>46149.0</v>
      </c>
      <c r="F480" s="342">
        <v>1012.0</v>
      </c>
      <c r="G480" s="398">
        <v>46058.0</v>
      </c>
      <c r="H480" s="393" t="s">
        <v>2607</v>
      </c>
      <c r="I480" s="339" t="s">
        <v>55</v>
      </c>
      <c r="J480" s="342">
        <v>418.98</v>
      </c>
      <c r="K480" s="342" t="s">
        <v>2601</v>
      </c>
      <c r="L480" s="346">
        <v>334.0</v>
      </c>
      <c r="M480" s="105">
        <f t="shared" si="49"/>
        <v>139939.32</v>
      </c>
      <c r="N480" s="347" t="s">
        <v>2602</v>
      </c>
      <c r="O480" s="339" t="s">
        <v>2603</v>
      </c>
    </row>
    <row r="481">
      <c r="A481" s="342">
        <v>213.0</v>
      </c>
      <c r="B481" s="401">
        <v>63.0</v>
      </c>
      <c r="C481" s="350">
        <v>46053.0</v>
      </c>
      <c r="D481" s="348" t="s">
        <v>2599</v>
      </c>
      <c r="E481" s="350">
        <v>46149.0</v>
      </c>
      <c r="F481" s="351">
        <v>1012.0</v>
      </c>
      <c r="G481" s="394">
        <v>46058.0</v>
      </c>
      <c r="H481" s="393" t="s">
        <v>2608</v>
      </c>
      <c r="I481" s="339" t="s">
        <v>55</v>
      </c>
      <c r="J481" s="342">
        <v>10.0</v>
      </c>
      <c r="K481" s="342" t="s">
        <v>2601</v>
      </c>
      <c r="L481" s="346">
        <v>334.0</v>
      </c>
      <c r="M481" s="105">
        <f t="shared" si="49"/>
        <v>3340</v>
      </c>
      <c r="N481" s="347" t="s">
        <v>2602</v>
      </c>
      <c r="O481" s="339" t="s">
        <v>2603</v>
      </c>
    </row>
    <row r="482">
      <c r="A482" s="369"/>
      <c r="B482" s="47"/>
      <c r="C482" s="47"/>
      <c r="D482" s="47"/>
      <c r="E482" s="47"/>
      <c r="F482" s="47"/>
      <c r="G482" s="47"/>
      <c r="H482" s="336" t="s">
        <v>2609</v>
      </c>
      <c r="I482" s="339" t="s">
        <v>55</v>
      </c>
      <c r="J482" s="342">
        <v>5.0</v>
      </c>
      <c r="K482" s="342" t="s">
        <v>2601</v>
      </c>
      <c r="L482" s="346">
        <v>334.0</v>
      </c>
      <c r="M482" s="105">
        <f t="shared" si="49"/>
        <v>1670</v>
      </c>
      <c r="N482" s="347" t="s">
        <v>2602</v>
      </c>
      <c r="O482" s="339" t="s">
        <v>2603</v>
      </c>
    </row>
    <row r="483">
      <c r="A483" s="369"/>
      <c r="B483" s="47"/>
      <c r="C483" s="47"/>
      <c r="D483" s="47"/>
      <c r="E483" s="47"/>
      <c r="F483" s="47"/>
      <c r="G483" s="47"/>
      <c r="H483" s="393" t="s">
        <v>2610</v>
      </c>
      <c r="I483" s="339" t="s">
        <v>55</v>
      </c>
      <c r="J483" s="342">
        <v>15.63</v>
      </c>
      <c r="K483" s="342" t="s">
        <v>2601</v>
      </c>
      <c r="L483" s="346">
        <v>334.0</v>
      </c>
      <c r="M483" s="105">
        <f t="shared" si="49"/>
        <v>5220.42</v>
      </c>
      <c r="N483" s="347" t="s">
        <v>2602</v>
      </c>
      <c r="O483" s="339" t="s">
        <v>2603</v>
      </c>
    </row>
    <row r="484">
      <c r="A484" s="369"/>
      <c r="B484" s="47"/>
      <c r="C484" s="47"/>
      <c r="D484" s="47"/>
      <c r="E484" s="47"/>
      <c r="F484" s="47"/>
      <c r="G484" s="47"/>
      <c r="H484" s="336" t="s">
        <v>2611</v>
      </c>
      <c r="I484" s="339" t="s">
        <v>55</v>
      </c>
      <c r="J484" s="342">
        <v>28.6</v>
      </c>
      <c r="K484" s="342" t="s">
        <v>2601</v>
      </c>
      <c r="L484" s="346">
        <v>334.0</v>
      </c>
      <c r="M484" s="105">
        <f t="shared" si="49"/>
        <v>9552.4</v>
      </c>
      <c r="N484" s="347" t="s">
        <v>2602</v>
      </c>
      <c r="O484" s="339" t="s">
        <v>2603</v>
      </c>
    </row>
    <row r="485">
      <c r="A485" s="369"/>
      <c r="B485" s="47"/>
      <c r="C485" s="47"/>
      <c r="D485" s="47"/>
      <c r="E485" s="47"/>
      <c r="F485" s="47"/>
      <c r="G485" s="47"/>
      <c r="H485" s="336" t="s">
        <v>2612</v>
      </c>
      <c r="I485" s="339" t="s">
        <v>55</v>
      </c>
      <c r="J485" s="342">
        <v>10.56</v>
      </c>
      <c r="K485" s="342" t="s">
        <v>2601</v>
      </c>
      <c r="L485" s="346">
        <v>334.0</v>
      </c>
      <c r="M485" s="105">
        <f t="shared" si="49"/>
        <v>3527.04</v>
      </c>
      <c r="N485" s="347" t="s">
        <v>2613</v>
      </c>
      <c r="O485" s="339" t="s">
        <v>2603</v>
      </c>
    </row>
    <row r="486">
      <c r="A486" s="369"/>
      <c r="B486" s="47"/>
      <c r="C486" s="47"/>
      <c r="D486" s="47"/>
      <c r="E486" s="47"/>
      <c r="F486" s="47"/>
      <c r="G486" s="47"/>
      <c r="H486" s="336" t="s">
        <v>2614</v>
      </c>
      <c r="I486" s="339" t="s">
        <v>55</v>
      </c>
      <c r="J486" s="342">
        <v>42.29</v>
      </c>
      <c r="K486" s="342" t="s">
        <v>2601</v>
      </c>
      <c r="L486" s="346">
        <v>334.0</v>
      </c>
      <c r="M486" s="105">
        <f t="shared" si="49"/>
        <v>14124.86</v>
      </c>
      <c r="N486" s="347" t="s">
        <v>2602</v>
      </c>
      <c r="O486" s="339" t="s">
        <v>2603</v>
      </c>
    </row>
    <row r="487">
      <c r="A487" s="369"/>
      <c r="B487" s="47"/>
      <c r="C487" s="47"/>
      <c r="D487" s="47"/>
      <c r="E487" s="47"/>
      <c r="F487" s="47"/>
      <c r="G487" s="47"/>
      <c r="H487" s="336" t="s">
        <v>2615</v>
      </c>
      <c r="I487" s="339" t="s">
        <v>55</v>
      </c>
      <c r="J487" s="342">
        <v>2.71</v>
      </c>
      <c r="K487" s="342" t="s">
        <v>2601</v>
      </c>
      <c r="L487" s="346">
        <v>334.0</v>
      </c>
      <c r="M487" s="105">
        <f t="shared" si="49"/>
        <v>905.14</v>
      </c>
      <c r="N487" s="347" t="s">
        <v>2602</v>
      </c>
      <c r="O487" s="339" t="s">
        <v>2603</v>
      </c>
    </row>
    <row r="488">
      <c r="A488" s="369"/>
      <c r="B488" s="47"/>
      <c r="C488" s="47"/>
      <c r="D488" s="47"/>
      <c r="E488" s="47"/>
      <c r="F488" s="47"/>
      <c r="G488" s="47"/>
      <c r="H488" s="336" t="s">
        <v>2616</v>
      </c>
      <c r="I488" s="339" t="s">
        <v>55</v>
      </c>
      <c r="J488" s="342">
        <v>2.93</v>
      </c>
      <c r="K488" s="342" t="s">
        <v>2601</v>
      </c>
      <c r="L488" s="346">
        <v>334.0</v>
      </c>
      <c r="M488" s="105">
        <f t="shared" si="49"/>
        <v>978.62</v>
      </c>
      <c r="N488" s="347" t="s">
        <v>2602</v>
      </c>
      <c r="O488" s="339" t="s">
        <v>2603</v>
      </c>
    </row>
    <row r="489">
      <c r="A489" s="369"/>
      <c r="B489" s="47"/>
      <c r="C489" s="47"/>
      <c r="D489" s="47"/>
      <c r="E489" s="47"/>
      <c r="F489" s="47"/>
      <c r="G489" s="47"/>
      <c r="H489" s="336" t="s">
        <v>2617</v>
      </c>
      <c r="I489" s="339" t="s">
        <v>55</v>
      </c>
      <c r="J489" s="342">
        <v>4.38</v>
      </c>
      <c r="K489" s="342" t="s">
        <v>2601</v>
      </c>
      <c r="L489" s="346">
        <v>334.0</v>
      </c>
      <c r="M489" s="105">
        <f t="shared" si="49"/>
        <v>1462.92</v>
      </c>
      <c r="N489" s="347" t="s">
        <v>2602</v>
      </c>
      <c r="O489" s="339" t="s">
        <v>2603</v>
      </c>
    </row>
    <row r="490">
      <c r="A490" s="369"/>
      <c r="B490" s="47"/>
      <c r="C490" s="47"/>
      <c r="D490" s="47"/>
      <c r="E490" s="47"/>
      <c r="F490" s="47"/>
      <c r="G490" s="47"/>
      <c r="H490" s="336" t="s">
        <v>2618</v>
      </c>
      <c r="I490" s="339" t="s">
        <v>55</v>
      </c>
      <c r="J490" s="342">
        <v>29.17</v>
      </c>
      <c r="K490" s="342" t="s">
        <v>2601</v>
      </c>
      <c r="L490" s="346">
        <v>334.0</v>
      </c>
      <c r="M490" s="105">
        <f t="shared" si="49"/>
        <v>9742.78</v>
      </c>
      <c r="N490" s="347" t="s">
        <v>2602</v>
      </c>
      <c r="O490" s="339" t="s">
        <v>2603</v>
      </c>
    </row>
    <row r="491">
      <c r="A491" s="369"/>
      <c r="B491" s="47"/>
      <c r="C491" s="47"/>
      <c r="D491" s="47"/>
      <c r="E491" s="47"/>
      <c r="F491" s="47"/>
      <c r="G491" s="47"/>
      <c r="H491" s="336" t="s">
        <v>2619</v>
      </c>
      <c r="I491" s="339" t="s">
        <v>55</v>
      </c>
      <c r="J491" s="342">
        <v>3.75</v>
      </c>
      <c r="K491" s="342" t="s">
        <v>2601</v>
      </c>
      <c r="L491" s="346">
        <v>334.0</v>
      </c>
      <c r="M491" s="105">
        <f t="shared" si="49"/>
        <v>1252.5</v>
      </c>
      <c r="N491" s="347" t="s">
        <v>2602</v>
      </c>
      <c r="O491" s="339" t="s">
        <v>2603</v>
      </c>
    </row>
    <row r="492">
      <c r="A492" s="369"/>
      <c r="B492" s="47"/>
      <c r="C492" s="47"/>
      <c r="D492" s="47"/>
      <c r="E492" s="47"/>
      <c r="F492" s="47"/>
      <c r="G492" s="47"/>
      <c r="H492" s="336" t="s">
        <v>2620</v>
      </c>
      <c r="I492" s="339" t="s">
        <v>55</v>
      </c>
      <c r="J492" s="342">
        <v>46.25</v>
      </c>
      <c r="K492" s="342" t="s">
        <v>2601</v>
      </c>
      <c r="L492" s="346">
        <v>334.0</v>
      </c>
      <c r="M492" s="105">
        <f t="shared" si="49"/>
        <v>15447.5</v>
      </c>
      <c r="N492" s="347" t="s">
        <v>2602</v>
      </c>
      <c r="O492" s="339" t="s">
        <v>2603</v>
      </c>
    </row>
    <row r="493">
      <c r="A493" s="369"/>
      <c r="B493" s="47"/>
      <c r="C493" s="47"/>
      <c r="D493" s="47"/>
      <c r="E493" s="47"/>
      <c r="F493" s="47"/>
      <c r="G493" s="47"/>
      <c r="H493" s="336" t="s">
        <v>2621</v>
      </c>
      <c r="I493" s="339" t="s">
        <v>55</v>
      </c>
      <c r="J493" s="342">
        <v>9.33</v>
      </c>
      <c r="K493" s="342" t="s">
        <v>2601</v>
      </c>
      <c r="L493" s="346">
        <v>334.0</v>
      </c>
      <c r="M493" s="105">
        <f t="shared" si="49"/>
        <v>3116.22</v>
      </c>
      <c r="N493" s="347" t="s">
        <v>2602</v>
      </c>
      <c r="O493" s="339" t="s">
        <v>2603</v>
      </c>
    </row>
    <row r="494">
      <c r="A494" s="369"/>
      <c r="B494" s="47"/>
      <c r="C494" s="47"/>
      <c r="D494" s="47"/>
      <c r="E494" s="47"/>
      <c r="F494" s="47"/>
      <c r="G494" s="47"/>
      <c r="H494" s="336" t="s">
        <v>2622</v>
      </c>
      <c r="I494" s="339" t="s">
        <v>55</v>
      </c>
      <c r="J494" s="342">
        <v>1.6</v>
      </c>
      <c r="K494" s="342" t="s">
        <v>2601</v>
      </c>
      <c r="L494" s="346">
        <v>334.0</v>
      </c>
      <c r="M494" s="105">
        <f t="shared" si="49"/>
        <v>534.4</v>
      </c>
      <c r="N494" s="347" t="s">
        <v>2602</v>
      </c>
      <c r="O494" s="339" t="s">
        <v>2603</v>
      </c>
    </row>
    <row r="495">
      <c r="A495" s="369"/>
      <c r="B495" s="47"/>
      <c r="C495" s="47"/>
      <c r="D495" s="47"/>
      <c r="E495" s="47"/>
      <c r="F495" s="47"/>
      <c r="G495" s="47"/>
      <c r="H495" s="336" t="s">
        <v>2623</v>
      </c>
      <c r="I495" s="339" t="s">
        <v>55</v>
      </c>
      <c r="J495" s="342">
        <v>1.6</v>
      </c>
      <c r="K495" s="342" t="s">
        <v>2601</v>
      </c>
      <c r="L495" s="346">
        <v>334.0</v>
      </c>
      <c r="M495" s="105">
        <f t="shared" si="49"/>
        <v>534.4</v>
      </c>
      <c r="N495" s="347" t="s">
        <v>2602</v>
      </c>
      <c r="O495" s="339" t="s">
        <v>2603</v>
      </c>
    </row>
    <row r="496">
      <c r="A496" s="369"/>
      <c r="B496" s="47"/>
      <c r="C496" s="47"/>
      <c r="D496" s="47"/>
      <c r="E496" s="47"/>
      <c r="F496" s="47"/>
      <c r="G496" s="47"/>
      <c r="H496" s="336" t="s">
        <v>2624</v>
      </c>
      <c r="I496" s="339" t="s">
        <v>55</v>
      </c>
      <c r="J496" s="342">
        <v>1.25</v>
      </c>
      <c r="K496" s="342" t="s">
        <v>2601</v>
      </c>
      <c r="L496" s="346">
        <v>334.0</v>
      </c>
      <c r="M496" s="105">
        <f t="shared" si="49"/>
        <v>417.5</v>
      </c>
      <c r="N496" s="347" t="s">
        <v>2602</v>
      </c>
      <c r="O496" s="339" t="s">
        <v>2603</v>
      </c>
    </row>
    <row r="497">
      <c r="A497" s="369"/>
      <c r="B497" s="47"/>
      <c r="C497" s="47"/>
      <c r="D497" s="47"/>
      <c r="E497" s="47"/>
      <c r="F497" s="47"/>
      <c r="G497" s="47"/>
      <c r="H497" s="336" t="s">
        <v>2625</v>
      </c>
      <c r="I497" s="339" t="s">
        <v>55</v>
      </c>
      <c r="J497" s="342">
        <v>3.5</v>
      </c>
      <c r="K497" s="342" t="s">
        <v>2601</v>
      </c>
      <c r="L497" s="346">
        <v>334.0</v>
      </c>
      <c r="M497" s="105">
        <f t="shared" si="49"/>
        <v>1169</v>
      </c>
      <c r="N497" s="347" t="s">
        <v>2602</v>
      </c>
      <c r="O497" s="339" t="s">
        <v>2603</v>
      </c>
    </row>
    <row r="498">
      <c r="A498" s="369"/>
      <c r="B498" s="47"/>
      <c r="C498" s="47"/>
      <c r="D498" s="47"/>
      <c r="E498" s="47"/>
      <c r="F498" s="47"/>
      <c r="G498" s="47"/>
      <c r="H498" s="336" t="s">
        <v>2626</v>
      </c>
      <c r="I498" s="339" t="s">
        <v>55</v>
      </c>
      <c r="J498" s="342">
        <v>171.25</v>
      </c>
      <c r="K498" s="342" t="s">
        <v>2601</v>
      </c>
      <c r="L498" s="346">
        <v>334.0</v>
      </c>
      <c r="M498" s="105">
        <f t="shared" si="49"/>
        <v>57197.5</v>
      </c>
      <c r="N498" s="347" t="s">
        <v>2602</v>
      </c>
      <c r="O498" s="339" t="s">
        <v>2603</v>
      </c>
    </row>
    <row r="499">
      <c r="A499" s="369"/>
      <c r="B499" s="47"/>
      <c r="C499" s="47"/>
      <c r="D499" s="47"/>
      <c r="E499" s="47"/>
      <c r="F499" s="47"/>
      <c r="G499" s="47"/>
      <c r="H499" s="336" t="s">
        <v>2627</v>
      </c>
      <c r="I499" s="339" t="s">
        <v>55</v>
      </c>
      <c r="J499" s="342">
        <v>16.92</v>
      </c>
      <c r="K499" s="342" t="s">
        <v>2601</v>
      </c>
      <c r="L499" s="346">
        <v>334.0</v>
      </c>
      <c r="M499" s="105">
        <f t="shared" si="49"/>
        <v>5651.28</v>
      </c>
      <c r="N499" s="347" t="s">
        <v>2602</v>
      </c>
      <c r="O499" s="339" t="s">
        <v>2603</v>
      </c>
    </row>
    <row r="500">
      <c r="A500" s="369"/>
      <c r="B500" s="47"/>
      <c r="C500" s="47"/>
      <c r="D500" s="47"/>
      <c r="E500" s="47"/>
      <c r="F500" s="47"/>
      <c r="G500" s="47"/>
      <c r="H500" s="336" t="s">
        <v>2628</v>
      </c>
      <c r="I500" s="339" t="s">
        <v>55</v>
      </c>
      <c r="J500" s="342">
        <v>4.17</v>
      </c>
      <c r="K500" s="342" t="s">
        <v>2601</v>
      </c>
      <c r="L500" s="346">
        <v>334.0</v>
      </c>
      <c r="M500" s="105">
        <f t="shared" si="49"/>
        <v>1392.78</v>
      </c>
      <c r="N500" s="347" t="s">
        <v>2602</v>
      </c>
      <c r="O500" s="339" t="s">
        <v>2603</v>
      </c>
    </row>
    <row r="501">
      <c r="A501" s="369"/>
      <c r="B501" s="48"/>
      <c r="C501" s="48"/>
      <c r="D501" s="48"/>
      <c r="E501" s="48"/>
      <c r="F501" s="48"/>
      <c r="G501" s="48"/>
      <c r="H501" s="336" t="s">
        <v>2629</v>
      </c>
      <c r="I501" s="339" t="s">
        <v>55</v>
      </c>
      <c r="J501" s="342">
        <v>4.13</v>
      </c>
      <c r="K501" s="342" t="s">
        <v>2601</v>
      </c>
      <c r="L501" s="346">
        <v>334.0</v>
      </c>
      <c r="M501" s="105">
        <f t="shared" si="49"/>
        <v>1379.42</v>
      </c>
      <c r="N501" s="347" t="s">
        <v>2602</v>
      </c>
      <c r="O501" s="339" t="s">
        <v>2603</v>
      </c>
    </row>
    <row r="502">
      <c r="A502" s="342">
        <v>214.0</v>
      </c>
      <c r="B502" s="348">
        <v>65.0</v>
      </c>
      <c r="C502" s="350">
        <v>46058.0</v>
      </c>
      <c r="D502" s="348" t="s">
        <v>2599</v>
      </c>
      <c r="E502" s="350">
        <v>46149.0</v>
      </c>
      <c r="F502" s="351">
        <v>1012.0</v>
      </c>
      <c r="G502" s="394">
        <v>46058.0</v>
      </c>
      <c r="H502" s="336" t="s">
        <v>2630</v>
      </c>
      <c r="I502" s="339" t="s">
        <v>55</v>
      </c>
      <c r="J502" s="342">
        <v>406.66</v>
      </c>
      <c r="K502" s="342" t="s">
        <v>2601</v>
      </c>
      <c r="L502" s="346">
        <v>334.0</v>
      </c>
      <c r="M502" s="105">
        <f t="shared" si="49"/>
        <v>135824.44</v>
      </c>
      <c r="N502" s="347" t="s">
        <v>2602</v>
      </c>
      <c r="O502" s="339" t="s">
        <v>2603</v>
      </c>
    </row>
    <row r="503">
      <c r="A503" s="369"/>
      <c r="B503" s="47"/>
      <c r="C503" s="47"/>
      <c r="D503" s="47"/>
      <c r="E503" s="47"/>
      <c r="F503" s="47"/>
      <c r="G503" s="47"/>
      <c r="H503" s="336" t="s">
        <v>2631</v>
      </c>
      <c r="I503" s="339" t="s">
        <v>55</v>
      </c>
      <c r="J503" s="342">
        <v>18.13</v>
      </c>
      <c r="K503" s="342" t="s">
        <v>2601</v>
      </c>
      <c r="L503" s="346">
        <v>334.0</v>
      </c>
      <c r="M503" s="105">
        <f t="shared" si="49"/>
        <v>6055.42</v>
      </c>
      <c r="N503" s="347" t="s">
        <v>2602</v>
      </c>
      <c r="O503" s="339" t="s">
        <v>2603</v>
      </c>
    </row>
    <row r="504">
      <c r="A504" s="369"/>
      <c r="B504" s="47"/>
      <c r="C504" s="47"/>
      <c r="D504" s="47"/>
      <c r="E504" s="47"/>
      <c r="F504" s="47"/>
      <c r="G504" s="47"/>
      <c r="H504" s="336" t="s">
        <v>2632</v>
      </c>
      <c r="I504" s="339" t="s">
        <v>55</v>
      </c>
      <c r="J504" s="342">
        <v>25.67</v>
      </c>
      <c r="K504" s="342" t="s">
        <v>2601</v>
      </c>
      <c r="L504" s="346">
        <v>334.0</v>
      </c>
      <c r="M504" s="105">
        <f t="shared" si="49"/>
        <v>8573.78</v>
      </c>
      <c r="N504" s="347" t="s">
        <v>2602</v>
      </c>
      <c r="O504" s="339" t="s">
        <v>2603</v>
      </c>
    </row>
    <row r="505">
      <c r="A505" s="369"/>
      <c r="B505" s="48"/>
      <c r="C505" s="48"/>
      <c r="D505" s="48"/>
      <c r="E505" s="48"/>
      <c r="F505" s="48"/>
      <c r="G505" s="48"/>
      <c r="H505" s="336" t="s">
        <v>2633</v>
      </c>
      <c r="I505" s="339" t="s">
        <v>55</v>
      </c>
      <c r="J505" s="342">
        <v>6.0</v>
      </c>
      <c r="K505" s="342" t="s">
        <v>2601</v>
      </c>
      <c r="L505" s="346">
        <v>334.0</v>
      </c>
      <c r="M505" s="105">
        <f t="shared" si="49"/>
        <v>2004</v>
      </c>
      <c r="N505" s="347" t="s">
        <v>2602</v>
      </c>
      <c r="O505" s="339" t="s">
        <v>2603</v>
      </c>
    </row>
    <row r="506">
      <c r="A506" s="342">
        <v>215.0</v>
      </c>
      <c r="B506" s="339">
        <v>66.0</v>
      </c>
      <c r="C506" s="345">
        <v>46066.0</v>
      </c>
      <c r="D506" s="339" t="s">
        <v>2599</v>
      </c>
      <c r="E506" s="345">
        <v>46149.0</v>
      </c>
      <c r="F506" s="342">
        <v>1017.0</v>
      </c>
      <c r="G506" s="395">
        <v>46068.0</v>
      </c>
      <c r="H506" s="336" t="s">
        <v>2634</v>
      </c>
      <c r="I506" s="339" t="s">
        <v>55</v>
      </c>
      <c r="J506" s="342">
        <v>431.88</v>
      </c>
      <c r="K506" s="342" t="s">
        <v>2601</v>
      </c>
      <c r="L506" s="346">
        <v>334.0</v>
      </c>
      <c r="M506" s="105">
        <f t="shared" si="49"/>
        <v>144247.92</v>
      </c>
      <c r="N506" s="347" t="s">
        <v>2602</v>
      </c>
      <c r="O506" s="339" t="s">
        <v>2603</v>
      </c>
    </row>
    <row r="507">
      <c r="A507" s="342">
        <v>216.0</v>
      </c>
      <c r="B507" s="348">
        <v>67.0</v>
      </c>
      <c r="C507" s="350">
        <v>46075.0</v>
      </c>
      <c r="D507" s="348" t="s">
        <v>2599</v>
      </c>
      <c r="E507" s="350">
        <v>46149.0</v>
      </c>
      <c r="F507" s="351">
        <v>1019.0</v>
      </c>
      <c r="G507" s="390">
        <v>46076.0</v>
      </c>
      <c r="H507" s="336" t="s">
        <v>2635</v>
      </c>
      <c r="I507" s="339" t="s">
        <v>55</v>
      </c>
      <c r="J507" s="342">
        <v>55.75</v>
      </c>
      <c r="K507" s="342" t="s">
        <v>2601</v>
      </c>
      <c r="L507" s="346">
        <v>334.0</v>
      </c>
      <c r="M507" s="105">
        <f t="shared" si="49"/>
        <v>18620.5</v>
      </c>
      <c r="N507" s="347" t="s">
        <v>2602</v>
      </c>
      <c r="O507" s="339" t="s">
        <v>2603</v>
      </c>
    </row>
    <row r="508">
      <c r="A508" s="369"/>
      <c r="B508" s="47"/>
      <c r="C508" s="47"/>
      <c r="D508" s="47"/>
      <c r="E508" s="47"/>
      <c r="F508" s="47"/>
      <c r="G508" s="47"/>
      <c r="H508" s="336" t="s">
        <v>2636</v>
      </c>
      <c r="I508" s="339" t="s">
        <v>55</v>
      </c>
      <c r="J508" s="342">
        <v>2.35</v>
      </c>
      <c r="K508" s="342" t="s">
        <v>2601</v>
      </c>
      <c r="L508" s="346">
        <v>334.0</v>
      </c>
      <c r="M508" s="105">
        <f t="shared" si="49"/>
        <v>784.9</v>
      </c>
      <c r="N508" s="347" t="s">
        <v>2602</v>
      </c>
      <c r="O508" s="339" t="s">
        <v>2603</v>
      </c>
    </row>
    <row r="509">
      <c r="A509" s="369"/>
      <c r="B509" s="47"/>
      <c r="C509" s="47"/>
      <c r="D509" s="47"/>
      <c r="E509" s="47"/>
      <c r="F509" s="47"/>
      <c r="G509" s="47"/>
      <c r="H509" s="336" t="s">
        <v>2637</v>
      </c>
      <c r="I509" s="339" t="s">
        <v>55</v>
      </c>
      <c r="J509" s="342">
        <v>252.78</v>
      </c>
      <c r="K509" s="342" t="s">
        <v>2601</v>
      </c>
      <c r="L509" s="346">
        <v>334.0</v>
      </c>
      <c r="M509" s="105">
        <f t="shared" si="49"/>
        <v>84428.52</v>
      </c>
      <c r="N509" s="347" t="s">
        <v>2602</v>
      </c>
      <c r="O509" s="339" t="s">
        <v>2603</v>
      </c>
    </row>
    <row r="510">
      <c r="A510" s="369"/>
      <c r="B510" s="47"/>
      <c r="C510" s="47"/>
      <c r="D510" s="47"/>
      <c r="E510" s="47"/>
      <c r="F510" s="47"/>
      <c r="G510" s="47"/>
      <c r="H510" s="336" t="s">
        <v>2638</v>
      </c>
      <c r="I510" s="339" t="s">
        <v>55</v>
      </c>
      <c r="J510" s="342">
        <v>54.17</v>
      </c>
      <c r="K510" s="342" t="s">
        <v>2601</v>
      </c>
      <c r="L510" s="346">
        <v>334.0</v>
      </c>
      <c r="M510" s="105">
        <f t="shared" si="49"/>
        <v>18092.78</v>
      </c>
      <c r="N510" s="347" t="s">
        <v>2602</v>
      </c>
      <c r="O510" s="339" t="s">
        <v>2603</v>
      </c>
    </row>
    <row r="511">
      <c r="A511" s="369"/>
      <c r="B511" s="47"/>
      <c r="C511" s="47"/>
      <c r="D511" s="47"/>
      <c r="E511" s="47"/>
      <c r="F511" s="47"/>
      <c r="G511" s="47"/>
      <c r="H511" s="336" t="s">
        <v>2639</v>
      </c>
      <c r="I511" s="339" t="s">
        <v>55</v>
      </c>
      <c r="J511" s="342">
        <v>2.71</v>
      </c>
      <c r="K511" s="342" t="s">
        <v>2601</v>
      </c>
      <c r="L511" s="346">
        <v>334.0</v>
      </c>
      <c r="M511" s="105">
        <f t="shared" si="49"/>
        <v>905.14</v>
      </c>
      <c r="N511" s="347" t="s">
        <v>2602</v>
      </c>
      <c r="O511" s="339" t="s">
        <v>2603</v>
      </c>
    </row>
    <row r="512">
      <c r="A512" s="369"/>
      <c r="B512" s="48"/>
      <c r="C512" s="48"/>
      <c r="D512" s="48"/>
      <c r="E512" s="48"/>
      <c r="F512" s="48"/>
      <c r="G512" s="48"/>
      <c r="H512" s="336" t="s">
        <v>2640</v>
      </c>
      <c r="I512" s="339" t="s">
        <v>55</v>
      </c>
      <c r="J512" s="342">
        <v>2.48</v>
      </c>
      <c r="K512" s="342" t="s">
        <v>2601</v>
      </c>
      <c r="L512" s="346">
        <v>334.0</v>
      </c>
      <c r="M512" s="105">
        <f t="shared" si="49"/>
        <v>828.32</v>
      </c>
      <c r="N512" s="347" t="s">
        <v>2602</v>
      </c>
      <c r="O512" s="339" t="s">
        <v>2603</v>
      </c>
    </row>
    <row r="513">
      <c r="A513" s="342">
        <v>217.0</v>
      </c>
      <c r="B513" s="339">
        <v>68.0</v>
      </c>
      <c r="C513" s="345">
        <v>46081.0</v>
      </c>
      <c r="D513" s="339" t="s">
        <v>2599</v>
      </c>
      <c r="E513" s="345">
        <v>46149.0</v>
      </c>
      <c r="F513" s="342">
        <v>1043.0</v>
      </c>
      <c r="G513" s="404">
        <v>46118.0</v>
      </c>
      <c r="H513" s="336" t="s">
        <v>2641</v>
      </c>
      <c r="I513" s="339" t="s">
        <v>55</v>
      </c>
      <c r="J513" s="342">
        <v>417.09</v>
      </c>
      <c r="K513" s="342" t="s">
        <v>2601</v>
      </c>
      <c r="L513" s="346">
        <v>334.0</v>
      </c>
      <c r="M513" s="105">
        <f t="shared" si="49"/>
        <v>139308.06</v>
      </c>
      <c r="N513" s="347" t="s">
        <v>2602</v>
      </c>
      <c r="O513" s="339" t="s">
        <v>2603</v>
      </c>
    </row>
    <row r="514">
      <c r="A514" s="342">
        <v>218.0</v>
      </c>
      <c r="B514" s="339">
        <v>69.0</v>
      </c>
      <c r="C514" s="345">
        <v>46090.0</v>
      </c>
      <c r="D514" s="339" t="s">
        <v>2599</v>
      </c>
      <c r="E514" s="345">
        <v>46149.0</v>
      </c>
      <c r="F514" s="342">
        <v>1043.0</v>
      </c>
      <c r="G514" s="404">
        <v>46118.0</v>
      </c>
      <c r="H514" s="336" t="s">
        <v>2634</v>
      </c>
      <c r="I514" s="339" t="s">
        <v>55</v>
      </c>
      <c r="J514" s="342">
        <v>433.01</v>
      </c>
      <c r="K514" s="342" t="s">
        <v>2601</v>
      </c>
      <c r="L514" s="346">
        <v>334.0</v>
      </c>
      <c r="M514" s="105">
        <f t="shared" si="49"/>
        <v>144625.34</v>
      </c>
      <c r="N514" s="347" t="s">
        <v>2602</v>
      </c>
      <c r="O514" s="339" t="s">
        <v>2603</v>
      </c>
    </row>
    <row r="515">
      <c r="A515" s="342">
        <v>219.0</v>
      </c>
      <c r="B515" s="348">
        <v>1615.0</v>
      </c>
      <c r="C515" s="350">
        <v>46083.0</v>
      </c>
      <c r="D515" s="348" t="s">
        <v>2535</v>
      </c>
      <c r="E515" s="350">
        <v>46118.0</v>
      </c>
      <c r="F515" s="351">
        <v>1025.0</v>
      </c>
      <c r="G515" s="399">
        <v>46085.0</v>
      </c>
      <c r="H515" s="336" t="s">
        <v>2642</v>
      </c>
      <c r="I515" s="339" t="s">
        <v>29</v>
      </c>
      <c r="J515" s="342">
        <v>2.0</v>
      </c>
      <c r="K515" s="342" t="s">
        <v>156</v>
      </c>
      <c r="L515" s="346">
        <v>12350.0</v>
      </c>
      <c r="M515" s="105">
        <f t="shared" si="49"/>
        <v>24700</v>
      </c>
      <c r="N515" s="347" t="s">
        <v>2342</v>
      </c>
      <c r="O515" s="339" t="s">
        <v>2643</v>
      </c>
    </row>
    <row r="516">
      <c r="A516" s="369"/>
      <c r="B516" s="48"/>
      <c r="C516" s="48"/>
      <c r="D516" s="48"/>
      <c r="E516" s="48"/>
      <c r="F516" s="48"/>
      <c r="G516" s="48"/>
      <c r="H516" s="336" t="s">
        <v>1941</v>
      </c>
      <c r="I516" s="339" t="s">
        <v>1949</v>
      </c>
      <c r="J516" s="342" t="s">
        <v>92</v>
      </c>
      <c r="K516" s="342" t="s">
        <v>838</v>
      </c>
      <c r="L516" s="373">
        <v>0.05</v>
      </c>
      <c r="M516" s="352">
        <v>1235.0</v>
      </c>
      <c r="N516" s="347" t="s">
        <v>1941</v>
      </c>
      <c r="O516" s="339" t="s">
        <v>2017</v>
      </c>
    </row>
    <row r="517">
      <c r="A517" s="342">
        <v>220.0</v>
      </c>
      <c r="B517" s="348">
        <v>163.0</v>
      </c>
      <c r="C517" s="350">
        <v>46035.0</v>
      </c>
      <c r="D517" s="348" t="s">
        <v>2535</v>
      </c>
      <c r="E517" s="350">
        <v>46118.0</v>
      </c>
      <c r="F517" s="351">
        <v>897.0</v>
      </c>
      <c r="G517" s="390">
        <v>46036.0</v>
      </c>
      <c r="H517" s="336" t="s">
        <v>2536</v>
      </c>
      <c r="I517" s="339" t="s">
        <v>1499</v>
      </c>
      <c r="J517" s="342">
        <v>1050.0</v>
      </c>
      <c r="K517" s="342" t="s">
        <v>156</v>
      </c>
      <c r="L517" s="346">
        <v>29.7</v>
      </c>
      <c r="M517" s="105">
        <f t="shared" ref="M517:M525" si="50">J517*L517</f>
        <v>31185</v>
      </c>
      <c r="N517" s="347" t="s">
        <v>2342</v>
      </c>
      <c r="O517" s="339" t="s">
        <v>2139</v>
      </c>
    </row>
    <row r="518">
      <c r="A518" s="369"/>
      <c r="B518" s="47"/>
      <c r="C518" s="47"/>
      <c r="D518" s="47"/>
      <c r="E518" s="47"/>
      <c r="F518" s="47"/>
      <c r="G518" s="47"/>
      <c r="H518" s="336" t="s">
        <v>2644</v>
      </c>
      <c r="I518" s="339" t="s">
        <v>1499</v>
      </c>
      <c r="J518" s="342">
        <v>395.0</v>
      </c>
      <c r="K518" s="342" t="s">
        <v>156</v>
      </c>
      <c r="L518" s="346">
        <v>82.0</v>
      </c>
      <c r="M518" s="105">
        <f t="shared" si="50"/>
        <v>32390</v>
      </c>
      <c r="N518" s="347" t="s">
        <v>2645</v>
      </c>
      <c r="O518" s="339" t="s">
        <v>2139</v>
      </c>
    </row>
    <row r="519">
      <c r="A519" s="369"/>
      <c r="B519" s="47"/>
      <c r="C519" s="47"/>
      <c r="D519" s="47"/>
      <c r="E519" s="47"/>
      <c r="F519" s="47"/>
      <c r="G519" s="47"/>
      <c r="H519" s="336" t="s">
        <v>2646</v>
      </c>
      <c r="I519" s="339" t="s">
        <v>1499</v>
      </c>
      <c r="J519" s="342">
        <v>8.0</v>
      </c>
      <c r="K519" s="342" t="s">
        <v>156</v>
      </c>
      <c r="L519" s="346">
        <v>5300.0</v>
      </c>
      <c r="M519" s="105">
        <f t="shared" si="50"/>
        <v>42400</v>
      </c>
      <c r="N519" s="347" t="s">
        <v>2645</v>
      </c>
      <c r="O519" s="339" t="s">
        <v>2139</v>
      </c>
    </row>
    <row r="520">
      <c r="A520" s="369"/>
      <c r="B520" s="47"/>
      <c r="C520" s="47"/>
      <c r="D520" s="47"/>
      <c r="E520" s="47"/>
      <c r="F520" s="47"/>
      <c r="G520" s="47"/>
      <c r="H520" s="336" t="s">
        <v>2647</v>
      </c>
      <c r="I520" s="339" t="s">
        <v>1499</v>
      </c>
      <c r="J520" s="342">
        <v>195.0</v>
      </c>
      <c r="K520" s="342" t="s">
        <v>156</v>
      </c>
      <c r="L520" s="346">
        <v>129.0</v>
      </c>
      <c r="M520" s="105">
        <f t="shared" si="50"/>
        <v>25155</v>
      </c>
      <c r="N520" s="347" t="s">
        <v>2645</v>
      </c>
      <c r="O520" s="339" t="s">
        <v>2139</v>
      </c>
    </row>
    <row r="521">
      <c r="A521" s="369"/>
      <c r="B521" s="47"/>
      <c r="C521" s="47"/>
      <c r="D521" s="47"/>
      <c r="E521" s="47"/>
      <c r="F521" s="47"/>
      <c r="G521" s="47"/>
      <c r="H521" s="336" t="s">
        <v>2648</v>
      </c>
      <c r="I521" s="339" t="s">
        <v>1499</v>
      </c>
      <c r="J521" s="342">
        <v>85.0</v>
      </c>
      <c r="K521" s="342" t="s">
        <v>156</v>
      </c>
      <c r="L521" s="346">
        <v>14.0</v>
      </c>
      <c r="M521" s="105">
        <f t="shared" si="50"/>
        <v>1190</v>
      </c>
      <c r="N521" s="347" t="s">
        <v>2645</v>
      </c>
      <c r="O521" s="339" t="s">
        <v>2139</v>
      </c>
    </row>
    <row r="522">
      <c r="A522" s="369"/>
      <c r="B522" s="47"/>
      <c r="C522" s="47"/>
      <c r="D522" s="47"/>
      <c r="E522" s="47"/>
      <c r="F522" s="47"/>
      <c r="G522" s="47"/>
      <c r="H522" s="336" t="s">
        <v>2542</v>
      </c>
      <c r="I522" s="339" t="s">
        <v>1499</v>
      </c>
      <c r="J522" s="342">
        <v>190.0</v>
      </c>
      <c r="K522" s="342" t="s">
        <v>156</v>
      </c>
      <c r="L522" s="346">
        <v>14.0</v>
      </c>
      <c r="M522" s="105">
        <f t="shared" si="50"/>
        <v>2660</v>
      </c>
      <c r="N522" s="347" t="s">
        <v>2645</v>
      </c>
      <c r="O522" s="339" t="s">
        <v>2139</v>
      </c>
    </row>
    <row r="523">
      <c r="A523" s="369"/>
      <c r="B523" s="47"/>
      <c r="C523" s="47"/>
      <c r="D523" s="47"/>
      <c r="E523" s="47"/>
      <c r="F523" s="47"/>
      <c r="G523" s="47"/>
      <c r="H523" s="336" t="s">
        <v>2649</v>
      </c>
      <c r="I523" s="339" t="s">
        <v>1499</v>
      </c>
      <c r="J523" s="342">
        <v>190.0</v>
      </c>
      <c r="K523" s="342" t="s">
        <v>156</v>
      </c>
      <c r="L523" s="346">
        <v>14.0</v>
      </c>
      <c r="M523" s="105">
        <f t="shared" si="50"/>
        <v>2660</v>
      </c>
      <c r="N523" s="347" t="s">
        <v>2645</v>
      </c>
      <c r="O523" s="339" t="s">
        <v>2139</v>
      </c>
    </row>
    <row r="524">
      <c r="A524" s="369"/>
      <c r="B524" s="47"/>
      <c r="C524" s="47"/>
      <c r="D524" s="47"/>
      <c r="E524" s="47"/>
      <c r="F524" s="47"/>
      <c r="G524" s="47"/>
      <c r="H524" s="336" t="s">
        <v>2650</v>
      </c>
      <c r="I524" s="339" t="s">
        <v>1499</v>
      </c>
      <c r="J524" s="342">
        <v>150.0</v>
      </c>
      <c r="K524" s="342" t="s">
        <v>156</v>
      </c>
      <c r="L524" s="346">
        <v>14.0</v>
      </c>
      <c r="M524" s="105">
        <f t="shared" si="50"/>
        <v>2100</v>
      </c>
      <c r="N524" s="347" t="s">
        <v>2645</v>
      </c>
      <c r="O524" s="339" t="s">
        <v>2139</v>
      </c>
    </row>
    <row r="525">
      <c r="A525" s="369"/>
      <c r="B525" s="47"/>
      <c r="C525" s="47"/>
      <c r="D525" s="47"/>
      <c r="E525" s="47"/>
      <c r="F525" s="47"/>
      <c r="G525" s="47"/>
      <c r="H525" s="336" t="s">
        <v>2651</v>
      </c>
      <c r="I525" s="339" t="s">
        <v>1499</v>
      </c>
      <c r="J525" s="342">
        <v>386.0</v>
      </c>
      <c r="K525" s="342" t="s">
        <v>156</v>
      </c>
      <c r="L525" s="346">
        <v>129.0</v>
      </c>
      <c r="M525" s="105">
        <f t="shared" si="50"/>
        <v>49794</v>
      </c>
      <c r="N525" s="347" t="s">
        <v>2645</v>
      </c>
      <c r="O525" s="339" t="s">
        <v>2139</v>
      </c>
    </row>
    <row r="526">
      <c r="A526" s="369"/>
      <c r="B526" s="48"/>
      <c r="C526" s="48"/>
      <c r="D526" s="48"/>
      <c r="E526" s="48"/>
      <c r="F526" s="48"/>
      <c r="G526" s="48"/>
      <c r="H526" s="336" t="s">
        <v>1941</v>
      </c>
      <c r="I526" s="339" t="s">
        <v>1949</v>
      </c>
      <c r="J526" s="342" t="s">
        <v>92</v>
      </c>
      <c r="K526" s="342" t="s">
        <v>838</v>
      </c>
      <c r="L526" s="373">
        <v>0.05</v>
      </c>
      <c r="M526" s="352">
        <v>9476.7</v>
      </c>
      <c r="N526" s="347" t="s">
        <v>1941</v>
      </c>
      <c r="O526" s="339" t="s">
        <v>2176</v>
      </c>
    </row>
    <row r="527">
      <c r="A527" s="342">
        <v>221.0</v>
      </c>
      <c r="B527" s="348">
        <v>1102.0</v>
      </c>
      <c r="C527" s="350">
        <v>46125.0</v>
      </c>
      <c r="D527" s="348" t="s">
        <v>2652</v>
      </c>
      <c r="E527" s="350">
        <v>46154.0</v>
      </c>
      <c r="F527" s="351">
        <v>1045.0</v>
      </c>
      <c r="G527" s="403">
        <v>46126.0</v>
      </c>
      <c r="H527" s="336" t="s">
        <v>2653</v>
      </c>
      <c r="I527" s="339" t="s">
        <v>547</v>
      </c>
      <c r="J527" s="342">
        <v>1.0</v>
      </c>
      <c r="K527" s="342" t="s">
        <v>156</v>
      </c>
      <c r="L527" s="346">
        <v>9468.0</v>
      </c>
      <c r="M527" s="105">
        <f>J527*L527</f>
        <v>9468</v>
      </c>
      <c r="N527" s="347" t="s">
        <v>2654</v>
      </c>
      <c r="O527" s="339" t="s">
        <v>2655</v>
      </c>
    </row>
    <row r="528">
      <c r="A528" s="369"/>
      <c r="B528" s="48"/>
      <c r="C528" s="48"/>
      <c r="D528" s="48"/>
      <c r="E528" s="48"/>
      <c r="F528" s="48"/>
      <c r="G528" s="48"/>
      <c r="H528" s="336" t="s">
        <v>1941</v>
      </c>
      <c r="I528" s="339" t="s">
        <v>2381</v>
      </c>
      <c r="J528" s="342" t="s">
        <v>92</v>
      </c>
      <c r="K528" s="342" t="s">
        <v>838</v>
      </c>
      <c r="L528" s="373">
        <v>0.05</v>
      </c>
      <c r="M528" s="352">
        <v>473.0</v>
      </c>
      <c r="N528" s="347" t="s">
        <v>1941</v>
      </c>
      <c r="O528" s="339" t="s">
        <v>2176</v>
      </c>
    </row>
    <row r="529">
      <c r="A529" s="342">
        <v>222.0</v>
      </c>
      <c r="B529" s="348">
        <v>8.0</v>
      </c>
      <c r="C529" s="350">
        <v>46118.0</v>
      </c>
      <c r="D529" s="348" t="s">
        <v>2656</v>
      </c>
      <c r="E529" s="407">
        <v>46154.0</v>
      </c>
      <c r="F529" s="351">
        <v>1044.0</v>
      </c>
      <c r="G529" s="403">
        <v>46125.0</v>
      </c>
      <c r="H529" s="336" t="s">
        <v>2657</v>
      </c>
      <c r="I529" s="339" t="s">
        <v>55</v>
      </c>
      <c r="J529" s="342">
        <v>2.0</v>
      </c>
      <c r="K529" s="342" t="s">
        <v>156</v>
      </c>
      <c r="L529" s="346">
        <v>1800.0</v>
      </c>
      <c r="M529" s="105">
        <f t="shared" ref="M529:M540" si="51">J529*L529</f>
        <v>3600</v>
      </c>
      <c r="N529" s="347" t="s">
        <v>2221</v>
      </c>
      <c r="O529" s="339" t="s">
        <v>2658</v>
      </c>
    </row>
    <row r="530">
      <c r="A530" s="369"/>
      <c r="B530" s="47"/>
      <c r="C530" s="47"/>
      <c r="D530" s="47"/>
      <c r="E530" s="47"/>
      <c r="F530" s="47"/>
      <c r="G530" s="47"/>
      <c r="H530" s="336" t="s">
        <v>1740</v>
      </c>
      <c r="I530" s="339" t="s">
        <v>55</v>
      </c>
      <c r="J530" s="342">
        <v>8.0</v>
      </c>
      <c r="K530" s="342" t="s">
        <v>156</v>
      </c>
      <c r="L530" s="346">
        <v>250.0</v>
      </c>
      <c r="M530" s="105">
        <f t="shared" si="51"/>
        <v>2000</v>
      </c>
      <c r="N530" s="347" t="s">
        <v>2221</v>
      </c>
      <c r="O530" s="339" t="s">
        <v>2658</v>
      </c>
    </row>
    <row r="531">
      <c r="A531" s="369"/>
      <c r="B531" s="47"/>
      <c r="C531" s="47"/>
      <c r="D531" s="47"/>
      <c r="E531" s="47"/>
      <c r="F531" s="47"/>
      <c r="G531" s="47"/>
      <c r="H531" s="336" t="s">
        <v>2659</v>
      </c>
      <c r="I531" s="339" t="s">
        <v>55</v>
      </c>
      <c r="J531" s="342">
        <v>8.0</v>
      </c>
      <c r="K531" s="342" t="s">
        <v>156</v>
      </c>
      <c r="L531" s="346">
        <v>100.0</v>
      </c>
      <c r="M531" s="105">
        <f t="shared" si="51"/>
        <v>800</v>
      </c>
      <c r="N531" s="347" t="s">
        <v>2221</v>
      </c>
      <c r="O531" s="339" t="s">
        <v>2658</v>
      </c>
    </row>
    <row r="532">
      <c r="A532" s="369"/>
      <c r="B532" s="47"/>
      <c r="C532" s="47"/>
      <c r="D532" s="47"/>
      <c r="E532" s="47"/>
      <c r="F532" s="47"/>
      <c r="G532" s="47"/>
      <c r="H532" s="336" t="s">
        <v>2660</v>
      </c>
      <c r="I532" s="339" t="s">
        <v>55</v>
      </c>
      <c r="J532" s="342">
        <v>8.0</v>
      </c>
      <c r="K532" s="342" t="s">
        <v>156</v>
      </c>
      <c r="L532" s="346">
        <v>600.0</v>
      </c>
      <c r="M532" s="105">
        <f t="shared" si="51"/>
        <v>4800</v>
      </c>
      <c r="N532" s="347" t="s">
        <v>2221</v>
      </c>
      <c r="O532" s="339" t="s">
        <v>2658</v>
      </c>
    </row>
    <row r="533">
      <c r="A533" s="369"/>
      <c r="B533" s="47"/>
      <c r="C533" s="47"/>
      <c r="D533" s="47"/>
      <c r="E533" s="47"/>
      <c r="F533" s="47"/>
      <c r="G533" s="47"/>
      <c r="H533" s="336" t="s">
        <v>1736</v>
      </c>
      <c r="I533" s="339" t="s">
        <v>55</v>
      </c>
      <c r="J533" s="342">
        <v>5.0</v>
      </c>
      <c r="K533" s="342" t="s">
        <v>156</v>
      </c>
      <c r="L533" s="346">
        <v>1000.0</v>
      </c>
      <c r="M533" s="105">
        <f t="shared" si="51"/>
        <v>5000</v>
      </c>
      <c r="N533" s="347" t="s">
        <v>2221</v>
      </c>
      <c r="O533" s="339" t="s">
        <v>2658</v>
      </c>
    </row>
    <row r="534">
      <c r="A534" s="369"/>
      <c r="B534" s="47"/>
      <c r="C534" s="47"/>
      <c r="D534" s="47"/>
      <c r="E534" s="47"/>
      <c r="F534" s="47"/>
      <c r="G534" s="47"/>
      <c r="H534" s="336" t="s">
        <v>1742</v>
      </c>
      <c r="I534" s="339" t="s">
        <v>55</v>
      </c>
      <c r="J534" s="342">
        <v>5.0</v>
      </c>
      <c r="K534" s="342" t="s">
        <v>156</v>
      </c>
      <c r="L534" s="346">
        <v>3000.0</v>
      </c>
      <c r="M534" s="105">
        <f t="shared" si="51"/>
        <v>15000</v>
      </c>
      <c r="N534" s="347" t="s">
        <v>2221</v>
      </c>
      <c r="O534" s="339" t="s">
        <v>2658</v>
      </c>
    </row>
    <row r="535">
      <c r="A535" s="369"/>
      <c r="B535" s="48"/>
      <c r="C535" s="48"/>
      <c r="D535" s="48"/>
      <c r="E535" s="48"/>
      <c r="F535" s="48"/>
      <c r="G535" s="48"/>
      <c r="H535" s="336" t="s">
        <v>1732</v>
      </c>
      <c r="I535" s="339" t="s">
        <v>55</v>
      </c>
      <c r="J535" s="342">
        <v>20.0</v>
      </c>
      <c r="K535" s="342" t="s">
        <v>156</v>
      </c>
      <c r="L535" s="346">
        <v>250.0</v>
      </c>
      <c r="M535" s="105">
        <f t="shared" si="51"/>
        <v>5000</v>
      </c>
      <c r="N535" s="347" t="s">
        <v>2221</v>
      </c>
      <c r="O535" s="339" t="s">
        <v>2658</v>
      </c>
    </row>
    <row r="536">
      <c r="A536" s="342">
        <v>223.0</v>
      </c>
      <c r="B536" s="339">
        <v>10.0</v>
      </c>
      <c r="C536" s="345">
        <v>46128.0</v>
      </c>
      <c r="D536" s="339" t="s">
        <v>2656</v>
      </c>
      <c r="E536" s="345">
        <v>46154.0</v>
      </c>
      <c r="F536" s="342">
        <v>1046.0</v>
      </c>
      <c r="G536" s="405">
        <v>46128.0</v>
      </c>
      <c r="H536" s="336" t="s">
        <v>2661</v>
      </c>
      <c r="I536" s="339" t="s">
        <v>24</v>
      </c>
      <c r="J536" s="342">
        <v>2.0</v>
      </c>
      <c r="K536" s="342" t="s">
        <v>156</v>
      </c>
      <c r="L536" s="396">
        <v>3000.0</v>
      </c>
      <c r="M536" s="105">
        <f t="shared" si="51"/>
        <v>6000</v>
      </c>
      <c r="N536" s="347" t="s">
        <v>2221</v>
      </c>
      <c r="O536" s="339" t="s">
        <v>2662</v>
      </c>
    </row>
    <row r="537">
      <c r="A537" s="342">
        <v>224.0</v>
      </c>
      <c r="B537" s="348">
        <v>3871.0</v>
      </c>
      <c r="C537" s="350">
        <v>46135.0</v>
      </c>
      <c r="D537" s="348" t="s">
        <v>2663</v>
      </c>
      <c r="E537" s="350">
        <v>46154.0</v>
      </c>
      <c r="F537" s="351">
        <v>1047.0</v>
      </c>
      <c r="G537" s="390">
        <v>46131.0</v>
      </c>
      <c r="H537" s="336" t="s">
        <v>2664</v>
      </c>
      <c r="I537" s="339" t="s">
        <v>55</v>
      </c>
      <c r="J537" s="342">
        <v>100.0</v>
      </c>
      <c r="K537" s="342" t="s">
        <v>2346</v>
      </c>
      <c r="L537" s="346">
        <v>68.0</v>
      </c>
      <c r="M537" s="105">
        <f t="shared" si="51"/>
        <v>6800</v>
      </c>
      <c r="N537" s="347" t="s">
        <v>2645</v>
      </c>
      <c r="O537" s="339" t="s">
        <v>2554</v>
      </c>
    </row>
    <row r="538">
      <c r="A538" s="369"/>
      <c r="B538" s="47"/>
      <c r="C538" s="47"/>
      <c r="D538" s="47"/>
      <c r="E538" s="47"/>
      <c r="F538" s="47"/>
      <c r="G538" s="47"/>
      <c r="H538" s="336" t="s">
        <v>2665</v>
      </c>
      <c r="I538" s="339" t="s">
        <v>55</v>
      </c>
      <c r="J538" s="342">
        <v>100.0</v>
      </c>
      <c r="K538" s="342" t="s">
        <v>2346</v>
      </c>
      <c r="L538" s="346">
        <v>68.0</v>
      </c>
      <c r="M538" s="105">
        <f t="shared" si="51"/>
        <v>6800</v>
      </c>
      <c r="N538" s="347" t="s">
        <v>2645</v>
      </c>
      <c r="O538" s="339" t="s">
        <v>2554</v>
      </c>
    </row>
    <row r="539">
      <c r="A539" s="369"/>
      <c r="B539" s="47"/>
      <c r="C539" s="47"/>
      <c r="D539" s="47"/>
      <c r="E539" s="47"/>
      <c r="F539" s="47"/>
      <c r="G539" s="47"/>
      <c r="H539" s="336" t="s">
        <v>2666</v>
      </c>
      <c r="I539" s="339" t="s">
        <v>55</v>
      </c>
      <c r="J539" s="342">
        <v>100.0</v>
      </c>
      <c r="K539" s="342" t="s">
        <v>2346</v>
      </c>
      <c r="L539" s="346">
        <v>68.0</v>
      </c>
      <c r="M539" s="105">
        <f t="shared" si="51"/>
        <v>6800</v>
      </c>
      <c r="N539" s="347" t="s">
        <v>2645</v>
      </c>
      <c r="O539" s="339" t="s">
        <v>2554</v>
      </c>
    </row>
    <row r="540">
      <c r="A540" s="369"/>
      <c r="B540" s="47"/>
      <c r="C540" s="47"/>
      <c r="D540" s="47"/>
      <c r="E540" s="47"/>
      <c r="F540" s="47"/>
      <c r="G540" s="47"/>
      <c r="H540" s="336" t="s">
        <v>2667</v>
      </c>
      <c r="I540" s="339" t="s">
        <v>55</v>
      </c>
      <c r="J540" s="342">
        <v>100.0</v>
      </c>
      <c r="K540" s="342" t="s">
        <v>2346</v>
      </c>
      <c r="L540" s="346">
        <v>68.0</v>
      </c>
      <c r="M540" s="105">
        <f t="shared" si="51"/>
        <v>6800</v>
      </c>
      <c r="N540" s="347" t="s">
        <v>2645</v>
      </c>
      <c r="O540" s="339" t="s">
        <v>2554</v>
      </c>
    </row>
    <row r="541">
      <c r="A541" s="369"/>
      <c r="B541" s="48"/>
      <c r="C541" s="48"/>
      <c r="D541" s="48"/>
      <c r="E541" s="48"/>
      <c r="F541" s="48"/>
      <c r="G541" s="48"/>
      <c r="H541" s="336" t="s">
        <v>1941</v>
      </c>
      <c r="I541" s="339" t="s">
        <v>1949</v>
      </c>
      <c r="J541" s="342" t="s">
        <v>92</v>
      </c>
      <c r="K541" s="342" t="s">
        <v>838</v>
      </c>
      <c r="L541" s="373">
        <v>0.05</v>
      </c>
      <c r="M541" s="352">
        <v>1360.0</v>
      </c>
      <c r="N541" s="347" t="s">
        <v>1941</v>
      </c>
      <c r="O541" s="339" t="s">
        <v>2176</v>
      </c>
    </row>
    <row r="542">
      <c r="A542" s="342">
        <v>225.0</v>
      </c>
      <c r="B542" s="348">
        <v>3872.0</v>
      </c>
      <c r="C542" s="350">
        <v>46135.0</v>
      </c>
      <c r="D542" s="348" t="s">
        <v>2663</v>
      </c>
      <c r="E542" s="350">
        <v>46154.0</v>
      </c>
      <c r="F542" s="351">
        <v>1056.0</v>
      </c>
      <c r="G542" s="403">
        <v>46136.0</v>
      </c>
      <c r="H542" s="336" t="s">
        <v>2668</v>
      </c>
      <c r="I542" s="339" t="s">
        <v>1499</v>
      </c>
      <c r="J542" s="342">
        <v>80.0</v>
      </c>
      <c r="K542" s="342" t="s">
        <v>156</v>
      </c>
      <c r="L542" s="346">
        <v>14.0</v>
      </c>
      <c r="M542" s="105">
        <f t="shared" ref="M542:M549" si="52">J542*L542</f>
        <v>1120</v>
      </c>
      <c r="N542" s="347" t="s">
        <v>2342</v>
      </c>
      <c r="O542" s="339" t="s">
        <v>2669</v>
      </c>
    </row>
    <row r="543">
      <c r="A543" s="369"/>
      <c r="B543" s="47"/>
      <c r="C543" s="47"/>
      <c r="D543" s="47"/>
      <c r="E543" s="47"/>
      <c r="F543" s="47"/>
      <c r="G543" s="47"/>
      <c r="H543" s="336" t="s">
        <v>2670</v>
      </c>
      <c r="I543" s="339" t="s">
        <v>1499</v>
      </c>
      <c r="J543" s="342">
        <v>80.0</v>
      </c>
      <c r="K543" s="342" t="s">
        <v>156</v>
      </c>
      <c r="L543" s="346">
        <v>14.0</v>
      </c>
      <c r="M543" s="105">
        <f t="shared" si="52"/>
        <v>1120</v>
      </c>
      <c r="N543" s="347" t="s">
        <v>2342</v>
      </c>
      <c r="O543" s="339" t="s">
        <v>2669</v>
      </c>
    </row>
    <row r="544">
      <c r="A544" s="369"/>
      <c r="B544" s="47"/>
      <c r="C544" s="47"/>
      <c r="D544" s="47"/>
      <c r="E544" s="47"/>
      <c r="F544" s="47"/>
      <c r="G544" s="47"/>
      <c r="H544" s="336" t="s">
        <v>2671</v>
      </c>
      <c r="I544" s="339" t="s">
        <v>1499</v>
      </c>
      <c r="J544" s="342">
        <v>100.0</v>
      </c>
      <c r="K544" s="342" t="s">
        <v>156</v>
      </c>
      <c r="L544" s="346">
        <v>14.0</v>
      </c>
      <c r="M544" s="105">
        <f t="shared" si="52"/>
        <v>1400</v>
      </c>
      <c r="N544" s="347" t="s">
        <v>2342</v>
      </c>
      <c r="O544" s="339" t="s">
        <v>2669</v>
      </c>
    </row>
    <row r="545">
      <c r="A545" s="369"/>
      <c r="B545" s="47"/>
      <c r="C545" s="47"/>
      <c r="D545" s="47"/>
      <c r="E545" s="47"/>
      <c r="F545" s="47"/>
      <c r="G545" s="47"/>
      <c r="H545" s="336" t="s">
        <v>2650</v>
      </c>
      <c r="I545" s="339" t="s">
        <v>1499</v>
      </c>
      <c r="J545" s="342">
        <v>100.0</v>
      </c>
      <c r="K545" s="342" t="s">
        <v>156</v>
      </c>
      <c r="L545" s="346">
        <v>14.0</v>
      </c>
      <c r="M545" s="105">
        <f t="shared" si="52"/>
        <v>1400</v>
      </c>
      <c r="N545" s="347" t="s">
        <v>2342</v>
      </c>
      <c r="O545" s="339" t="s">
        <v>2669</v>
      </c>
    </row>
    <row r="546">
      <c r="A546" s="369"/>
      <c r="B546" s="47"/>
      <c r="C546" s="47"/>
      <c r="D546" s="47"/>
      <c r="E546" s="47"/>
      <c r="F546" s="47"/>
      <c r="G546" s="47"/>
      <c r="H546" s="336" t="s">
        <v>2672</v>
      </c>
      <c r="I546" s="339" t="s">
        <v>1499</v>
      </c>
      <c r="J546" s="342">
        <v>80.0</v>
      </c>
      <c r="K546" s="342" t="s">
        <v>156</v>
      </c>
      <c r="L546" s="346">
        <v>14.0</v>
      </c>
      <c r="M546" s="105">
        <f t="shared" si="52"/>
        <v>1120</v>
      </c>
      <c r="N546" s="347" t="s">
        <v>2342</v>
      </c>
      <c r="O546" s="339" t="s">
        <v>2669</v>
      </c>
    </row>
    <row r="547">
      <c r="A547" s="369"/>
      <c r="B547" s="47"/>
      <c r="C547" s="47"/>
      <c r="D547" s="47"/>
      <c r="E547" s="47"/>
      <c r="F547" s="47"/>
      <c r="G547" s="47"/>
      <c r="H547" s="336" t="s">
        <v>2673</v>
      </c>
      <c r="I547" s="339" t="s">
        <v>1499</v>
      </c>
      <c r="J547" s="342">
        <v>80.0</v>
      </c>
      <c r="K547" s="342" t="s">
        <v>156</v>
      </c>
      <c r="L547" s="346">
        <v>14.0</v>
      </c>
      <c r="M547" s="105">
        <f t="shared" si="52"/>
        <v>1120</v>
      </c>
      <c r="N547" s="347" t="s">
        <v>2342</v>
      </c>
      <c r="O547" s="339" t="s">
        <v>2669</v>
      </c>
    </row>
    <row r="548">
      <c r="A548" s="369"/>
      <c r="B548" s="47"/>
      <c r="C548" s="47"/>
      <c r="D548" s="47"/>
      <c r="E548" s="47"/>
      <c r="F548" s="47"/>
      <c r="G548" s="47"/>
      <c r="H548" s="336" t="s">
        <v>2542</v>
      </c>
      <c r="I548" s="339" t="s">
        <v>1499</v>
      </c>
      <c r="J548" s="342">
        <v>100.0</v>
      </c>
      <c r="K548" s="342" t="s">
        <v>156</v>
      </c>
      <c r="L548" s="346">
        <v>14.0</v>
      </c>
      <c r="M548" s="105">
        <f t="shared" si="52"/>
        <v>1400</v>
      </c>
      <c r="N548" s="347" t="s">
        <v>2342</v>
      </c>
      <c r="O548" s="339" t="s">
        <v>2669</v>
      </c>
    </row>
    <row r="549">
      <c r="A549" s="369"/>
      <c r="B549" s="47"/>
      <c r="C549" s="47"/>
      <c r="D549" s="47"/>
      <c r="E549" s="47"/>
      <c r="F549" s="47"/>
      <c r="G549" s="47"/>
      <c r="H549" s="336" t="s">
        <v>2543</v>
      </c>
      <c r="I549" s="339" t="s">
        <v>1499</v>
      </c>
      <c r="J549" s="342">
        <v>100.0</v>
      </c>
      <c r="K549" s="342" t="s">
        <v>156</v>
      </c>
      <c r="L549" s="346">
        <v>14.0</v>
      </c>
      <c r="M549" s="105">
        <f t="shared" si="52"/>
        <v>1400</v>
      </c>
      <c r="N549" s="347" t="s">
        <v>2342</v>
      </c>
      <c r="O549" s="339" t="s">
        <v>2669</v>
      </c>
    </row>
    <row r="550">
      <c r="A550" s="369"/>
      <c r="B550" s="48"/>
      <c r="C550" s="48"/>
      <c r="D550" s="48"/>
      <c r="E550" s="48"/>
      <c r="F550" s="48"/>
      <c r="G550" s="48"/>
      <c r="H550" s="336" t="s">
        <v>1941</v>
      </c>
      <c r="I550" s="339" t="s">
        <v>1949</v>
      </c>
      <c r="J550" s="342" t="s">
        <v>92</v>
      </c>
      <c r="K550" s="342" t="s">
        <v>838</v>
      </c>
      <c r="L550" s="373">
        <v>0.05</v>
      </c>
      <c r="M550" s="352">
        <v>504.0</v>
      </c>
      <c r="N550" s="347" t="s">
        <v>1941</v>
      </c>
      <c r="O550" s="339" t="s">
        <v>2017</v>
      </c>
    </row>
    <row r="551">
      <c r="A551" s="342">
        <v>226.0</v>
      </c>
      <c r="B551" s="348">
        <v>15.0</v>
      </c>
      <c r="C551" s="350">
        <v>46135.0</v>
      </c>
      <c r="D551" s="348" t="s">
        <v>2674</v>
      </c>
      <c r="E551" s="350">
        <v>46154.0</v>
      </c>
      <c r="F551" s="351">
        <v>1049.0</v>
      </c>
      <c r="G551" s="403">
        <v>46136.0</v>
      </c>
      <c r="H551" s="336" t="s">
        <v>2675</v>
      </c>
      <c r="I551" s="339" t="s">
        <v>55</v>
      </c>
      <c r="J551" s="342">
        <v>30.0</v>
      </c>
      <c r="K551" s="342" t="s">
        <v>1168</v>
      </c>
      <c r="L551" s="346">
        <v>1200.0</v>
      </c>
      <c r="M551" s="105">
        <f>J551*L551</f>
        <v>36000</v>
      </c>
      <c r="N551" s="347" t="s">
        <v>1904</v>
      </c>
      <c r="O551" s="339" t="s">
        <v>2676</v>
      </c>
    </row>
    <row r="552">
      <c r="A552" s="369"/>
      <c r="B552" s="48"/>
      <c r="C552" s="48"/>
      <c r="D552" s="48"/>
      <c r="E552" s="48"/>
      <c r="F552" s="48"/>
      <c r="G552" s="48"/>
      <c r="H552" s="336" t="s">
        <v>1941</v>
      </c>
      <c r="I552" s="339" t="s">
        <v>1949</v>
      </c>
      <c r="J552" s="342" t="s">
        <v>92</v>
      </c>
      <c r="K552" s="342" t="s">
        <v>838</v>
      </c>
      <c r="L552" s="373">
        <v>0.05</v>
      </c>
      <c r="M552" s="352">
        <v>1800.0</v>
      </c>
      <c r="N552" s="347" t="s">
        <v>1941</v>
      </c>
      <c r="O552" s="339" t="s">
        <v>2181</v>
      </c>
    </row>
    <row r="553">
      <c r="A553" s="342">
        <v>227.0</v>
      </c>
      <c r="B553" s="339">
        <v>347.0</v>
      </c>
      <c r="C553" s="345">
        <v>46118.0</v>
      </c>
      <c r="D553" s="339" t="s">
        <v>2677</v>
      </c>
      <c r="E553" s="345">
        <v>46154.0</v>
      </c>
      <c r="F553" s="342">
        <v>1052.0</v>
      </c>
      <c r="G553" s="405">
        <v>46136.0</v>
      </c>
      <c r="H553" s="336" t="s">
        <v>2678</v>
      </c>
      <c r="I553" s="339" t="s">
        <v>547</v>
      </c>
      <c r="J553" s="342">
        <v>1.0</v>
      </c>
      <c r="K553" s="342" t="s">
        <v>156</v>
      </c>
      <c r="L553" s="346">
        <v>450.0</v>
      </c>
      <c r="M553" s="105">
        <f t="shared" ref="M553:M554" si="53">J553*L553</f>
        <v>450</v>
      </c>
      <c r="N553" s="347" t="s">
        <v>2679</v>
      </c>
      <c r="O553" s="339" t="s">
        <v>2655</v>
      </c>
    </row>
    <row r="554">
      <c r="A554" s="342">
        <v>228.0</v>
      </c>
      <c r="B554" s="348">
        <v>10.0</v>
      </c>
      <c r="C554" s="350">
        <v>46062.0</v>
      </c>
      <c r="D554" s="348" t="s">
        <v>2680</v>
      </c>
      <c r="E554" s="350">
        <v>46154.0</v>
      </c>
      <c r="F554" s="351">
        <v>1045.0</v>
      </c>
      <c r="G554" s="399">
        <v>46126.0</v>
      </c>
      <c r="H554" s="336" t="s">
        <v>2681</v>
      </c>
      <c r="I554" s="339" t="s">
        <v>1499</v>
      </c>
      <c r="J554" s="342">
        <v>5.0</v>
      </c>
      <c r="K554" s="342" t="s">
        <v>156</v>
      </c>
      <c r="L554" s="346">
        <v>11877.0</v>
      </c>
      <c r="M554" s="105">
        <f t="shared" si="53"/>
        <v>59385</v>
      </c>
      <c r="N554" s="347" t="s">
        <v>2682</v>
      </c>
      <c r="O554" s="339" t="s">
        <v>2683</v>
      </c>
    </row>
    <row r="555">
      <c r="A555" s="369"/>
      <c r="B555" s="48"/>
      <c r="C555" s="48"/>
      <c r="D555" s="48"/>
      <c r="E555" s="48"/>
      <c r="F555" s="48"/>
      <c r="G555" s="48"/>
      <c r="H555" s="336" t="s">
        <v>1941</v>
      </c>
      <c r="I555" s="339" t="s">
        <v>1949</v>
      </c>
      <c r="J555" s="342" t="s">
        <v>92</v>
      </c>
      <c r="K555" s="342" t="s">
        <v>838</v>
      </c>
      <c r="L555" s="373">
        <v>0.05</v>
      </c>
      <c r="M555" s="352">
        <v>2969.25</v>
      </c>
      <c r="N555" s="347" t="s">
        <v>1941</v>
      </c>
      <c r="O555" s="339" t="s">
        <v>2017</v>
      </c>
    </row>
    <row r="556">
      <c r="A556" s="342">
        <v>229.0</v>
      </c>
      <c r="B556" s="348" t="s">
        <v>2684</v>
      </c>
      <c r="C556" s="350">
        <v>46037.0</v>
      </c>
      <c r="D556" s="348" t="s">
        <v>2685</v>
      </c>
      <c r="E556" s="350">
        <v>46135.0</v>
      </c>
      <c r="F556" s="351" t="s">
        <v>160</v>
      </c>
      <c r="G556" s="400" t="s">
        <v>92</v>
      </c>
      <c r="H556" s="336" t="s">
        <v>2686</v>
      </c>
      <c r="I556" s="339" t="s">
        <v>2687</v>
      </c>
      <c r="J556" s="342">
        <v>2.0</v>
      </c>
      <c r="K556" s="342" t="s">
        <v>156</v>
      </c>
      <c r="L556" s="346">
        <v>100.0</v>
      </c>
      <c r="M556" s="105">
        <f>J556*L556</f>
        <v>200</v>
      </c>
      <c r="N556" s="347" t="s">
        <v>2688</v>
      </c>
      <c r="O556" s="339" t="s">
        <v>2689</v>
      </c>
    </row>
    <row r="557">
      <c r="A557" s="369"/>
      <c r="B557" s="48"/>
      <c r="C557" s="48"/>
      <c r="D557" s="48"/>
      <c r="E557" s="48"/>
      <c r="F557" s="48"/>
      <c r="G557" s="48"/>
      <c r="H557" s="336" t="s">
        <v>1941</v>
      </c>
      <c r="I557" s="339" t="s">
        <v>1949</v>
      </c>
      <c r="J557" s="342" t="s">
        <v>92</v>
      </c>
      <c r="K557" s="342" t="s">
        <v>838</v>
      </c>
      <c r="L557" s="373">
        <v>0.05</v>
      </c>
      <c r="M557" s="352">
        <v>10.0</v>
      </c>
      <c r="N557" s="347" t="s">
        <v>1941</v>
      </c>
      <c r="O557" s="339" t="s">
        <v>2017</v>
      </c>
    </row>
    <row r="558">
      <c r="A558" s="342">
        <v>230.0</v>
      </c>
      <c r="B558" s="348" t="s">
        <v>2690</v>
      </c>
      <c r="C558" s="350">
        <v>46085.0</v>
      </c>
      <c r="D558" s="348" t="s">
        <v>2685</v>
      </c>
      <c r="E558" s="350">
        <v>46135.0</v>
      </c>
      <c r="F558" s="351" t="s">
        <v>92</v>
      </c>
      <c r="G558" s="400" t="s">
        <v>92</v>
      </c>
      <c r="H558" s="336" t="s">
        <v>2691</v>
      </c>
      <c r="I558" s="339" t="s">
        <v>2687</v>
      </c>
      <c r="J558" s="342">
        <v>1.0</v>
      </c>
      <c r="K558" s="342" t="s">
        <v>89</v>
      </c>
      <c r="L558" s="346">
        <v>100.0</v>
      </c>
      <c r="M558" s="352">
        <v>105.0</v>
      </c>
      <c r="N558" s="347" t="s">
        <v>2692</v>
      </c>
      <c r="O558" s="339" t="s">
        <v>2689</v>
      </c>
    </row>
    <row r="559">
      <c r="A559" s="369"/>
      <c r="B559" s="48"/>
      <c r="C559" s="48"/>
      <c r="D559" s="48"/>
      <c r="E559" s="48"/>
      <c r="F559" s="48"/>
      <c r="G559" s="48"/>
      <c r="H559" s="336" t="s">
        <v>2693</v>
      </c>
      <c r="I559" s="339" t="s">
        <v>2687</v>
      </c>
      <c r="J559" s="342">
        <v>2.0</v>
      </c>
      <c r="K559" s="342" t="s">
        <v>156</v>
      </c>
      <c r="L559" s="346">
        <v>100.0</v>
      </c>
      <c r="M559" s="352">
        <v>210.0</v>
      </c>
      <c r="N559" s="347" t="s">
        <v>2694</v>
      </c>
      <c r="O559" s="339" t="s">
        <v>2689</v>
      </c>
    </row>
    <row r="560">
      <c r="A560" s="342">
        <v>231.0</v>
      </c>
      <c r="B560" s="339">
        <v>2266.0</v>
      </c>
      <c r="C560" s="345">
        <v>46142.0</v>
      </c>
      <c r="D560" s="339" t="s">
        <v>2695</v>
      </c>
      <c r="E560" s="408">
        <v>46147.0</v>
      </c>
      <c r="F560" s="342" t="s">
        <v>92</v>
      </c>
      <c r="G560" s="336" t="s">
        <v>92</v>
      </c>
      <c r="H560" s="336" t="s">
        <v>2696</v>
      </c>
      <c r="I560" s="339" t="s">
        <v>2697</v>
      </c>
      <c r="J560" s="342" t="s">
        <v>92</v>
      </c>
      <c r="K560" s="342" t="s">
        <v>838</v>
      </c>
      <c r="L560" s="346">
        <v>3125.0</v>
      </c>
      <c r="M560" s="352">
        <v>3125.0</v>
      </c>
      <c r="N560" s="347" t="s">
        <v>2698</v>
      </c>
      <c r="O560" s="339" t="s">
        <v>2699</v>
      </c>
    </row>
    <row r="561">
      <c r="A561" s="342">
        <v>232.0</v>
      </c>
      <c r="B561" s="339">
        <v>2266.0</v>
      </c>
      <c r="C561" s="345">
        <v>46147.0</v>
      </c>
      <c r="D561" s="339" t="s">
        <v>2700</v>
      </c>
      <c r="E561" s="345">
        <v>46147.0</v>
      </c>
      <c r="F561" s="342" t="s">
        <v>92</v>
      </c>
      <c r="G561" s="336" t="s">
        <v>92</v>
      </c>
      <c r="H561" s="336" t="s">
        <v>2696</v>
      </c>
      <c r="I561" s="339" t="s">
        <v>2697</v>
      </c>
      <c r="J561" s="342" t="s">
        <v>92</v>
      </c>
      <c r="K561" s="342" t="s">
        <v>838</v>
      </c>
      <c r="L561" s="346">
        <v>3750.0</v>
      </c>
      <c r="M561" s="352">
        <v>3750.0</v>
      </c>
      <c r="N561" s="347" t="s">
        <v>2701</v>
      </c>
      <c r="O561" s="339" t="s">
        <v>2699</v>
      </c>
    </row>
    <row r="562">
      <c r="A562" s="342">
        <v>233.0</v>
      </c>
      <c r="B562" s="339">
        <v>4699150.0</v>
      </c>
      <c r="C562" s="345">
        <v>46148.0</v>
      </c>
      <c r="D562" s="339" t="s">
        <v>2702</v>
      </c>
      <c r="E562" s="345">
        <v>46148.0</v>
      </c>
      <c r="F562" s="342" t="s">
        <v>92</v>
      </c>
      <c r="G562" s="336" t="s">
        <v>92</v>
      </c>
      <c r="H562" s="336" t="s">
        <v>2703</v>
      </c>
      <c r="I562" s="339" t="s">
        <v>2704</v>
      </c>
      <c r="J562" s="342" t="s">
        <v>92</v>
      </c>
      <c r="K562" s="342" t="s">
        <v>838</v>
      </c>
      <c r="L562" s="346">
        <v>132195.0</v>
      </c>
      <c r="M562" s="352">
        <v>132195.0</v>
      </c>
      <c r="N562" s="347" t="s">
        <v>2705</v>
      </c>
      <c r="O562" s="339" t="s">
        <v>2706</v>
      </c>
    </row>
    <row r="563">
      <c r="A563" s="409">
        <v>235.0</v>
      </c>
      <c r="B563" s="410">
        <v>4618188.0</v>
      </c>
      <c r="C563" s="345">
        <v>46112.0</v>
      </c>
      <c r="D563" s="339" t="s">
        <v>2707</v>
      </c>
      <c r="E563" s="345">
        <v>46112.0</v>
      </c>
      <c r="F563" s="342" t="s">
        <v>92</v>
      </c>
      <c r="G563" s="336" t="s">
        <v>92</v>
      </c>
      <c r="H563" s="336" t="s">
        <v>2708</v>
      </c>
      <c r="I563" s="339" t="s">
        <v>2709</v>
      </c>
      <c r="J563" s="342" t="s">
        <v>92</v>
      </c>
      <c r="K563" s="342" t="s">
        <v>838</v>
      </c>
      <c r="L563" s="346">
        <v>1500000.0</v>
      </c>
      <c r="M563" s="352">
        <v>1500000.0</v>
      </c>
      <c r="N563" s="340"/>
      <c r="O563" s="339" t="s">
        <v>2710</v>
      </c>
    </row>
    <row r="564">
      <c r="A564" s="411">
        <v>236.0</v>
      </c>
      <c r="B564" s="412">
        <v>4667450.0</v>
      </c>
      <c r="C564" s="345">
        <v>46134.0</v>
      </c>
      <c r="D564" s="339" t="s">
        <v>2711</v>
      </c>
      <c r="E564" s="345">
        <v>46134.0</v>
      </c>
      <c r="F564" s="342" t="s">
        <v>92</v>
      </c>
      <c r="G564" s="336" t="s">
        <v>92</v>
      </c>
      <c r="H564" s="336" t="s">
        <v>2712</v>
      </c>
      <c r="I564" s="339" t="s">
        <v>2713</v>
      </c>
      <c r="J564" s="342" t="s">
        <v>92</v>
      </c>
      <c r="K564" s="342" t="s">
        <v>838</v>
      </c>
      <c r="L564" s="346">
        <v>2000000.0</v>
      </c>
      <c r="M564" s="352">
        <v>2000000.0</v>
      </c>
      <c r="N564" s="340"/>
      <c r="O564" s="339" t="s">
        <v>2714</v>
      </c>
    </row>
    <row r="565">
      <c r="A565" s="342">
        <v>237.0</v>
      </c>
      <c r="B565" s="348">
        <v>9.0</v>
      </c>
      <c r="C565" s="350">
        <v>46124.0</v>
      </c>
      <c r="D565" s="348" t="s">
        <v>2715</v>
      </c>
      <c r="E565" s="350">
        <v>46160.0</v>
      </c>
      <c r="F565" s="351">
        <v>1047.0</v>
      </c>
      <c r="G565" s="403">
        <v>46131.0</v>
      </c>
      <c r="H565" s="336" t="s">
        <v>2716</v>
      </c>
      <c r="I565" s="339" t="s">
        <v>55</v>
      </c>
      <c r="J565" s="342">
        <v>10.0</v>
      </c>
      <c r="K565" s="342" t="s">
        <v>156</v>
      </c>
      <c r="L565" s="346">
        <v>1200.0</v>
      </c>
      <c r="M565" s="105">
        <f t="shared" ref="M565:M573" si="54">J565*L565</f>
        <v>12000</v>
      </c>
      <c r="N565" s="347" t="s">
        <v>2221</v>
      </c>
      <c r="O565" s="339" t="s">
        <v>2244</v>
      </c>
    </row>
    <row r="566">
      <c r="A566" s="369"/>
      <c r="B566" s="47"/>
      <c r="C566" s="47"/>
      <c r="D566" s="47"/>
      <c r="E566" s="47"/>
      <c r="F566" s="47"/>
      <c r="G566" s="47"/>
      <c r="H566" s="336" t="s">
        <v>52</v>
      </c>
      <c r="I566" s="339" t="s">
        <v>55</v>
      </c>
      <c r="J566" s="342">
        <v>5.0</v>
      </c>
      <c r="K566" s="342" t="s">
        <v>156</v>
      </c>
      <c r="L566" s="346">
        <v>4500.0</v>
      </c>
      <c r="M566" s="105">
        <f t="shared" si="54"/>
        <v>22500</v>
      </c>
      <c r="N566" s="347" t="s">
        <v>2221</v>
      </c>
      <c r="O566" s="339" t="s">
        <v>2244</v>
      </c>
    </row>
    <row r="567">
      <c r="A567" s="369"/>
      <c r="B567" s="48"/>
      <c r="C567" s="48"/>
      <c r="D567" s="48"/>
      <c r="E567" s="48"/>
      <c r="F567" s="48"/>
      <c r="G567" s="48"/>
      <c r="H567" s="336" t="s">
        <v>2717</v>
      </c>
      <c r="I567" s="339" t="s">
        <v>55</v>
      </c>
      <c r="J567" s="342">
        <v>20.0</v>
      </c>
      <c r="K567" s="342" t="s">
        <v>156</v>
      </c>
      <c r="L567" s="346">
        <v>100.0</v>
      </c>
      <c r="M567" s="105">
        <f t="shared" si="54"/>
        <v>2000</v>
      </c>
      <c r="N567" s="347" t="s">
        <v>2221</v>
      </c>
      <c r="O567" s="339" t="s">
        <v>2244</v>
      </c>
    </row>
    <row r="568">
      <c r="A568" s="342">
        <v>238.0</v>
      </c>
      <c r="B568" s="339">
        <v>96.0</v>
      </c>
      <c r="C568" s="345">
        <v>46140.0</v>
      </c>
      <c r="D568" s="339" t="s">
        <v>2718</v>
      </c>
      <c r="E568" s="345">
        <v>1.1003435E7</v>
      </c>
      <c r="F568" s="342">
        <v>1053.0</v>
      </c>
      <c r="G568" s="405">
        <v>46141.0</v>
      </c>
      <c r="H568" s="336" t="s">
        <v>2719</v>
      </c>
      <c r="I568" s="339" t="s">
        <v>24</v>
      </c>
      <c r="J568" s="342">
        <v>10.0</v>
      </c>
      <c r="K568" s="342" t="s">
        <v>25</v>
      </c>
      <c r="L568" s="346">
        <v>456.5</v>
      </c>
      <c r="M568" s="105">
        <f t="shared" si="54"/>
        <v>4565</v>
      </c>
      <c r="N568" s="347" t="s">
        <v>2581</v>
      </c>
      <c r="O568" s="339" t="s">
        <v>1656</v>
      </c>
    </row>
    <row r="569">
      <c r="A569" s="342">
        <v>239.0</v>
      </c>
      <c r="B569" s="339">
        <v>4076.0</v>
      </c>
      <c r="C569" s="345">
        <v>46126.0</v>
      </c>
      <c r="D569" s="339" t="s">
        <v>2720</v>
      </c>
      <c r="E569" s="345">
        <v>46160.0</v>
      </c>
      <c r="F569" s="342" t="s">
        <v>92</v>
      </c>
      <c r="G569" s="336" t="s">
        <v>92</v>
      </c>
      <c r="H569" s="336" t="s">
        <v>2721</v>
      </c>
      <c r="I569" s="339" t="s">
        <v>24</v>
      </c>
      <c r="J569" s="342">
        <v>29.0</v>
      </c>
      <c r="K569" s="342" t="s">
        <v>25</v>
      </c>
      <c r="L569" s="346">
        <v>98.31</v>
      </c>
      <c r="M569" s="105">
        <f t="shared" si="54"/>
        <v>2850.99</v>
      </c>
      <c r="N569" s="347" t="s">
        <v>2722</v>
      </c>
      <c r="O569" s="339" t="s">
        <v>2723</v>
      </c>
    </row>
    <row r="570">
      <c r="A570" s="342">
        <v>241.0</v>
      </c>
      <c r="B570" s="339">
        <v>3955.0</v>
      </c>
      <c r="C570" s="345">
        <v>46134.0</v>
      </c>
      <c r="D570" s="339" t="s">
        <v>2720</v>
      </c>
      <c r="E570" s="345">
        <v>46160.0</v>
      </c>
      <c r="F570" s="342" t="s">
        <v>92</v>
      </c>
      <c r="G570" s="336" t="s">
        <v>92</v>
      </c>
      <c r="H570" s="336" t="s">
        <v>2724</v>
      </c>
      <c r="I570" s="339" t="s">
        <v>24</v>
      </c>
      <c r="J570" s="342">
        <v>45.0</v>
      </c>
      <c r="K570" s="342" t="s">
        <v>25</v>
      </c>
      <c r="L570" s="346">
        <v>98.2</v>
      </c>
      <c r="M570" s="105">
        <f t="shared" si="54"/>
        <v>4419</v>
      </c>
      <c r="N570" s="347" t="s">
        <v>2722</v>
      </c>
      <c r="O570" s="339" t="s">
        <v>2723</v>
      </c>
    </row>
    <row r="571">
      <c r="A571" s="342">
        <v>243.0</v>
      </c>
      <c r="B571" s="339">
        <v>2355.0</v>
      </c>
      <c r="C571" s="345">
        <v>46144.0</v>
      </c>
      <c r="D571" s="339" t="s">
        <v>2720</v>
      </c>
      <c r="E571" s="345">
        <v>46160.0</v>
      </c>
      <c r="F571" s="342" t="s">
        <v>92</v>
      </c>
      <c r="G571" s="336" t="s">
        <v>92</v>
      </c>
      <c r="H571" s="336" t="s">
        <v>2724</v>
      </c>
      <c r="I571" s="339" t="s">
        <v>24</v>
      </c>
      <c r="J571" s="342">
        <v>55.0</v>
      </c>
      <c r="K571" s="342" t="s">
        <v>25</v>
      </c>
      <c r="L571" s="346">
        <v>98.5</v>
      </c>
      <c r="M571" s="105">
        <f t="shared" si="54"/>
        <v>5417.5</v>
      </c>
      <c r="N571" s="347" t="s">
        <v>2722</v>
      </c>
      <c r="O571" s="339" t="s">
        <v>2723</v>
      </c>
    </row>
    <row r="572">
      <c r="A572" s="342">
        <v>244.0</v>
      </c>
      <c r="B572" s="339">
        <v>489947.0</v>
      </c>
      <c r="C572" s="345">
        <v>46136.0</v>
      </c>
      <c r="D572" s="339" t="s">
        <v>2725</v>
      </c>
      <c r="E572" s="345">
        <v>46156.0</v>
      </c>
      <c r="F572" s="342">
        <v>1051.0</v>
      </c>
      <c r="G572" s="405">
        <v>46136.0</v>
      </c>
      <c r="H572" s="336" t="s">
        <v>2585</v>
      </c>
      <c r="I572" s="339" t="s">
        <v>24</v>
      </c>
      <c r="J572" s="342">
        <v>440.0</v>
      </c>
      <c r="K572" s="342" t="s">
        <v>25</v>
      </c>
      <c r="L572" s="346">
        <v>102.9</v>
      </c>
      <c r="M572" s="105">
        <f t="shared" si="54"/>
        <v>45276</v>
      </c>
      <c r="N572" s="347" t="s">
        <v>2726</v>
      </c>
      <c r="O572" s="339" t="s">
        <v>2727</v>
      </c>
    </row>
    <row r="573">
      <c r="A573" s="342">
        <v>245.0</v>
      </c>
      <c r="B573" s="348">
        <v>13682.0</v>
      </c>
      <c r="C573" s="350">
        <v>46136.0</v>
      </c>
      <c r="D573" s="348" t="s">
        <v>2725</v>
      </c>
      <c r="E573" s="350">
        <v>46156.0</v>
      </c>
      <c r="F573" s="351">
        <v>1051.0</v>
      </c>
      <c r="G573" s="403">
        <v>46136.0</v>
      </c>
      <c r="H573" s="336" t="s">
        <v>38</v>
      </c>
      <c r="I573" s="339" t="s">
        <v>24</v>
      </c>
      <c r="J573" s="342">
        <v>480.0</v>
      </c>
      <c r="K573" s="342" t="s">
        <v>39</v>
      </c>
      <c r="L573" s="346">
        <v>20.0</v>
      </c>
      <c r="M573" s="105">
        <f t="shared" si="54"/>
        <v>9600</v>
      </c>
      <c r="N573" s="347" t="s">
        <v>1114</v>
      </c>
      <c r="O573" s="339" t="s">
        <v>2727</v>
      </c>
    </row>
    <row r="574">
      <c r="A574" s="369"/>
      <c r="B574" s="48"/>
      <c r="C574" s="48"/>
      <c r="D574" s="48"/>
      <c r="E574" s="48"/>
      <c r="F574" s="48"/>
      <c r="G574" s="48"/>
      <c r="H574" s="336" t="s">
        <v>1941</v>
      </c>
      <c r="I574" s="339" t="s">
        <v>1949</v>
      </c>
      <c r="J574" s="342" t="s">
        <v>92</v>
      </c>
      <c r="K574" s="342" t="s">
        <v>838</v>
      </c>
      <c r="L574" s="373">
        <v>0.05</v>
      </c>
      <c r="M574" s="352">
        <v>480.0</v>
      </c>
      <c r="N574" s="347" t="s">
        <v>2407</v>
      </c>
      <c r="O574" s="339" t="s">
        <v>2017</v>
      </c>
    </row>
    <row r="575">
      <c r="A575" s="342">
        <v>246.0</v>
      </c>
      <c r="B575" s="348">
        <v>1.055755E7</v>
      </c>
      <c r="C575" s="350">
        <v>46136.0</v>
      </c>
      <c r="D575" s="348" t="s">
        <v>2725</v>
      </c>
      <c r="E575" s="350">
        <v>46156.0</v>
      </c>
      <c r="F575" s="351">
        <v>1051.0</v>
      </c>
      <c r="G575" s="403">
        <v>46136.0</v>
      </c>
      <c r="H575" s="336" t="s">
        <v>2728</v>
      </c>
      <c r="I575" s="339" t="s">
        <v>24</v>
      </c>
      <c r="J575" s="342">
        <v>1508.0</v>
      </c>
      <c r="K575" s="342" t="s">
        <v>25</v>
      </c>
      <c r="L575" s="346">
        <v>93.63</v>
      </c>
      <c r="M575" s="352">
        <v>141192.0</v>
      </c>
      <c r="N575" s="347" t="s">
        <v>2722</v>
      </c>
      <c r="O575" s="339" t="s">
        <v>2729</v>
      </c>
    </row>
    <row r="576">
      <c r="A576" s="369"/>
      <c r="B576" s="48"/>
      <c r="C576" s="48"/>
      <c r="D576" s="48"/>
      <c r="E576" s="48"/>
      <c r="F576" s="48"/>
      <c r="G576" s="48"/>
      <c r="H576" s="336" t="s">
        <v>1941</v>
      </c>
      <c r="I576" s="339" t="s">
        <v>1949</v>
      </c>
      <c r="J576" s="342" t="s">
        <v>92</v>
      </c>
      <c r="K576" s="342" t="s">
        <v>838</v>
      </c>
      <c r="L576" s="373">
        <v>0.05</v>
      </c>
      <c r="M576" s="352">
        <v>7059.59</v>
      </c>
      <c r="N576" s="347" t="s">
        <v>1941</v>
      </c>
      <c r="O576" s="339" t="s">
        <v>2017</v>
      </c>
    </row>
    <row r="577">
      <c r="A577" s="342">
        <v>247.0</v>
      </c>
      <c r="B577" s="312"/>
      <c r="C577" s="368"/>
      <c r="D577" s="312"/>
      <c r="E577" s="368"/>
      <c r="F577" s="369"/>
      <c r="G577" s="378"/>
      <c r="H577" s="378"/>
      <c r="I577" s="312"/>
      <c r="J577" s="369"/>
      <c r="K577" s="369"/>
      <c r="L577" s="376"/>
      <c r="M577" s="105">
        <f t="shared" ref="M577:M698" si="55">J577*L577</f>
        <v>0</v>
      </c>
      <c r="N577" s="340"/>
      <c r="O577" s="312"/>
    </row>
    <row r="578">
      <c r="A578" s="369"/>
      <c r="B578" s="312"/>
      <c r="C578" s="368"/>
      <c r="D578" s="312"/>
      <c r="E578" s="368"/>
      <c r="F578" s="369"/>
      <c r="G578" s="378"/>
      <c r="H578" s="378"/>
      <c r="I578" s="312"/>
      <c r="J578" s="369"/>
      <c r="K578" s="369"/>
      <c r="L578" s="376"/>
      <c r="M578" s="105">
        <f t="shared" si="55"/>
        <v>0</v>
      </c>
      <c r="N578" s="340"/>
      <c r="O578" s="312"/>
    </row>
    <row r="579">
      <c r="A579" s="369"/>
      <c r="B579" s="312"/>
      <c r="C579" s="368"/>
      <c r="D579" s="312"/>
      <c r="E579" s="368"/>
      <c r="F579" s="369"/>
      <c r="G579" s="378"/>
      <c r="H579" s="378"/>
      <c r="I579" s="312"/>
      <c r="J579" s="369"/>
      <c r="K579" s="369"/>
      <c r="L579" s="376"/>
      <c r="M579" s="105">
        <f t="shared" si="55"/>
        <v>0</v>
      </c>
      <c r="N579" s="340"/>
      <c r="O579" s="312"/>
    </row>
    <row r="580">
      <c r="A580" s="369"/>
      <c r="B580" s="312"/>
      <c r="C580" s="368"/>
      <c r="D580" s="312"/>
      <c r="E580" s="368"/>
      <c r="F580" s="369"/>
      <c r="G580" s="378"/>
      <c r="H580" s="378"/>
      <c r="I580" s="312"/>
      <c r="J580" s="369"/>
      <c r="K580" s="369"/>
      <c r="L580" s="376"/>
      <c r="M580" s="105">
        <f t="shared" si="55"/>
        <v>0</v>
      </c>
      <c r="N580" s="340"/>
      <c r="O580" s="312"/>
    </row>
    <row r="581">
      <c r="A581" s="369"/>
      <c r="B581" s="312"/>
      <c r="C581" s="368"/>
      <c r="D581" s="312"/>
      <c r="E581" s="368"/>
      <c r="F581" s="369"/>
      <c r="G581" s="378"/>
      <c r="H581" s="378"/>
      <c r="I581" s="312"/>
      <c r="J581" s="369"/>
      <c r="K581" s="369"/>
      <c r="L581" s="376"/>
      <c r="M581" s="105">
        <f t="shared" si="55"/>
        <v>0</v>
      </c>
      <c r="N581" s="340"/>
      <c r="O581" s="312"/>
    </row>
    <row r="582">
      <c r="A582" s="369"/>
      <c r="B582" s="312"/>
      <c r="C582" s="368"/>
      <c r="D582" s="312"/>
      <c r="E582" s="368"/>
      <c r="F582" s="369"/>
      <c r="G582" s="378"/>
      <c r="H582" s="378"/>
      <c r="I582" s="312"/>
      <c r="J582" s="369"/>
      <c r="K582" s="369"/>
      <c r="L582" s="376"/>
      <c r="M582" s="105">
        <f t="shared" si="55"/>
        <v>0</v>
      </c>
      <c r="N582" s="340"/>
      <c r="O582" s="312"/>
    </row>
    <row r="583">
      <c r="A583" s="369"/>
      <c r="B583" s="312"/>
      <c r="C583" s="368"/>
      <c r="D583" s="312"/>
      <c r="E583" s="368"/>
      <c r="F583" s="369"/>
      <c r="G583" s="378"/>
      <c r="H583" s="378"/>
      <c r="I583" s="312"/>
      <c r="J583" s="369"/>
      <c r="K583" s="369"/>
      <c r="L583" s="376"/>
      <c r="M583" s="105">
        <f t="shared" si="55"/>
        <v>0</v>
      </c>
      <c r="N583" s="340"/>
      <c r="O583" s="312"/>
    </row>
    <row r="584">
      <c r="A584" s="369"/>
      <c r="B584" s="312"/>
      <c r="C584" s="368"/>
      <c r="D584" s="312"/>
      <c r="E584" s="368"/>
      <c r="F584" s="369"/>
      <c r="G584" s="378"/>
      <c r="H584" s="378"/>
      <c r="I584" s="312"/>
      <c r="J584" s="369"/>
      <c r="K584" s="369"/>
      <c r="L584" s="376"/>
      <c r="M584" s="105">
        <f t="shared" si="55"/>
        <v>0</v>
      </c>
      <c r="N584" s="340"/>
      <c r="O584" s="312"/>
    </row>
    <row r="585">
      <c r="A585" s="369"/>
      <c r="B585" s="312"/>
      <c r="C585" s="368"/>
      <c r="D585" s="312"/>
      <c r="E585" s="368"/>
      <c r="F585" s="369"/>
      <c r="G585" s="378"/>
      <c r="H585" s="378"/>
      <c r="I585" s="312"/>
      <c r="J585" s="369"/>
      <c r="K585" s="369"/>
      <c r="L585" s="376"/>
      <c r="M585" s="105">
        <f t="shared" si="55"/>
        <v>0</v>
      </c>
      <c r="N585" s="340"/>
      <c r="O585" s="312"/>
    </row>
    <row r="586">
      <c r="A586" s="369"/>
      <c r="B586" s="312"/>
      <c r="C586" s="368"/>
      <c r="D586" s="312"/>
      <c r="E586" s="368"/>
      <c r="F586" s="369"/>
      <c r="G586" s="378"/>
      <c r="H586" s="378"/>
      <c r="I586" s="312"/>
      <c r="J586" s="369"/>
      <c r="K586" s="369"/>
      <c r="L586" s="376"/>
      <c r="M586" s="105">
        <f t="shared" si="55"/>
        <v>0</v>
      </c>
      <c r="N586" s="340"/>
      <c r="O586" s="312"/>
    </row>
    <row r="587">
      <c r="A587" s="369"/>
      <c r="B587" s="312"/>
      <c r="C587" s="368"/>
      <c r="D587" s="312"/>
      <c r="E587" s="368"/>
      <c r="F587" s="369"/>
      <c r="G587" s="378"/>
      <c r="H587" s="378"/>
      <c r="I587" s="312"/>
      <c r="J587" s="369"/>
      <c r="K587" s="369"/>
      <c r="L587" s="376"/>
      <c r="M587" s="105">
        <f t="shared" si="55"/>
        <v>0</v>
      </c>
      <c r="N587" s="340"/>
      <c r="O587" s="312"/>
    </row>
    <row r="588">
      <c r="A588" s="369"/>
      <c r="B588" s="312"/>
      <c r="C588" s="368"/>
      <c r="D588" s="312"/>
      <c r="E588" s="368"/>
      <c r="F588" s="369"/>
      <c r="G588" s="378"/>
      <c r="H588" s="378"/>
      <c r="I588" s="312"/>
      <c r="J588" s="369"/>
      <c r="K588" s="369"/>
      <c r="L588" s="376"/>
      <c r="M588" s="105">
        <f t="shared" si="55"/>
        <v>0</v>
      </c>
      <c r="N588" s="340"/>
      <c r="O588" s="312"/>
    </row>
    <row r="589">
      <c r="A589" s="369"/>
      <c r="B589" s="312"/>
      <c r="C589" s="368"/>
      <c r="D589" s="312"/>
      <c r="E589" s="368"/>
      <c r="F589" s="369"/>
      <c r="G589" s="378"/>
      <c r="H589" s="378"/>
      <c r="I589" s="312"/>
      <c r="J589" s="369"/>
      <c r="K589" s="369"/>
      <c r="L589" s="376"/>
      <c r="M589" s="105">
        <f t="shared" si="55"/>
        <v>0</v>
      </c>
      <c r="N589" s="340"/>
      <c r="O589" s="312"/>
    </row>
    <row r="590">
      <c r="A590" s="369"/>
      <c r="B590" s="312"/>
      <c r="C590" s="368"/>
      <c r="D590" s="312"/>
      <c r="E590" s="368"/>
      <c r="F590" s="369"/>
      <c r="G590" s="378"/>
      <c r="H590" s="378"/>
      <c r="I590" s="312"/>
      <c r="J590" s="369"/>
      <c r="K590" s="369"/>
      <c r="L590" s="376"/>
      <c r="M590" s="105">
        <f t="shared" si="55"/>
        <v>0</v>
      </c>
      <c r="N590" s="340"/>
      <c r="O590" s="312"/>
    </row>
    <row r="591">
      <c r="A591" s="369"/>
      <c r="B591" s="312"/>
      <c r="C591" s="368"/>
      <c r="D591" s="312"/>
      <c r="E591" s="368"/>
      <c r="F591" s="369"/>
      <c r="G591" s="378"/>
      <c r="H591" s="378"/>
      <c r="I591" s="312"/>
      <c r="J591" s="369"/>
      <c r="K591" s="369"/>
      <c r="L591" s="376"/>
      <c r="M591" s="105">
        <f t="shared" si="55"/>
        <v>0</v>
      </c>
      <c r="N591" s="340"/>
      <c r="O591" s="312"/>
    </row>
    <row r="592">
      <c r="A592" s="369"/>
      <c r="B592" s="312"/>
      <c r="C592" s="368"/>
      <c r="D592" s="312"/>
      <c r="E592" s="368"/>
      <c r="F592" s="369"/>
      <c r="G592" s="378"/>
      <c r="H592" s="378"/>
      <c r="I592" s="312"/>
      <c r="J592" s="369"/>
      <c r="K592" s="369"/>
      <c r="L592" s="376"/>
      <c r="M592" s="105">
        <f t="shared" si="55"/>
        <v>0</v>
      </c>
      <c r="N592" s="340"/>
      <c r="O592" s="312"/>
    </row>
    <row r="593">
      <c r="A593" s="369"/>
      <c r="B593" s="312"/>
      <c r="C593" s="368"/>
      <c r="D593" s="312"/>
      <c r="E593" s="368"/>
      <c r="F593" s="369"/>
      <c r="G593" s="378"/>
      <c r="H593" s="378"/>
      <c r="I593" s="312"/>
      <c r="J593" s="369"/>
      <c r="K593" s="369"/>
      <c r="L593" s="376"/>
      <c r="M593" s="105">
        <f t="shared" si="55"/>
        <v>0</v>
      </c>
      <c r="N593" s="340"/>
      <c r="O593" s="312"/>
    </row>
    <row r="594">
      <c r="A594" s="369"/>
      <c r="B594" s="312"/>
      <c r="C594" s="368"/>
      <c r="D594" s="312"/>
      <c r="E594" s="368"/>
      <c r="F594" s="369"/>
      <c r="G594" s="378"/>
      <c r="H594" s="378"/>
      <c r="I594" s="312"/>
      <c r="J594" s="369"/>
      <c r="K594" s="369"/>
      <c r="L594" s="376"/>
      <c r="M594" s="105">
        <f t="shared" si="55"/>
        <v>0</v>
      </c>
      <c r="N594" s="340"/>
      <c r="O594" s="312"/>
    </row>
    <row r="595">
      <c r="A595" s="369"/>
      <c r="B595" s="312"/>
      <c r="C595" s="368"/>
      <c r="D595" s="312"/>
      <c r="E595" s="368"/>
      <c r="F595" s="369"/>
      <c r="G595" s="378"/>
      <c r="H595" s="378"/>
      <c r="I595" s="312"/>
      <c r="J595" s="369"/>
      <c r="K595" s="369"/>
      <c r="L595" s="376"/>
      <c r="M595" s="105">
        <f t="shared" si="55"/>
        <v>0</v>
      </c>
      <c r="N595" s="340"/>
      <c r="O595" s="312"/>
    </row>
    <row r="596">
      <c r="A596" s="369"/>
      <c r="B596" s="312"/>
      <c r="C596" s="368"/>
      <c r="D596" s="312"/>
      <c r="E596" s="368"/>
      <c r="F596" s="369"/>
      <c r="G596" s="378"/>
      <c r="H596" s="378"/>
      <c r="I596" s="312"/>
      <c r="J596" s="369"/>
      <c r="K596" s="369"/>
      <c r="L596" s="376"/>
      <c r="M596" s="105">
        <f t="shared" si="55"/>
        <v>0</v>
      </c>
      <c r="N596" s="340"/>
      <c r="O596" s="312"/>
    </row>
    <row r="597">
      <c r="A597" s="369"/>
      <c r="B597" s="312"/>
      <c r="C597" s="368"/>
      <c r="D597" s="312"/>
      <c r="E597" s="368"/>
      <c r="F597" s="369"/>
      <c r="G597" s="378"/>
      <c r="H597" s="378"/>
      <c r="I597" s="312"/>
      <c r="J597" s="369"/>
      <c r="K597" s="369"/>
      <c r="L597" s="376"/>
      <c r="M597" s="105">
        <f t="shared" si="55"/>
        <v>0</v>
      </c>
      <c r="N597" s="340"/>
      <c r="O597" s="312"/>
    </row>
    <row r="598">
      <c r="A598" s="369"/>
      <c r="B598" s="312"/>
      <c r="C598" s="368"/>
      <c r="D598" s="312"/>
      <c r="E598" s="368"/>
      <c r="F598" s="369"/>
      <c r="G598" s="378"/>
      <c r="H598" s="378"/>
      <c r="I598" s="312"/>
      <c r="J598" s="369"/>
      <c r="K598" s="369"/>
      <c r="L598" s="376"/>
      <c r="M598" s="105">
        <f t="shared" si="55"/>
        <v>0</v>
      </c>
      <c r="N598" s="340"/>
      <c r="O598" s="312"/>
    </row>
    <row r="599">
      <c r="A599" s="369"/>
      <c r="B599" s="312"/>
      <c r="C599" s="368"/>
      <c r="D599" s="312"/>
      <c r="E599" s="368"/>
      <c r="F599" s="369"/>
      <c r="G599" s="378"/>
      <c r="H599" s="378"/>
      <c r="I599" s="312"/>
      <c r="J599" s="369"/>
      <c r="K599" s="369"/>
      <c r="L599" s="376"/>
      <c r="M599" s="105">
        <f t="shared" si="55"/>
        <v>0</v>
      </c>
      <c r="N599" s="340"/>
      <c r="O599" s="312"/>
    </row>
    <row r="600">
      <c r="A600" s="369"/>
      <c r="B600" s="312"/>
      <c r="C600" s="368"/>
      <c r="D600" s="312"/>
      <c r="E600" s="368"/>
      <c r="F600" s="369"/>
      <c r="G600" s="378"/>
      <c r="H600" s="378"/>
      <c r="I600" s="312"/>
      <c r="J600" s="369"/>
      <c r="K600" s="369"/>
      <c r="L600" s="376"/>
      <c r="M600" s="105">
        <f t="shared" si="55"/>
        <v>0</v>
      </c>
      <c r="N600" s="340"/>
      <c r="O600" s="312"/>
    </row>
    <row r="601">
      <c r="A601" s="369"/>
      <c r="B601" s="312"/>
      <c r="C601" s="368"/>
      <c r="D601" s="312"/>
      <c r="E601" s="368"/>
      <c r="F601" s="369"/>
      <c r="G601" s="378"/>
      <c r="H601" s="378"/>
      <c r="I601" s="312"/>
      <c r="J601" s="369"/>
      <c r="K601" s="369"/>
      <c r="L601" s="376"/>
      <c r="M601" s="105">
        <f t="shared" si="55"/>
        <v>0</v>
      </c>
      <c r="N601" s="340"/>
      <c r="O601" s="312"/>
    </row>
    <row r="602">
      <c r="A602" s="369"/>
      <c r="B602" s="312"/>
      <c r="C602" s="368"/>
      <c r="D602" s="312"/>
      <c r="E602" s="368"/>
      <c r="F602" s="369"/>
      <c r="G602" s="378"/>
      <c r="H602" s="378"/>
      <c r="I602" s="312"/>
      <c r="J602" s="369"/>
      <c r="K602" s="369"/>
      <c r="L602" s="376"/>
      <c r="M602" s="105">
        <f t="shared" si="55"/>
        <v>0</v>
      </c>
      <c r="N602" s="340"/>
      <c r="O602" s="312"/>
    </row>
    <row r="603">
      <c r="A603" s="369"/>
      <c r="B603" s="312"/>
      <c r="C603" s="368"/>
      <c r="D603" s="312"/>
      <c r="E603" s="368"/>
      <c r="F603" s="369"/>
      <c r="G603" s="378"/>
      <c r="H603" s="378"/>
      <c r="I603" s="312"/>
      <c r="J603" s="369"/>
      <c r="K603" s="369"/>
      <c r="L603" s="376"/>
      <c r="M603" s="105">
        <f t="shared" si="55"/>
        <v>0</v>
      </c>
      <c r="N603" s="340"/>
      <c r="O603" s="312"/>
    </row>
    <row r="604">
      <c r="A604" s="369"/>
      <c r="B604" s="312"/>
      <c r="C604" s="368"/>
      <c r="D604" s="312"/>
      <c r="E604" s="368"/>
      <c r="F604" s="369"/>
      <c r="G604" s="378"/>
      <c r="H604" s="378"/>
      <c r="I604" s="312"/>
      <c r="J604" s="369"/>
      <c r="K604" s="369"/>
      <c r="L604" s="376"/>
      <c r="M604" s="105">
        <f t="shared" si="55"/>
        <v>0</v>
      </c>
      <c r="N604" s="340"/>
      <c r="O604" s="312"/>
    </row>
    <row r="605">
      <c r="A605" s="369"/>
      <c r="B605" s="312"/>
      <c r="C605" s="368"/>
      <c r="D605" s="312"/>
      <c r="E605" s="368"/>
      <c r="F605" s="369"/>
      <c r="G605" s="378"/>
      <c r="H605" s="378"/>
      <c r="I605" s="312"/>
      <c r="J605" s="369"/>
      <c r="K605" s="369"/>
      <c r="L605" s="376"/>
      <c r="M605" s="105">
        <f t="shared" si="55"/>
        <v>0</v>
      </c>
      <c r="N605" s="340"/>
      <c r="O605" s="312"/>
    </row>
    <row r="606">
      <c r="A606" s="369"/>
      <c r="B606" s="312"/>
      <c r="C606" s="368"/>
      <c r="D606" s="312"/>
      <c r="E606" s="368"/>
      <c r="F606" s="369"/>
      <c r="G606" s="378"/>
      <c r="H606" s="378"/>
      <c r="I606" s="312"/>
      <c r="J606" s="369"/>
      <c r="K606" s="369"/>
      <c r="L606" s="376"/>
      <c r="M606" s="105">
        <f t="shared" si="55"/>
        <v>0</v>
      </c>
      <c r="N606" s="340"/>
      <c r="O606" s="312"/>
    </row>
    <row r="607">
      <c r="A607" s="369"/>
      <c r="B607" s="312"/>
      <c r="C607" s="368"/>
      <c r="D607" s="312"/>
      <c r="E607" s="368"/>
      <c r="F607" s="369"/>
      <c r="G607" s="378"/>
      <c r="H607" s="378"/>
      <c r="I607" s="312"/>
      <c r="J607" s="369"/>
      <c r="K607" s="369"/>
      <c r="L607" s="376"/>
      <c r="M607" s="105">
        <f t="shared" si="55"/>
        <v>0</v>
      </c>
      <c r="N607" s="340"/>
      <c r="O607" s="312"/>
    </row>
    <row r="608">
      <c r="A608" s="369"/>
      <c r="B608" s="312"/>
      <c r="C608" s="368"/>
      <c r="D608" s="312"/>
      <c r="E608" s="368"/>
      <c r="F608" s="369"/>
      <c r="G608" s="378"/>
      <c r="H608" s="378"/>
      <c r="I608" s="312"/>
      <c r="J608" s="369"/>
      <c r="K608" s="369"/>
      <c r="L608" s="376"/>
      <c r="M608" s="105">
        <f t="shared" si="55"/>
        <v>0</v>
      </c>
      <c r="N608" s="340"/>
      <c r="O608" s="312"/>
    </row>
    <row r="609">
      <c r="A609" s="369"/>
      <c r="B609" s="312"/>
      <c r="C609" s="368"/>
      <c r="D609" s="312"/>
      <c r="E609" s="368"/>
      <c r="F609" s="369"/>
      <c r="G609" s="378"/>
      <c r="H609" s="378"/>
      <c r="I609" s="312"/>
      <c r="J609" s="369"/>
      <c r="K609" s="369"/>
      <c r="L609" s="376"/>
      <c r="M609" s="105">
        <f t="shared" si="55"/>
        <v>0</v>
      </c>
      <c r="N609" s="340"/>
      <c r="O609" s="312"/>
    </row>
    <row r="610">
      <c r="A610" s="369"/>
      <c r="B610" s="312"/>
      <c r="C610" s="368"/>
      <c r="D610" s="312"/>
      <c r="E610" s="368"/>
      <c r="F610" s="369"/>
      <c r="G610" s="378"/>
      <c r="H610" s="378"/>
      <c r="I610" s="312"/>
      <c r="J610" s="369"/>
      <c r="K610" s="369"/>
      <c r="L610" s="376"/>
      <c r="M610" s="105">
        <f t="shared" si="55"/>
        <v>0</v>
      </c>
      <c r="N610" s="340"/>
      <c r="O610" s="312"/>
    </row>
    <row r="611">
      <c r="A611" s="369"/>
      <c r="B611" s="312"/>
      <c r="C611" s="368"/>
      <c r="D611" s="312"/>
      <c r="E611" s="368"/>
      <c r="F611" s="369"/>
      <c r="G611" s="378"/>
      <c r="H611" s="378"/>
      <c r="I611" s="312"/>
      <c r="J611" s="369"/>
      <c r="K611" s="369"/>
      <c r="L611" s="376"/>
      <c r="M611" s="105">
        <f t="shared" si="55"/>
        <v>0</v>
      </c>
      <c r="N611" s="340"/>
      <c r="O611" s="312"/>
    </row>
    <row r="612">
      <c r="A612" s="369"/>
      <c r="B612" s="312"/>
      <c r="C612" s="368"/>
      <c r="D612" s="312"/>
      <c r="E612" s="368"/>
      <c r="F612" s="369"/>
      <c r="G612" s="378"/>
      <c r="H612" s="378"/>
      <c r="I612" s="312"/>
      <c r="J612" s="369"/>
      <c r="K612" s="369"/>
      <c r="L612" s="376"/>
      <c r="M612" s="105">
        <f t="shared" si="55"/>
        <v>0</v>
      </c>
      <c r="N612" s="340"/>
      <c r="O612" s="312"/>
    </row>
    <row r="613">
      <c r="A613" s="369"/>
      <c r="B613" s="312"/>
      <c r="C613" s="368"/>
      <c r="D613" s="312"/>
      <c r="E613" s="368"/>
      <c r="F613" s="369"/>
      <c r="G613" s="378"/>
      <c r="H613" s="378"/>
      <c r="I613" s="312"/>
      <c r="J613" s="369"/>
      <c r="K613" s="369"/>
      <c r="L613" s="376"/>
      <c r="M613" s="105">
        <f t="shared" si="55"/>
        <v>0</v>
      </c>
      <c r="N613" s="340"/>
      <c r="O613" s="312"/>
    </row>
    <row r="614">
      <c r="A614" s="369"/>
      <c r="B614" s="312"/>
      <c r="C614" s="368"/>
      <c r="D614" s="312"/>
      <c r="E614" s="368"/>
      <c r="F614" s="369"/>
      <c r="G614" s="378"/>
      <c r="H614" s="378"/>
      <c r="I614" s="312"/>
      <c r="J614" s="369"/>
      <c r="K614" s="369"/>
      <c r="L614" s="376"/>
      <c r="M614" s="105">
        <f t="shared" si="55"/>
        <v>0</v>
      </c>
      <c r="N614" s="340"/>
      <c r="O614" s="312"/>
    </row>
    <row r="615">
      <c r="A615" s="369"/>
      <c r="B615" s="312"/>
      <c r="C615" s="368"/>
      <c r="D615" s="312"/>
      <c r="E615" s="368"/>
      <c r="F615" s="369"/>
      <c r="G615" s="378"/>
      <c r="H615" s="378"/>
      <c r="I615" s="312"/>
      <c r="J615" s="369"/>
      <c r="K615" s="369"/>
      <c r="L615" s="376"/>
      <c r="M615" s="105">
        <f t="shared" si="55"/>
        <v>0</v>
      </c>
      <c r="N615" s="340"/>
      <c r="O615" s="312"/>
    </row>
    <row r="616">
      <c r="A616" s="369"/>
      <c r="B616" s="312"/>
      <c r="C616" s="368"/>
      <c r="D616" s="312"/>
      <c r="E616" s="368"/>
      <c r="F616" s="369"/>
      <c r="G616" s="378"/>
      <c r="H616" s="378"/>
      <c r="I616" s="312"/>
      <c r="J616" s="369"/>
      <c r="K616" s="369"/>
      <c r="L616" s="376"/>
      <c r="M616" s="105">
        <f t="shared" si="55"/>
        <v>0</v>
      </c>
      <c r="N616" s="340"/>
      <c r="O616" s="312"/>
    </row>
    <row r="617">
      <c r="A617" s="369"/>
      <c r="B617" s="312"/>
      <c r="C617" s="368"/>
      <c r="D617" s="312"/>
      <c r="E617" s="368"/>
      <c r="F617" s="369"/>
      <c r="G617" s="378"/>
      <c r="H617" s="378"/>
      <c r="I617" s="312"/>
      <c r="J617" s="369"/>
      <c r="K617" s="369"/>
      <c r="L617" s="376"/>
      <c r="M617" s="105">
        <f t="shared" si="55"/>
        <v>0</v>
      </c>
      <c r="N617" s="340"/>
      <c r="O617" s="312"/>
    </row>
    <row r="618">
      <c r="A618" s="369"/>
      <c r="B618" s="312"/>
      <c r="C618" s="368"/>
      <c r="D618" s="312"/>
      <c r="E618" s="368"/>
      <c r="F618" s="369"/>
      <c r="G618" s="378"/>
      <c r="H618" s="378"/>
      <c r="I618" s="312"/>
      <c r="J618" s="369"/>
      <c r="K618" s="369"/>
      <c r="L618" s="376"/>
      <c r="M618" s="105">
        <f t="shared" si="55"/>
        <v>0</v>
      </c>
      <c r="N618" s="340"/>
      <c r="O618" s="312"/>
    </row>
    <row r="619">
      <c r="A619" s="369"/>
      <c r="B619" s="312"/>
      <c r="C619" s="368"/>
      <c r="D619" s="312"/>
      <c r="E619" s="368"/>
      <c r="F619" s="369"/>
      <c r="G619" s="378"/>
      <c r="H619" s="378"/>
      <c r="I619" s="312"/>
      <c r="J619" s="369"/>
      <c r="K619" s="369"/>
      <c r="L619" s="376"/>
      <c r="M619" s="105">
        <f t="shared" si="55"/>
        <v>0</v>
      </c>
      <c r="N619" s="340"/>
      <c r="O619" s="312"/>
    </row>
    <row r="620">
      <c r="A620" s="369"/>
      <c r="B620" s="312"/>
      <c r="C620" s="368"/>
      <c r="D620" s="312"/>
      <c r="E620" s="368"/>
      <c r="F620" s="369"/>
      <c r="G620" s="378"/>
      <c r="H620" s="378"/>
      <c r="I620" s="312"/>
      <c r="J620" s="369"/>
      <c r="K620" s="369"/>
      <c r="L620" s="376"/>
      <c r="M620" s="105">
        <f t="shared" si="55"/>
        <v>0</v>
      </c>
      <c r="N620" s="340"/>
      <c r="O620" s="312"/>
    </row>
    <row r="621">
      <c r="A621" s="369"/>
      <c r="B621" s="312"/>
      <c r="C621" s="368"/>
      <c r="D621" s="312"/>
      <c r="E621" s="368"/>
      <c r="F621" s="369"/>
      <c r="G621" s="378"/>
      <c r="H621" s="378"/>
      <c r="I621" s="312"/>
      <c r="J621" s="369"/>
      <c r="K621" s="369"/>
      <c r="L621" s="376"/>
      <c r="M621" s="105">
        <f t="shared" si="55"/>
        <v>0</v>
      </c>
      <c r="N621" s="340"/>
      <c r="O621" s="312"/>
    </row>
    <row r="622">
      <c r="A622" s="369"/>
      <c r="B622" s="312"/>
      <c r="C622" s="368"/>
      <c r="D622" s="312"/>
      <c r="E622" s="368"/>
      <c r="F622" s="369"/>
      <c r="G622" s="378"/>
      <c r="H622" s="378"/>
      <c r="I622" s="312"/>
      <c r="J622" s="369"/>
      <c r="K622" s="369"/>
      <c r="L622" s="376"/>
      <c r="M622" s="105">
        <f t="shared" si="55"/>
        <v>0</v>
      </c>
      <c r="N622" s="340"/>
      <c r="O622" s="312"/>
    </row>
    <row r="623">
      <c r="A623" s="369"/>
      <c r="B623" s="312"/>
      <c r="C623" s="368"/>
      <c r="D623" s="312"/>
      <c r="E623" s="368"/>
      <c r="F623" s="369"/>
      <c r="G623" s="378"/>
      <c r="H623" s="378"/>
      <c r="I623" s="312"/>
      <c r="J623" s="369"/>
      <c r="K623" s="369"/>
      <c r="L623" s="376"/>
      <c r="M623" s="105">
        <f t="shared" si="55"/>
        <v>0</v>
      </c>
      <c r="N623" s="340"/>
      <c r="O623" s="312"/>
    </row>
    <row r="624">
      <c r="A624" s="369"/>
      <c r="B624" s="312"/>
      <c r="C624" s="368"/>
      <c r="D624" s="312"/>
      <c r="E624" s="368"/>
      <c r="F624" s="369"/>
      <c r="G624" s="378"/>
      <c r="H624" s="378"/>
      <c r="I624" s="312"/>
      <c r="J624" s="369"/>
      <c r="K624" s="369"/>
      <c r="L624" s="376"/>
      <c r="M624" s="105">
        <f t="shared" si="55"/>
        <v>0</v>
      </c>
      <c r="N624" s="340"/>
      <c r="O624" s="312"/>
    </row>
    <row r="625">
      <c r="A625" s="369"/>
      <c r="B625" s="312"/>
      <c r="C625" s="368"/>
      <c r="D625" s="312"/>
      <c r="E625" s="368"/>
      <c r="F625" s="369"/>
      <c r="G625" s="378"/>
      <c r="H625" s="378"/>
      <c r="I625" s="312"/>
      <c r="J625" s="369"/>
      <c r="K625" s="369"/>
      <c r="L625" s="376"/>
      <c r="M625" s="105">
        <f t="shared" si="55"/>
        <v>0</v>
      </c>
      <c r="N625" s="340"/>
      <c r="O625" s="312"/>
    </row>
    <row r="626">
      <c r="A626" s="369"/>
      <c r="B626" s="312"/>
      <c r="C626" s="368"/>
      <c r="D626" s="312"/>
      <c r="E626" s="368"/>
      <c r="F626" s="369"/>
      <c r="G626" s="378"/>
      <c r="H626" s="378"/>
      <c r="I626" s="312"/>
      <c r="J626" s="369"/>
      <c r="K626" s="369"/>
      <c r="L626" s="376"/>
      <c r="M626" s="105">
        <f t="shared" si="55"/>
        <v>0</v>
      </c>
      <c r="N626" s="340"/>
      <c r="O626" s="312"/>
    </row>
    <row r="627">
      <c r="A627" s="369"/>
      <c r="B627" s="312"/>
      <c r="C627" s="368"/>
      <c r="D627" s="312"/>
      <c r="E627" s="368"/>
      <c r="F627" s="369"/>
      <c r="G627" s="378"/>
      <c r="H627" s="378"/>
      <c r="I627" s="312"/>
      <c r="J627" s="369"/>
      <c r="K627" s="369"/>
      <c r="L627" s="376"/>
      <c r="M627" s="105">
        <f t="shared" si="55"/>
        <v>0</v>
      </c>
      <c r="N627" s="340"/>
      <c r="O627" s="312"/>
    </row>
    <row r="628">
      <c r="A628" s="369"/>
      <c r="B628" s="312"/>
      <c r="C628" s="368"/>
      <c r="D628" s="312"/>
      <c r="E628" s="368"/>
      <c r="F628" s="369"/>
      <c r="G628" s="378"/>
      <c r="H628" s="378"/>
      <c r="I628" s="312"/>
      <c r="J628" s="369"/>
      <c r="K628" s="369"/>
      <c r="L628" s="376"/>
      <c r="M628" s="105">
        <f t="shared" si="55"/>
        <v>0</v>
      </c>
      <c r="N628" s="340"/>
      <c r="O628" s="312"/>
    </row>
    <row r="629">
      <c r="A629" s="369"/>
      <c r="B629" s="312"/>
      <c r="C629" s="368"/>
      <c r="D629" s="312"/>
      <c r="E629" s="368"/>
      <c r="F629" s="369"/>
      <c r="G629" s="378"/>
      <c r="H629" s="378"/>
      <c r="I629" s="312"/>
      <c r="J629" s="369"/>
      <c r="K629" s="369"/>
      <c r="L629" s="376"/>
      <c r="M629" s="105">
        <f t="shared" si="55"/>
        <v>0</v>
      </c>
      <c r="N629" s="340"/>
      <c r="O629" s="312"/>
    </row>
    <row r="630">
      <c r="A630" s="369"/>
      <c r="B630" s="312"/>
      <c r="C630" s="368"/>
      <c r="D630" s="312"/>
      <c r="E630" s="368"/>
      <c r="F630" s="369"/>
      <c r="G630" s="378"/>
      <c r="H630" s="378"/>
      <c r="I630" s="312"/>
      <c r="J630" s="369"/>
      <c r="K630" s="369"/>
      <c r="L630" s="376"/>
      <c r="M630" s="105">
        <f t="shared" si="55"/>
        <v>0</v>
      </c>
      <c r="N630" s="340"/>
      <c r="O630" s="312"/>
    </row>
    <row r="631">
      <c r="A631" s="369"/>
      <c r="B631" s="312"/>
      <c r="C631" s="368"/>
      <c r="D631" s="312"/>
      <c r="E631" s="368"/>
      <c r="F631" s="369"/>
      <c r="G631" s="378"/>
      <c r="H631" s="378"/>
      <c r="I631" s="312"/>
      <c r="J631" s="369"/>
      <c r="K631" s="369"/>
      <c r="L631" s="376"/>
      <c r="M631" s="105">
        <f t="shared" si="55"/>
        <v>0</v>
      </c>
      <c r="N631" s="340"/>
      <c r="O631" s="312"/>
    </row>
    <row r="632">
      <c r="A632" s="369"/>
      <c r="B632" s="312"/>
      <c r="C632" s="368"/>
      <c r="D632" s="312"/>
      <c r="E632" s="368"/>
      <c r="F632" s="369"/>
      <c r="G632" s="378"/>
      <c r="H632" s="378"/>
      <c r="I632" s="312"/>
      <c r="J632" s="369"/>
      <c r="K632" s="369"/>
      <c r="L632" s="376"/>
      <c r="M632" s="105">
        <f t="shared" si="55"/>
        <v>0</v>
      </c>
      <c r="N632" s="340"/>
      <c r="O632" s="312"/>
    </row>
    <row r="633">
      <c r="A633" s="369"/>
      <c r="B633" s="312"/>
      <c r="C633" s="368"/>
      <c r="D633" s="312"/>
      <c r="E633" s="368"/>
      <c r="F633" s="369"/>
      <c r="G633" s="378"/>
      <c r="H633" s="378"/>
      <c r="I633" s="312"/>
      <c r="J633" s="369"/>
      <c r="K633" s="369"/>
      <c r="L633" s="376"/>
      <c r="M633" s="105">
        <f t="shared" si="55"/>
        <v>0</v>
      </c>
      <c r="N633" s="340"/>
      <c r="O633" s="312"/>
    </row>
    <row r="634">
      <c r="A634" s="369"/>
      <c r="B634" s="312"/>
      <c r="C634" s="368"/>
      <c r="D634" s="312"/>
      <c r="E634" s="368"/>
      <c r="F634" s="369"/>
      <c r="G634" s="378"/>
      <c r="H634" s="378"/>
      <c r="I634" s="312"/>
      <c r="J634" s="369"/>
      <c r="K634" s="369"/>
      <c r="L634" s="376"/>
      <c r="M634" s="105">
        <f t="shared" si="55"/>
        <v>0</v>
      </c>
      <c r="N634" s="340"/>
      <c r="O634" s="312"/>
    </row>
    <row r="635">
      <c r="A635" s="369"/>
      <c r="B635" s="312"/>
      <c r="C635" s="368"/>
      <c r="D635" s="312"/>
      <c r="E635" s="368"/>
      <c r="F635" s="369"/>
      <c r="G635" s="378"/>
      <c r="H635" s="378"/>
      <c r="I635" s="312"/>
      <c r="J635" s="369"/>
      <c r="K635" s="369"/>
      <c r="L635" s="376"/>
      <c r="M635" s="105">
        <f t="shared" si="55"/>
        <v>0</v>
      </c>
      <c r="N635" s="340"/>
      <c r="O635" s="312"/>
    </row>
    <row r="636">
      <c r="A636" s="369"/>
      <c r="B636" s="312"/>
      <c r="C636" s="368"/>
      <c r="D636" s="312"/>
      <c r="E636" s="368"/>
      <c r="F636" s="369"/>
      <c r="G636" s="378"/>
      <c r="H636" s="378"/>
      <c r="I636" s="312"/>
      <c r="J636" s="369"/>
      <c r="K636" s="369"/>
      <c r="L636" s="376"/>
      <c r="M636" s="105">
        <f t="shared" si="55"/>
        <v>0</v>
      </c>
      <c r="N636" s="340"/>
      <c r="O636" s="312"/>
    </row>
    <row r="637">
      <c r="A637" s="369"/>
      <c r="B637" s="312"/>
      <c r="C637" s="368"/>
      <c r="D637" s="312"/>
      <c r="E637" s="368"/>
      <c r="F637" s="369"/>
      <c r="G637" s="378"/>
      <c r="H637" s="378"/>
      <c r="I637" s="312"/>
      <c r="J637" s="369"/>
      <c r="K637" s="369"/>
      <c r="L637" s="376"/>
      <c r="M637" s="105">
        <f t="shared" si="55"/>
        <v>0</v>
      </c>
      <c r="N637" s="340"/>
      <c r="O637" s="312"/>
    </row>
    <row r="638">
      <c r="A638" s="369"/>
      <c r="B638" s="312"/>
      <c r="C638" s="368"/>
      <c r="D638" s="312"/>
      <c r="E638" s="368"/>
      <c r="F638" s="369"/>
      <c r="G638" s="378"/>
      <c r="H638" s="378"/>
      <c r="I638" s="312"/>
      <c r="J638" s="369"/>
      <c r="K638" s="369"/>
      <c r="L638" s="376"/>
      <c r="M638" s="105">
        <f t="shared" si="55"/>
        <v>0</v>
      </c>
      <c r="N638" s="340"/>
      <c r="O638" s="312"/>
    </row>
    <row r="639">
      <c r="A639" s="369"/>
      <c r="B639" s="312"/>
      <c r="C639" s="368"/>
      <c r="D639" s="312"/>
      <c r="E639" s="368"/>
      <c r="F639" s="369"/>
      <c r="G639" s="378"/>
      <c r="H639" s="378"/>
      <c r="I639" s="312"/>
      <c r="J639" s="369"/>
      <c r="K639" s="369"/>
      <c r="L639" s="376"/>
      <c r="M639" s="105">
        <f t="shared" si="55"/>
        <v>0</v>
      </c>
      <c r="N639" s="340"/>
      <c r="O639" s="312"/>
    </row>
    <row r="640">
      <c r="A640" s="369"/>
      <c r="B640" s="312"/>
      <c r="C640" s="368"/>
      <c r="D640" s="312"/>
      <c r="E640" s="368"/>
      <c r="F640" s="369"/>
      <c r="G640" s="378"/>
      <c r="H640" s="378"/>
      <c r="I640" s="312"/>
      <c r="J640" s="369"/>
      <c r="K640" s="369"/>
      <c r="L640" s="376"/>
      <c r="M640" s="105">
        <f t="shared" si="55"/>
        <v>0</v>
      </c>
      <c r="N640" s="340"/>
      <c r="O640" s="312"/>
    </row>
    <row r="641">
      <c r="A641" s="369"/>
      <c r="B641" s="312"/>
      <c r="C641" s="368"/>
      <c r="D641" s="312"/>
      <c r="E641" s="368"/>
      <c r="F641" s="369"/>
      <c r="G641" s="378"/>
      <c r="H641" s="378"/>
      <c r="I641" s="312"/>
      <c r="J641" s="369"/>
      <c r="K641" s="369"/>
      <c r="L641" s="376"/>
      <c r="M641" s="105">
        <f t="shared" si="55"/>
        <v>0</v>
      </c>
      <c r="N641" s="340"/>
      <c r="O641" s="312"/>
    </row>
    <row r="642">
      <c r="A642" s="369"/>
      <c r="B642" s="312"/>
      <c r="C642" s="368"/>
      <c r="D642" s="312"/>
      <c r="E642" s="368"/>
      <c r="F642" s="369"/>
      <c r="G642" s="378"/>
      <c r="H642" s="378"/>
      <c r="I642" s="312"/>
      <c r="J642" s="369"/>
      <c r="K642" s="369"/>
      <c r="L642" s="376"/>
      <c r="M642" s="105">
        <f t="shared" si="55"/>
        <v>0</v>
      </c>
      <c r="N642" s="340"/>
      <c r="O642" s="312"/>
    </row>
    <row r="643">
      <c r="A643" s="369"/>
      <c r="B643" s="312"/>
      <c r="C643" s="368"/>
      <c r="D643" s="312"/>
      <c r="E643" s="368"/>
      <c r="F643" s="369"/>
      <c r="G643" s="378"/>
      <c r="H643" s="378"/>
      <c r="I643" s="312"/>
      <c r="J643" s="369"/>
      <c r="K643" s="369"/>
      <c r="L643" s="376"/>
      <c r="M643" s="105">
        <f t="shared" si="55"/>
        <v>0</v>
      </c>
      <c r="N643" s="340"/>
      <c r="O643" s="312"/>
    </row>
    <row r="644">
      <c r="A644" s="369"/>
      <c r="B644" s="312"/>
      <c r="C644" s="368"/>
      <c r="D644" s="312"/>
      <c r="E644" s="368"/>
      <c r="F644" s="369"/>
      <c r="G644" s="378"/>
      <c r="H644" s="378"/>
      <c r="I644" s="312"/>
      <c r="J644" s="369"/>
      <c r="K644" s="369"/>
      <c r="L644" s="376"/>
      <c r="M644" s="105">
        <f t="shared" si="55"/>
        <v>0</v>
      </c>
      <c r="N644" s="340"/>
      <c r="O644" s="312"/>
    </row>
    <row r="645">
      <c r="A645" s="369"/>
      <c r="B645" s="312"/>
      <c r="C645" s="368"/>
      <c r="D645" s="312"/>
      <c r="E645" s="368"/>
      <c r="F645" s="369"/>
      <c r="G645" s="378"/>
      <c r="H645" s="378"/>
      <c r="I645" s="312"/>
      <c r="J645" s="369"/>
      <c r="K645" s="369"/>
      <c r="L645" s="376"/>
      <c r="M645" s="105">
        <f t="shared" si="55"/>
        <v>0</v>
      </c>
      <c r="N645" s="340"/>
      <c r="O645" s="312"/>
    </row>
    <row r="646">
      <c r="A646" s="369"/>
      <c r="B646" s="312"/>
      <c r="C646" s="368"/>
      <c r="D646" s="312"/>
      <c r="E646" s="368"/>
      <c r="F646" s="369"/>
      <c r="G646" s="378"/>
      <c r="H646" s="378"/>
      <c r="I646" s="312"/>
      <c r="J646" s="369"/>
      <c r="K646" s="369"/>
      <c r="L646" s="376"/>
      <c r="M646" s="105">
        <f t="shared" si="55"/>
        <v>0</v>
      </c>
      <c r="N646" s="340"/>
      <c r="O646" s="312"/>
    </row>
    <row r="647">
      <c r="A647" s="369"/>
      <c r="B647" s="312"/>
      <c r="C647" s="368"/>
      <c r="D647" s="312"/>
      <c r="E647" s="368"/>
      <c r="F647" s="369"/>
      <c r="G647" s="378"/>
      <c r="H647" s="378"/>
      <c r="I647" s="312"/>
      <c r="J647" s="369"/>
      <c r="K647" s="369"/>
      <c r="L647" s="376"/>
      <c r="M647" s="105">
        <f t="shared" si="55"/>
        <v>0</v>
      </c>
      <c r="N647" s="340"/>
      <c r="O647" s="312"/>
    </row>
    <row r="648">
      <c r="A648" s="369"/>
      <c r="B648" s="312"/>
      <c r="C648" s="368"/>
      <c r="D648" s="312"/>
      <c r="E648" s="368"/>
      <c r="F648" s="369"/>
      <c r="G648" s="378"/>
      <c r="H648" s="378"/>
      <c r="I648" s="312"/>
      <c r="J648" s="369"/>
      <c r="K648" s="369"/>
      <c r="L648" s="376"/>
      <c r="M648" s="105">
        <f t="shared" si="55"/>
        <v>0</v>
      </c>
      <c r="N648" s="340"/>
      <c r="O648" s="312"/>
    </row>
    <row r="649">
      <c r="A649" s="369"/>
      <c r="B649" s="312"/>
      <c r="C649" s="368"/>
      <c r="D649" s="312"/>
      <c r="E649" s="368"/>
      <c r="F649" s="369"/>
      <c r="G649" s="378"/>
      <c r="H649" s="378"/>
      <c r="I649" s="312"/>
      <c r="J649" s="369"/>
      <c r="K649" s="369"/>
      <c r="L649" s="376"/>
      <c r="M649" s="105">
        <f t="shared" si="55"/>
        <v>0</v>
      </c>
      <c r="N649" s="340"/>
      <c r="O649" s="312"/>
    </row>
    <row r="650">
      <c r="A650" s="369"/>
      <c r="B650" s="312"/>
      <c r="C650" s="368"/>
      <c r="D650" s="312"/>
      <c r="E650" s="368"/>
      <c r="F650" s="369"/>
      <c r="G650" s="378"/>
      <c r="H650" s="378"/>
      <c r="I650" s="312"/>
      <c r="J650" s="369"/>
      <c r="K650" s="369"/>
      <c r="L650" s="376"/>
      <c r="M650" s="105">
        <f t="shared" si="55"/>
        <v>0</v>
      </c>
      <c r="N650" s="340"/>
      <c r="O650" s="312"/>
    </row>
    <row r="651">
      <c r="A651" s="369"/>
      <c r="B651" s="312"/>
      <c r="C651" s="368"/>
      <c r="D651" s="312"/>
      <c r="E651" s="368"/>
      <c r="F651" s="369"/>
      <c r="G651" s="378"/>
      <c r="H651" s="378"/>
      <c r="I651" s="312"/>
      <c r="J651" s="369"/>
      <c r="K651" s="369"/>
      <c r="L651" s="376"/>
      <c r="M651" s="105">
        <f t="shared" si="55"/>
        <v>0</v>
      </c>
      <c r="N651" s="340"/>
      <c r="O651" s="312"/>
    </row>
    <row r="652">
      <c r="A652" s="369"/>
      <c r="B652" s="312"/>
      <c r="C652" s="368"/>
      <c r="D652" s="312"/>
      <c r="E652" s="368"/>
      <c r="F652" s="369"/>
      <c r="G652" s="378"/>
      <c r="H652" s="378"/>
      <c r="I652" s="312"/>
      <c r="J652" s="369"/>
      <c r="K652" s="369"/>
      <c r="L652" s="376"/>
      <c r="M652" s="105">
        <f t="shared" si="55"/>
        <v>0</v>
      </c>
      <c r="N652" s="340"/>
      <c r="O652" s="312"/>
    </row>
    <row r="653">
      <c r="A653" s="369"/>
      <c r="B653" s="312"/>
      <c r="C653" s="368"/>
      <c r="D653" s="312"/>
      <c r="E653" s="368"/>
      <c r="F653" s="369"/>
      <c r="G653" s="378"/>
      <c r="H653" s="378"/>
      <c r="I653" s="312"/>
      <c r="J653" s="369"/>
      <c r="K653" s="369"/>
      <c r="L653" s="376"/>
      <c r="M653" s="105">
        <f t="shared" si="55"/>
        <v>0</v>
      </c>
      <c r="N653" s="340"/>
      <c r="O653" s="312"/>
    </row>
    <row r="654">
      <c r="A654" s="369"/>
      <c r="B654" s="312"/>
      <c r="C654" s="368"/>
      <c r="D654" s="312"/>
      <c r="E654" s="368"/>
      <c r="F654" s="369"/>
      <c r="G654" s="378"/>
      <c r="H654" s="378"/>
      <c r="I654" s="312"/>
      <c r="J654" s="369"/>
      <c r="K654" s="369"/>
      <c r="L654" s="376"/>
      <c r="M654" s="105">
        <f t="shared" si="55"/>
        <v>0</v>
      </c>
      <c r="N654" s="340"/>
      <c r="O654" s="312"/>
    </row>
    <row r="655">
      <c r="A655" s="369"/>
      <c r="B655" s="312"/>
      <c r="C655" s="368"/>
      <c r="D655" s="312"/>
      <c r="E655" s="368"/>
      <c r="F655" s="369"/>
      <c r="G655" s="378"/>
      <c r="H655" s="378"/>
      <c r="I655" s="312"/>
      <c r="J655" s="369"/>
      <c r="K655" s="369"/>
      <c r="L655" s="376"/>
      <c r="M655" s="105">
        <f t="shared" si="55"/>
        <v>0</v>
      </c>
      <c r="N655" s="340"/>
      <c r="O655" s="312"/>
    </row>
    <row r="656">
      <c r="A656" s="369"/>
      <c r="B656" s="312"/>
      <c r="C656" s="368"/>
      <c r="D656" s="312"/>
      <c r="E656" s="368"/>
      <c r="F656" s="369"/>
      <c r="G656" s="378"/>
      <c r="H656" s="378"/>
      <c r="I656" s="312"/>
      <c r="J656" s="369"/>
      <c r="K656" s="369"/>
      <c r="L656" s="376"/>
      <c r="M656" s="105">
        <f t="shared" si="55"/>
        <v>0</v>
      </c>
      <c r="N656" s="340"/>
      <c r="O656" s="312"/>
    </row>
    <row r="657">
      <c r="A657" s="369"/>
      <c r="B657" s="312"/>
      <c r="C657" s="368"/>
      <c r="D657" s="312"/>
      <c r="E657" s="368"/>
      <c r="F657" s="369"/>
      <c r="G657" s="378"/>
      <c r="H657" s="378"/>
      <c r="I657" s="312"/>
      <c r="J657" s="369"/>
      <c r="K657" s="369"/>
      <c r="L657" s="376"/>
      <c r="M657" s="105">
        <f t="shared" si="55"/>
        <v>0</v>
      </c>
      <c r="N657" s="340"/>
      <c r="O657" s="312"/>
    </row>
    <row r="658">
      <c r="A658" s="369"/>
      <c r="B658" s="312"/>
      <c r="C658" s="368"/>
      <c r="D658" s="312"/>
      <c r="E658" s="368"/>
      <c r="F658" s="369"/>
      <c r="G658" s="378"/>
      <c r="H658" s="378"/>
      <c r="I658" s="312"/>
      <c r="J658" s="369"/>
      <c r="K658" s="369"/>
      <c r="L658" s="376"/>
      <c r="M658" s="105">
        <f t="shared" si="55"/>
        <v>0</v>
      </c>
      <c r="N658" s="340"/>
      <c r="O658" s="312"/>
    </row>
    <row r="659">
      <c r="A659" s="369"/>
      <c r="B659" s="312"/>
      <c r="C659" s="368"/>
      <c r="D659" s="312"/>
      <c r="E659" s="368"/>
      <c r="F659" s="369"/>
      <c r="G659" s="378"/>
      <c r="H659" s="378"/>
      <c r="I659" s="312"/>
      <c r="J659" s="369"/>
      <c r="K659" s="369"/>
      <c r="L659" s="376"/>
      <c r="M659" s="105">
        <f t="shared" si="55"/>
        <v>0</v>
      </c>
      <c r="N659" s="340"/>
      <c r="O659" s="312"/>
    </row>
    <row r="660">
      <c r="A660" s="369"/>
      <c r="B660" s="312"/>
      <c r="C660" s="368"/>
      <c r="D660" s="312"/>
      <c r="E660" s="368"/>
      <c r="F660" s="369"/>
      <c r="G660" s="378"/>
      <c r="H660" s="378"/>
      <c r="I660" s="312"/>
      <c r="J660" s="369"/>
      <c r="K660" s="369"/>
      <c r="L660" s="376"/>
      <c r="M660" s="105">
        <f t="shared" si="55"/>
        <v>0</v>
      </c>
      <c r="N660" s="340"/>
      <c r="O660" s="312"/>
    </row>
    <row r="661">
      <c r="A661" s="369"/>
      <c r="B661" s="312"/>
      <c r="C661" s="368"/>
      <c r="D661" s="312"/>
      <c r="E661" s="368"/>
      <c r="F661" s="369"/>
      <c r="G661" s="378"/>
      <c r="H661" s="378"/>
      <c r="I661" s="312"/>
      <c r="J661" s="369"/>
      <c r="K661" s="369"/>
      <c r="L661" s="376"/>
      <c r="M661" s="105">
        <f t="shared" si="55"/>
        <v>0</v>
      </c>
      <c r="N661" s="340"/>
      <c r="O661" s="312"/>
    </row>
    <row r="662">
      <c r="A662" s="369"/>
      <c r="B662" s="312"/>
      <c r="C662" s="368"/>
      <c r="D662" s="312"/>
      <c r="E662" s="368"/>
      <c r="F662" s="369"/>
      <c r="G662" s="378"/>
      <c r="H662" s="378"/>
      <c r="I662" s="312"/>
      <c r="J662" s="369"/>
      <c r="K662" s="369"/>
      <c r="L662" s="376"/>
      <c r="M662" s="105">
        <f t="shared" si="55"/>
        <v>0</v>
      </c>
      <c r="N662" s="340"/>
      <c r="O662" s="312"/>
    </row>
    <row r="663">
      <c r="A663" s="369"/>
      <c r="B663" s="312"/>
      <c r="C663" s="368"/>
      <c r="D663" s="312"/>
      <c r="E663" s="368"/>
      <c r="F663" s="369"/>
      <c r="G663" s="378"/>
      <c r="H663" s="378"/>
      <c r="I663" s="312"/>
      <c r="J663" s="369"/>
      <c r="K663" s="369"/>
      <c r="L663" s="376"/>
      <c r="M663" s="105">
        <f t="shared" si="55"/>
        <v>0</v>
      </c>
      <c r="N663" s="340"/>
      <c r="O663" s="312"/>
    </row>
    <row r="664">
      <c r="A664" s="369"/>
      <c r="B664" s="312"/>
      <c r="C664" s="368"/>
      <c r="D664" s="312"/>
      <c r="E664" s="368"/>
      <c r="F664" s="369"/>
      <c r="G664" s="378"/>
      <c r="H664" s="378"/>
      <c r="I664" s="312"/>
      <c r="J664" s="369"/>
      <c r="K664" s="369"/>
      <c r="L664" s="376"/>
      <c r="M664" s="105">
        <f t="shared" si="55"/>
        <v>0</v>
      </c>
      <c r="N664" s="340"/>
      <c r="O664" s="312"/>
    </row>
    <row r="665">
      <c r="A665" s="369"/>
      <c r="B665" s="312"/>
      <c r="C665" s="368"/>
      <c r="D665" s="312"/>
      <c r="E665" s="368"/>
      <c r="F665" s="369"/>
      <c r="G665" s="378"/>
      <c r="H665" s="378"/>
      <c r="I665" s="312"/>
      <c r="J665" s="369"/>
      <c r="K665" s="369"/>
      <c r="L665" s="376"/>
      <c r="M665" s="105">
        <f t="shared" si="55"/>
        <v>0</v>
      </c>
      <c r="N665" s="340"/>
      <c r="O665" s="312"/>
    </row>
    <row r="666">
      <c r="A666" s="369"/>
      <c r="B666" s="312"/>
      <c r="C666" s="368"/>
      <c r="D666" s="312"/>
      <c r="E666" s="368"/>
      <c r="F666" s="369"/>
      <c r="G666" s="378"/>
      <c r="H666" s="378"/>
      <c r="I666" s="312"/>
      <c r="J666" s="369"/>
      <c r="K666" s="369"/>
      <c r="L666" s="376"/>
      <c r="M666" s="105">
        <f t="shared" si="55"/>
        <v>0</v>
      </c>
      <c r="N666" s="340"/>
      <c r="O666" s="312"/>
    </row>
    <row r="667">
      <c r="A667" s="369"/>
      <c r="B667" s="312"/>
      <c r="C667" s="368"/>
      <c r="D667" s="312"/>
      <c r="E667" s="368"/>
      <c r="F667" s="369"/>
      <c r="G667" s="378"/>
      <c r="H667" s="378"/>
      <c r="I667" s="312"/>
      <c r="J667" s="369"/>
      <c r="K667" s="369"/>
      <c r="L667" s="376"/>
      <c r="M667" s="105">
        <f t="shared" si="55"/>
        <v>0</v>
      </c>
      <c r="N667" s="340"/>
      <c r="O667" s="312"/>
    </row>
    <row r="668">
      <c r="A668" s="369"/>
      <c r="B668" s="312"/>
      <c r="C668" s="368"/>
      <c r="D668" s="312"/>
      <c r="E668" s="368"/>
      <c r="F668" s="369"/>
      <c r="G668" s="378"/>
      <c r="H668" s="378"/>
      <c r="I668" s="312"/>
      <c r="J668" s="369"/>
      <c r="K668" s="369"/>
      <c r="L668" s="376"/>
      <c r="M668" s="105">
        <f t="shared" si="55"/>
        <v>0</v>
      </c>
      <c r="N668" s="340"/>
      <c r="O668" s="312"/>
    </row>
    <row r="669">
      <c r="A669" s="369"/>
      <c r="B669" s="312"/>
      <c r="C669" s="368"/>
      <c r="D669" s="312"/>
      <c r="E669" s="368"/>
      <c r="F669" s="369"/>
      <c r="G669" s="378"/>
      <c r="H669" s="378"/>
      <c r="I669" s="312"/>
      <c r="J669" s="369"/>
      <c r="K669" s="369"/>
      <c r="L669" s="376"/>
      <c r="M669" s="105">
        <f t="shared" si="55"/>
        <v>0</v>
      </c>
      <c r="N669" s="340"/>
      <c r="O669" s="312"/>
    </row>
    <row r="670">
      <c r="A670" s="369"/>
      <c r="B670" s="312"/>
      <c r="C670" s="368"/>
      <c r="D670" s="312"/>
      <c r="E670" s="368"/>
      <c r="F670" s="369"/>
      <c r="G670" s="378"/>
      <c r="H670" s="378"/>
      <c r="I670" s="312"/>
      <c r="J670" s="369"/>
      <c r="K670" s="369"/>
      <c r="L670" s="376"/>
      <c r="M670" s="105">
        <f t="shared" si="55"/>
        <v>0</v>
      </c>
      <c r="N670" s="340"/>
      <c r="O670" s="312"/>
    </row>
    <row r="671">
      <c r="A671" s="369"/>
      <c r="B671" s="312"/>
      <c r="C671" s="368"/>
      <c r="D671" s="312"/>
      <c r="E671" s="368"/>
      <c r="F671" s="369"/>
      <c r="G671" s="378"/>
      <c r="H671" s="378"/>
      <c r="I671" s="312"/>
      <c r="J671" s="369"/>
      <c r="K671" s="369"/>
      <c r="L671" s="376"/>
      <c r="M671" s="105">
        <f t="shared" si="55"/>
        <v>0</v>
      </c>
      <c r="N671" s="340"/>
      <c r="O671" s="312"/>
    </row>
    <row r="672">
      <c r="A672" s="369"/>
      <c r="B672" s="312"/>
      <c r="C672" s="368"/>
      <c r="D672" s="312"/>
      <c r="E672" s="368"/>
      <c r="F672" s="369"/>
      <c r="G672" s="378"/>
      <c r="H672" s="378"/>
      <c r="I672" s="312"/>
      <c r="J672" s="369"/>
      <c r="K672" s="369"/>
      <c r="L672" s="376"/>
      <c r="M672" s="105">
        <f t="shared" si="55"/>
        <v>0</v>
      </c>
      <c r="N672" s="340"/>
      <c r="O672" s="312"/>
    </row>
    <row r="673">
      <c r="A673" s="369"/>
      <c r="B673" s="312"/>
      <c r="C673" s="368"/>
      <c r="D673" s="312"/>
      <c r="E673" s="368"/>
      <c r="F673" s="369"/>
      <c r="G673" s="378"/>
      <c r="H673" s="378"/>
      <c r="I673" s="312"/>
      <c r="J673" s="369"/>
      <c r="K673" s="369"/>
      <c r="L673" s="376"/>
      <c r="M673" s="105">
        <f t="shared" si="55"/>
        <v>0</v>
      </c>
      <c r="N673" s="340"/>
      <c r="O673" s="312"/>
    </row>
    <row r="674">
      <c r="A674" s="369"/>
      <c r="B674" s="312"/>
      <c r="C674" s="368"/>
      <c r="D674" s="312"/>
      <c r="E674" s="368"/>
      <c r="F674" s="369"/>
      <c r="G674" s="378"/>
      <c r="H674" s="378"/>
      <c r="I674" s="312"/>
      <c r="J674" s="369"/>
      <c r="K674" s="369"/>
      <c r="L674" s="376"/>
      <c r="M674" s="105">
        <f t="shared" si="55"/>
        <v>0</v>
      </c>
      <c r="N674" s="340"/>
      <c r="O674" s="312"/>
    </row>
    <row r="675">
      <c r="A675" s="369"/>
      <c r="B675" s="312"/>
      <c r="C675" s="368"/>
      <c r="D675" s="312"/>
      <c r="E675" s="368"/>
      <c r="F675" s="369"/>
      <c r="G675" s="378"/>
      <c r="H675" s="378"/>
      <c r="I675" s="312"/>
      <c r="J675" s="369"/>
      <c r="K675" s="369"/>
      <c r="L675" s="376"/>
      <c r="M675" s="105">
        <f t="shared" si="55"/>
        <v>0</v>
      </c>
      <c r="N675" s="340"/>
      <c r="O675" s="312"/>
    </row>
    <row r="676">
      <c r="A676" s="369"/>
      <c r="B676" s="312"/>
      <c r="C676" s="368"/>
      <c r="D676" s="312"/>
      <c r="E676" s="368"/>
      <c r="F676" s="369"/>
      <c r="G676" s="378"/>
      <c r="H676" s="378"/>
      <c r="I676" s="312"/>
      <c r="J676" s="369"/>
      <c r="K676" s="369"/>
      <c r="L676" s="376"/>
      <c r="M676" s="105">
        <f t="shared" si="55"/>
        <v>0</v>
      </c>
      <c r="N676" s="340"/>
      <c r="O676" s="312"/>
    </row>
    <row r="677">
      <c r="A677" s="369"/>
      <c r="B677" s="312"/>
      <c r="C677" s="368"/>
      <c r="D677" s="312"/>
      <c r="E677" s="368"/>
      <c r="F677" s="369"/>
      <c r="G677" s="378"/>
      <c r="H677" s="378"/>
      <c r="I677" s="312"/>
      <c r="J677" s="369"/>
      <c r="K677" s="369"/>
      <c r="L677" s="376"/>
      <c r="M677" s="105">
        <f t="shared" si="55"/>
        <v>0</v>
      </c>
      <c r="N677" s="340"/>
      <c r="O677" s="312"/>
    </row>
    <row r="678">
      <c r="A678" s="369"/>
      <c r="B678" s="312"/>
      <c r="C678" s="368"/>
      <c r="D678" s="312"/>
      <c r="E678" s="368"/>
      <c r="F678" s="369"/>
      <c r="G678" s="378"/>
      <c r="H678" s="378"/>
      <c r="I678" s="312"/>
      <c r="J678" s="369"/>
      <c r="K678" s="369"/>
      <c r="L678" s="376"/>
      <c r="M678" s="105">
        <f t="shared" si="55"/>
        <v>0</v>
      </c>
      <c r="N678" s="340"/>
      <c r="O678" s="312"/>
    </row>
    <row r="679">
      <c r="A679" s="369"/>
      <c r="B679" s="312"/>
      <c r="C679" s="368"/>
      <c r="D679" s="312"/>
      <c r="E679" s="368"/>
      <c r="F679" s="369"/>
      <c r="G679" s="378"/>
      <c r="H679" s="378"/>
      <c r="I679" s="312"/>
      <c r="J679" s="369"/>
      <c r="K679" s="369"/>
      <c r="L679" s="376"/>
      <c r="M679" s="105">
        <f t="shared" si="55"/>
        <v>0</v>
      </c>
      <c r="N679" s="340"/>
      <c r="O679" s="312"/>
    </row>
    <row r="680">
      <c r="A680" s="369"/>
      <c r="B680" s="312"/>
      <c r="C680" s="368"/>
      <c r="D680" s="312"/>
      <c r="E680" s="368"/>
      <c r="F680" s="369"/>
      <c r="G680" s="378"/>
      <c r="H680" s="378"/>
      <c r="I680" s="312"/>
      <c r="J680" s="369"/>
      <c r="K680" s="369"/>
      <c r="L680" s="376"/>
      <c r="M680" s="105">
        <f t="shared" si="55"/>
        <v>0</v>
      </c>
      <c r="N680" s="340"/>
      <c r="O680" s="312"/>
    </row>
    <row r="681">
      <c r="A681" s="369"/>
      <c r="B681" s="312"/>
      <c r="C681" s="368"/>
      <c r="D681" s="312"/>
      <c r="E681" s="368"/>
      <c r="F681" s="369"/>
      <c r="G681" s="378"/>
      <c r="H681" s="378"/>
      <c r="I681" s="312"/>
      <c r="J681" s="369"/>
      <c r="K681" s="369"/>
      <c r="L681" s="376"/>
      <c r="M681" s="105">
        <f t="shared" si="55"/>
        <v>0</v>
      </c>
      <c r="N681" s="340"/>
      <c r="O681" s="312"/>
    </row>
    <row r="682">
      <c r="A682" s="369"/>
      <c r="B682" s="312"/>
      <c r="C682" s="368"/>
      <c r="D682" s="312"/>
      <c r="E682" s="368"/>
      <c r="F682" s="369"/>
      <c r="G682" s="378"/>
      <c r="H682" s="378"/>
      <c r="I682" s="312"/>
      <c r="J682" s="369"/>
      <c r="K682" s="369"/>
      <c r="L682" s="376"/>
      <c r="M682" s="105">
        <f t="shared" si="55"/>
        <v>0</v>
      </c>
      <c r="N682" s="340"/>
      <c r="O682" s="312"/>
    </row>
    <row r="683">
      <c r="A683" s="369"/>
      <c r="B683" s="312"/>
      <c r="C683" s="368"/>
      <c r="D683" s="312"/>
      <c r="E683" s="368"/>
      <c r="F683" s="369"/>
      <c r="G683" s="378"/>
      <c r="H683" s="378"/>
      <c r="I683" s="312"/>
      <c r="J683" s="369"/>
      <c r="K683" s="369"/>
      <c r="L683" s="376"/>
      <c r="M683" s="105">
        <f t="shared" si="55"/>
        <v>0</v>
      </c>
      <c r="N683" s="340"/>
      <c r="O683" s="312"/>
    </row>
    <row r="684">
      <c r="A684" s="369"/>
      <c r="B684" s="312"/>
      <c r="C684" s="368"/>
      <c r="D684" s="312"/>
      <c r="E684" s="368"/>
      <c r="F684" s="369"/>
      <c r="G684" s="378"/>
      <c r="H684" s="378"/>
      <c r="I684" s="312"/>
      <c r="J684" s="369"/>
      <c r="K684" s="369"/>
      <c r="L684" s="376"/>
      <c r="M684" s="105">
        <f t="shared" si="55"/>
        <v>0</v>
      </c>
      <c r="N684" s="340"/>
      <c r="O684" s="312"/>
    </row>
    <row r="685">
      <c r="A685" s="369"/>
      <c r="B685" s="312"/>
      <c r="C685" s="368"/>
      <c r="D685" s="312"/>
      <c r="E685" s="368"/>
      <c r="F685" s="369"/>
      <c r="G685" s="378"/>
      <c r="H685" s="378"/>
      <c r="I685" s="312"/>
      <c r="J685" s="369"/>
      <c r="K685" s="369"/>
      <c r="L685" s="376"/>
      <c r="M685" s="105">
        <f t="shared" si="55"/>
        <v>0</v>
      </c>
      <c r="N685" s="340"/>
      <c r="O685" s="312"/>
    </row>
    <row r="686">
      <c r="A686" s="369"/>
      <c r="B686" s="312"/>
      <c r="C686" s="368"/>
      <c r="D686" s="312"/>
      <c r="E686" s="368"/>
      <c r="F686" s="369"/>
      <c r="G686" s="378"/>
      <c r="H686" s="378"/>
      <c r="I686" s="312"/>
      <c r="J686" s="369"/>
      <c r="K686" s="369"/>
      <c r="L686" s="376"/>
      <c r="M686" s="105">
        <f t="shared" si="55"/>
        <v>0</v>
      </c>
      <c r="N686" s="340"/>
      <c r="O686" s="312"/>
    </row>
    <row r="687">
      <c r="A687" s="369"/>
      <c r="B687" s="312"/>
      <c r="C687" s="368"/>
      <c r="D687" s="312"/>
      <c r="E687" s="368"/>
      <c r="F687" s="369"/>
      <c r="G687" s="378"/>
      <c r="H687" s="378"/>
      <c r="I687" s="312"/>
      <c r="J687" s="369"/>
      <c r="K687" s="369"/>
      <c r="L687" s="376"/>
      <c r="M687" s="105">
        <f t="shared" si="55"/>
        <v>0</v>
      </c>
      <c r="N687" s="340"/>
      <c r="O687" s="312"/>
    </row>
    <row r="688">
      <c r="A688" s="369"/>
      <c r="B688" s="312"/>
      <c r="C688" s="368"/>
      <c r="D688" s="312"/>
      <c r="E688" s="368"/>
      <c r="F688" s="369"/>
      <c r="G688" s="378"/>
      <c r="H688" s="378"/>
      <c r="I688" s="312"/>
      <c r="J688" s="369"/>
      <c r="K688" s="369"/>
      <c r="L688" s="376"/>
      <c r="M688" s="105">
        <f t="shared" si="55"/>
        <v>0</v>
      </c>
      <c r="N688" s="340"/>
      <c r="O688" s="312"/>
    </row>
    <row r="689">
      <c r="A689" s="369"/>
      <c r="B689" s="312"/>
      <c r="C689" s="368"/>
      <c r="D689" s="312"/>
      <c r="E689" s="368"/>
      <c r="F689" s="369"/>
      <c r="G689" s="378"/>
      <c r="H689" s="378"/>
      <c r="I689" s="312"/>
      <c r="J689" s="369"/>
      <c r="K689" s="369"/>
      <c r="L689" s="376"/>
      <c r="M689" s="105">
        <f t="shared" si="55"/>
        <v>0</v>
      </c>
      <c r="N689" s="340"/>
      <c r="O689" s="312"/>
    </row>
    <row r="690">
      <c r="A690" s="369"/>
      <c r="B690" s="312"/>
      <c r="C690" s="368"/>
      <c r="D690" s="312"/>
      <c r="E690" s="368"/>
      <c r="F690" s="369"/>
      <c r="G690" s="378"/>
      <c r="H690" s="378"/>
      <c r="I690" s="312"/>
      <c r="J690" s="369"/>
      <c r="K690" s="369"/>
      <c r="L690" s="376"/>
      <c r="M690" s="105">
        <f t="shared" si="55"/>
        <v>0</v>
      </c>
      <c r="N690" s="340"/>
      <c r="O690" s="312"/>
    </row>
    <row r="691">
      <c r="A691" s="369"/>
      <c r="B691" s="312"/>
      <c r="C691" s="368"/>
      <c r="D691" s="312"/>
      <c r="E691" s="368"/>
      <c r="F691" s="369"/>
      <c r="G691" s="378"/>
      <c r="H691" s="378"/>
      <c r="I691" s="312"/>
      <c r="J691" s="369"/>
      <c r="K691" s="369"/>
      <c r="L691" s="376"/>
      <c r="M691" s="105">
        <f t="shared" si="55"/>
        <v>0</v>
      </c>
      <c r="N691" s="340"/>
      <c r="O691" s="312"/>
    </row>
    <row r="692">
      <c r="A692" s="369"/>
      <c r="B692" s="312"/>
      <c r="C692" s="368"/>
      <c r="D692" s="312"/>
      <c r="E692" s="368"/>
      <c r="F692" s="369"/>
      <c r="G692" s="378"/>
      <c r="H692" s="378"/>
      <c r="I692" s="312"/>
      <c r="J692" s="369"/>
      <c r="K692" s="369"/>
      <c r="L692" s="376"/>
      <c r="M692" s="105">
        <f t="shared" si="55"/>
        <v>0</v>
      </c>
      <c r="N692" s="340"/>
      <c r="O692" s="312"/>
    </row>
    <row r="693">
      <c r="A693" s="369"/>
      <c r="B693" s="312"/>
      <c r="C693" s="368"/>
      <c r="D693" s="312"/>
      <c r="E693" s="368"/>
      <c r="F693" s="369"/>
      <c r="G693" s="378"/>
      <c r="H693" s="378"/>
      <c r="I693" s="312"/>
      <c r="J693" s="369"/>
      <c r="K693" s="369"/>
      <c r="L693" s="376"/>
      <c r="M693" s="105">
        <f t="shared" si="55"/>
        <v>0</v>
      </c>
      <c r="N693" s="340"/>
      <c r="O693" s="312"/>
    </row>
    <row r="694">
      <c r="A694" s="369"/>
      <c r="B694" s="312"/>
      <c r="C694" s="368"/>
      <c r="D694" s="312"/>
      <c r="E694" s="368"/>
      <c r="F694" s="369"/>
      <c r="G694" s="378"/>
      <c r="H694" s="378"/>
      <c r="I694" s="312"/>
      <c r="J694" s="369"/>
      <c r="K694" s="369"/>
      <c r="L694" s="376"/>
      <c r="M694" s="105">
        <f t="shared" si="55"/>
        <v>0</v>
      </c>
      <c r="N694" s="340"/>
      <c r="O694" s="312"/>
    </row>
    <row r="695">
      <c r="A695" s="369"/>
      <c r="B695" s="312"/>
      <c r="C695" s="368"/>
      <c r="D695" s="312"/>
      <c r="E695" s="368"/>
      <c r="F695" s="369"/>
      <c r="G695" s="378"/>
      <c r="H695" s="378"/>
      <c r="I695" s="312"/>
      <c r="J695" s="369"/>
      <c r="K695" s="369"/>
      <c r="L695" s="376"/>
      <c r="M695" s="105">
        <f t="shared" si="55"/>
        <v>0</v>
      </c>
      <c r="N695" s="340"/>
      <c r="O695" s="312"/>
    </row>
    <row r="696">
      <c r="A696" s="369"/>
      <c r="B696" s="312"/>
      <c r="C696" s="368"/>
      <c r="D696" s="312"/>
      <c r="E696" s="368"/>
      <c r="F696" s="369"/>
      <c r="G696" s="378"/>
      <c r="H696" s="378"/>
      <c r="I696" s="312"/>
      <c r="J696" s="369"/>
      <c r="K696" s="369"/>
      <c r="L696" s="376"/>
      <c r="M696" s="105">
        <f t="shared" si="55"/>
        <v>0</v>
      </c>
      <c r="N696" s="340"/>
      <c r="O696" s="312"/>
    </row>
    <row r="697">
      <c r="A697" s="369"/>
      <c r="B697" s="312"/>
      <c r="C697" s="368"/>
      <c r="D697" s="312"/>
      <c r="E697" s="368"/>
      <c r="F697" s="369"/>
      <c r="G697" s="378"/>
      <c r="H697" s="378"/>
      <c r="I697" s="312"/>
      <c r="J697" s="369"/>
      <c r="K697" s="369"/>
      <c r="L697" s="376"/>
      <c r="M697" s="105">
        <f t="shared" si="55"/>
        <v>0</v>
      </c>
      <c r="N697" s="340"/>
      <c r="O697" s="312"/>
    </row>
    <row r="698">
      <c r="A698" s="369"/>
      <c r="B698" s="312"/>
      <c r="C698" s="368"/>
      <c r="D698" s="312"/>
      <c r="E698" s="368"/>
      <c r="F698" s="369"/>
      <c r="G698" s="378"/>
      <c r="H698" s="378"/>
      <c r="I698" s="312"/>
      <c r="J698" s="369"/>
      <c r="K698" s="369"/>
      <c r="L698" s="376"/>
      <c r="M698" s="105">
        <f t="shared" si="55"/>
        <v>0</v>
      </c>
      <c r="N698" s="340"/>
      <c r="O698" s="312"/>
    </row>
    <row r="699">
      <c r="A699" s="369"/>
      <c r="B699" s="312"/>
      <c r="C699" s="368"/>
      <c r="D699" s="312"/>
      <c r="E699" s="368"/>
      <c r="F699" s="369"/>
      <c r="G699" s="378"/>
      <c r="H699" s="378" t="s">
        <v>259</v>
      </c>
      <c r="I699" s="312"/>
      <c r="J699" s="369"/>
      <c r="K699" s="369"/>
      <c r="L699" s="376"/>
      <c r="M699" s="379">
        <f>SUM(M5:M698)</f>
        <v>26508073.7</v>
      </c>
      <c r="N699" s="340"/>
      <c r="O699" s="312"/>
    </row>
    <row r="700">
      <c r="A700" s="291"/>
      <c r="J700" s="291"/>
      <c r="K700" s="291"/>
    </row>
    <row r="701">
      <c r="A701" s="291"/>
      <c r="J701" s="291"/>
      <c r="K701" s="291"/>
    </row>
    <row r="702">
      <c r="A702" s="291"/>
      <c r="J702" s="291"/>
      <c r="K702" s="291"/>
    </row>
    <row r="703">
      <c r="A703" s="291"/>
      <c r="J703" s="291"/>
      <c r="K703" s="291"/>
    </row>
    <row r="704">
      <c r="A704" s="291"/>
      <c r="J704" s="291"/>
      <c r="K704" s="291"/>
    </row>
    <row r="705">
      <c r="A705" s="291"/>
      <c r="J705" s="291"/>
      <c r="K705" s="291"/>
    </row>
    <row r="706">
      <c r="A706" s="291"/>
      <c r="J706" s="291"/>
      <c r="K706" s="291"/>
    </row>
    <row r="707">
      <c r="A707" s="291"/>
      <c r="J707" s="291"/>
      <c r="K707" s="291"/>
    </row>
    <row r="708">
      <c r="A708" s="291"/>
      <c r="J708" s="291"/>
      <c r="K708" s="291"/>
    </row>
    <row r="709">
      <c r="A709" s="291"/>
      <c r="J709" s="291"/>
      <c r="K709" s="291"/>
    </row>
    <row r="710">
      <c r="A710" s="291"/>
      <c r="J710" s="291"/>
      <c r="K710" s="291"/>
    </row>
    <row r="711">
      <c r="A711" s="291"/>
      <c r="J711" s="291"/>
      <c r="K711" s="291"/>
    </row>
    <row r="712">
      <c r="A712" s="291"/>
      <c r="J712" s="291"/>
      <c r="K712" s="291"/>
    </row>
    <row r="713">
      <c r="A713" s="291"/>
      <c r="J713" s="291"/>
      <c r="K713" s="291"/>
    </row>
    <row r="714">
      <c r="A714" s="291"/>
      <c r="J714" s="291"/>
      <c r="K714" s="291"/>
    </row>
    <row r="715">
      <c r="A715" s="291"/>
      <c r="J715" s="291"/>
      <c r="K715" s="291"/>
    </row>
    <row r="716">
      <c r="A716" s="291"/>
      <c r="J716" s="291"/>
      <c r="K716" s="291"/>
    </row>
    <row r="717">
      <c r="A717" s="291"/>
      <c r="J717" s="291"/>
      <c r="K717" s="291"/>
    </row>
    <row r="718">
      <c r="A718" s="291"/>
      <c r="J718" s="291"/>
      <c r="K718" s="291"/>
    </row>
    <row r="719">
      <c r="A719" s="291"/>
      <c r="J719" s="291"/>
      <c r="K719" s="291"/>
    </row>
    <row r="720">
      <c r="A720" s="291"/>
      <c r="J720" s="291"/>
      <c r="K720" s="291"/>
    </row>
    <row r="721">
      <c r="A721" s="291"/>
      <c r="J721" s="291"/>
      <c r="K721" s="291"/>
    </row>
    <row r="722">
      <c r="A722" s="291"/>
      <c r="J722" s="291"/>
      <c r="K722" s="291"/>
    </row>
    <row r="723">
      <c r="A723" s="291"/>
      <c r="J723" s="291"/>
      <c r="K723" s="291"/>
    </row>
    <row r="724">
      <c r="A724" s="291"/>
      <c r="J724" s="291"/>
      <c r="K724" s="291"/>
    </row>
    <row r="725">
      <c r="A725" s="291"/>
      <c r="J725" s="291"/>
      <c r="K725" s="291"/>
    </row>
    <row r="726">
      <c r="A726" s="291"/>
      <c r="J726" s="291"/>
      <c r="K726" s="291"/>
    </row>
    <row r="727">
      <c r="A727" s="291"/>
      <c r="J727" s="291"/>
      <c r="K727" s="291"/>
    </row>
    <row r="728">
      <c r="A728" s="291"/>
      <c r="J728" s="291"/>
      <c r="K728" s="291"/>
    </row>
    <row r="729">
      <c r="A729" s="291"/>
      <c r="J729" s="291"/>
      <c r="K729" s="291"/>
    </row>
    <row r="730">
      <c r="A730" s="291"/>
      <c r="J730" s="291"/>
      <c r="K730" s="291"/>
    </row>
    <row r="731">
      <c r="A731" s="291"/>
      <c r="J731" s="291"/>
      <c r="K731" s="291"/>
    </row>
    <row r="732">
      <c r="A732" s="291"/>
      <c r="J732" s="291"/>
      <c r="K732" s="291"/>
    </row>
    <row r="733">
      <c r="A733" s="291"/>
      <c r="J733" s="291"/>
      <c r="K733" s="291"/>
    </row>
    <row r="734">
      <c r="A734" s="291"/>
      <c r="J734" s="291"/>
      <c r="K734" s="291"/>
    </row>
    <row r="735">
      <c r="A735" s="291"/>
      <c r="J735" s="291"/>
      <c r="K735" s="291"/>
    </row>
    <row r="736">
      <c r="A736" s="291"/>
      <c r="J736" s="291"/>
      <c r="K736" s="291"/>
    </row>
    <row r="737">
      <c r="A737" s="291"/>
      <c r="J737" s="291"/>
      <c r="K737" s="291"/>
    </row>
    <row r="738">
      <c r="A738" s="291"/>
      <c r="J738" s="291"/>
      <c r="K738" s="291"/>
    </row>
    <row r="739">
      <c r="A739" s="291"/>
      <c r="J739" s="291"/>
      <c r="K739" s="291"/>
    </row>
    <row r="740">
      <c r="A740" s="291"/>
      <c r="J740" s="291"/>
      <c r="K740" s="291"/>
    </row>
    <row r="741">
      <c r="A741" s="291"/>
      <c r="J741" s="291"/>
      <c r="K741" s="291"/>
    </row>
    <row r="742">
      <c r="A742" s="291"/>
      <c r="J742" s="291"/>
      <c r="K742" s="291"/>
    </row>
    <row r="743">
      <c r="A743" s="291"/>
      <c r="J743" s="291"/>
      <c r="K743" s="291"/>
    </row>
    <row r="744">
      <c r="A744" s="291"/>
      <c r="J744" s="291"/>
      <c r="K744" s="291"/>
    </row>
    <row r="745">
      <c r="A745" s="291"/>
      <c r="J745" s="291"/>
      <c r="K745" s="291"/>
    </row>
    <row r="746">
      <c r="A746" s="291"/>
      <c r="J746" s="291"/>
      <c r="K746" s="291"/>
    </row>
    <row r="747">
      <c r="A747" s="291"/>
      <c r="J747" s="291"/>
      <c r="K747" s="291"/>
    </row>
    <row r="748">
      <c r="A748" s="291"/>
      <c r="J748" s="291"/>
      <c r="K748" s="291"/>
    </row>
    <row r="749">
      <c r="A749" s="291"/>
      <c r="J749" s="291"/>
      <c r="K749" s="291"/>
    </row>
    <row r="750">
      <c r="A750" s="291"/>
      <c r="J750" s="291"/>
      <c r="K750" s="291"/>
    </row>
    <row r="751">
      <c r="A751" s="291"/>
      <c r="J751" s="291"/>
      <c r="K751" s="291"/>
    </row>
    <row r="752">
      <c r="A752" s="291"/>
      <c r="J752" s="291"/>
      <c r="K752" s="291"/>
    </row>
    <row r="753">
      <c r="A753" s="291"/>
      <c r="J753" s="291"/>
      <c r="K753" s="291"/>
    </row>
    <row r="754">
      <c r="A754" s="291"/>
      <c r="J754" s="291"/>
      <c r="K754" s="291"/>
    </row>
    <row r="755">
      <c r="A755" s="291"/>
      <c r="J755" s="291"/>
      <c r="K755" s="291"/>
    </row>
    <row r="756">
      <c r="A756" s="291"/>
      <c r="J756" s="291"/>
      <c r="K756" s="291"/>
    </row>
    <row r="757">
      <c r="A757" s="291"/>
      <c r="J757" s="291"/>
      <c r="K757" s="291"/>
    </row>
    <row r="758">
      <c r="A758" s="291"/>
      <c r="J758" s="291"/>
      <c r="K758" s="291"/>
    </row>
    <row r="759">
      <c r="A759" s="291"/>
      <c r="J759" s="291"/>
      <c r="K759" s="291"/>
    </row>
    <row r="760">
      <c r="A760" s="291"/>
      <c r="J760" s="291"/>
      <c r="K760" s="291"/>
    </row>
    <row r="761">
      <c r="A761" s="291"/>
      <c r="J761" s="291"/>
      <c r="K761" s="291"/>
    </row>
    <row r="762">
      <c r="A762" s="291"/>
      <c r="J762" s="291"/>
      <c r="K762" s="291"/>
    </row>
    <row r="763">
      <c r="A763" s="291"/>
      <c r="J763" s="291"/>
      <c r="K763" s="291"/>
    </row>
    <row r="764">
      <c r="A764" s="291"/>
      <c r="J764" s="291"/>
      <c r="K764" s="291"/>
    </row>
    <row r="765">
      <c r="A765" s="291"/>
      <c r="J765" s="291"/>
      <c r="K765" s="291"/>
    </row>
    <row r="766">
      <c r="A766" s="291"/>
      <c r="J766" s="291"/>
      <c r="K766" s="291"/>
    </row>
    <row r="767">
      <c r="A767" s="291"/>
      <c r="J767" s="291"/>
      <c r="K767" s="291"/>
    </row>
    <row r="768">
      <c r="A768" s="291"/>
      <c r="J768" s="291"/>
      <c r="K768" s="291"/>
    </row>
    <row r="769">
      <c r="A769" s="291"/>
      <c r="J769" s="291"/>
      <c r="K769" s="291"/>
    </row>
    <row r="770">
      <c r="A770" s="291"/>
      <c r="J770" s="291"/>
      <c r="K770" s="291"/>
    </row>
    <row r="771">
      <c r="A771" s="291"/>
      <c r="J771" s="291"/>
      <c r="K771" s="291"/>
    </row>
    <row r="772">
      <c r="A772" s="291"/>
      <c r="J772" s="291"/>
      <c r="K772" s="291"/>
    </row>
    <row r="773">
      <c r="A773" s="291"/>
      <c r="J773" s="291"/>
      <c r="K773" s="291"/>
    </row>
    <row r="774">
      <c r="A774" s="291"/>
      <c r="J774" s="291"/>
      <c r="K774" s="291"/>
    </row>
    <row r="775">
      <c r="A775" s="291"/>
      <c r="J775" s="291"/>
      <c r="K775" s="291"/>
    </row>
    <row r="776">
      <c r="A776" s="291"/>
      <c r="J776" s="291"/>
      <c r="K776" s="291"/>
    </row>
    <row r="777">
      <c r="A777" s="291"/>
      <c r="J777" s="291"/>
      <c r="K777" s="291"/>
    </row>
    <row r="778">
      <c r="A778" s="291"/>
      <c r="J778" s="291"/>
      <c r="K778" s="291"/>
    </row>
    <row r="779">
      <c r="A779" s="291"/>
      <c r="J779" s="291"/>
      <c r="K779" s="291"/>
    </row>
    <row r="780">
      <c r="A780" s="291"/>
      <c r="J780" s="291"/>
      <c r="K780" s="291"/>
    </row>
    <row r="781">
      <c r="A781" s="291"/>
      <c r="J781" s="291"/>
      <c r="K781" s="291"/>
    </row>
    <row r="782">
      <c r="A782" s="291"/>
      <c r="J782" s="291"/>
      <c r="K782" s="291"/>
    </row>
    <row r="783">
      <c r="A783" s="291"/>
      <c r="J783" s="291"/>
      <c r="K783" s="291"/>
    </row>
    <row r="784">
      <c r="A784" s="291"/>
      <c r="J784" s="291"/>
      <c r="K784" s="291"/>
    </row>
    <row r="785">
      <c r="A785" s="291"/>
      <c r="J785" s="291"/>
      <c r="K785" s="291"/>
    </row>
    <row r="786">
      <c r="A786" s="291"/>
      <c r="J786" s="291"/>
      <c r="K786" s="291"/>
    </row>
    <row r="787">
      <c r="A787" s="291"/>
      <c r="J787" s="291"/>
      <c r="K787" s="291"/>
    </row>
    <row r="788">
      <c r="A788" s="291"/>
      <c r="J788" s="291"/>
      <c r="K788" s="291"/>
    </row>
    <row r="789">
      <c r="A789" s="291"/>
      <c r="J789" s="291"/>
      <c r="K789" s="291"/>
    </row>
    <row r="790">
      <c r="A790" s="291"/>
      <c r="J790" s="291"/>
      <c r="K790" s="291"/>
    </row>
    <row r="791">
      <c r="A791" s="291"/>
      <c r="J791" s="291"/>
      <c r="K791" s="291"/>
    </row>
    <row r="792">
      <c r="A792" s="291"/>
      <c r="J792" s="291"/>
      <c r="K792" s="291"/>
    </row>
    <row r="793">
      <c r="A793" s="291"/>
      <c r="J793" s="291"/>
      <c r="K793" s="291"/>
    </row>
    <row r="794">
      <c r="A794" s="291"/>
      <c r="J794" s="291"/>
      <c r="K794" s="291"/>
    </row>
    <row r="795">
      <c r="A795" s="291"/>
      <c r="J795" s="291"/>
      <c r="K795" s="291"/>
    </row>
    <row r="796">
      <c r="A796" s="291"/>
      <c r="J796" s="291"/>
      <c r="K796" s="291"/>
    </row>
    <row r="797">
      <c r="A797" s="291"/>
      <c r="J797" s="291"/>
      <c r="K797" s="291"/>
    </row>
    <row r="798">
      <c r="A798" s="291"/>
      <c r="J798" s="291"/>
      <c r="K798" s="291"/>
    </row>
    <row r="799">
      <c r="A799" s="291"/>
      <c r="J799" s="291"/>
      <c r="K799" s="291"/>
    </row>
    <row r="800">
      <c r="A800" s="291"/>
      <c r="J800" s="291"/>
      <c r="K800" s="291"/>
    </row>
    <row r="801">
      <c r="A801" s="291"/>
      <c r="J801" s="291"/>
      <c r="K801" s="291"/>
    </row>
    <row r="802">
      <c r="A802" s="291"/>
      <c r="J802" s="291"/>
      <c r="K802" s="291"/>
    </row>
    <row r="803">
      <c r="A803" s="291"/>
      <c r="J803" s="291"/>
      <c r="K803" s="291"/>
    </row>
    <row r="804">
      <c r="A804" s="291"/>
      <c r="J804" s="291"/>
      <c r="K804" s="291"/>
    </row>
    <row r="805">
      <c r="A805" s="291"/>
      <c r="J805" s="291"/>
      <c r="K805" s="291"/>
    </row>
    <row r="806">
      <c r="A806" s="291"/>
      <c r="J806" s="291"/>
      <c r="K806" s="291"/>
    </row>
    <row r="807">
      <c r="A807" s="291"/>
      <c r="J807" s="291"/>
      <c r="K807" s="291"/>
    </row>
    <row r="808">
      <c r="A808" s="291"/>
      <c r="J808" s="291"/>
      <c r="K808" s="291"/>
    </row>
    <row r="809">
      <c r="A809" s="291"/>
      <c r="J809" s="291"/>
      <c r="K809" s="291"/>
    </row>
    <row r="810">
      <c r="A810" s="291"/>
      <c r="J810" s="291"/>
      <c r="K810" s="291"/>
    </row>
    <row r="811">
      <c r="A811" s="291"/>
      <c r="J811" s="291"/>
      <c r="K811" s="291"/>
    </row>
    <row r="812">
      <c r="A812" s="291"/>
      <c r="J812" s="291"/>
      <c r="K812" s="291"/>
    </row>
    <row r="813">
      <c r="A813" s="291"/>
      <c r="J813" s="291"/>
      <c r="K813" s="291"/>
    </row>
    <row r="814">
      <c r="A814" s="291"/>
      <c r="J814" s="291"/>
      <c r="K814" s="291"/>
    </row>
    <row r="815">
      <c r="A815" s="291"/>
      <c r="J815" s="291"/>
      <c r="K815" s="291"/>
    </row>
    <row r="816">
      <c r="A816" s="291"/>
      <c r="J816" s="291"/>
      <c r="K816" s="291"/>
    </row>
    <row r="817">
      <c r="A817" s="291"/>
      <c r="J817" s="291"/>
      <c r="K817" s="291"/>
    </row>
    <row r="818">
      <c r="A818" s="291"/>
      <c r="J818" s="291"/>
      <c r="K818" s="291"/>
    </row>
    <row r="819">
      <c r="A819" s="291"/>
      <c r="J819" s="291"/>
      <c r="K819" s="291"/>
    </row>
    <row r="820">
      <c r="A820" s="291"/>
      <c r="J820" s="291"/>
      <c r="K820" s="291"/>
    </row>
    <row r="821">
      <c r="A821" s="291"/>
      <c r="J821" s="291"/>
      <c r="K821" s="291"/>
    </row>
    <row r="822">
      <c r="A822" s="291"/>
      <c r="J822" s="291"/>
      <c r="K822" s="291"/>
    </row>
    <row r="823">
      <c r="A823" s="291"/>
      <c r="J823" s="291"/>
      <c r="K823" s="291"/>
    </row>
    <row r="824">
      <c r="A824" s="291"/>
      <c r="J824" s="291"/>
      <c r="K824" s="291"/>
    </row>
    <row r="825">
      <c r="A825" s="291"/>
      <c r="J825" s="291"/>
      <c r="K825" s="291"/>
    </row>
    <row r="826">
      <c r="A826" s="291"/>
      <c r="J826" s="291"/>
      <c r="K826" s="291"/>
    </row>
    <row r="827">
      <c r="A827" s="291"/>
      <c r="J827" s="291"/>
      <c r="K827" s="291"/>
    </row>
    <row r="828">
      <c r="A828" s="291"/>
      <c r="J828" s="291"/>
      <c r="K828" s="291"/>
    </row>
    <row r="829">
      <c r="A829" s="291"/>
      <c r="J829" s="291"/>
      <c r="K829" s="291"/>
    </row>
    <row r="830">
      <c r="A830" s="291"/>
      <c r="J830" s="291"/>
      <c r="K830" s="291"/>
    </row>
    <row r="831">
      <c r="A831" s="291"/>
      <c r="J831" s="291"/>
      <c r="K831" s="291"/>
    </row>
    <row r="832">
      <c r="A832" s="291"/>
      <c r="J832" s="291"/>
      <c r="K832" s="291"/>
    </row>
    <row r="833">
      <c r="A833" s="291"/>
      <c r="J833" s="291"/>
      <c r="K833" s="291"/>
    </row>
    <row r="834">
      <c r="A834" s="291"/>
      <c r="J834" s="291"/>
      <c r="K834" s="291"/>
    </row>
    <row r="835">
      <c r="A835" s="291"/>
      <c r="J835" s="291"/>
      <c r="K835" s="291"/>
    </row>
    <row r="836">
      <c r="A836" s="291"/>
      <c r="J836" s="291"/>
      <c r="K836" s="291"/>
    </row>
    <row r="837">
      <c r="A837" s="291"/>
      <c r="J837" s="291"/>
      <c r="K837" s="291"/>
    </row>
    <row r="838">
      <c r="A838" s="291"/>
      <c r="J838" s="291"/>
      <c r="K838" s="291"/>
    </row>
    <row r="839">
      <c r="A839" s="291"/>
      <c r="J839" s="291"/>
      <c r="K839" s="291"/>
    </row>
    <row r="840">
      <c r="A840" s="291"/>
      <c r="J840" s="291"/>
      <c r="K840" s="291"/>
    </row>
    <row r="841">
      <c r="A841" s="291"/>
      <c r="J841" s="291"/>
      <c r="K841" s="291"/>
    </row>
    <row r="842">
      <c r="A842" s="291"/>
      <c r="J842" s="291"/>
      <c r="K842" s="291"/>
    </row>
    <row r="843">
      <c r="A843" s="291"/>
      <c r="J843" s="291"/>
      <c r="K843" s="291"/>
    </row>
    <row r="844">
      <c r="A844" s="291"/>
      <c r="J844" s="291"/>
      <c r="K844" s="291"/>
    </row>
    <row r="845">
      <c r="A845" s="291"/>
      <c r="J845" s="291"/>
      <c r="K845" s="291"/>
    </row>
    <row r="846">
      <c r="A846" s="291"/>
      <c r="J846" s="291"/>
      <c r="K846" s="291"/>
    </row>
    <row r="847">
      <c r="A847" s="291"/>
      <c r="J847" s="291"/>
      <c r="K847" s="291"/>
    </row>
    <row r="848">
      <c r="A848" s="291"/>
      <c r="J848" s="291"/>
      <c r="K848" s="291"/>
    </row>
    <row r="849">
      <c r="A849" s="291"/>
      <c r="J849" s="291"/>
      <c r="K849" s="291"/>
    </row>
    <row r="850">
      <c r="A850" s="291"/>
      <c r="J850" s="291"/>
      <c r="K850" s="291"/>
    </row>
    <row r="851">
      <c r="A851" s="291"/>
      <c r="J851" s="291"/>
      <c r="K851" s="291"/>
    </row>
    <row r="852">
      <c r="A852" s="291"/>
      <c r="J852" s="291"/>
      <c r="K852" s="291"/>
    </row>
    <row r="853">
      <c r="A853" s="291"/>
      <c r="J853" s="291"/>
      <c r="K853" s="291"/>
    </row>
    <row r="854">
      <c r="A854" s="291"/>
      <c r="J854" s="291"/>
      <c r="K854" s="291"/>
    </row>
    <row r="855">
      <c r="A855" s="291"/>
      <c r="J855" s="291"/>
      <c r="K855" s="291"/>
    </row>
    <row r="856">
      <c r="A856" s="291"/>
      <c r="J856" s="291"/>
      <c r="K856" s="291"/>
    </row>
    <row r="857">
      <c r="A857" s="291"/>
      <c r="J857" s="291"/>
      <c r="K857" s="291"/>
    </row>
    <row r="858">
      <c r="A858" s="291"/>
      <c r="J858" s="291"/>
      <c r="K858" s="291"/>
    </row>
    <row r="859">
      <c r="A859" s="291"/>
      <c r="J859" s="291"/>
      <c r="K859" s="291"/>
    </row>
    <row r="860">
      <c r="A860" s="291"/>
      <c r="J860" s="291"/>
      <c r="K860" s="291"/>
    </row>
    <row r="861">
      <c r="A861" s="291"/>
      <c r="J861" s="291"/>
      <c r="K861" s="291"/>
    </row>
    <row r="862">
      <c r="A862" s="291"/>
      <c r="J862" s="291"/>
      <c r="K862" s="291"/>
    </row>
    <row r="863">
      <c r="A863" s="291"/>
      <c r="J863" s="291"/>
      <c r="K863" s="291"/>
    </row>
    <row r="864">
      <c r="A864" s="291"/>
      <c r="J864" s="291"/>
      <c r="K864" s="291"/>
    </row>
    <row r="865">
      <c r="A865" s="291"/>
      <c r="J865" s="291"/>
      <c r="K865" s="291"/>
    </row>
    <row r="866">
      <c r="A866" s="291"/>
      <c r="J866" s="291"/>
      <c r="K866" s="291"/>
    </row>
    <row r="867">
      <c r="A867" s="291"/>
      <c r="J867" s="291"/>
      <c r="K867" s="291"/>
    </row>
    <row r="868">
      <c r="A868" s="291"/>
      <c r="J868" s="291"/>
      <c r="K868" s="291"/>
    </row>
    <row r="869">
      <c r="A869" s="291"/>
      <c r="J869" s="291"/>
      <c r="K869" s="291"/>
    </row>
    <row r="870">
      <c r="A870" s="291"/>
      <c r="J870" s="291"/>
      <c r="K870" s="291"/>
    </row>
    <row r="871">
      <c r="A871" s="291"/>
      <c r="J871" s="291"/>
      <c r="K871" s="291"/>
    </row>
    <row r="872">
      <c r="A872" s="291"/>
      <c r="J872" s="291"/>
      <c r="K872" s="291"/>
    </row>
    <row r="873">
      <c r="A873" s="291"/>
      <c r="J873" s="291"/>
      <c r="K873" s="291"/>
    </row>
    <row r="874">
      <c r="A874" s="291"/>
      <c r="J874" s="291"/>
      <c r="K874" s="291"/>
    </row>
    <row r="875">
      <c r="A875" s="291"/>
      <c r="J875" s="291"/>
      <c r="K875" s="291"/>
    </row>
    <row r="876">
      <c r="A876" s="291"/>
      <c r="J876" s="291"/>
      <c r="K876" s="291"/>
    </row>
    <row r="877">
      <c r="A877" s="291"/>
      <c r="J877" s="291"/>
      <c r="K877" s="291"/>
    </row>
    <row r="878">
      <c r="A878" s="291"/>
      <c r="J878" s="291"/>
      <c r="K878" s="291"/>
    </row>
    <row r="879">
      <c r="A879" s="291"/>
      <c r="J879" s="291"/>
      <c r="K879" s="291"/>
    </row>
    <row r="880">
      <c r="A880" s="291"/>
      <c r="J880" s="291"/>
      <c r="K880" s="291"/>
    </row>
    <row r="881">
      <c r="A881" s="291"/>
      <c r="J881" s="291"/>
      <c r="K881" s="291"/>
    </row>
    <row r="882">
      <c r="A882" s="291"/>
      <c r="J882" s="291"/>
      <c r="K882" s="291"/>
    </row>
    <row r="883">
      <c r="A883" s="291"/>
      <c r="J883" s="291"/>
      <c r="K883" s="291"/>
    </row>
    <row r="884">
      <c r="A884" s="291"/>
      <c r="J884" s="291"/>
      <c r="K884" s="291"/>
    </row>
    <row r="885">
      <c r="A885" s="291"/>
      <c r="J885" s="291"/>
      <c r="K885" s="291"/>
    </row>
    <row r="886">
      <c r="A886" s="291"/>
      <c r="J886" s="291"/>
      <c r="K886" s="291"/>
    </row>
    <row r="887">
      <c r="A887" s="291"/>
      <c r="J887" s="291"/>
      <c r="K887" s="291"/>
    </row>
    <row r="888">
      <c r="A888" s="291"/>
      <c r="J888" s="291"/>
      <c r="K888" s="291"/>
    </row>
    <row r="889">
      <c r="A889" s="291"/>
      <c r="J889" s="291"/>
      <c r="K889" s="291"/>
    </row>
    <row r="890">
      <c r="A890" s="291"/>
      <c r="J890" s="291"/>
      <c r="K890" s="291"/>
    </row>
    <row r="891">
      <c r="A891" s="291"/>
      <c r="J891" s="291"/>
      <c r="K891" s="291"/>
    </row>
    <row r="892">
      <c r="A892" s="291"/>
      <c r="J892" s="291"/>
      <c r="K892" s="291"/>
    </row>
    <row r="893">
      <c r="A893" s="291"/>
      <c r="J893" s="291"/>
      <c r="K893" s="291"/>
    </row>
    <row r="894">
      <c r="A894" s="291"/>
      <c r="J894" s="291"/>
      <c r="K894" s="291"/>
    </row>
    <row r="895">
      <c r="A895" s="291"/>
      <c r="J895" s="291"/>
      <c r="K895" s="291"/>
    </row>
    <row r="896">
      <c r="A896" s="291"/>
      <c r="J896" s="291"/>
      <c r="K896" s="291"/>
    </row>
    <row r="897">
      <c r="A897" s="291"/>
      <c r="J897" s="291"/>
      <c r="K897" s="291"/>
    </row>
    <row r="898">
      <c r="A898" s="291"/>
      <c r="J898" s="291"/>
      <c r="K898" s="291"/>
    </row>
    <row r="899">
      <c r="A899" s="291"/>
      <c r="J899" s="291"/>
      <c r="K899" s="291"/>
    </row>
    <row r="900">
      <c r="A900" s="291"/>
      <c r="J900" s="291"/>
      <c r="K900" s="291"/>
    </row>
    <row r="901">
      <c r="A901" s="291"/>
      <c r="J901" s="291"/>
      <c r="K901" s="291"/>
    </row>
    <row r="902">
      <c r="A902" s="291"/>
      <c r="J902" s="291"/>
      <c r="K902" s="291"/>
    </row>
    <row r="903">
      <c r="A903" s="291"/>
      <c r="J903" s="291"/>
      <c r="K903" s="291"/>
    </row>
    <row r="904">
      <c r="A904" s="291"/>
      <c r="J904" s="291"/>
      <c r="K904" s="291"/>
    </row>
    <row r="905">
      <c r="A905" s="291"/>
      <c r="J905" s="291"/>
      <c r="K905" s="291"/>
    </row>
    <row r="906">
      <c r="A906" s="291"/>
      <c r="J906" s="291"/>
      <c r="K906" s="291"/>
    </row>
    <row r="907">
      <c r="A907" s="291"/>
      <c r="J907" s="291"/>
      <c r="K907" s="291"/>
    </row>
    <row r="908">
      <c r="A908" s="291"/>
      <c r="J908" s="291"/>
      <c r="K908" s="291"/>
    </row>
    <row r="909">
      <c r="A909" s="291"/>
      <c r="J909" s="291"/>
      <c r="K909" s="291"/>
    </row>
    <row r="910">
      <c r="A910" s="291"/>
      <c r="J910" s="291"/>
      <c r="K910" s="291"/>
    </row>
    <row r="911">
      <c r="A911" s="291"/>
      <c r="J911" s="291"/>
      <c r="K911" s="291"/>
    </row>
    <row r="912">
      <c r="A912" s="291"/>
      <c r="J912" s="291"/>
      <c r="K912" s="291"/>
    </row>
    <row r="913">
      <c r="A913" s="291"/>
      <c r="J913" s="291"/>
      <c r="K913" s="291"/>
    </row>
    <row r="914">
      <c r="A914" s="291"/>
      <c r="J914" s="291"/>
      <c r="K914" s="291"/>
    </row>
    <row r="915">
      <c r="A915" s="291"/>
      <c r="J915" s="291"/>
      <c r="K915" s="291"/>
    </row>
    <row r="916">
      <c r="A916" s="291"/>
      <c r="J916" s="291"/>
      <c r="K916" s="291"/>
    </row>
    <row r="917">
      <c r="A917" s="291"/>
      <c r="J917" s="291"/>
      <c r="K917" s="291"/>
    </row>
    <row r="918">
      <c r="A918" s="291"/>
      <c r="J918" s="291"/>
      <c r="K918" s="291"/>
    </row>
    <row r="919">
      <c r="A919" s="291"/>
      <c r="J919" s="291"/>
      <c r="K919" s="291"/>
    </row>
    <row r="920">
      <c r="A920" s="291"/>
      <c r="J920" s="291"/>
      <c r="K920" s="291"/>
    </row>
    <row r="921">
      <c r="A921" s="291"/>
      <c r="J921" s="291"/>
      <c r="K921" s="291"/>
    </row>
    <row r="922">
      <c r="A922" s="291"/>
      <c r="J922" s="291"/>
      <c r="K922" s="291"/>
    </row>
    <row r="923">
      <c r="A923" s="291"/>
      <c r="J923" s="291"/>
      <c r="K923" s="291"/>
    </row>
    <row r="924">
      <c r="A924" s="291"/>
      <c r="J924" s="291"/>
      <c r="K924" s="291"/>
    </row>
    <row r="925">
      <c r="A925" s="291"/>
      <c r="J925" s="291"/>
      <c r="K925" s="291"/>
    </row>
    <row r="926">
      <c r="A926" s="291"/>
      <c r="J926" s="291"/>
      <c r="K926" s="291"/>
    </row>
    <row r="927">
      <c r="A927" s="291"/>
      <c r="J927" s="291"/>
      <c r="K927" s="291"/>
    </row>
    <row r="928">
      <c r="A928" s="291"/>
      <c r="J928" s="291"/>
      <c r="K928" s="291"/>
    </row>
    <row r="929">
      <c r="A929" s="291"/>
      <c r="J929" s="291"/>
      <c r="K929" s="291"/>
    </row>
    <row r="930">
      <c r="A930" s="291"/>
      <c r="J930" s="291"/>
      <c r="K930" s="291"/>
    </row>
    <row r="931">
      <c r="A931" s="291"/>
      <c r="J931" s="291"/>
      <c r="K931" s="291"/>
    </row>
    <row r="932">
      <c r="A932" s="291"/>
      <c r="J932" s="291"/>
      <c r="K932" s="291"/>
    </row>
    <row r="933">
      <c r="A933" s="291"/>
      <c r="J933" s="291"/>
      <c r="K933" s="291"/>
    </row>
    <row r="934">
      <c r="A934" s="291"/>
      <c r="J934" s="291"/>
      <c r="K934" s="291"/>
    </row>
    <row r="935">
      <c r="A935" s="291"/>
      <c r="J935" s="291"/>
      <c r="K935" s="291"/>
    </row>
    <row r="936">
      <c r="A936" s="291"/>
      <c r="J936" s="291"/>
      <c r="K936" s="291"/>
    </row>
    <row r="937">
      <c r="A937" s="291"/>
      <c r="J937" s="291"/>
      <c r="K937" s="291"/>
    </row>
    <row r="938">
      <c r="A938" s="291"/>
      <c r="J938" s="291"/>
      <c r="K938" s="291"/>
    </row>
    <row r="939">
      <c r="A939" s="291"/>
      <c r="J939" s="291"/>
      <c r="K939" s="291"/>
    </row>
    <row r="940">
      <c r="A940" s="291"/>
      <c r="J940" s="291"/>
      <c r="K940" s="291"/>
    </row>
    <row r="941">
      <c r="A941" s="291"/>
      <c r="J941" s="291"/>
      <c r="K941" s="291"/>
    </row>
    <row r="942">
      <c r="A942" s="291"/>
      <c r="J942" s="291"/>
      <c r="K942" s="291"/>
    </row>
    <row r="943">
      <c r="A943" s="291"/>
      <c r="J943" s="291"/>
      <c r="K943" s="291"/>
    </row>
    <row r="944">
      <c r="A944" s="291"/>
      <c r="J944" s="291"/>
      <c r="K944" s="291"/>
    </row>
    <row r="945">
      <c r="A945" s="291"/>
      <c r="J945" s="291"/>
      <c r="K945" s="291"/>
    </row>
    <row r="946">
      <c r="A946" s="291"/>
      <c r="J946" s="291"/>
      <c r="K946" s="291"/>
    </row>
    <row r="947">
      <c r="A947" s="291"/>
      <c r="J947" s="291"/>
      <c r="K947" s="291"/>
    </row>
    <row r="948">
      <c r="A948" s="291"/>
      <c r="J948" s="291"/>
      <c r="K948" s="291"/>
    </row>
    <row r="949">
      <c r="A949" s="291"/>
      <c r="J949" s="291"/>
      <c r="K949" s="291"/>
    </row>
    <row r="950">
      <c r="A950" s="291"/>
      <c r="J950" s="291"/>
      <c r="K950" s="291"/>
    </row>
    <row r="951">
      <c r="A951" s="291"/>
      <c r="J951" s="291"/>
      <c r="K951" s="291"/>
    </row>
    <row r="952">
      <c r="A952" s="291"/>
      <c r="J952" s="291"/>
      <c r="K952" s="291"/>
    </row>
    <row r="953">
      <c r="A953" s="291"/>
      <c r="J953" s="291"/>
      <c r="K953" s="291"/>
    </row>
    <row r="954">
      <c r="A954" s="291"/>
      <c r="J954" s="291"/>
      <c r="K954" s="291"/>
    </row>
    <row r="955">
      <c r="A955" s="291"/>
      <c r="J955" s="291"/>
      <c r="K955" s="291"/>
    </row>
    <row r="956">
      <c r="A956" s="291"/>
      <c r="J956" s="291"/>
      <c r="K956" s="291"/>
    </row>
    <row r="957">
      <c r="A957" s="291"/>
      <c r="J957" s="291"/>
      <c r="K957" s="291"/>
    </row>
    <row r="958">
      <c r="A958" s="291"/>
      <c r="J958" s="291"/>
      <c r="K958" s="291"/>
    </row>
    <row r="959">
      <c r="A959" s="291"/>
      <c r="J959" s="291"/>
      <c r="K959" s="291"/>
    </row>
    <row r="960">
      <c r="A960" s="291"/>
      <c r="J960" s="291"/>
      <c r="K960" s="291"/>
    </row>
    <row r="961">
      <c r="A961" s="291"/>
      <c r="J961" s="291"/>
      <c r="K961" s="291"/>
    </row>
    <row r="962">
      <c r="A962" s="291"/>
      <c r="J962" s="291"/>
      <c r="K962" s="291"/>
    </row>
    <row r="963">
      <c r="A963" s="291"/>
      <c r="J963" s="291"/>
      <c r="K963" s="291"/>
    </row>
    <row r="964">
      <c r="A964" s="291"/>
      <c r="J964" s="291"/>
      <c r="K964" s="291"/>
    </row>
    <row r="965">
      <c r="A965" s="291"/>
      <c r="J965" s="291"/>
      <c r="K965" s="291"/>
    </row>
    <row r="966">
      <c r="A966" s="291"/>
      <c r="J966" s="291"/>
      <c r="K966" s="291"/>
    </row>
    <row r="967">
      <c r="A967" s="291"/>
      <c r="J967" s="291"/>
      <c r="K967" s="291"/>
    </row>
    <row r="968">
      <c r="A968" s="291"/>
      <c r="J968" s="291"/>
      <c r="K968" s="291"/>
    </row>
    <row r="969">
      <c r="A969" s="291"/>
      <c r="J969" s="291"/>
      <c r="K969" s="291"/>
    </row>
    <row r="970">
      <c r="A970" s="291"/>
      <c r="J970" s="291"/>
      <c r="K970" s="291"/>
    </row>
    <row r="971">
      <c r="A971" s="291"/>
      <c r="J971" s="291"/>
      <c r="K971" s="291"/>
    </row>
    <row r="972">
      <c r="A972" s="291"/>
      <c r="J972" s="291"/>
      <c r="K972" s="291"/>
    </row>
    <row r="973">
      <c r="A973" s="291"/>
      <c r="J973" s="291"/>
      <c r="K973" s="291"/>
    </row>
    <row r="974">
      <c r="A974" s="291"/>
      <c r="J974" s="291"/>
      <c r="K974" s="291"/>
    </row>
    <row r="975">
      <c r="A975" s="291"/>
      <c r="J975" s="291"/>
      <c r="K975" s="291"/>
    </row>
    <row r="976">
      <c r="A976" s="291"/>
      <c r="J976" s="291"/>
      <c r="K976" s="291"/>
    </row>
    <row r="977">
      <c r="A977" s="291"/>
      <c r="J977" s="291"/>
      <c r="K977" s="291"/>
    </row>
    <row r="978">
      <c r="A978" s="291"/>
      <c r="J978" s="291"/>
      <c r="K978" s="291"/>
    </row>
    <row r="979">
      <c r="A979" s="291"/>
      <c r="J979" s="291"/>
      <c r="K979" s="291"/>
    </row>
    <row r="980">
      <c r="A980" s="291"/>
      <c r="J980" s="291"/>
      <c r="K980" s="291"/>
    </row>
    <row r="981">
      <c r="A981" s="291"/>
      <c r="J981" s="291"/>
      <c r="K981" s="291"/>
    </row>
    <row r="982">
      <c r="A982" s="291"/>
      <c r="J982" s="291"/>
      <c r="K982" s="291"/>
    </row>
    <row r="983">
      <c r="A983" s="291"/>
      <c r="J983" s="291"/>
      <c r="K983" s="291"/>
    </row>
    <row r="984">
      <c r="A984" s="291"/>
      <c r="J984" s="291"/>
      <c r="K984" s="291"/>
    </row>
    <row r="985">
      <c r="A985" s="291"/>
      <c r="J985" s="291"/>
      <c r="K985" s="291"/>
    </row>
    <row r="986">
      <c r="A986" s="291"/>
      <c r="J986" s="291"/>
      <c r="K986" s="291"/>
    </row>
    <row r="987">
      <c r="A987" s="291"/>
      <c r="J987" s="291"/>
      <c r="K987" s="291"/>
    </row>
    <row r="988">
      <c r="A988" s="291"/>
      <c r="J988" s="291"/>
      <c r="K988" s="291"/>
    </row>
    <row r="989">
      <c r="A989" s="291"/>
      <c r="J989" s="291"/>
      <c r="K989" s="291"/>
    </row>
    <row r="990">
      <c r="A990" s="291"/>
      <c r="J990" s="291"/>
      <c r="K990" s="291"/>
    </row>
    <row r="991">
      <c r="A991" s="291"/>
      <c r="J991" s="291"/>
      <c r="K991" s="291"/>
    </row>
    <row r="992">
      <c r="A992" s="291"/>
      <c r="J992" s="291"/>
      <c r="K992" s="291"/>
    </row>
    <row r="993">
      <c r="A993" s="291"/>
      <c r="J993" s="291"/>
      <c r="K993" s="291"/>
    </row>
    <row r="994">
      <c r="A994" s="291"/>
      <c r="J994" s="291"/>
      <c r="K994" s="291"/>
    </row>
    <row r="995">
      <c r="A995" s="291"/>
      <c r="J995" s="291"/>
      <c r="K995" s="291"/>
    </row>
    <row r="996">
      <c r="A996" s="291"/>
      <c r="J996" s="291"/>
      <c r="K996" s="291"/>
    </row>
    <row r="997">
      <c r="A997" s="291"/>
      <c r="J997" s="291"/>
      <c r="K997" s="291"/>
    </row>
    <row r="998">
      <c r="A998" s="291"/>
      <c r="J998" s="291"/>
      <c r="K998" s="291"/>
    </row>
    <row r="999">
      <c r="A999" s="291"/>
      <c r="J999" s="291"/>
      <c r="K999" s="291"/>
    </row>
    <row r="1000">
      <c r="A1000" s="291"/>
      <c r="J1000" s="291"/>
      <c r="K1000" s="291"/>
    </row>
    <row r="1001">
      <c r="A1001" s="291"/>
      <c r="J1001" s="291"/>
      <c r="K1001" s="291"/>
    </row>
    <row r="1002">
      <c r="A1002" s="291"/>
      <c r="J1002" s="291"/>
      <c r="K1002" s="291"/>
    </row>
    <row r="1003">
      <c r="A1003" s="291"/>
      <c r="J1003" s="291"/>
      <c r="K1003" s="291"/>
    </row>
    <row r="1004">
      <c r="A1004" s="291"/>
      <c r="J1004" s="291"/>
      <c r="K1004" s="291"/>
    </row>
    <row r="1005">
      <c r="A1005" s="291"/>
      <c r="J1005" s="291"/>
      <c r="K1005" s="291"/>
    </row>
    <row r="1006">
      <c r="A1006" s="291"/>
      <c r="J1006" s="291"/>
      <c r="K1006" s="291"/>
    </row>
    <row r="1007">
      <c r="A1007" s="291"/>
      <c r="J1007" s="291"/>
      <c r="K1007" s="291"/>
    </row>
    <row r="1008">
      <c r="A1008" s="291"/>
      <c r="J1008" s="291"/>
      <c r="K1008" s="291"/>
    </row>
    <row r="1009">
      <c r="A1009" s="291"/>
      <c r="J1009" s="291"/>
      <c r="K1009" s="291"/>
    </row>
    <row r="1010">
      <c r="A1010" s="291"/>
      <c r="J1010" s="291"/>
      <c r="K1010" s="291"/>
    </row>
    <row r="1011">
      <c r="A1011" s="291"/>
      <c r="J1011" s="291"/>
      <c r="K1011" s="291"/>
    </row>
    <row r="1012">
      <c r="A1012" s="291"/>
      <c r="J1012" s="291"/>
      <c r="K1012" s="291"/>
    </row>
    <row r="1013">
      <c r="A1013" s="291"/>
      <c r="J1013" s="291"/>
      <c r="K1013" s="291"/>
    </row>
    <row r="1014">
      <c r="A1014" s="291"/>
      <c r="J1014" s="291"/>
      <c r="K1014" s="291"/>
    </row>
    <row r="1015">
      <c r="A1015" s="291"/>
      <c r="J1015" s="291"/>
      <c r="K1015" s="291"/>
    </row>
    <row r="1016">
      <c r="A1016" s="291"/>
      <c r="J1016" s="291"/>
      <c r="K1016" s="291"/>
    </row>
    <row r="1017">
      <c r="A1017" s="291"/>
      <c r="J1017" s="291"/>
      <c r="K1017" s="291"/>
    </row>
    <row r="1018">
      <c r="A1018" s="291"/>
      <c r="J1018" s="291"/>
      <c r="K1018" s="291"/>
    </row>
    <row r="1019">
      <c r="A1019" s="291"/>
      <c r="J1019" s="291"/>
      <c r="K1019" s="291"/>
    </row>
    <row r="1020">
      <c r="A1020" s="291"/>
      <c r="J1020" s="291"/>
      <c r="K1020" s="291"/>
    </row>
    <row r="1021">
      <c r="A1021" s="291"/>
      <c r="J1021" s="291"/>
      <c r="K1021" s="291"/>
    </row>
    <row r="1022">
      <c r="A1022" s="291"/>
      <c r="J1022" s="291"/>
      <c r="K1022" s="291"/>
    </row>
    <row r="1023">
      <c r="A1023" s="291"/>
      <c r="J1023" s="291"/>
      <c r="K1023" s="291"/>
    </row>
    <row r="1024">
      <c r="A1024" s="291"/>
      <c r="J1024" s="291"/>
      <c r="K1024" s="291"/>
    </row>
    <row r="1025">
      <c r="A1025" s="291"/>
      <c r="J1025" s="291"/>
      <c r="K1025" s="291"/>
    </row>
    <row r="1026">
      <c r="A1026" s="291"/>
      <c r="J1026" s="291"/>
      <c r="K1026" s="291"/>
    </row>
    <row r="1027">
      <c r="A1027" s="291"/>
      <c r="J1027" s="291"/>
      <c r="K1027" s="291"/>
    </row>
    <row r="1028">
      <c r="A1028" s="291"/>
      <c r="J1028" s="291"/>
      <c r="K1028" s="291"/>
    </row>
    <row r="1029">
      <c r="A1029" s="291"/>
      <c r="J1029" s="291"/>
      <c r="K1029" s="291"/>
    </row>
    <row r="1030">
      <c r="A1030" s="291"/>
      <c r="J1030" s="291"/>
      <c r="K1030" s="291"/>
    </row>
    <row r="1031">
      <c r="A1031" s="291"/>
      <c r="J1031" s="291"/>
      <c r="K1031" s="291"/>
    </row>
    <row r="1032">
      <c r="A1032" s="291"/>
      <c r="J1032" s="291"/>
      <c r="K1032" s="291"/>
    </row>
    <row r="1033">
      <c r="A1033" s="291"/>
      <c r="J1033" s="291"/>
      <c r="K1033" s="291"/>
    </row>
    <row r="1034">
      <c r="A1034" s="291"/>
      <c r="J1034" s="291"/>
      <c r="K1034" s="291"/>
    </row>
    <row r="1035">
      <c r="A1035" s="291"/>
      <c r="J1035" s="291"/>
      <c r="K1035" s="291"/>
    </row>
    <row r="1036">
      <c r="A1036" s="291"/>
      <c r="J1036" s="291"/>
      <c r="K1036" s="291"/>
    </row>
    <row r="1037">
      <c r="A1037" s="291"/>
      <c r="J1037" s="291"/>
      <c r="K1037" s="291"/>
    </row>
    <row r="1038">
      <c r="A1038" s="291"/>
      <c r="J1038" s="291"/>
      <c r="K1038" s="291"/>
    </row>
    <row r="1039">
      <c r="A1039" s="291"/>
      <c r="J1039" s="291"/>
      <c r="K1039" s="291"/>
    </row>
    <row r="1040">
      <c r="A1040" s="291"/>
      <c r="J1040" s="291"/>
      <c r="K1040" s="291"/>
    </row>
    <row r="1041">
      <c r="A1041" s="291"/>
      <c r="J1041" s="291"/>
      <c r="K1041" s="291"/>
    </row>
    <row r="1042">
      <c r="A1042" s="291"/>
      <c r="J1042" s="291"/>
      <c r="K1042" s="291"/>
    </row>
    <row r="1043">
      <c r="A1043" s="291"/>
      <c r="J1043" s="291"/>
      <c r="K1043" s="291"/>
    </row>
    <row r="1044">
      <c r="A1044" s="291"/>
      <c r="J1044" s="291"/>
      <c r="K1044" s="291"/>
    </row>
    <row r="1045">
      <c r="A1045" s="291"/>
      <c r="J1045" s="291"/>
      <c r="K1045" s="291"/>
    </row>
    <row r="1046">
      <c r="A1046" s="291"/>
      <c r="J1046" s="291"/>
      <c r="K1046" s="291"/>
    </row>
    <row r="1047">
      <c r="A1047" s="291"/>
      <c r="J1047" s="291"/>
      <c r="K1047" s="291"/>
    </row>
    <row r="1048">
      <c r="A1048" s="291"/>
      <c r="J1048" s="291"/>
      <c r="K1048" s="291"/>
    </row>
    <row r="1049">
      <c r="A1049" s="291"/>
      <c r="J1049" s="291"/>
      <c r="K1049" s="291"/>
    </row>
    <row r="1050">
      <c r="A1050" s="291"/>
      <c r="J1050" s="291"/>
      <c r="K1050" s="291"/>
    </row>
    <row r="1051">
      <c r="A1051" s="291"/>
      <c r="J1051" s="291"/>
      <c r="K1051" s="291"/>
    </row>
    <row r="1052">
      <c r="A1052" s="291"/>
      <c r="J1052" s="291"/>
      <c r="K1052" s="291"/>
    </row>
    <row r="1053">
      <c r="A1053" s="291"/>
      <c r="J1053" s="291"/>
      <c r="K1053" s="291"/>
    </row>
    <row r="1054">
      <c r="A1054" s="291"/>
      <c r="J1054" s="291"/>
      <c r="K1054" s="291"/>
    </row>
    <row r="1055">
      <c r="A1055" s="291"/>
      <c r="J1055" s="291"/>
      <c r="K1055" s="291"/>
    </row>
    <row r="1056">
      <c r="A1056" s="291"/>
      <c r="J1056" s="291"/>
      <c r="K1056" s="291"/>
    </row>
    <row r="1057">
      <c r="A1057" s="291"/>
      <c r="J1057" s="291"/>
      <c r="K1057" s="291"/>
    </row>
    <row r="1058">
      <c r="A1058" s="291"/>
      <c r="J1058" s="291"/>
      <c r="K1058" s="291"/>
    </row>
    <row r="1059">
      <c r="A1059" s="291"/>
      <c r="J1059" s="291"/>
      <c r="K1059" s="291"/>
    </row>
    <row r="1060">
      <c r="A1060" s="291"/>
      <c r="J1060" s="291"/>
      <c r="K1060" s="291"/>
    </row>
    <row r="1061">
      <c r="A1061" s="291"/>
      <c r="J1061" s="291"/>
      <c r="K1061" s="291"/>
    </row>
    <row r="1062">
      <c r="A1062" s="291"/>
      <c r="J1062" s="291"/>
      <c r="K1062" s="291"/>
    </row>
    <row r="1063">
      <c r="A1063" s="291"/>
      <c r="J1063" s="291"/>
      <c r="K1063" s="291"/>
    </row>
    <row r="1064">
      <c r="A1064" s="291"/>
      <c r="J1064" s="291"/>
      <c r="K1064" s="291"/>
    </row>
    <row r="1065">
      <c r="A1065" s="291"/>
      <c r="J1065" s="291"/>
      <c r="K1065" s="291"/>
    </row>
    <row r="1066">
      <c r="A1066" s="291"/>
      <c r="J1066" s="291"/>
      <c r="K1066" s="291"/>
    </row>
    <row r="1067">
      <c r="A1067" s="291"/>
      <c r="J1067" s="291"/>
      <c r="K1067" s="291"/>
    </row>
    <row r="1068">
      <c r="A1068" s="291"/>
      <c r="J1068" s="291"/>
      <c r="K1068" s="291"/>
    </row>
    <row r="1069">
      <c r="A1069" s="291"/>
      <c r="J1069" s="291"/>
      <c r="K1069" s="291"/>
    </row>
    <row r="1070">
      <c r="A1070" s="291"/>
      <c r="J1070" s="291"/>
      <c r="K1070" s="291"/>
    </row>
    <row r="1071">
      <c r="A1071" s="291"/>
      <c r="J1071" s="291"/>
      <c r="K1071" s="291"/>
    </row>
    <row r="1072">
      <c r="A1072" s="291"/>
      <c r="J1072" s="291"/>
      <c r="K1072" s="291"/>
    </row>
    <row r="1073">
      <c r="A1073" s="291"/>
      <c r="J1073" s="291"/>
      <c r="K1073" s="291"/>
    </row>
    <row r="1074">
      <c r="A1074" s="291"/>
      <c r="J1074" s="291"/>
      <c r="K1074" s="291"/>
    </row>
    <row r="1075">
      <c r="A1075" s="291"/>
      <c r="J1075" s="291"/>
      <c r="K1075" s="291"/>
    </row>
    <row r="1076">
      <c r="A1076" s="291"/>
      <c r="J1076" s="291"/>
      <c r="K1076" s="291"/>
    </row>
    <row r="1077">
      <c r="A1077" s="291"/>
      <c r="J1077" s="291"/>
      <c r="K1077" s="291"/>
    </row>
    <row r="1078">
      <c r="A1078" s="291"/>
      <c r="J1078" s="291"/>
      <c r="K1078" s="291"/>
    </row>
    <row r="1079">
      <c r="A1079" s="291"/>
      <c r="J1079" s="291"/>
      <c r="K1079" s="291"/>
    </row>
    <row r="1080">
      <c r="A1080" s="291"/>
      <c r="J1080" s="291"/>
      <c r="K1080" s="291"/>
    </row>
    <row r="1081">
      <c r="A1081" s="291"/>
      <c r="J1081" s="291"/>
      <c r="K1081" s="291"/>
    </row>
    <row r="1082">
      <c r="A1082" s="291"/>
      <c r="J1082" s="291"/>
      <c r="K1082" s="291"/>
    </row>
    <row r="1083">
      <c r="A1083" s="291"/>
      <c r="J1083" s="291"/>
      <c r="K1083" s="291"/>
    </row>
    <row r="1084">
      <c r="A1084" s="291"/>
      <c r="J1084" s="291"/>
      <c r="K1084" s="291"/>
    </row>
    <row r="1085">
      <c r="A1085" s="291"/>
      <c r="J1085" s="291"/>
      <c r="K1085" s="291"/>
    </row>
    <row r="1086">
      <c r="A1086" s="291"/>
      <c r="J1086" s="291"/>
      <c r="K1086" s="291"/>
    </row>
    <row r="1087">
      <c r="A1087" s="291"/>
      <c r="J1087" s="291"/>
      <c r="K1087" s="291"/>
    </row>
    <row r="1088">
      <c r="A1088" s="291"/>
      <c r="J1088" s="291"/>
      <c r="K1088" s="291"/>
    </row>
    <row r="1089">
      <c r="A1089" s="291"/>
      <c r="J1089" s="291"/>
      <c r="K1089" s="291"/>
    </row>
    <row r="1090">
      <c r="A1090" s="291"/>
      <c r="J1090" s="291"/>
      <c r="K1090" s="291"/>
    </row>
    <row r="1091">
      <c r="A1091" s="291"/>
      <c r="J1091" s="291"/>
      <c r="K1091" s="291"/>
    </row>
    <row r="1092">
      <c r="A1092" s="291"/>
      <c r="J1092" s="291"/>
      <c r="K1092" s="291"/>
    </row>
    <row r="1093">
      <c r="A1093" s="291"/>
      <c r="J1093" s="291"/>
      <c r="K1093" s="291"/>
    </row>
    <row r="1094">
      <c r="A1094" s="291"/>
      <c r="J1094" s="291"/>
      <c r="K1094" s="291"/>
    </row>
    <row r="1095">
      <c r="A1095" s="291"/>
      <c r="J1095" s="291"/>
      <c r="K1095" s="291"/>
    </row>
    <row r="1096">
      <c r="A1096" s="291"/>
      <c r="J1096" s="291"/>
      <c r="K1096" s="291"/>
    </row>
    <row r="1097">
      <c r="A1097" s="291"/>
      <c r="J1097" s="291"/>
      <c r="K1097" s="291"/>
    </row>
    <row r="1098">
      <c r="A1098" s="291"/>
      <c r="J1098" s="291"/>
      <c r="K1098" s="291"/>
    </row>
    <row r="1099">
      <c r="A1099" s="291"/>
      <c r="J1099" s="291"/>
      <c r="K1099" s="291"/>
    </row>
    <row r="1100">
      <c r="A1100" s="291"/>
      <c r="J1100" s="291"/>
      <c r="K1100" s="291"/>
    </row>
    <row r="1101">
      <c r="A1101" s="291"/>
      <c r="J1101" s="291"/>
      <c r="K1101" s="291"/>
    </row>
    <row r="1102">
      <c r="A1102" s="291"/>
      <c r="J1102" s="291"/>
      <c r="K1102" s="291"/>
    </row>
    <row r="1103">
      <c r="A1103" s="291"/>
      <c r="J1103" s="291"/>
      <c r="K1103" s="291"/>
    </row>
    <row r="1104">
      <c r="A1104" s="291"/>
      <c r="J1104" s="291"/>
      <c r="K1104" s="291"/>
    </row>
    <row r="1105">
      <c r="A1105" s="291"/>
      <c r="J1105" s="291"/>
      <c r="K1105" s="291"/>
    </row>
    <row r="1106">
      <c r="A1106" s="291"/>
      <c r="J1106" s="291"/>
      <c r="K1106" s="291"/>
    </row>
    <row r="1107">
      <c r="A1107" s="291"/>
      <c r="J1107" s="291"/>
      <c r="K1107" s="291"/>
    </row>
    <row r="1108">
      <c r="A1108" s="291"/>
      <c r="J1108" s="291"/>
      <c r="K1108" s="291"/>
    </row>
    <row r="1109">
      <c r="A1109" s="291"/>
      <c r="J1109" s="291"/>
      <c r="K1109" s="291"/>
    </row>
    <row r="1110">
      <c r="A1110" s="291"/>
      <c r="J1110" s="291"/>
      <c r="K1110" s="291"/>
    </row>
    <row r="1111">
      <c r="A1111" s="291"/>
      <c r="J1111" s="291"/>
      <c r="K1111" s="291"/>
    </row>
    <row r="1112">
      <c r="A1112" s="291"/>
      <c r="J1112" s="291"/>
      <c r="K1112" s="291"/>
    </row>
    <row r="1113">
      <c r="A1113" s="291"/>
      <c r="J1113" s="291"/>
      <c r="K1113" s="291"/>
    </row>
    <row r="1114">
      <c r="A1114" s="291"/>
      <c r="J1114" s="291"/>
      <c r="K1114" s="291"/>
    </row>
    <row r="1115">
      <c r="A1115" s="291"/>
      <c r="J1115" s="291"/>
      <c r="K1115" s="291"/>
    </row>
    <row r="1116">
      <c r="A1116" s="291"/>
      <c r="J1116" s="291"/>
      <c r="K1116" s="291"/>
    </row>
    <row r="1117">
      <c r="A1117" s="291"/>
      <c r="J1117" s="291"/>
      <c r="K1117" s="291"/>
    </row>
    <row r="1118">
      <c r="A1118" s="291"/>
      <c r="J1118" s="291"/>
      <c r="K1118" s="291"/>
    </row>
    <row r="1119">
      <c r="A1119" s="291"/>
      <c r="J1119" s="291"/>
      <c r="K1119" s="291"/>
    </row>
    <row r="1120">
      <c r="A1120" s="291"/>
      <c r="J1120" s="291"/>
      <c r="K1120" s="291"/>
    </row>
    <row r="1121">
      <c r="A1121" s="291"/>
      <c r="J1121" s="291"/>
      <c r="K1121" s="291"/>
    </row>
    <row r="1122">
      <c r="A1122" s="291"/>
      <c r="J1122" s="291"/>
      <c r="K1122" s="291"/>
    </row>
    <row r="1123">
      <c r="A1123" s="291"/>
      <c r="J1123" s="291"/>
      <c r="K1123" s="291"/>
    </row>
    <row r="1124">
      <c r="A1124" s="291"/>
      <c r="J1124" s="291"/>
      <c r="K1124" s="291"/>
    </row>
    <row r="1125">
      <c r="A1125" s="291"/>
      <c r="J1125" s="291"/>
      <c r="K1125" s="291"/>
    </row>
    <row r="1126">
      <c r="A1126" s="291"/>
      <c r="J1126" s="291"/>
      <c r="K1126" s="291"/>
    </row>
    <row r="1127">
      <c r="A1127" s="291"/>
      <c r="J1127" s="291"/>
      <c r="K1127" s="291"/>
    </row>
    <row r="1128">
      <c r="A1128" s="291"/>
      <c r="J1128" s="291"/>
      <c r="K1128" s="291"/>
    </row>
    <row r="1129">
      <c r="A1129" s="291"/>
      <c r="J1129" s="291"/>
      <c r="K1129" s="291"/>
    </row>
    <row r="1130">
      <c r="A1130" s="291"/>
      <c r="J1130" s="291"/>
      <c r="K1130" s="291"/>
    </row>
    <row r="1131">
      <c r="A1131" s="291"/>
      <c r="J1131" s="291"/>
      <c r="K1131" s="291"/>
    </row>
    <row r="1132">
      <c r="A1132" s="291"/>
      <c r="J1132" s="291"/>
      <c r="K1132" s="291"/>
    </row>
    <row r="1133">
      <c r="A1133" s="291"/>
      <c r="J1133" s="291"/>
      <c r="K1133" s="291"/>
    </row>
    <row r="1134">
      <c r="A1134" s="291"/>
      <c r="J1134" s="291"/>
      <c r="K1134" s="291"/>
    </row>
    <row r="1135">
      <c r="A1135" s="291"/>
      <c r="J1135" s="291"/>
      <c r="K1135" s="291"/>
    </row>
    <row r="1136">
      <c r="A1136" s="291"/>
      <c r="J1136" s="291"/>
      <c r="K1136" s="291"/>
    </row>
    <row r="1137">
      <c r="A1137" s="291"/>
      <c r="J1137" s="291"/>
      <c r="K1137" s="291"/>
    </row>
    <row r="1138">
      <c r="A1138" s="291"/>
      <c r="J1138" s="291"/>
      <c r="K1138" s="291"/>
    </row>
    <row r="1139">
      <c r="A1139" s="291"/>
      <c r="J1139" s="291"/>
      <c r="K1139" s="291"/>
    </row>
    <row r="1140">
      <c r="A1140" s="291"/>
      <c r="J1140" s="291"/>
      <c r="K1140" s="291"/>
    </row>
    <row r="1141">
      <c r="A1141" s="291"/>
      <c r="J1141" s="291"/>
      <c r="K1141" s="291"/>
    </row>
    <row r="1142">
      <c r="A1142" s="291"/>
      <c r="J1142" s="291"/>
      <c r="K1142" s="291"/>
    </row>
    <row r="1143">
      <c r="A1143" s="291"/>
      <c r="J1143" s="291"/>
      <c r="K1143" s="291"/>
    </row>
    <row r="1144">
      <c r="A1144" s="291"/>
      <c r="J1144" s="291"/>
      <c r="K1144" s="291"/>
    </row>
    <row r="1145">
      <c r="A1145" s="291"/>
      <c r="J1145" s="291"/>
      <c r="K1145" s="291"/>
    </row>
    <row r="1146">
      <c r="A1146" s="291"/>
      <c r="J1146" s="291"/>
      <c r="K1146" s="291"/>
    </row>
    <row r="1147">
      <c r="A1147" s="291"/>
      <c r="J1147" s="291"/>
      <c r="K1147" s="291"/>
    </row>
    <row r="1148">
      <c r="A1148" s="291"/>
      <c r="J1148" s="291"/>
      <c r="K1148" s="291"/>
    </row>
    <row r="1149">
      <c r="A1149" s="291"/>
      <c r="J1149" s="291"/>
      <c r="K1149" s="291"/>
    </row>
    <row r="1150">
      <c r="A1150" s="291"/>
      <c r="J1150" s="291"/>
      <c r="K1150" s="291"/>
    </row>
    <row r="1151">
      <c r="A1151" s="291"/>
      <c r="J1151" s="291"/>
      <c r="K1151" s="291"/>
    </row>
    <row r="1152">
      <c r="A1152" s="291"/>
      <c r="J1152" s="291"/>
      <c r="K1152" s="291"/>
    </row>
    <row r="1153">
      <c r="A1153" s="291"/>
      <c r="J1153" s="291"/>
      <c r="K1153" s="291"/>
    </row>
    <row r="1154">
      <c r="A1154" s="291"/>
      <c r="J1154" s="291"/>
      <c r="K1154" s="291"/>
    </row>
    <row r="1155">
      <c r="A1155" s="291"/>
      <c r="J1155" s="291"/>
      <c r="K1155" s="291"/>
    </row>
    <row r="1156">
      <c r="A1156" s="291"/>
      <c r="J1156" s="291"/>
      <c r="K1156" s="291"/>
    </row>
    <row r="1157">
      <c r="A1157" s="291"/>
      <c r="J1157" s="291"/>
      <c r="K1157" s="291"/>
    </row>
    <row r="1158">
      <c r="A1158" s="291"/>
      <c r="J1158" s="291"/>
      <c r="K1158" s="291"/>
    </row>
    <row r="1159">
      <c r="A1159" s="291"/>
      <c r="J1159" s="291"/>
      <c r="K1159" s="291"/>
    </row>
  </sheetData>
  <mergeCells count="1091">
    <mergeCell ref="C352:C356"/>
    <mergeCell ref="D352:D356"/>
    <mergeCell ref="C359:C364"/>
    <mergeCell ref="D359:D364"/>
    <mergeCell ref="E359:E364"/>
    <mergeCell ref="F359:F364"/>
    <mergeCell ref="G359:G364"/>
    <mergeCell ref="B359:B364"/>
    <mergeCell ref="B365:B368"/>
    <mergeCell ref="C365:C368"/>
    <mergeCell ref="D365:D368"/>
    <mergeCell ref="E365:E368"/>
    <mergeCell ref="F365:F368"/>
    <mergeCell ref="G365:G368"/>
    <mergeCell ref="E317:E318"/>
    <mergeCell ref="F317:F318"/>
    <mergeCell ref="B312:B316"/>
    <mergeCell ref="C312:C316"/>
    <mergeCell ref="D312:D316"/>
    <mergeCell ref="E312:E316"/>
    <mergeCell ref="F312:F316"/>
    <mergeCell ref="G312:G316"/>
    <mergeCell ref="B317:B318"/>
    <mergeCell ref="G317:G318"/>
    <mergeCell ref="C317:C318"/>
    <mergeCell ref="D317:D318"/>
    <mergeCell ref="C319:C321"/>
    <mergeCell ref="D319:D321"/>
    <mergeCell ref="E319:E321"/>
    <mergeCell ref="F319:F321"/>
    <mergeCell ref="G319:G321"/>
    <mergeCell ref="B319:B321"/>
    <mergeCell ref="B322:B324"/>
    <mergeCell ref="C322:C324"/>
    <mergeCell ref="D322:D324"/>
    <mergeCell ref="E322:E324"/>
    <mergeCell ref="F322:F324"/>
    <mergeCell ref="G322:G324"/>
    <mergeCell ref="E327:E328"/>
    <mergeCell ref="F327:F328"/>
    <mergeCell ref="B325:B326"/>
    <mergeCell ref="C325:C326"/>
    <mergeCell ref="D325:D326"/>
    <mergeCell ref="E325:E326"/>
    <mergeCell ref="F325:F326"/>
    <mergeCell ref="G325:G326"/>
    <mergeCell ref="B327:B328"/>
    <mergeCell ref="G327:G328"/>
    <mergeCell ref="C379:C380"/>
    <mergeCell ref="D379:D380"/>
    <mergeCell ref="G379:G380"/>
    <mergeCell ref="C327:C328"/>
    <mergeCell ref="D327:D328"/>
    <mergeCell ref="C329:C331"/>
    <mergeCell ref="D329:D331"/>
    <mergeCell ref="E329:E331"/>
    <mergeCell ref="F329:F331"/>
    <mergeCell ref="G329:G331"/>
    <mergeCell ref="B329:B331"/>
    <mergeCell ref="B332:B338"/>
    <mergeCell ref="C332:C338"/>
    <mergeCell ref="D332:D338"/>
    <mergeCell ref="E332:E338"/>
    <mergeCell ref="F332:F338"/>
    <mergeCell ref="G332:G338"/>
    <mergeCell ref="E341:E342"/>
    <mergeCell ref="F341:F342"/>
    <mergeCell ref="B339:B340"/>
    <mergeCell ref="C339:C340"/>
    <mergeCell ref="D339:D340"/>
    <mergeCell ref="E339:E340"/>
    <mergeCell ref="F339:F340"/>
    <mergeCell ref="G339:G340"/>
    <mergeCell ref="B341:B342"/>
    <mergeCell ref="G341:G342"/>
    <mergeCell ref="C341:C342"/>
    <mergeCell ref="D341:D342"/>
    <mergeCell ref="C343:C347"/>
    <mergeCell ref="D343:D347"/>
    <mergeCell ref="E343:E347"/>
    <mergeCell ref="F343:F347"/>
    <mergeCell ref="G343:G347"/>
    <mergeCell ref="B343:B347"/>
    <mergeCell ref="B348:B349"/>
    <mergeCell ref="C348:C349"/>
    <mergeCell ref="D348:D349"/>
    <mergeCell ref="E348:E349"/>
    <mergeCell ref="F348:F349"/>
    <mergeCell ref="G348:G349"/>
    <mergeCell ref="E352:E356"/>
    <mergeCell ref="F352:F356"/>
    <mergeCell ref="B350:B351"/>
    <mergeCell ref="C350:C351"/>
    <mergeCell ref="D350:D351"/>
    <mergeCell ref="E350:E351"/>
    <mergeCell ref="F350:F351"/>
    <mergeCell ref="G350:G351"/>
    <mergeCell ref="B352:B356"/>
    <mergeCell ref="G352:G356"/>
    <mergeCell ref="E371:E372"/>
    <mergeCell ref="F371:F372"/>
    <mergeCell ref="B369:B370"/>
    <mergeCell ref="C369:C370"/>
    <mergeCell ref="D369:D370"/>
    <mergeCell ref="E369:E370"/>
    <mergeCell ref="F369:F370"/>
    <mergeCell ref="G369:G370"/>
    <mergeCell ref="B371:B372"/>
    <mergeCell ref="G371:G372"/>
    <mergeCell ref="C371:C372"/>
    <mergeCell ref="D371:D372"/>
    <mergeCell ref="C373:C374"/>
    <mergeCell ref="D373:D374"/>
    <mergeCell ref="E373:E374"/>
    <mergeCell ref="F373:F374"/>
    <mergeCell ref="G373:G374"/>
    <mergeCell ref="B373:B374"/>
    <mergeCell ref="B375:B376"/>
    <mergeCell ref="C375:C376"/>
    <mergeCell ref="D375:D376"/>
    <mergeCell ref="E375:E376"/>
    <mergeCell ref="F375:F376"/>
    <mergeCell ref="G375:G376"/>
    <mergeCell ref="E393:E394"/>
    <mergeCell ref="F393:F394"/>
    <mergeCell ref="B391:B392"/>
    <mergeCell ref="C391:C392"/>
    <mergeCell ref="D391:D392"/>
    <mergeCell ref="E391:E392"/>
    <mergeCell ref="F391:F392"/>
    <mergeCell ref="G391:G392"/>
    <mergeCell ref="B393:B394"/>
    <mergeCell ref="G393:G394"/>
    <mergeCell ref="E425:E434"/>
    <mergeCell ref="F425:F434"/>
    <mergeCell ref="B420:B424"/>
    <mergeCell ref="C420:C424"/>
    <mergeCell ref="D420:D424"/>
    <mergeCell ref="E420:E424"/>
    <mergeCell ref="F420:F424"/>
    <mergeCell ref="G420:G424"/>
    <mergeCell ref="B425:B434"/>
    <mergeCell ref="G425:G434"/>
    <mergeCell ref="E379:E380"/>
    <mergeCell ref="F379:F380"/>
    <mergeCell ref="B377:B378"/>
    <mergeCell ref="C377:C378"/>
    <mergeCell ref="D377:D378"/>
    <mergeCell ref="E377:E378"/>
    <mergeCell ref="F377:F378"/>
    <mergeCell ref="G377:G378"/>
    <mergeCell ref="B379:B380"/>
    <mergeCell ref="E383:E384"/>
    <mergeCell ref="F383:F384"/>
    <mergeCell ref="E385:E386"/>
    <mergeCell ref="F385:F386"/>
    <mergeCell ref="G385:G386"/>
    <mergeCell ref="E387:E388"/>
    <mergeCell ref="F387:F388"/>
    <mergeCell ref="G387:G388"/>
    <mergeCell ref="B381:B382"/>
    <mergeCell ref="C381:C382"/>
    <mergeCell ref="D381:D382"/>
    <mergeCell ref="E381:E382"/>
    <mergeCell ref="F381:F382"/>
    <mergeCell ref="G381:G382"/>
    <mergeCell ref="B383:B384"/>
    <mergeCell ref="G383:G384"/>
    <mergeCell ref="B387:B388"/>
    <mergeCell ref="B389:B390"/>
    <mergeCell ref="C389:C390"/>
    <mergeCell ref="D389:D390"/>
    <mergeCell ref="E389:E390"/>
    <mergeCell ref="F389:F390"/>
    <mergeCell ref="G389:G390"/>
    <mergeCell ref="C383:C384"/>
    <mergeCell ref="D383:D384"/>
    <mergeCell ref="B385:B386"/>
    <mergeCell ref="C385:C386"/>
    <mergeCell ref="D385:D386"/>
    <mergeCell ref="C387:C388"/>
    <mergeCell ref="D387:D388"/>
    <mergeCell ref="C442:C443"/>
    <mergeCell ref="D442:D443"/>
    <mergeCell ref="G442:G443"/>
    <mergeCell ref="C393:C394"/>
    <mergeCell ref="D393:D394"/>
    <mergeCell ref="C395:C396"/>
    <mergeCell ref="D395:D396"/>
    <mergeCell ref="E395:E396"/>
    <mergeCell ref="F395:F396"/>
    <mergeCell ref="G395:G396"/>
    <mergeCell ref="B395:B396"/>
    <mergeCell ref="B397:B398"/>
    <mergeCell ref="C397:C398"/>
    <mergeCell ref="D397:D398"/>
    <mergeCell ref="E397:E398"/>
    <mergeCell ref="F397:F398"/>
    <mergeCell ref="G397:G398"/>
    <mergeCell ref="E401:E402"/>
    <mergeCell ref="F401:F402"/>
    <mergeCell ref="B399:B400"/>
    <mergeCell ref="C399:C400"/>
    <mergeCell ref="D399:D400"/>
    <mergeCell ref="E399:E400"/>
    <mergeCell ref="F399:F400"/>
    <mergeCell ref="G399:G400"/>
    <mergeCell ref="B401:B402"/>
    <mergeCell ref="G401:G402"/>
    <mergeCell ref="C401:C402"/>
    <mergeCell ref="D401:D402"/>
    <mergeCell ref="C403:C404"/>
    <mergeCell ref="D403:D404"/>
    <mergeCell ref="E403:E404"/>
    <mergeCell ref="F403:F404"/>
    <mergeCell ref="G403:G404"/>
    <mergeCell ref="B403:B404"/>
    <mergeCell ref="B405:B406"/>
    <mergeCell ref="C405:C406"/>
    <mergeCell ref="D405:D406"/>
    <mergeCell ref="E405:E406"/>
    <mergeCell ref="F405:F406"/>
    <mergeCell ref="G405:G406"/>
    <mergeCell ref="E409:E410"/>
    <mergeCell ref="F409:F410"/>
    <mergeCell ref="B407:B408"/>
    <mergeCell ref="C407:C408"/>
    <mergeCell ref="D407:D408"/>
    <mergeCell ref="E407:E408"/>
    <mergeCell ref="F407:F408"/>
    <mergeCell ref="G407:G408"/>
    <mergeCell ref="B409:B410"/>
    <mergeCell ref="G409:G410"/>
    <mergeCell ref="C409:C410"/>
    <mergeCell ref="D409:D410"/>
    <mergeCell ref="C412:C413"/>
    <mergeCell ref="D412:D413"/>
    <mergeCell ref="E412:E413"/>
    <mergeCell ref="F412:F413"/>
    <mergeCell ref="G412:G413"/>
    <mergeCell ref="B412:B413"/>
    <mergeCell ref="B414:B418"/>
    <mergeCell ref="C414:C418"/>
    <mergeCell ref="D414:D418"/>
    <mergeCell ref="E414:E418"/>
    <mergeCell ref="F414:F418"/>
    <mergeCell ref="G414:G418"/>
    <mergeCell ref="C425:C434"/>
    <mergeCell ref="D425:D434"/>
    <mergeCell ref="C435:C436"/>
    <mergeCell ref="D435:D436"/>
    <mergeCell ref="E435:E436"/>
    <mergeCell ref="F435:F436"/>
    <mergeCell ref="G435:G436"/>
    <mergeCell ref="B435:B436"/>
    <mergeCell ref="B437:B438"/>
    <mergeCell ref="C437:C438"/>
    <mergeCell ref="D437:D438"/>
    <mergeCell ref="E437:E438"/>
    <mergeCell ref="F437:F438"/>
    <mergeCell ref="G437:G438"/>
    <mergeCell ref="E457:E458"/>
    <mergeCell ref="F457:F458"/>
    <mergeCell ref="B455:B456"/>
    <mergeCell ref="C455:C456"/>
    <mergeCell ref="D455:D456"/>
    <mergeCell ref="E455:E456"/>
    <mergeCell ref="F455:F456"/>
    <mergeCell ref="G455:G456"/>
    <mergeCell ref="B457:B458"/>
    <mergeCell ref="G457:G458"/>
    <mergeCell ref="C471:C473"/>
    <mergeCell ref="D471:D473"/>
    <mergeCell ref="C477:C478"/>
    <mergeCell ref="D477:D478"/>
    <mergeCell ref="E477:E478"/>
    <mergeCell ref="F477:F478"/>
    <mergeCell ref="G477:G478"/>
    <mergeCell ref="B477:B478"/>
    <mergeCell ref="B481:B501"/>
    <mergeCell ref="C481:C501"/>
    <mergeCell ref="D481:D501"/>
    <mergeCell ref="E481:E501"/>
    <mergeCell ref="F481:F501"/>
    <mergeCell ref="G481:G501"/>
    <mergeCell ref="E442:E443"/>
    <mergeCell ref="F442:F443"/>
    <mergeCell ref="B439:B441"/>
    <mergeCell ref="C439:C441"/>
    <mergeCell ref="D439:D441"/>
    <mergeCell ref="E439:E441"/>
    <mergeCell ref="F439:F441"/>
    <mergeCell ref="G439:G441"/>
    <mergeCell ref="B442:B443"/>
    <mergeCell ref="E446:E448"/>
    <mergeCell ref="F446:F448"/>
    <mergeCell ref="E449:E450"/>
    <mergeCell ref="F449:F450"/>
    <mergeCell ref="G449:G450"/>
    <mergeCell ref="E451:E452"/>
    <mergeCell ref="F451:F452"/>
    <mergeCell ref="G451:G452"/>
    <mergeCell ref="B444:B445"/>
    <mergeCell ref="C444:C445"/>
    <mergeCell ref="D444:D445"/>
    <mergeCell ref="E444:E445"/>
    <mergeCell ref="F444:F445"/>
    <mergeCell ref="G444:G445"/>
    <mergeCell ref="B446:B448"/>
    <mergeCell ref="G446:G448"/>
    <mergeCell ref="B451:B452"/>
    <mergeCell ref="B453:B454"/>
    <mergeCell ref="C453:C454"/>
    <mergeCell ref="D453:D454"/>
    <mergeCell ref="E453:E454"/>
    <mergeCell ref="F453:F454"/>
    <mergeCell ref="G453:G454"/>
    <mergeCell ref="C446:C448"/>
    <mergeCell ref="D446:D448"/>
    <mergeCell ref="B449:B450"/>
    <mergeCell ref="C449:C450"/>
    <mergeCell ref="D449:D450"/>
    <mergeCell ref="C451:C452"/>
    <mergeCell ref="D451:D452"/>
    <mergeCell ref="C554:C555"/>
    <mergeCell ref="D554:D555"/>
    <mergeCell ref="G554:G555"/>
    <mergeCell ref="C457:C458"/>
    <mergeCell ref="D457:D458"/>
    <mergeCell ref="C465:C466"/>
    <mergeCell ref="D465:D466"/>
    <mergeCell ref="E465:E466"/>
    <mergeCell ref="F465:F466"/>
    <mergeCell ref="G465:G466"/>
    <mergeCell ref="B465:B466"/>
    <mergeCell ref="B467:B468"/>
    <mergeCell ref="C467:C468"/>
    <mergeCell ref="D467:D468"/>
    <mergeCell ref="E467:E468"/>
    <mergeCell ref="F467:F468"/>
    <mergeCell ref="G467:G468"/>
    <mergeCell ref="E471:E473"/>
    <mergeCell ref="F471:F473"/>
    <mergeCell ref="B469:B470"/>
    <mergeCell ref="C469:C470"/>
    <mergeCell ref="D469:D470"/>
    <mergeCell ref="E469:E470"/>
    <mergeCell ref="F469:F470"/>
    <mergeCell ref="G469:G470"/>
    <mergeCell ref="B471:B473"/>
    <mergeCell ref="G471:G473"/>
    <mergeCell ref="E507:E512"/>
    <mergeCell ref="F507:F512"/>
    <mergeCell ref="B502:B505"/>
    <mergeCell ref="C502:C505"/>
    <mergeCell ref="D502:D505"/>
    <mergeCell ref="E502:E505"/>
    <mergeCell ref="F502:F505"/>
    <mergeCell ref="G502:G505"/>
    <mergeCell ref="B507:B512"/>
    <mergeCell ref="G507:G512"/>
    <mergeCell ref="C507:C512"/>
    <mergeCell ref="D507:D512"/>
    <mergeCell ref="C515:C516"/>
    <mergeCell ref="D515:D516"/>
    <mergeCell ref="E515:E516"/>
    <mergeCell ref="F515:F516"/>
    <mergeCell ref="G515:G516"/>
    <mergeCell ref="B515:B516"/>
    <mergeCell ref="B517:B526"/>
    <mergeCell ref="C517:C526"/>
    <mergeCell ref="D517:D526"/>
    <mergeCell ref="E517:E526"/>
    <mergeCell ref="F517:F526"/>
    <mergeCell ref="G517:G526"/>
    <mergeCell ref="E529:E535"/>
    <mergeCell ref="F529:F535"/>
    <mergeCell ref="B527:B528"/>
    <mergeCell ref="C527:C528"/>
    <mergeCell ref="D527:D528"/>
    <mergeCell ref="E527:E528"/>
    <mergeCell ref="F527:F528"/>
    <mergeCell ref="G527:G528"/>
    <mergeCell ref="B529:B535"/>
    <mergeCell ref="G529:G535"/>
    <mergeCell ref="C529:C535"/>
    <mergeCell ref="D529:D535"/>
    <mergeCell ref="C537:C541"/>
    <mergeCell ref="D537:D541"/>
    <mergeCell ref="E537:E541"/>
    <mergeCell ref="F537:F541"/>
    <mergeCell ref="G537:G541"/>
    <mergeCell ref="B537:B541"/>
    <mergeCell ref="B542:B550"/>
    <mergeCell ref="C542:C550"/>
    <mergeCell ref="D542:D550"/>
    <mergeCell ref="E542:E550"/>
    <mergeCell ref="F542:F550"/>
    <mergeCell ref="G542:G550"/>
    <mergeCell ref="E554:E555"/>
    <mergeCell ref="F554:F555"/>
    <mergeCell ref="B551:B552"/>
    <mergeCell ref="C551:C552"/>
    <mergeCell ref="D551:D552"/>
    <mergeCell ref="E551:E552"/>
    <mergeCell ref="F551:F552"/>
    <mergeCell ref="G551:G552"/>
    <mergeCell ref="B554:B555"/>
    <mergeCell ref="E558:E559"/>
    <mergeCell ref="F558:F559"/>
    <mergeCell ref="B556:B557"/>
    <mergeCell ref="C556:C557"/>
    <mergeCell ref="D556:D557"/>
    <mergeCell ref="E556:E557"/>
    <mergeCell ref="F556:F557"/>
    <mergeCell ref="G556:G557"/>
    <mergeCell ref="B558:B559"/>
    <mergeCell ref="G558:G559"/>
    <mergeCell ref="C558:C559"/>
    <mergeCell ref="D558:D559"/>
    <mergeCell ref="C565:C567"/>
    <mergeCell ref="D565:D567"/>
    <mergeCell ref="E565:E567"/>
    <mergeCell ref="F565:F567"/>
    <mergeCell ref="G565:G567"/>
    <mergeCell ref="B575:B576"/>
    <mergeCell ref="C575:C576"/>
    <mergeCell ref="D575:D576"/>
    <mergeCell ref="E575:E576"/>
    <mergeCell ref="F575:F576"/>
    <mergeCell ref="G575:G576"/>
    <mergeCell ref="B565:B567"/>
    <mergeCell ref="B573:B574"/>
    <mergeCell ref="C573:C574"/>
    <mergeCell ref="D573:D574"/>
    <mergeCell ref="E573:E574"/>
    <mergeCell ref="F573:F574"/>
    <mergeCell ref="G573:G574"/>
    <mergeCell ref="F5:F10"/>
    <mergeCell ref="G5:G10"/>
    <mergeCell ref="F11:F12"/>
    <mergeCell ref="G11:G12"/>
    <mergeCell ref="A1:B3"/>
    <mergeCell ref="C1:F3"/>
    <mergeCell ref="H1:M1"/>
    <mergeCell ref="K2:M2"/>
    <mergeCell ref="K3:M3"/>
    <mergeCell ref="B5:B10"/>
    <mergeCell ref="C5:C10"/>
    <mergeCell ref="C13:C15"/>
    <mergeCell ref="D13:D15"/>
    <mergeCell ref="F13:F15"/>
    <mergeCell ref="G13:G15"/>
    <mergeCell ref="D5:D10"/>
    <mergeCell ref="E5:E10"/>
    <mergeCell ref="B11:B12"/>
    <mergeCell ref="C11:C12"/>
    <mergeCell ref="D11:D12"/>
    <mergeCell ref="E11:E12"/>
    <mergeCell ref="E13:E15"/>
    <mergeCell ref="B13:B15"/>
    <mergeCell ref="B16:B18"/>
    <mergeCell ref="C16:C18"/>
    <mergeCell ref="D16:D18"/>
    <mergeCell ref="E16:E18"/>
    <mergeCell ref="F16:F18"/>
    <mergeCell ref="G16:G18"/>
    <mergeCell ref="E25:E26"/>
    <mergeCell ref="F25:F26"/>
    <mergeCell ref="E27:E28"/>
    <mergeCell ref="F27:F28"/>
    <mergeCell ref="G27:G28"/>
    <mergeCell ref="B19:B20"/>
    <mergeCell ref="C19:C20"/>
    <mergeCell ref="D19:D20"/>
    <mergeCell ref="E19:E20"/>
    <mergeCell ref="F19:F20"/>
    <mergeCell ref="G19:G20"/>
    <mergeCell ref="B25:B26"/>
    <mergeCell ref="G25:G26"/>
    <mergeCell ref="B36:B37"/>
    <mergeCell ref="C36:C37"/>
    <mergeCell ref="D36:D37"/>
    <mergeCell ref="E36:E37"/>
    <mergeCell ref="F36:F37"/>
    <mergeCell ref="G36:G37"/>
    <mergeCell ref="B38:B40"/>
    <mergeCell ref="G38:G40"/>
    <mergeCell ref="C38:C40"/>
    <mergeCell ref="D38:D40"/>
    <mergeCell ref="B41:B42"/>
    <mergeCell ref="C41:C42"/>
    <mergeCell ref="D41:D42"/>
    <mergeCell ref="B43:B45"/>
    <mergeCell ref="C43:C45"/>
    <mergeCell ref="C60:C61"/>
    <mergeCell ref="D60:D61"/>
    <mergeCell ref="C62:C63"/>
    <mergeCell ref="D62:D63"/>
    <mergeCell ref="E62:E63"/>
    <mergeCell ref="F62:F63"/>
    <mergeCell ref="G62:G63"/>
    <mergeCell ref="B62:B63"/>
    <mergeCell ref="B64:B69"/>
    <mergeCell ref="C64:C69"/>
    <mergeCell ref="D64:D69"/>
    <mergeCell ref="E64:E69"/>
    <mergeCell ref="F64:F69"/>
    <mergeCell ref="G64:G69"/>
    <mergeCell ref="E74:E75"/>
    <mergeCell ref="F74:F75"/>
    <mergeCell ref="B70:B73"/>
    <mergeCell ref="C70:C73"/>
    <mergeCell ref="D70:D73"/>
    <mergeCell ref="E70:E73"/>
    <mergeCell ref="F70:F73"/>
    <mergeCell ref="G70:G73"/>
    <mergeCell ref="B74:B75"/>
    <mergeCell ref="G74:G75"/>
    <mergeCell ref="C74:C75"/>
    <mergeCell ref="D74:D75"/>
    <mergeCell ref="C76:C77"/>
    <mergeCell ref="D76:D77"/>
    <mergeCell ref="E76:E77"/>
    <mergeCell ref="F76:F77"/>
    <mergeCell ref="G76:G77"/>
    <mergeCell ref="B76:B77"/>
    <mergeCell ref="B78:B79"/>
    <mergeCell ref="C78:C79"/>
    <mergeCell ref="D78:D79"/>
    <mergeCell ref="E78:E79"/>
    <mergeCell ref="F78:F79"/>
    <mergeCell ref="G78:G79"/>
    <mergeCell ref="E82:E83"/>
    <mergeCell ref="F82:F83"/>
    <mergeCell ref="B80:B81"/>
    <mergeCell ref="C80:C81"/>
    <mergeCell ref="D80:D81"/>
    <mergeCell ref="E80:E81"/>
    <mergeCell ref="F80:F81"/>
    <mergeCell ref="G80:G81"/>
    <mergeCell ref="B82:B83"/>
    <mergeCell ref="G82:G83"/>
    <mergeCell ref="C82:C83"/>
    <mergeCell ref="D82:D83"/>
    <mergeCell ref="C84:C88"/>
    <mergeCell ref="D84:D88"/>
    <mergeCell ref="E84:E88"/>
    <mergeCell ref="F84:F88"/>
    <mergeCell ref="G84:G88"/>
    <mergeCell ref="B84:B88"/>
    <mergeCell ref="B89:B91"/>
    <mergeCell ref="C89:C91"/>
    <mergeCell ref="D89:D91"/>
    <mergeCell ref="E89:E91"/>
    <mergeCell ref="F89:F91"/>
    <mergeCell ref="G89:G91"/>
    <mergeCell ref="E60:E61"/>
    <mergeCell ref="F60:F61"/>
    <mergeCell ref="B50:B59"/>
    <mergeCell ref="C50:C59"/>
    <mergeCell ref="D50:D59"/>
    <mergeCell ref="E50:E59"/>
    <mergeCell ref="F50:F59"/>
    <mergeCell ref="G50:G59"/>
    <mergeCell ref="B60:B61"/>
    <mergeCell ref="G60:G61"/>
    <mergeCell ref="D30:D33"/>
    <mergeCell ref="E30:E33"/>
    <mergeCell ref="F30:F33"/>
    <mergeCell ref="G30:G33"/>
    <mergeCell ref="B34:B35"/>
    <mergeCell ref="C34:C35"/>
    <mergeCell ref="D34:D35"/>
    <mergeCell ref="E34:E35"/>
    <mergeCell ref="F34:F35"/>
    <mergeCell ref="G34:G35"/>
    <mergeCell ref="C25:C26"/>
    <mergeCell ref="D25:D26"/>
    <mergeCell ref="B27:B28"/>
    <mergeCell ref="C27:C28"/>
    <mergeCell ref="D27:D28"/>
    <mergeCell ref="B30:B33"/>
    <mergeCell ref="C30:C33"/>
    <mergeCell ref="E38:E40"/>
    <mergeCell ref="F38:F40"/>
    <mergeCell ref="E41:E42"/>
    <mergeCell ref="F41:F42"/>
    <mergeCell ref="G41:G42"/>
    <mergeCell ref="D43:D45"/>
    <mergeCell ref="E43:E45"/>
    <mergeCell ref="F43:F45"/>
    <mergeCell ref="G43:G45"/>
    <mergeCell ref="B46:B49"/>
    <mergeCell ref="C46:C49"/>
    <mergeCell ref="D46:D49"/>
    <mergeCell ref="E46:E49"/>
    <mergeCell ref="F46:F49"/>
    <mergeCell ref="G46:G49"/>
    <mergeCell ref="C132:C133"/>
    <mergeCell ref="D132:D133"/>
    <mergeCell ref="G132:G133"/>
    <mergeCell ref="E94:E98"/>
    <mergeCell ref="F94:F98"/>
    <mergeCell ref="B92:B93"/>
    <mergeCell ref="C92:C93"/>
    <mergeCell ref="D92:D93"/>
    <mergeCell ref="E92:E93"/>
    <mergeCell ref="F92:F93"/>
    <mergeCell ref="G92:G93"/>
    <mergeCell ref="B94:B98"/>
    <mergeCell ref="G94:G98"/>
    <mergeCell ref="C94:C98"/>
    <mergeCell ref="D94:D98"/>
    <mergeCell ref="C99:C100"/>
    <mergeCell ref="D99:D100"/>
    <mergeCell ref="E99:E100"/>
    <mergeCell ref="F99:F100"/>
    <mergeCell ref="G99:G100"/>
    <mergeCell ref="B99:B100"/>
    <mergeCell ref="B102:B103"/>
    <mergeCell ref="C102:C103"/>
    <mergeCell ref="D102:D103"/>
    <mergeCell ref="E102:E103"/>
    <mergeCell ref="F102:F103"/>
    <mergeCell ref="G102:G103"/>
    <mergeCell ref="E106:E107"/>
    <mergeCell ref="F106:F107"/>
    <mergeCell ref="B104:B105"/>
    <mergeCell ref="C104:C105"/>
    <mergeCell ref="D104:D105"/>
    <mergeCell ref="E104:E105"/>
    <mergeCell ref="F104:F105"/>
    <mergeCell ref="G104:G105"/>
    <mergeCell ref="B106:B107"/>
    <mergeCell ref="G106:G107"/>
    <mergeCell ref="C106:C107"/>
    <mergeCell ref="D106:D107"/>
    <mergeCell ref="C108:C109"/>
    <mergeCell ref="D108:D109"/>
    <mergeCell ref="E108:E109"/>
    <mergeCell ref="F108:F109"/>
    <mergeCell ref="G108:G109"/>
    <mergeCell ref="B108:B109"/>
    <mergeCell ref="B111:B112"/>
    <mergeCell ref="C111:C112"/>
    <mergeCell ref="D111:D112"/>
    <mergeCell ref="E111:E112"/>
    <mergeCell ref="F111:F112"/>
    <mergeCell ref="G111:G112"/>
    <mergeCell ref="E119:E121"/>
    <mergeCell ref="F119:F121"/>
    <mergeCell ref="B113:B118"/>
    <mergeCell ref="C113:C118"/>
    <mergeCell ref="D113:D118"/>
    <mergeCell ref="E113:E118"/>
    <mergeCell ref="F113:F118"/>
    <mergeCell ref="G113:G118"/>
    <mergeCell ref="B119:B121"/>
    <mergeCell ref="G119:G121"/>
    <mergeCell ref="C119:C121"/>
    <mergeCell ref="D119:D121"/>
    <mergeCell ref="C122:C123"/>
    <mergeCell ref="D122:D123"/>
    <mergeCell ref="E122:E123"/>
    <mergeCell ref="F122:F123"/>
    <mergeCell ref="G122:G123"/>
    <mergeCell ref="B122:B123"/>
    <mergeCell ref="B124:B127"/>
    <mergeCell ref="C124:C127"/>
    <mergeCell ref="D124:D127"/>
    <mergeCell ref="E124:E127"/>
    <mergeCell ref="F124:F127"/>
    <mergeCell ref="G124:G127"/>
    <mergeCell ref="E147:E150"/>
    <mergeCell ref="F147:F150"/>
    <mergeCell ref="B145:B146"/>
    <mergeCell ref="C145:C146"/>
    <mergeCell ref="D145:D146"/>
    <mergeCell ref="E145:E146"/>
    <mergeCell ref="F145:F146"/>
    <mergeCell ref="G145:G146"/>
    <mergeCell ref="B147:B150"/>
    <mergeCell ref="G147:G150"/>
    <mergeCell ref="C165:C170"/>
    <mergeCell ref="D165:D170"/>
    <mergeCell ref="C174:C175"/>
    <mergeCell ref="D174:D175"/>
    <mergeCell ref="E174:E175"/>
    <mergeCell ref="F174:F175"/>
    <mergeCell ref="G174:G175"/>
    <mergeCell ref="B174:B175"/>
    <mergeCell ref="B176:B177"/>
    <mergeCell ref="C176:C177"/>
    <mergeCell ref="D176:D177"/>
    <mergeCell ref="E176:E177"/>
    <mergeCell ref="F176:F177"/>
    <mergeCell ref="G176:G177"/>
    <mergeCell ref="E132:E133"/>
    <mergeCell ref="F132:F133"/>
    <mergeCell ref="B128:B129"/>
    <mergeCell ref="C128:C129"/>
    <mergeCell ref="D128:D129"/>
    <mergeCell ref="E128:E129"/>
    <mergeCell ref="F128:F129"/>
    <mergeCell ref="G128:G129"/>
    <mergeCell ref="B132:B133"/>
    <mergeCell ref="E138:E139"/>
    <mergeCell ref="F138:F139"/>
    <mergeCell ref="B135:B136"/>
    <mergeCell ref="C135:C136"/>
    <mergeCell ref="D135:D136"/>
    <mergeCell ref="E135:E136"/>
    <mergeCell ref="F135:F136"/>
    <mergeCell ref="G135:G136"/>
    <mergeCell ref="B138:B139"/>
    <mergeCell ref="G138:G139"/>
    <mergeCell ref="C138:C139"/>
    <mergeCell ref="D138:D139"/>
    <mergeCell ref="C141:C142"/>
    <mergeCell ref="D141:D142"/>
    <mergeCell ref="E141:E142"/>
    <mergeCell ref="F141:F142"/>
    <mergeCell ref="G141:G142"/>
    <mergeCell ref="B141:B142"/>
    <mergeCell ref="B143:B144"/>
    <mergeCell ref="C143:C144"/>
    <mergeCell ref="D143:D144"/>
    <mergeCell ref="E143:E144"/>
    <mergeCell ref="F143:F144"/>
    <mergeCell ref="G143:G144"/>
    <mergeCell ref="C191:C196"/>
    <mergeCell ref="D191:D196"/>
    <mergeCell ref="G191:G196"/>
    <mergeCell ref="C147:C150"/>
    <mergeCell ref="D147:D150"/>
    <mergeCell ref="C151:C152"/>
    <mergeCell ref="D151:D152"/>
    <mergeCell ref="E151:E152"/>
    <mergeCell ref="F151:F152"/>
    <mergeCell ref="G151:G152"/>
    <mergeCell ref="B151:B152"/>
    <mergeCell ref="B153:B154"/>
    <mergeCell ref="C153:C154"/>
    <mergeCell ref="D153:D154"/>
    <mergeCell ref="E153:E154"/>
    <mergeCell ref="F153:F154"/>
    <mergeCell ref="G153:G154"/>
    <mergeCell ref="E157:E158"/>
    <mergeCell ref="F157:F158"/>
    <mergeCell ref="B155:B156"/>
    <mergeCell ref="C155:C156"/>
    <mergeCell ref="D155:D156"/>
    <mergeCell ref="E155:E156"/>
    <mergeCell ref="F155:F156"/>
    <mergeCell ref="G155:G156"/>
    <mergeCell ref="B157:B158"/>
    <mergeCell ref="G157:G158"/>
    <mergeCell ref="C157:C158"/>
    <mergeCell ref="D157:D158"/>
    <mergeCell ref="C159:C160"/>
    <mergeCell ref="D159:D160"/>
    <mergeCell ref="E159:E160"/>
    <mergeCell ref="F159:F160"/>
    <mergeCell ref="G159:G160"/>
    <mergeCell ref="B159:B160"/>
    <mergeCell ref="B161:B162"/>
    <mergeCell ref="C161:C162"/>
    <mergeCell ref="D161:D162"/>
    <mergeCell ref="E161:E162"/>
    <mergeCell ref="F161:F162"/>
    <mergeCell ref="G161:G162"/>
    <mergeCell ref="E165:E170"/>
    <mergeCell ref="F165:F170"/>
    <mergeCell ref="B163:B164"/>
    <mergeCell ref="C163:C164"/>
    <mergeCell ref="D163:D164"/>
    <mergeCell ref="E163:E164"/>
    <mergeCell ref="F163:F164"/>
    <mergeCell ref="G163:G164"/>
    <mergeCell ref="B165:B170"/>
    <mergeCell ref="G165:G170"/>
    <mergeCell ref="E181:E182"/>
    <mergeCell ref="F181:F182"/>
    <mergeCell ref="B179:B180"/>
    <mergeCell ref="C179:C180"/>
    <mergeCell ref="D179:D180"/>
    <mergeCell ref="E179:E180"/>
    <mergeCell ref="F179:F180"/>
    <mergeCell ref="G179:G180"/>
    <mergeCell ref="B181:B182"/>
    <mergeCell ref="G181:G182"/>
    <mergeCell ref="C181:C182"/>
    <mergeCell ref="D181:D182"/>
    <mergeCell ref="C183:C186"/>
    <mergeCell ref="D183:D186"/>
    <mergeCell ref="E183:E186"/>
    <mergeCell ref="F183:F186"/>
    <mergeCell ref="G183:G186"/>
    <mergeCell ref="B183:B186"/>
    <mergeCell ref="B187:B188"/>
    <mergeCell ref="C187:C188"/>
    <mergeCell ref="D187:D188"/>
    <mergeCell ref="E187:E188"/>
    <mergeCell ref="F187:F188"/>
    <mergeCell ref="G187:G188"/>
    <mergeCell ref="E191:E196"/>
    <mergeCell ref="F191:F196"/>
    <mergeCell ref="B189:B190"/>
    <mergeCell ref="C189:C190"/>
    <mergeCell ref="D189:D190"/>
    <mergeCell ref="E189:E190"/>
    <mergeCell ref="F189:F190"/>
    <mergeCell ref="G189:G190"/>
    <mergeCell ref="B191:B196"/>
    <mergeCell ref="E203:E204"/>
    <mergeCell ref="F203:F204"/>
    <mergeCell ref="E205:E206"/>
    <mergeCell ref="F205:F206"/>
    <mergeCell ref="G205:G206"/>
    <mergeCell ref="B197:B202"/>
    <mergeCell ref="C197:C202"/>
    <mergeCell ref="D197:D202"/>
    <mergeCell ref="E197:E202"/>
    <mergeCell ref="F197:F202"/>
    <mergeCell ref="G197:G202"/>
    <mergeCell ref="B203:B204"/>
    <mergeCell ref="G203:G204"/>
    <mergeCell ref="D207:D209"/>
    <mergeCell ref="E207:E209"/>
    <mergeCell ref="F207:F209"/>
    <mergeCell ref="G207:G209"/>
    <mergeCell ref="B210:B211"/>
    <mergeCell ref="C210:C211"/>
    <mergeCell ref="D210:D211"/>
    <mergeCell ref="E210:E211"/>
    <mergeCell ref="F210:F211"/>
    <mergeCell ref="G210:G211"/>
    <mergeCell ref="C203:C204"/>
    <mergeCell ref="D203:D204"/>
    <mergeCell ref="B205:B206"/>
    <mergeCell ref="C205:C206"/>
    <mergeCell ref="D205:D206"/>
    <mergeCell ref="B207:B209"/>
    <mergeCell ref="C207:C209"/>
    <mergeCell ref="C286:C287"/>
    <mergeCell ref="D286:D287"/>
    <mergeCell ref="C288:C289"/>
    <mergeCell ref="D288:D289"/>
    <mergeCell ref="E288:E289"/>
    <mergeCell ref="F288:F289"/>
    <mergeCell ref="G288:G289"/>
    <mergeCell ref="B288:B289"/>
    <mergeCell ref="B290:B295"/>
    <mergeCell ref="C290:C295"/>
    <mergeCell ref="D290:D295"/>
    <mergeCell ref="E290:E295"/>
    <mergeCell ref="F290:F295"/>
    <mergeCell ref="G290:G295"/>
    <mergeCell ref="E257:E258"/>
    <mergeCell ref="F257:F258"/>
    <mergeCell ref="E259:E260"/>
    <mergeCell ref="F259:F260"/>
    <mergeCell ref="G259:G260"/>
    <mergeCell ref="E261:E262"/>
    <mergeCell ref="F261:F262"/>
    <mergeCell ref="G261:G262"/>
    <mergeCell ref="B255:B256"/>
    <mergeCell ref="C255:C256"/>
    <mergeCell ref="D255:D256"/>
    <mergeCell ref="E255:E256"/>
    <mergeCell ref="F255:F256"/>
    <mergeCell ref="G255:G256"/>
    <mergeCell ref="B257:B258"/>
    <mergeCell ref="G257:G258"/>
    <mergeCell ref="B261:B262"/>
    <mergeCell ref="B263:B264"/>
    <mergeCell ref="C263:C264"/>
    <mergeCell ref="D263:D264"/>
    <mergeCell ref="E263:E264"/>
    <mergeCell ref="F263:F264"/>
    <mergeCell ref="G263:G264"/>
    <mergeCell ref="C257:C258"/>
    <mergeCell ref="D257:D258"/>
    <mergeCell ref="B259:B260"/>
    <mergeCell ref="C259:C260"/>
    <mergeCell ref="D259:D260"/>
    <mergeCell ref="C261:C262"/>
    <mergeCell ref="D261:D262"/>
    <mergeCell ref="E267:E268"/>
    <mergeCell ref="F267:F268"/>
    <mergeCell ref="E269:E270"/>
    <mergeCell ref="F269:F270"/>
    <mergeCell ref="G269:G270"/>
    <mergeCell ref="E271:E272"/>
    <mergeCell ref="F271:F272"/>
    <mergeCell ref="G271:G272"/>
    <mergeCell ref="B265:B266"/>
    <mergeCell ref="C265:C266"/>
    <mergeCell ref="D265:D266"/>
    <mergeCell ref="E265:E266"/>
    <mergeCell ref="F265:F266"/>
    <mergeCell ref="G265:G266"/>
    <mergeCell ref="B267:B268"/>
    <mergeCell ref="G267:G268"/>
    <mergeCell ref="C298:C299"/>
    <mergeCell ref="D298:D299"/>
    <mergeCell ref="G298:G299"/>
    <mergeCell ref="E215:E216"/>
    <mergeCell ref="F215:F216"/>
    <mergeCell ref="E217:E218"/>
    <mergeCell ref="F217:F218"/>
    <mergeCell ref="G217:G218"/>
    <mergeCell ref="E219:E220"/>
    <mergeCell ref="F219:F220"/>
    <mergeCell ref="G219:G220"/>
    <mergeCell ref="B213:B214"/>
    <mergeCell ref="C213:C214"/>
    <mergeCell ref="D213:D214"/>
    <mergeCell ref="E213:E214"/>
    <mergeCell ref="F213:F214"/>
    <mergeCell ref="G213:G214"/>
    <mergeCell ref="B215:B216"/>
    <mergeCell ref="G215:G216"/>
    <mergeCell ref="B219:B220"/>
    <mergeCell ref="B221:B222"/>
    <mergeCell ref="C221:C222"/>
    <mergeCell ref="D221:D222"/>
    <mergeCell ref="E221:E222"/>
    <mergeCell ref="F221:F222"/>
    <mergeCell ref="G221:G222"/>
    <mergeCell ref="C215:C216"/>
    <mergeCell ref="D215:D216"/>
    <mergeCell ref="B217:B218"/>
    <mergeCell ref="C217:C218"/>
    <mergeCell ref="D217:D218"/>
    <mergeCell ref="C219:C220"/>
    <mergeCell ref="D219:D220"/>
    <mergeCell ref="E229:E231"/>
    <mergeCell ref="F229:F231"/>
    <mergeCell ref="E232:E234"/>
    <mergeCell ref="F232:F234"/>
    <mergeCell ref="G232:G234"/>
    <mergeCell ref="B223:B228"/>
    <mergeCell ref="C223:C228"/>
    <mergeCell ref="D223:D228"/>
    <mergeCell ref="E223:E228"/>
    <mergeCell ref="F223:F228"/>
    <mergeCell ref="G223:G228"/>
    <mergeCell ref="B229:B231"/>
    <mergeCell ref="G229:G231"/>
    <mergeCell ref="D235:D238"/>
    <mergeCell ref="E235:E238"/>
    <mergeCell ref="F235:F238"/>
    <mergeCell ref="G235:G238"/>
    <mergeCell ref="B239:B241"/>
    <mergeCell ref="C239:C241"/>
    <mergeCell ref="D239:D241"/>
    <mergeCell ref="E239:E241"/>
    <mergeCell ref="F239:F241"/>
    <mergeCell ref="G239:G241"/>
    <mergeCell ref="C229:C231"/>
    <mergeCell ref="D229:D231"/>
    <mergeCell ref="B232:B234"/>
    <mergeCell ref="C232:C234"/>
    <mergeCell ref="D232:D234"/>
    <mergeCell ref="B235:B238"/>
    <mergeCell ref="C235:C238"/>
    <mergeCell ref="E245:E246"/>
    <mergeCell ref="F245:F246"/>
    <mergeCell ref="E247:E248"/>
    <mergeCell ref="F247:F248"/>
    <mergeCell ref="G247:G248"/>
    <mergeCell ref="B242:B244"/>
    <mergeCell ref="C242:C244"/>
    <mergeCell ref="D242:D244"/>
    <mergeCell ref="E242:E244"/>
    <mergeCell ref="F242:F244"/>
    <mergeCell ref="G242:G244"/>
    <mergeCell ref="B245:B246"/>
    <mergeCell ref="G245:G246"/>
    <mergeCell ref="D249:D252"/>
    <mergeCell ref="E249:E252"/>
    <mergeCell ref="F249:F252"/>
    <mergeCell ref="G249:G252"/>
    <mergeCell ref="B253:B254"/>
    <mergeCell ref="C253:C254"/>
    <mergeCell ref="D253:D254"/>
    <mergeCell ref="E253:E254"/>
    <mergeCell ref="F253:F254"/>
    <mergeCell ref="G253:G254"/>
    <mergeCell ref="C245:C246"/>
    <mergeCell ref="D245:D246"/>
    <mergeCell ref="B247:B248"/>
    <mergeCell ref="C247:C248"/>
    <mergeCell ref="D247:D248"/>
    <mergeCell ref="B249:B252"/>
    <mergeCell ref="C249:C252"/>
    <mergeCell ref="C267:C268"/>
    <mergeCell ref="D267:D268"/>
    <mergeCell ref="B269:B270"/>
    <mergeCell ref="C269:C270"/>
    <mergeCell ref="D269:D270"/>
    <mergeCell ref="C271:C272"/>
    <mergeCell ref="D271:D272"/>
    <mergeCell ref="B271:B272"/>
    <mergeCell ref="B273:B275"/>
    <mergeCell ref="C273:C275"/>
    <mergeCell ref="D273:D275"/>
    <mergeCell ref="E273:E275"/>
    <mergeCell ref="F273:F275"/>
    <mergeCell ref="G273:G275"/>
    <mergeCell ref="E278:E279"/>
    <mergeCell ref="F278:F279"/>
    <mergeCell ref="B276:B277"/>
    <mergeCell ref="C276:C277"/>
    <mergeCell ref="D276:D277"/>
    <mergeCell ref="E276:E277"/>
    <mergeCell ref="F276:F277"/>
    <mergeCell ref="G276:G277"/>
    <mergeCell ref="B278:B279"/>
    <mergeCell ref="G278:G279"/>
    <mergeCell ref="C278:C279"/>
    <mergeCell ref="D278:D279"/>
    <mergeCell ref="C280:C281"/>
    <mergeCell ref="D280:D281"/>
    <mergeCell ref="E280:E281"/>
    <mergeCell ref="F280:F281"/>
    <mergeCell ref="G280:G281"/>
    <mergeCell ref="B280:B281"/>
    <mergeCell ref="B282:B283"/>
    <mergeCell ref="C282:C283"/>
    <mergeCell ref="D282:D283"/>
    <mergeCell ref="E282:E283"/>
    <mergeCell ref="F282:F283"/>
    <mergeCell ref="G282:G283"/>
    <mergeCell ref="E286:E287"/>
    <mergeCell ref="F286:F287"/>
    <mergeCell ref="B284:B285"/>
    <mergeCell ref="C284:C285"/>
    <mergeCell ref="D284:D285"/>
    <mergeCell ref="E284:E285"/>
    <mergeCell ref="F284:F285"/>
    <mergeCell ref="G284:G285"/>
    <mergeCell ref="B286:B287"/>
    <mergeCell ref="G286:G287"/>
    <mergeCell ref="E298:E299"/>
    <mergeCell ref="F298:F299"/>
    <mergeCell ref="B296:B297"/>
    <mergeCell ref="C296:C297"/>
    <mergeCell ref="D296:D297"/>
    <mergeCell ref="E296:E297"/>
    <mergeCell ref="F296:F297"/>
    <mergeCell ref="G296:G297"/>
    <mergeCell ref="B298:B299"/>
    <mergeCell ref="E302:E303"/>
    <mergeCell ref="F302:F303"/>
    <mergeCell ref="E304:E305"/>
    <mergeCell ref="F304:F305"/>
    <mergeCell ref="G304:G305"/>
    <mergeCell ref="E306:E307"/>
    <mergeCell ref="F306:F307"/>
    <mergeCell ref="G306:G307"/>
    <mergeCell ref="B300:B301"/>
    <mergeCell ref="C300:C301"/>
    <mergeCell ref="D300:D301"/>
    <mergeCell ref="E300:E301"/>
    <mergeCell ref="F300:F301"/>
    <mergeCell ref="G300:G301"/>
    <mergeCell ref="B302:B303"/>
    <mergeCell ref="G302:G303"/>
    <mergeCell ref="B306:B307"/>
    <mergeCell ref="B308:B309"/>
    <mergeCell ref="C308:C309"/>
    <mergeCell ref="D308:D309"/>
    <mergeCell ref="E308:E309"/>
    <mergeCell ref="F308:F309"/>
    <mergeCell ref="G308:G309"/>
    <mergeCell ref="B310:B311"/>
    <mergeCell ref="C310:C311"/>
    <mergeCell ref="D310:D311"/>
    <mergeCell ref="E310:E311"/>
    <mergeCell ref="F310:F311"/>
    <mergeCell ref="G310:G311"/>
    <mergeCell ref="C302:C303"/>
    <mergeCell ref="D302:D303"/>
    <mergeCell ref="B304:B305"/>
    <mergeCell ref="C304:C305"/>
    <mergeCell ref="D304:D305"/>
    <mergeCell ref="C306:C307"/>
    <mergeCell ref="D306:D30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6.0"/>
    <col customWidth="1" min="8" max="8" width="31.22"/>
    <col customWidth="1" min="9" max="9" width="22.78"/>
    <col customWidth="1" min="14" max="14" width="18.0"/>
    <col customWidth="1" min="15" max="15" width="32.56"/>
  </cols>
  <sheetData>
    <row r="1">
      <c r="A1" s="294" t="s">
        <v>0</v>
      </c>
      <c r="B1" s="130"/>
      <c r="C1" s="385" t="s">
        <v>1</v>
      </c>
      <c r="D1" s="132"/>
      <c r="E1" s="132"/>
      <c r="F1" s="130"/>
      <c r="G1" s="386"/>
      <c r="H1" s="297" t="s">
        <v>551</v>
      </c>
      <c r="I1" s="135"/>
      <c r="J1" s="135"/>
      <c r="K1" s="135"/>
      <c r="L1" s="135"/>
      <c r="M1" s="136"/>
      <c r="N1" s="298"/>
      <c r="O1" s="299"/>
    </row>
    <row r="2">
      <c r="A2" s="139"/>
      <c r="B2" s="71"/>
      <c r="C2" s="139"/>
      <c r="F2" s="71"/>
      <c r="G2" s="413"/>
      <c r="H2" s="302" t="s">
        <v>3</v>
      </c>
      <c r="I2" s="302" t="s">
        <v>4</v>
      </c>
      <c r="J2" s="387"/>
      <c r="K2" s="304" t="s">
        <v>5</v>
      </c>
      <c r="L2" s="135"/>
      <c r="M2" s="136"/>
      <c r="N2" s="305"/>
      <c r="O2" s="306"/>
    </row>
    <row r="3">
      <c r="A3" s="144"/>
      <c r="B3" s="72"/>
      <c r="C3" s="144"/>
      <c r="D3" s="145"/>
      <c r="E3" s="145"/>
      <c r="F3" s="72"/>
      <c r="G3" s="414"/>
      <c r="H3" s="308">
        <v>3449790.0</v>
      </c>
      <c r="I3" s="309">
        <f>M85</f>
        <v>708793.85</v>
      </c>
      <c r="J3" s="388"/>
      <c r="K3" s="200">
        <f>H3-I3</f>
        <v>2740996.15</v>
      </c>
      <c r="L3" s="135"/>
      <c r="M3" s="136"/>
      <c r="N3" s="311"/>
      <c r="O3" s="312"/>
    </row>
    <row r="4">
      <c r="A4" s="313" t="s">
        <v>6</v>
      </c>
      <c r="B4" s="313" t="s">
        <v>7</v>
      </c>
      <c r="C4" s="315" t="s">
        <v>261</v>
      </c>
      <c r="D4" s="313" t="s">
        <v>262</v>
      </c>
      <c r="E4" s="315" t="s">
        <v>552</v>
      </c>
      <c r="F4" s="313" t="s">
        <v>553</v>
      </c>
      <c r="G4" s="24" t="s">
        <v>264</v>
      </c>
      <c r="H4" s="313" t="s">
        <v>13</v>
      </c>
      <c r="I4" s="313" t="s">
        <v>14</v>
      </c>
      <c r="J4" s="313" t="s">
        <v>15</v>
      </c>
      <c r="K4" s="313" t="s">
        <v>16</v>
      </c>
      <c r="L4" s="415" t="s">
        <v>17</v>
      </c>
      <c r="M4" s="317" t="s">
        <v>18</v>
      </c>
      <c r="N4" s="319" t="s">
        <v>19</v>
      </c>
      <c r="O4" s="313" t="s">
        <v>554</v>
      </c>
    </row>
    <row r="5">
      <c r="A5" s="342">
        <v>1.0</v>
      </c>
      <c r="B5" s="342">
        <v>226.0</v>
      </c>
      <c r="C5" s="416">
        <v>46104.0</v>
      </c>
      <c r="D5" s="342" t="s">
        <v>2730</v>
      </c>
      <c r="E5" s="417">
        <v>46115.0</v>
      </c>
      <c r="F5" s="342">
        <v>210.0</v>
      </c>
      <c r="G5" s="416">
        <v>46109.0</v>
      </c>
      <c r="H5" s="339" t="s">
        <v>2731</v>
      </c>
      <c r="I5" s="339" t="s">
        <v>29</v>
      </c>
      <c r="J5" s="342">
        <v>4.0</v>
      </c>
      <c r="K5" s="342" t="s">
        <v>156</v>
      </c>
      <c r="L5" s="342">
        <v>1200.0</v>
      </c>
      <c r="M5" s="346">
        <f t="shared" ref="M5:M31" si="1">L5*J5</f>
        <v>4800</v>
      </c>
      <c r="N5" s="339" t="s">
        <v>2365</v>
      </c>
      <c r="O5" s="339" t="s">
        <v>2732</v>
      </c>
    </row>
    <row r="6">
      <c r="A6" s="351">
        <v>2.0</v>
      </c>
      <c r="B6" s="351" t="s">
        <v>2733</v>
      </c>
      <c r="C6" s="418">
        <v>46107.0</v>
      </c>
      <c r="D6" s="351" t="s">
        <v>2734</v>
      </c>
      <c r="E6" s="419">
        <v>46115.0</v>
      </c>
      <c r="F6" s="351">
        <v>210.0</v>
      </c>
      <c r="G6" s="418">
        <v>46109.0</v>
      </c>
      <c r="H6" s="339" t="s">
        <v>2735</v>
      </c>
      <c r="I6" s="339" t="s">
        <v>2736</v>
      </c>
      <c r="J6" s="342">
        <v>16.0</v>
      </c>
      <c r="K6" s="342" t="s">
        <v>405</v>
      </c>
      <c r="L6" s="342">
        <v>445.0</v>
      </c>
      <c r="M6" s="346">
        <f t="shared" si="1"/>
        <v>7120</v>
      </c>
      <c r="N6" s="339" t="s">
        <v>2148</v>
      </c>
      <c r="O6" s="339" t="s">
        <v>2732</v>
      </c>
    </row>
    <row r="7">
      <c r="A7" s="47"/>
      <c r="B7" s="47"/>
      <c r="C7" s="47"/>
      <c r="D7" s="47"/>
      <c r="E7" s="47"/>
      <c r="F7" s="47"/>
      <c r="G7" s="47"/>
      <c r="H7" s="339" t="s">
        <v>2737</v>
      </c>
      <c r="I7" s="339" t="s">
        <v>29</v>
      </c>
      <c r="J7" s="342">
        <v>12.0</v>
      </c>
      <c r="K7" s="342" t="s">
        <v>981</v>
      </c>
      <c r="L7" s="342">
        <v>35.0</v>
      </c>
      <c r="M7" s="346">
        <f t="shared" si="1"/>
        <v>420</v>
      </c>
      <c r="N7" s="339" t="s">
        <v>2148</v>
      </c>
      <c r="O7" s="339" t="s">
        <v>2732</v>
      </c>
    </row>
    <row r="8">
      <c r="A8" s="47"/>
      <c r="B8" s="47"/>
      <c r="C8" s="47"/>
      <c r="D8" s="47"/>
      <c r="E8" s="47"/>
      <c r="F8" s="47"/>
      <c r="G8" s="47"/>
      <c r="H8" s="339" t="s">
        <v>2738</v>
      </c>
      <c r="I8" s="339" t="s">
        <v>29</v>
      </c>
      <c r="J8" s="342">
        <v>5.0</v>
      </c>
      <c r="K8" s="342" t="s">
        <v>1168</v>
      </c>
      <c r="L8" s="342">
        <v>85.0</v>
      </c>
      <c r="M8" s="346">
        <f t="shared" si="1"/>
        <v>425</v>
      </c>
      <c r="N8" s="339" t="s">
        <v>2148</v>
      </c>
      <c r="O8" s="339" t="s">
        <v>2732</v>
      </c>
    </row>
    <row r="9">
      <c r="A9" s="47"/>
      <c r="B9" s="47"/>
      <c r="C9" s="47"/>
      <c r="D9" s="47"/>
      <c r="E9" s="47"/>
      <c r="F9" s="47"/>
      <c r="G9" s="47"/>
      <c r="H9" s="339" t="s">
        <v>2739</v>
      </c>
      <c r="I9" s="339" t="s">
        <v>29</v>
      </c>
      <c r="J9" s="342">
        <v>2.0</v>
      </c>
      <c r="K9" s="342" t="s">
        <v>156</v>
      </c>
      <c r="L9" s="342">
        <v>91.0</v>
      </c>
      <c r="M9" s="346">
        <f t="shared" si="1"/>
        <v>182</v>
      </c>
      <c r="N9" s="339" t="s">
        <v>2148</v>
      </c>
      <c r="O9" s="339" t="s">
        <v>2732</v>
      </c>
    </row>
    <row r="10">
      <c r="A10" s="47"/>
      <c r="B10" s="47"/>
      <c r="C10" s="47"/>
      <c r="D10" s="47"/>
      <c r="E10" s="47"/>
      <c r="F10" s="47"/>
      <c r="G10" s="47"/>
      <c r="H10" s="339" t="s">
        <v>1109</v>
      </c>
      <c r="I10" s="339" t="s">
        <v>2147</v>
      </c>
      <c r="J10" s="342">
        <v>30.0</v>
      </c>
      <c r="K10" s="342" t="s">
        <v>34</v>
      </c>
      <c r="L10" s="342">
        <v>68.0</v>
      </c>
      <c r="M10" s="346">
        <f t="shared" si="1"/>
        <v>2040</v>
      </c>
      <c r="N10" s="339" t="s">
        <v>2148</v>
      </c>
      <c r="O10" s="339" t="s">
        <v>2732</v>
      </c>
    </row>
    <row r="11">
      <c r="A11" s="48"/>
      <c r="B11" s="48"/>
      <c r="C11" s="48"/>
      <c r="D11" s="48"/>
      <c r="E11" s="48"/>
      <c r="F11" s="48"/>
      <c r="G11" s="48"/>
      <c r="H11" s="362" t="s">
        <v>2740</v>
      </c>
      <c r="I11" s="362" t="s">
        <v>1941</v>
      </c>
      <c r="J11" s="223">
        <v>1.0</v>
      </c>
      <c r="K11" s="420">
        <v>0.05</v>
      </c>
      <c r="L11" s="223">
        <v>509.35</v>
      </c>
      <c r="M11" s="346">
        <f t="shared" si="1"/>
        <v>509.35</v>
      </c>
      <c r="N11" s="339" t="s">
        <v>2148</v>
      </c>
      <c r="O11" s="362" t="s">
        <v>1941</v>
      </c>
    </row>
    <row r="12">
      <c r="A12" s="342">
        <v>3.0</v>
      </c>
      <c r="B12" s="342" t="s">
        <v>2741</v>
      </c>
      <c r="C12" s="416">
        <v>46078.0</v>
      </c>
      <c r="D12" s="342" t="s">
        <v>2734</v>
      </c>
      <c r="E12" s="417">
        <v>46115.0</v>
      </c>
      <c r="F12" s="342">
        <v>205.0</v>
      </c>
      <c r="G12" s="416">
        <v>46082.0</v>
      </c>
      <c r="H12" s="339" t="s">
        <v>2742</v>
      </c>
      <c r="I12" s="339" t="s">
        <v>1499</v>
      </c>
      <c r="J12" s="342">
        <v>1.0</v>
      </c>
      <c r="K12" s="342" t="s">
        <v>1168</v>
      </c>
      <c r="L12" s="342">
        <v>804.0</v>
      </c>
      <c r="M12" s="346">
        <f t="shared" si="1"/>
        <v>804</v>
      </c>
      <c r="N12" s="339" t="s">
        <v>2148</v>
      </c>
      <c r="O12" s="339" t="s">
        <v>2732</v>
      </c>
    </row>
    <row r="13">
      <c r="A13" s="342">
        <v>4.0</v>
      </c>
      <c r="B13" s="342">
        <v>2.6020127E8</v>
      </c>
      <c r="C13" s="416">
        <v>46079.0</v>
      </c>
      <c r="D13" s="342" t="s">
        <v>2743</v>
      </c>
      <c r="E13" s="417">
        <v>46115.0</v>
      </c>
      <c r="F13" s="342">
        <v>205.0</v>
      </c>
      <c r="G13" s="416">
        <v>46082.0</v>
      </c>
      <c r="H13" s="339" t="s">
        <v>2744</v>
      </c>
      <c r="I13" s="339" t="s">
        <v>1499</v>
      </c>
      <c r="J13" s="342">
        <v>500.0</v>
      </c>
      <c r="K13" s="342" t="s">
        <v>74</v>
      </c>
      <c r="L13" s="342">
        <v>39.5</v>
      </c>
      <c r="M13" s="346">
        <f t="shared" si="1"/>
        <v>19750</v>
      </c>
      <c r="N13" s="339" t="s">
        <v>2745</v>
      </c>
      <c r="O13" s="339" t="s">
        <v>2732</v>
      </c>
    </row>
    <row r="14">
      <c r="A14" s="342"/>
      <c r="B14" s="342"/>
      <c r="C14" s="342"/>
      <c r="D14" s="342"/>
      <c r="E14" s="342"/>
      <c r="F14" s="342"/>
      <c r="G14" s="342"/>
      <c r="H14" s="339" t="s">
        <v>2740</v>
      </c>
      <c r="I14" s="339" t="s">
        <v>1941</v>
      </c>
      <c r="J14" s="342">
        <v>1.0</v>
      </c>
      <c r="K14" s="421">
        <v>0.05</v>
      </c>
      <c r="L14" s="342">
        <v>988.0</v>
      </c>
      <c r="M14" s="346">
        <f t="shared" si="1"/>
        <v>988</v>
      </c>
      <c r="N14" s="339" t="s">
        <v>2745</v>
      </c>
      <c r="O14" s="339" t="s">
        <v>1941</v>
      </c>
    </row>
    <row r="15">
      <c r="A15" s="342">
        <v>5.0</v>
      </c>
      <c r="B15" s="342">
        <v>85.0</v>
      </c>
      <c r="C15" s="416">
        <v>46081.0</v>
      </c>
      <c r="D15" s="342" t="s">
        <v>2746</v>
      </c>
      <c r="E15" s="417">
        <v>46115.0</v>
      </c>
      <c r="F15" s="342">
        <v>206.0</v>
      </c>
      <c r="G15" s="416">
        <v>46082.0</v>
      </c>
      <c r="H15" s="339" t="s">
        <v>2747</v>
      </c>
      <c r="I15" s="339" t="s">
        <v>1499</v>
      </c>
      <c r="J15" s="342">
        <v>1.0</v>
      </c>
      <c r="K15" s="342" t="s">
        <v>89</v>
      </c>
      <c r="L15" s="342">
        <v>1690.0</v>
      </c>
      <c r="M15" s="346">
        <f t="shared" si="1"/>
        <v>1690</v>
      </c>
      <c r="N15" s="339" t="s">
        <v>1314</v>
      </c>
      <c r="O15" s="339" t="s">
        <v>2732</v>
      </c>
    </row>
    <row r="16">
      <c r="A16" s="342"/>
      <c r="B16" s="342"/>
      <c r="C16" s="342"/>
      <c r="D16" s="342"/>
      <c r="E16" s="342"/>
      <c r="F16" s="342"/>
      <c r="G16" s="342"/>
      <c r="H16" s="339" t="s">
        <v>2740</v>
      </c>
      <c r="I16" s="339" t="s">
        <v>1941</v>
      </c>
      <c r="J16" s="342">
        <v>1.0</v>
      </c>
      <c r="K16" s="421">
        <v>0.05</v>
      </c>
      <c r="L16" s="342">
        <v>84.0</v>
      </c>
      <c r="M16" s="346">
        <f t="shared" si="1"/>
        <v>84</v>
      </c>
      <c r="N16" s="339" t="s">
        <v>1314</v>
      </c>
      <c r="O16" s="339" t="s">
        <v>1941</v>
      </c>
    </row>
    <row r="17">
      <c r="A17" s="342">
        <v>6.0</v>
      </c>
      <c r="B17" s="342">
        <v>1450.0</v>
      </c>
      <c r="C17" s="416">
        <v>46078.0</v>
      </c>
      <c r="D17" s="342" t="s">
        <v>2748</v>
      </c>
      <c r="E17" s="417">
        <v>46115.0</v>
      </c>
      <c r="F17" s="342" t="s">
        <v>2749</v>
      </c>
      <c r="G17" s="416">
        <v>46082.0</v>
      </c>
      <c r="H17" s="339" t="s">
        <v>2750</v>
      </c>
      <c r="I17" s="339" t="s">
        <v>1499</v>
      </c>
      <c r="J17" s="342">
        <v>180.0</v>
      </c>
      <c r="K17" s="342" t="s">
        <v>74</v>
      </c>
      <c r="L17" s="342">
        <v>17.0</v>
      </c>
      <c r="M17" s="346">
        <f t="shared" si="1"/>
        <v>3060</v>
      </c>
      <c r="N17" s="339" t="s">
        <v>2751</v>
      </c>
      <c r="O17" s="339" t="s">
        <v>2732</v>
      </c>
    </row>
    <row r="18">
      <c r="A18" s="342"/>
      <c r="B18" s="342"/>
      <c r="C18" s="342"/>
      <c r="D18" s="342"/>
      <c r="E18" s="342"/>
      <c r="F18" s="342"/>
      <c r="G18" s="342"/>
      <c r="H18" s="339" t="s">
        <v>975</v>
      </c>
      <c r="I18" s="339" t="s">
        <v>2147</v>
      </c>
      <c r="J18" s="342">
        <v>50.0</v>
      </c>
      <c r="K18" s="342" t="s">
        <v>34</v>
      </c>
      <c r="L18" s="342">
        <v>68.0</v>
      </c>
      <c r="M18" s="346">
        <f t="shared" si="1"/>
        <v>3400</v>
      </c>
      <c r="N18" s="339" t="s">
        <v>2751</v>
      </c>
      <c r="O18" s="339" t="s">
        <v>2732</v>
      </c>
    </row>
    <row r="19">
      <c r="A19" s="342"/>
      <c r="B19" s="342"/>
      <c r="C19" s="342"/>
      <c r="D19" s="342"/>
      <c r="E19" s="342"/>
      <c r="F19" s="342"/>
      <c r="G19" s="342"/>
      <c r="H19" s="339" t="s">
        <v>976</v>
      </c>
      <c r="I19" s="339" t="s">
        <v>2147</v>
      </c>
      <c r="J19" s="342">
        <v>50.0</v>
      </c>
      <c r="K19" s="342" t="s">
        <v>34</v>
      </c>
      <c r="L19" s="342">
        <v>68.0</v>
      </c>
      <c r="M19" s="346">
        <f t="shared" si="1"/>
        <v>3400</v>
      </c>
      <c r="N19" s="339" t="s">
        <v>2751</v>
      </c>
      <c r="O19" s="339" t="s">
        <v>2732</v>
      </c>
    </row>
    <row r="20">
      <c r="A20" s="342"/>
      <c r="B20" s="342"/>
      <c r="C20" s="342"/>
      <c r="D20" s="342"/>
      <c r="E20" s="342"/>
      <c r="F20" s="342"/>
      <c r="G20" s="342"/>
      <c r="H20" s="339" t="s">
        <v>829</v>
      </c>
      <c r="I20" s="339" t="s">
        <v>2147</v>
      </c>
      <c r="J20" s="342">
        <v>50.0</v>
      </c>
      <c r="K20" s="342" t="s">
        <v>34</v>
      </c>
      <c r="L20" s="342">
        <v>68.0</v>
      </c>
      <c r="M20" s="346">
        <f t="shared" si="1"/>
        <v>3400</v>
      </c>
      <c r="N20" s="339" t="s">
        <v>2751</v>
      </c>
      <c r="O20" s="339" t="s">
        <v>2732</v>
      </c>
    </row>
    <row r="21">
      <c r="A21" s="422"/>
      <c r="B21" s="422"/>
      <c r="C21" s="422"/>
      <c r="D21" s="422"/>
      <c r="E21" s="422"/>
      <c r="F21" s="422"/>
      <c r="G21" s="422"/>
      <c r="H21" s="362" t="s">
        <v>2752</v>
      </c>
      <c r="I21" s="362" t="s">
        <v>1499</v>
      </c>
      <c r="J21" s="223">
        <v>20.0</v>
      </c>
      <c r="K21" s="223" t="s">
        <v>156</v>
      </c>
      <c r="L21" s="223">
        <v>31.0</v>
      </c>
      <c r="M21" s="346">
        <f t="shared" si="1"/>
        <v>620</v>
      </c>
      <c r="N21" s="362" t="s">
        <v>2751</v>
      </c>
      <c r="O21" s="362" t="s">
        <v>2732</v>
      </c>
    </row>
    <row r="22">
      <c r="A22" s="422"/>
      <c r="B22" s="422"/>
      <c r="C22" s="422"/>
      <c r="D22" s="422"/>
      <c r="E22" s="422"/>
      <c r="F22" s="422"/>
      <c r="G22" s="422"/>
      <c r="H22" s="362" t="s">
        <v>2740</v>
      </c>
      <c r="I22" s="362" t="s">
        <v>1941</v>
      </c>
      <c r="J22" s="223">
        <v>1.0</v>
      </c>
      <c r="K22" s="420">
        <v>0.05</v>
      </c>
      <c r="L22" s="223">
        <v>694.0</v>
      </c>
      <c r="M22" s="346">
        <f t="shared" si="1"/>
        <v>694</v>
      </c>
      <c r="N22" s="362" t="s">
        <v>2751</v>
      </c>
      <c r="O22" s="362" t="s">
        <v>1941</v>
      </c>
    </row>
    <row r="23">
      <c r="A23" s="223">
        <v>7.0</v>
      </c>
      <c r="B23" s="223">
        <v>102.0</v>
      </c>
      <c r="C23" s="423">
        <v>46078.0</v>
      </c>
      <c r="D23" s="223" t="s">
        <v>2753</v>
      </c>
      <c r="E23" s="424">
        <v>46115.0</v>
      </c>
      <c r="F23" s="223">
        <v>205.0</v>
      </c>
      <c r="G23" s="423">
        <v>46082.0</v>
      </c>
      <c r="H23" s="362" t="s">
        <v>2754</v>
      </c>
      <c r="I23" s="362" t="s">
        <v>1499</v>
      </c>
      <c r="J23" s="223">
        <v>10.0</v>
      </c>
      <c r="K23" s="223" t="s">
        <v>981</v>
      </c>
      <c r="L23" s="223">
        <v>9.0</v>
      </c>
      <c r="M23" s="346">
        <f t="shared" si="1"/>
        <v>90</v>
      </c>
      <c r="N23" s="362" t="s">
        <v>2755</v>
      </c>
      <c r="O23" s="362" t="s">
        <v>2732</v>
      </c>
    </row>
    <row r="24">
      <c r="A24" s="422"/>
      <c r="B24" s="422"/>
      <c r="C24" s="422"/>
      <c r="D24" s="422"/>
      <c r="E24" s="422"/>
      <c r="F24" s="422"/>
      <c r="G24" s="422"/>
      <c r="H24" s="362" t="s">
        <v>438</v>
      </c>
      <c r="I24" s="362" t="s">
        <v>1499</v>
      </c>
      <c r="J24" s="223">
        <v>20.0</v>
      </c>
      <c r="K24" s="223" t="s">
        <v>156</v>
      </c>
      <c r="L24" s="223">
        <v>24.0</v>
      </c>
      <c r="M24" s="346">
        <f t="shared" si="1"/>
        <v>480</v>
      </c>
      <c r="N24" s="362" t="s">
        <v>2755</v>
      </c>
      <c r="O24" s="362" t="s">
        <v>2732</v>
      </c>
    </row>
    <row r="25">
      <c r="A25" s="422"/>
      <c r="B25" s="422"/>
      <c r="C25" s="422"/>
      <c r="D25" s="422"/>
      <c r="E25" s="422"/>
      <c r="F25" s="422"/>
      <c r="G25" s="422"/>
      <c r="H25" s="362" t="s">
        <v>2756</v>
      </c>
      <c r="I25" s="362" t="s">
        <v>1499</v>
      </c>
      <c r="J25" s="223">
        <v>20.0</v>
      </c>
      <c r="K25" s="223" t="s">
        <v>156</v>
      </c>
      <c r="L25" s="223">
        <v>122.0</v>
      </c>
      <c r="M25" s="346">
        <f t="shared" si="1"/>
        <v>2440</v>
      </c>
      <c r="N25" s="362" t="s">
        <v>2755</v>
      </c>
      <c r="O25" s="362" t="s">
        <v>2732</v>
      </c>
    </row>
    <row r="26">
      <c r="A26" s="422"/>
      <c r="B26" s="422"/>
      <c r="C26" s="422"/>
      <c r="D26" s="422"/>
      <c r="E26" s="422"/>
      <c r="F26" s="422"/>
      <c r="G26" s="422"/>
      <c r="H26" s="362" t="s">
        <v>512</v>
      </c>
      <c r="I26" s="362" t="s">
        <v>1499</v>
      </c>
      <c r="J26" s="223">
        <v>5.0</v>
      </c>
      <c r="K26" s="223" t="s">
        <v>156</v>
      </c>
      <c r="L26" s="223">
        <v>125.0</v>
      </c>
      <c r="M26" s="346">
        <f t="shared" si="1"/>
        <v>625</v>
      </c>
      <c r="N26" s="362" t="s">
        <v>2755</v>
      </c>
      <c r="O26" s="362" t="s">
        <v>2732</v>
      </c>
    </row>
    <row r="27">
      <c r="A27" s="422"/>
      <c r="B27" s="422"/>
      <c r="C27" s="422"/>
      <c r="D27" s="422"/>
      <c r="E27" s="422"/>
      <c r="F27" s="422"/>
      <c r="G27" s="422"/>
      <c r="H27" s="362" t="s">
        <v>2740</v>
      </c>
      <c r="I27" s="362" t="s">
        <v>1941</v>
      </c>
      <c r="J27" s="223">
        <v>1.0</v>
      </c>
      <c r="K27" s="420">
        <v>0.05</v>
      </c>
      <c r="L27" s="223">
        <v>181.75</v>
      </c>
      <c r="M27" s="346">
        <f t="shared" si="1"/>
        <v>181.75</v>
      </c>
      <c r="N27" s="362" t="s">
        <v>2755</v>
      </c>
      <c r="O27" s="362" t="s">
        <v>1941</v>
      </c>
    </row>
    <row r="28">
      <c r="A28" s="223">
        <v>8.0</v>
      </c>
      <c r="B28" s="223">
        <v>74.0</v>
      </c>
      <c r="C28" s="423">
        <v>46090.0</v>
      </c>
      <c r="D28" s="223" t="s">
        <v>2757</v>
      </c>
      <c r="E28" s="424">
        <v>46115.0</v>
      </c>
      <c r="F28" s="223">
        <v>208.0</v>
      </c>
      <c r="G28" s="423">
        <v>46098.0</v>
      </c>
      <c r="H28" s="362" t="s">
        <v>275</v>
      </c>
      <c r="I28" s="362" t="s">
        <v>1499</v>
      </c>
      <c r="J28" s="223">
        <v>180.0</v>
      </c>
      <c r="K28" s="223" t="s">
        <v>74</v>
      </c>
      <c r="L28" s="223">
        <v>39.95</v>
      </c>
      <c r="M28" s="346">
        <f t="shared" si="1"/>
        <v>7191</v>
      </c>
      <c r="N28" s="362" t="s">
        <v>2508</v>
      </c>
      <c r="O28" s="362" t="s">
        <v>2732</v>
      </c>
    </row>
    <row r="29">
      <c r="A29" s="422"/>
      <c r="B29" s="422"/>
      <c r="C29" s="422"/>
      <c r="D29" s="422"/>
      <c r="E29" s="422"/>
      <c r="F29" s="422"/>
      <c r="G29" s="422"/>
      <c r="H29" s="362" t="s">
        <v>2740</v>
      </c>
      <c r="I29" s="362" t="s">
        <v>1941</v>
      </c>
      <c r="J29" s="223">
        <v>1.0</v>
      </c>
      <c r="K29" s="420">
        <v>0.05</v>
      </c>
      <c r="L29" s="223">
        <v>395.0</v>
      </c>
      <c r="M29" s="346">
        <f t="shared" si="1"/>
        <v>395</v>
      </c>
      <c r="N29" s="362" t="s">
        <v>2508</v>
      </c>
      <c r="O29" s="362" t="s">
        <v>1941</v>
      </c>
    </row>
    <row r="30">
      <c r="A30" s="223">
        <v>9.0</v>
      </c>
      <c r="B30" s="422"/>
      <c r="C30" s="422"/>
      <c r="D30" s="422"/>
      <c r="E30" s="422"/>
      <c r="F30" s="422"/>
      <c r="G30" s="422"/>
      <c r="H30" s="143"/>
      <c r="I30" s="143"/>
      <c r="J30" s="422"/>
      <c r="K30" s="422"/>
      <c r="L30" s="422"/>
      <c r="M30" s="346">
        <f t="shared" si="1"/>
        <v>0</v>
      </c>
      <c r="N30" s="143"/>
      <c r="O30" s="143"/>
    </row>
    <row r="31">
      <c r="A31" s="223">
        <v>10.0</v>
      </c>
      <c r="B31" s="425">
        <v>102.0</v>
      </c>
      <c r="C31" s="426">
        <v>46096.0</v>
      </c>
      <c r="D31" s="425" t="s">
        <v>2730</v>
      </c>
      <c r="E31" s="427">
        <v>46115.0</v>
      </c>
      <c r="F31" s="425">
        <v>209.0</v>
      </c>
      <c r="G31" s="426">
        <v>46098.0</v>
      </c>
      <c r="H31" s="362" t="s">
        <v>2758</v>
      </c>
      <c r="I31" s="362" t="s">
        <v>2084</v>
      </c>
      <c r="J31" s="223">
        <v>2.0</v>
      </c>
      <c r="K31" s="223" t="s">
        <v>256</v>
      </c>
      <c r="L31" s="223">
        <v>23380.0</v>
      </c>
      <c r="M31" s="346">
        <f t="shared" si="1"/>
        <v>46760</v>
      </c>
      <c r="N31" s="362" t="s">
        <v>208</v>
      </c>
      <c r="O31" s="362" t="s">
        <v>2759</v>
      </c>
    </row>
    <row r="32">
      <c r="A32" s="422"/>
      <c r="B32" s="48"/>
      <c r="C32" s="48"/>
      <c r="D32" s="48"/>
      <c r="E32" s="48"/>
      <c r="F32" s="48"/>
      <c r="G32" s="48"/>
      <c r="H32" s="362" t="s">
        <v>1941</v>
      </c>
      <c r="I32" s="362" t="s">
        <v>1949</v>
      </c>
      <c r="J32" s="223" t="s">
        <v>92</v>
      </c>
      <c r="K32" s="223" t="s">
        <v>838</v>
      </c>
      <c r="L32" s="420">
        <v>0.05</v>
      </c>
      <c r="M32" s="346">
        <v>2338.0</v>
      </c>
      <c r="N32" s="362" t="s">
        <v>1941</v>
      </c>
      <c r="O32" s="362" t="s">
        <v>2288</v>
      </c>
    </row>
    <row r="33">
      <c r="A33" s="223">
        <v>11.0</v>
      </c>
      <c r="B33" s="425">
        <v>105.0</v>
      </c>
      <c r="C33" s="426">
        <v>46097.0</v>
      </c>
      <c r="D33" s="425" t="s">
        <v>2730</v>
      </c>
      <c r="E33" s="427">
        <v>46115.0</v>
      </c>
      <c r="F33" s="425">
        <v>209.0</v>
      </c>
      <c r="G33" s="426">
        <v>46098.0</v>
      </c>
      <c r="H33" s="362" t="s">
        <v>2760</v>
      </c>
      <c r="I33" s="362" t="s">
        <v>2084</v>
      </c>
      <c r="J33" s="223">
        <v>3.0</v>
      </c>
      <c r="K33" s="223" t="s">
        <v>256</v>
      </c>
      <c r="L33" s="223">
        <v>23380.0</v>
      </c>
      <c r="M33" s="346">
        <f>L33*J33</f>
        <v>70140</v>
      </c>
      <c r="N33" s="362" t="s">
        <v>208</v>
      </c>
      <c r="O33" s="362" t="s">
        <v>2759</v>
      </c>
    </row>
    <row r="34">
      <c r="A34" s="422"/>
      <c r="B34" s="48"/>
      <c r="C34" s="48"/>
      <c r="D34" s="48"/>
      <c r="E34" s="48"/>
      <c r="F34" s="48"/>
      <c r="G34" s="48"/>
      <c r="H34" s="362" t="s">
        <v>1941</v>
      </c>
      <c r="I34" s="362" t="s">
        <v>1949</v>
      </c>
      <c r="J34" s="223" t="s">
        <v>92</v>
      </c>
      <c r="K34" s="223" t="s">
        <v>838</v>
      </c>
      <c r="L34" s="420">
        <v>0.05</v>
      </c>
      <c r="M34" s="346">
        <v>3507.0</v>
      </c>
      <c r="N34" s="362" t="s">
        <v>1941</v>
      </c>
      <c r="O34" s="362" t="s">
        <v>2288</v>
      </c>
    </row>
    <row r="35">
      <c r="A35" s="223">
        <v>12.0</v>
      </c>
      <c r="B35" s="425">
        <v>104.0</v>
      </c>
      <c r="C35" s="426">
        <v>46097.0</v>
      </c>
      <c r="D35" s="425" t="s">
        <v>2761</v>
      </c>
      <c r="E35" s="426">
        <v>46097.0</v>
      </c>
      <c r="F35" s="425">
        <v>209.0</v>
      </c>
      <c r="G35" s="426">
        <v>46098.0</v>
      </c>
      <c r="H35" s="362" t="s">
        <v>2762</v>
      </c>
      <c r="I35" s="362" t="s">
        <v>2084</v>
      </c>
      <c r="J35" s="223">
        <v>4.0</v>
      </c>
      <c r="K35" s="223" t="s">
        <v>256</v>
      </c>
      <c r="L35" s="223">
        <v>16000.0</v>
      </c>
      <c r="M35" s="346">
        <f>L35*J35</f>
        <v>64000</v>
      </c>
      <c r="N35" s="362" t="s">
        <v>208</v>
      </c>
      <c r="O35" s="362" t="s">
        <v>2759</v>
      </c>
    </row>
    <row r="36">
      <c r="A36" s="422"/>
      <c r="B36" s="48"/>
      <c r="C36" s="48"/>
      <c r="D36" s="48"/>
      <c r="E36" s="48"/>
      <c r="F36" s="48"/>
      <c r="G36" s="48"/>
      <c r="H36" s="362" t="s">
        <v>1941</v>
      </c>
      <c r="I36" s="362" t="s">
        <v>1949</v>
      </c>
      <c r="J36" s="223" t="s">
        <v>92</v>
      </c>
      <c r="K36" s="223" t="s">
        <v>838</v>
      </c>
      <c r="L36" s="420">
        <v>0.05</v>
      </c>
      <c r="M36" s="346">
        <v>3200.0</v>
      </c>
      <c r="N36" s="362" t="s">
        <v>1941</v>
      </c>
      <c r="O36" s="362" t="s">
        <v>2288</v>
      </c>
    </row>
    <row r="37">
      <c r="A37" s="223">
        <v>13.0</v>
      </c>
      <c r="B37" s="425">
        <v>138.0</v>
      </c>
      <c r="C37" s="426">
        <v>46078.0</v>
      </c>
      <c r="D37" s="425" t="s">
        <v>2763</v>
      </c>
      <c r="E37" s="427">
        <v>46115.0</v>
      </c>
      <c r="F37" s="425">
        <v>205.0</v>
      </c>
      <c r="G37" s="428">
        <v>46082.0</v>
      </c>
      <c r="H37" s="362" t="s">
        <v>1562</v>
      </c>
      <c r="I37" s="362" t="s">
        <v>2764</v>
      </c>
      <c r="J37" s="223">
        <v>5.0</v>
      </c>
      <c r="K37" s="223" t="s">
        <v>2765</v>
      </c>
      <c r="L37" s="223">
        <v>2850.0</v>
      </c>
      <c r="M37" s="346">
        <f t="shared" ref="M37:M38" si="2">L37*J37</f>
        <v>14250</v>
      </c>
      <c r="N37" s="362" t="s">
        <v>2766</v>
      </c>
      <c r="O37" s="362" t="s">
        <v>2767</v>
      </c>
    </row>
    <row r="38">
      <c r="A38" s="422"/>
      <c r="B38" s="47"/>
      <c r="C38" s="47"/>
      <c r="D38" s="47"/>
      <c r="E38" s="47"/>
      <c r="F38" s="47"/>
      <c r="G38" s="47"/>
      <c r="H38" s="362" t="s">
        <v>2768</v>
      </c>
      <c r="I38" s="362" t="s">
        <v>1499</v>
      </c>
      <c r="J38" s="223">
        <v>20.0</v>
      </c>
      <c r="K38" s="223" t="s">
        <v>2765</v>
      </c>
      <c r="L38" s="223">
        <v>55.0</v>
      </c>
      <c r="M38" s="346">
        <f t="shared" si="2"/>
        <v>1100</v>
      </c>
      <c r="N38" s="362" t="s">
        <v>2766</v>
      </c>
      <c r="O38" s="362" t="s">
        <v>2767</v>
      </c>
    </row>
    <row r="39">
      <c r="A39" s="422"/>
      <c r="B39" s="48"/>
      <c r="C39" s="48"/>
      <c r="D39" s="48"/>
      <c r="E39" s="48"/>
      <c r="F39" s="48"/>
      <c r="G39" s="48"/>
      <c r="H39" s="362" t="s">
        <v>1941</v>
      </c>
      <c r="I39" s="362" t="s">
        <v>1949</v>
      </c>
      <c r="J39" s="223" t="s">
        <v>92</v>
      </c>
      <c r="K39" s="223" t="s">
        <v>838</v>
      </c>
      <c r="L39" s="420">
        <v>0.05</v>
      </c>
      <c r="M39" s="346">
        <v>767.5</v>
      </c>
      <c r="N39" s="362" t="s">
        <v>1941</v>
      </c>
      <c r="O39" s="362" t="s">
        <v>2288</v>
      </c>
    </row>
    <row r="40">
      <c r="A40" s="223">
        <v>14.0</v>
      </c>
      <c r="B40" s="425">
        <v>3430.0</v>
      </c>
      <c r="C40" s="428">
        <v>46082.0</v>
      </c>
      <c r="D40" s="425" t="s">
        <v>2769</v>
      </c>
      <c r="E40" s="426">
        <v>46107.0</v>
      </c>
      <c r="F40" s="425">
        <v>206.0</v>
      </c>
      <c r="G40" s="428">
        <v>46082.0</v>
      </c>
      <c r="H40" s="362" t="s">
        <v>2770</v>
      </c>
      <c r="I40" s="362" t="s">
        <v>55</v>
      </c>
      <c r="J40" s="223">
        <v>50.0</v>
      </c>
      <c r="K40" s="223" t="s">
        <v>1168</v>
      </c>
      <c r="L40" s="223">
        <v>1200.0</v>
      </c>
      <c r="M40" s="346">
        <f>L40*J40</f>
        <v>60000</v>
      </c>
      <c r="N40" s="362" t="s">
        <v>2771</v>
      </c>
      <c r="O40" s="362" t="s">
        <v>2767</v>
      </c>
    </row>
    <row r="41">
      <c r="A41" s="422"/>
      <c r="B41" s="48"/>
      <c r="C41" s="48"/>
      <c r="D41" s="48"/>
      <c r="E41" s="48"/>
      <c r="F41" s="48"/>
      <c r="G41" s="48"/>
      <c r="H41" s="362" t="s">
        <v>2772</v>
      </c>
      <c r="I41" s="362" t="s">
        <v>55</v>
      </c>
      <c r="J41" s="223">
        <v>7.0</v>
      </c>
      <c r="K41" s="223" t="s">
        <v>1168</v>
      </c>
      <c r="L41" s="223">
        <v>249.0</v>
      </c>
      <c r="M41" s="346">
        <v>1743.0</v>
      </c>
      <c r="N41" s="362" t="s">
        <v>2771</v>
      </c>
      <c r="O41" s="362" t="s">
        <v>2767</v>
      </c>
    </row>
    <row r="42">
      <c r="A42" s="223">
        <v>15.0</v>
      </c>
      <c r="B42" s="425">
        <v>3184.0</v>
      </c>
      <c r="C42" s="428">
        <v>46113.0</v>
      </c>
      <c r="D42" s="425" t="s">
        <v>2773</v>
      </c>
      <c r="E42" s="426">
        <v>46154.0</v>
      </c>
      <c r="F42" s="425">
        <v>212.0</v>
      </c>
      <c r="G42" s="428">
        <v>46118.0</v>
      </c>
      <c r="H42" s="362" t="s">
        <v>2774</v>
      </c>
      <c r="I42" s="362" t="s">
        <v>29</v>
      </c>
      <c r="J42" s="223">
        <v>4.0</v>
      </c>
      <c r="K42" s="223" t="s">
        <v>2765</v>
      </c>
      <c r="L42" s="223">
        <v>3350.0</v>
      </c>
      <c r="M42" s="346">
        <f>L42*J42</f>
        <v>13400</v>
      </c>
      <c r="N42" s="362" t="s">
        <v>2342</v>
      </c>
      <c r="O42" s="362" t="s">
        <v>2775</v>
      </c>
    </row>
    <row r="43">
      <c r="A43" s="422"/>
      <c r="B43" s="48"/>
      <c r="C43" s="48"/>
      <c r="D43" s="48"/>
      <c r="E43" s="48"/>
      <c r="F43" s="48"/>
      <c r="G43" s="48"/>
      <c r="H43" s="362" t="s">
        <v>1941</v>
      </c>
      <c r="I43" s="362" t="s">
        <v>1949</v>
      </c>
      <c r="J43" s="223" t="s">
        <v>92</v>
      </c>
      <c r="K43" s="223" t="s">
        <v>838</v>
      </c>
      <c r="L43" s="420">
        <v>0.05</v>
      </c>
      <c r="M43" s="346">
        <v>670.0</v>
      </c>
      <c r="N43" s="362" t="s">
        <v>1941</v>
      </c>
      <c r="O43" s="362" t="s">
        <v>2288</v>
      </c>
    </row>
    <row r="44">
      <c r="A44" s="223">
        <v>16.0</v>
      </c>
      <c r="B44" s="425">
        <v>113.0</v>
      </c>
      <c r="C44" s="426">
        <v>46112.0</v>
      </c>
      <c r="D44" s="425" t="s">
        <v>2776</v>
      </c>
      <c r="E44" s="429">
        <v>46154.0</v>
      </c>
      <c r="F44" s="425">
        <v>211.0</v>
      </c>
      <c r="G44" s="427">
        <v>46113.0</v>
      </c>
      <c r="H44" s="362" t="s">
        <v>2762</v>
      </c>
      <c r="I44" s="362" t="s">
        <v>2084</v>
      </c>
      <c r="J44" s="223">
        <v>4.0</v>
      </c>
      <c r="K44" s="223" t="s">
        <v>256</v>
      </c>
      <c r="L44" s="223">
        <v>16000.0</v>
      </c>
      <c r="M44" s="346">
        <f>L44*J44</f>
        <v>64000</v>
      </c>
      <c r="N44" s="362" t="s">
        <v>208</v>
      </c>
      <c r="O44" s="362" t="s">
        <v>2775</v>
      </c>
    </row>
    <row r="45">
      <c r="A45" s="422"/>
      <c r="B45" s="48"/>
      <c r="C45" s="48"/>
      <c r="D45" s="48"/>
      <c r="E45" s="48"/>
      <c r="F45" s="48"/>
      <c r="G45" s="48"/>
      <c r="H45" s="362" t="s">
        <v>1941</v>
      </c>
      <c r="I45" s="362" t="s">
        <v>1949</v>
      </c>
      <c r="J45" s="223" t="s">
        <v>92</v>
      </c>
      <c r="K45" s="223" t="s">
        <v>838</v>
      </c>
      <c r="L45" s="420">
        <v>0.05</v>
      </c>
      <c r="M45" s="346">
        <v>3200.0</v>
      </c>
      <c r="N45" s="362" t="s">
        <v>1941</v>
      </c>
      <c r="O45" s="362" t="s">
        <v>2288</v>
      </c>
    </row>
    <row r="46">
      <c r="A46" s="223">
        <v>17.0</v>
      </c>
      <c r="B46" s="425">
        <v>133.0</v>
      </c>
      <c r="C46" s="429">
        <v>46116.0</v>
      </c>
      <c r="D46" s="425" t="s">
        <v>2776</v>
      </c>
      <c r="E46" s="429">
        <v>46154.0</v>
      </c>
      <c r="F46" s="425">
        <v>213.0</v>
      </c>
      <c r="G46" s="427">
        <v>46118.0</v>
      </c>
      <c r="H46" s="362" t="s">
        <v>2762</v>
      </c>
      <c r="I46" s="362" t="s">
        <v>2084</v>
      </c>
      <c r="J46" s="223">
        <v>3.0</v>
      </c>
      <c r="K46" s="223" t="s">
        <v>256</v>
      </c>
      <c r="L46" s="223">
        <v>16000.0</v>
      </c>
      <c r="M46" s="346">
        <f>L46*J46</f>
        <v>48000</v>
      </c>
      <c r="N46" s="362" t="s">
        <v>208</v>
      </c>
      <c r="O46" s="362" t="s">
        <v>2775</v>
      </c>
    </row>
    <row r="47">
      <c r="A47" s="422"/>
      <c r="B47" s="48"/>
      <c r="C47" s="48"/>
      <c r="D47" s="48"/>
      <c r="E47" s="48"/>
      <c r="F47" s="48"/>
      <c r="G47" s="48"/>
      <c r="H47" s="362" t="s">
        <v>1941</v>
      </c>
      <c r="I47" s="362" t="s">
        <v>1949</v>
      </c>
      <c r="J47" s="223" t="s">
        <v>92</v>
      </c>
      <c r="K47" s="223" t="s">
        <v>838</v>
      </c>
      <c r="L47" s="420">
        <v>0.05</v>
      </c>
      <c r="M47" s="346">
        <v>2400.0</v>
      </c>
      <c r="N47" s="362" t="s">
        <v>1941</v>
      </c>
      <c r="O47" s="362" t="s">
        <v>2288</v>
      </c>
    </row>
    <row r="48">
      <c r="A48" s="223">
        <v>18.0</v>
      </c>
      <c r="B48" s="425">
        <v>132.0</v>
      </c>
      <c r="C48" s="427">
        <v>46118.0</v>
      </c>
      <c r="D48" s="425" t="s">
        <v>2776</v>
      </c>
      <c r="E48" s="429">
        <v>46154.0</v>
      </c>
      <c r="F48" s="425">
        <v>213.0</v>
      </c>
      <c r="G48" s="427">
        <v>46118.0</v>
      </c>
      <c r="H48" s="362" t="s">
        <v>2777</v>
      </c>
      <c r="I48" s="362" t="s">
        <v>2084</v>
      </c>
      <c r="J48" s="223">
        <v>4.0</v>
      </c>
      <c r="K48" s="223" t="s">
        <v>256</v>
      </c>
      <c r="L48" s="223">
        <v>16000.0</v>
      </c>
      <c r="M48" s="346">
        <f>L48*J48</f>
        <v>64000</v>
      </c>
      <c r="N48" s="362" t="s">
        <v>208</v>
      </c>
      <c r="O48" s="362" t="s">
        <v>2775</v>
      </c>
    </row>
    <row r="49">
      <c r="A49" s="422"/>
      <c r="B49" s="48"/>
      <c r="C49" s="48"/>
      <c r="D49" s="48"/>
      <c r="E49" s="48"/>
      <c r="F49" s="48"/>
      <c r="G49" s="48"/>
      <c r="H49" s="362" t="s">
        <v>1941</v>
      </c>
      <c r="I49" s="362" t="s">
        <v>1949</v>
      </c>
      <c r="J49" s="223" t="s">
        <v>92</v>
      </c>
      <c r="K49" s="223" t="s">
        <v>838</v>
      </c>
      <c r="L49" s="420">
        <v>0.05</v>
      </c>
      <c r="M49" s="346">
        <v>3200.0</v>
      </c>
      <c r="N49" s="362" t="s">
        <v>1941</v>
      </c>
      <c r="O49" s="362" t="s">
        <v>2288</v>
      </c>
    </row>
    <row r="50">
      <c r="A50" s="223">
        <v>19.0</v>
      </c>
      <c r="B50" s="425">
        <v>134.0</v>
      </c>
      <c r="C50" s="429">
        <v>46126.0</v>
      </c>
      <c r="D50" s="425" t="s">
        <v>2776</v>
      </c>
      <c r="E50" s="429">
        <v>46154.0</v>
      </c>
      <c r="F50" s="425">
        <v>214.0</v>
      </c>
      <c r="G50" s="429">
        <v>46127.0</v>
      </c>
      <c r="H50" s="362" t="s">
        <v>2778</v>
      </c>
      <c r="I50" s="362" t="s">
        <v>2084</v>
      </c>
      <c r="J50" s="223">
        <v>6.0</v>
      </c>
      <c r="K50" s="223" t="s">
        <v>256</v>
      </c>
      <c r="L50" s="223">
        <v>16000.0</v>
      </c>
      <c r="M50" s="346">
        <f>L50*J50</f>
        <v>96000</v>
      </c>
      <c r="N50" s="362" t="s">
        <v>208</v>
      </c>
      <c r="O50" s="362" t="s">
        <v>2775</v>
      </c>
    </row>
    <row r="51">
      <c r="A51" s="422"/>
      <c r="B51" s="48"/>
      <c r="C51" s="48"/>
      <c r="D51" s="48"/>
      <c r="E51" s="48"/>
      <c r="F51" s="48"/>
      <c r="G51" s="48"/>
      <c r="H51" s="362" t="s">
        <v>1941</v>
      </c>
      <c r="I51" s="362" t="s">
        <v>1949</v>
      </c>
      <c r="J51" s="223" t="s">
        <v>92</v>
      </c>
      <c r="K51" s="223" t="s">
        <v>838</v>
      </c>
      <c r="L51" s="420">
        <v>0.05</v>
      </c>
      <c r="M51" s="346">
        <v>4800.0</v>
      </c>
      <c r="N51" s="362" t="s">
        <v>1941</v>
      </c>
      <c r="O51" s="362" t="s">
        <v>2300</v>
      </c>
    </row>
    <row r="52">
      <c r="A52" s="223">
        <v>20.0</v>
      </c>
      <c r="B52" s="425">
        <v>135.0</v>
      </c>
      <c r="C52" s="429">
        <v>46127.0</v>
      </c>
      <c r="D52" s="425" t="s">
        <v>2776</v>
      </c>
      <c r="E52" s="429">
        <v>46154.0</v>
      </c>
      <c r="F52" s="425">
        <v>214.0</v>
      </c>
      <c r="G52" s="429">
        <v>46127.0</v>
      </c>
      <c r="H52" s="362" t="s">
        <v>2762</v>
      </c>
      <c r="I52" s="362" t="s">
        <v>2084</v>
      </c>
      <c r="J52" s="223">
        <v>4.0</v>
      </c>
      <c r="K52" s="223" t="s">
        <v>256</v>
      </c>
      <c r="L52" s="223">
        <v>16000.0</v>
      </c>
      <c r="M52" s="346">
        <f>L52*J52</f>
        <v>64000</v>
      </c>
      <c r="N52" s="362" t="s">
        <v>208</v>
      </c>
      <c r="O52" s="362" t="s">
        <v>2775</v>
      </c>
    </row>
    <row r="53">
      <c r="A53" s="422"/>
      <c r="B53" s="48"/>
      <c r="C53" s="48"/>
      <c r="D53" s="48"/>
      <c r="E53" s="48"/>
      <c r="F53" s="48"/>
      <c r="G53" s="48"/>
      <c r="H53" s="362" t="s">
        <v>1941</v>
      </c>
      <c r="I53" s="362" t="s">
        <v>1949</v>
      </c>
      <c r="J53" s="223" t="s">
        <v>92</v>
      </c>
      <c r="K53" s="223" t="s">
        <v>838</v>
      </c>
      <c r="L53" s="420">
        <v>0.05</v>
      </c>
      <c r="M53" s="346">
        <v>3200.0</v>
      </c>
      <c r="N53" s="362" t="s">
        <v>1941</v>
      </c>
      <c r="O53" s="362" t="s">
        <v>2288</v>
      </c>
    </row>
    <row r="54">
      <c r="A54" s="223">
        <v>21.0</v>
      </c>
      <c r="B54" s="425">
        <v>320.0</v>
      </c>
      <c r="C54" s="427">
        <v>1.1003388E7</v>
      </c>
      <c r="D54" s="425" t="s">
        <v>2779</v>
      </c>
      <c r="E54" s="429">
        <v>46154.0</v>
      </c>
      <c r="F54" s="425">
        <v>212.0</v>
      </c>
      <c r="G54" s="427">
        <v>46118.0</v>
      </c>
      <c r="H54" s="362" t="s">
        <v>2780</v>
      </c>
      <c r="I54" s="362" t="s">
        <v>325</v>
      </c>
      <c r="J54" s="223">
        <v>3.0</v>
      </c>
      <c r="K54" s="223" t="s">
        <v>2765</v>
      </c>
      <c r="L54" s="223">
        <v>995.0</v>
      </c>
      <c r="M54" s="346">
        <f>L54*J54</f>
        <v>2985</v>
      </c>
      <c r="N54" s="362" t="s">
        <v>99</v>
      </c>
      <c r="O54" s="362" t="s">
        <v>2781</v>
      </c>
    </row>
    <row r="55">
      <c r="A55" s="422"/>
      <c r="B55" s="48"/>
      <c r="C55" s="48"/>
      <c r="D55" s="48"/>
      <c r="E55" s="48"/>
      <c r="F55" s="48"/>
      <c r="G55" s="48"/>
      <c r="H55" s="362" t="s">
        <v>1941</v>
      </c>
      <c r="I55" s="362" t="s">
        <v>1949</v>
      </c>
      <c r="J55" s="223" t="s">
        <v>92</v>
      </c>
      <c r="K55" s="223" t="s">
        <v>838</v>
      </c>
      <c r="L55" s="420">
        <v>0.05</v>
      </c>
      <c r="M55" s="346">
        <v>149.25</v>
      </c>
      <c r="N55" s="362" t="s">
        <v>1941</v>
      </c>
      <c r="O55" s="362" t="s">
        <v>2288</v>
      </c>
    </row>
    <row r="56">
      <c r="A56" s="223">
        <v>22.0</v>
      </c>
      <c r="B56" s="425">
        <v>13681.0</v>
      </c>
      <c r="C56" s="429">
        <v>46136.0</v>
      </c>
      <c r="D56" s="425" t="s">
        <v>2782</v>
      </c>
      <c r="E56" s="429">
        <v>46154.0</v>
      </c>
      <c r="F56" s="425">
        <v>215.0</v>
      </c>
      <c r="G56" s="429">
        <v>46136.0</v>
      </c>
      <c r="H56" s="362" t="s">
        <v>38</v>
      </c>
      <c r="I56" s="362" t="s">
        <v>2783</v>
      </c>
      <c r="J56" s="223">
        <v>50.0</v>
      </c>
      <c r="K56" s="223" t="s">
        <v>1168</v>
      </c>
      <c r="L56" s="223">
        <v>20.0</v>
      </c>
      <c r="M56" s="346">
        <f>L56*J56</f>
        <v>1000</v>
      </c>
      <c r="N56" s="362" t="s">
        <v>1381</v>
      </c>
      <c r="O56" s="362" t="s">
        <v>2775</v>
      </c>
    </row>
    <row r="57">
      <c r="A57" s="422"/>
      <c r="B57" s="48"/>
      <c r="C57" s="48"/>
      <c r="D57" s="48"/>
      <c r="E57" s="48"/>
      <c r="F57" s="48"/>
      <c r="G57" s="48"/>
      <c r="H57" s="362" t="s">
        <v>1941</v>
      </c>
      <c r="I57" s="362" t="s">
        <v>1949</v>
      </c>
      <c r="J57" s="223" t="s">
        <v>92</v>
      </c>
      <c r="K57" s="223" t="s">
        <v>838</v>
      </c>
      <c r="L57" s="420">
        <v>0.05</v>
      </c>
      <c r="M57" s="346">
        <v>50.0</v>
      </c>
      <c r="N57" s="362" t="s">
        <v>1941</v>
      </c>
      <c r="O57" s="362" t="s">
        <v>2288</v>
      </c>
    </row>
    <row r="58">
      <c r="A58" s="223">
        <v>23.0</v>
      </c>
      <c r="B58" s="223">
        <v>489936.0</v>
      </c>
      <c r="C58" s="424">
        <v>46136.0</v>
      </c>
      <c r="D58" s="223" t="s">
        <v>2782</v>
      </c>
      <c r="E58" s="424">
        <v>46154.0</v>
      </c>
      <c r="F58" s="223">
        <v>215.0</v>
      </c>
      <c r="G58" s="424">
        <v>46136.0</v>
      </c>
      <c r="H58" s="362" t="s">
        <v>2784</v>
      </c>
      <c r="I58" s="362" t="s">
        <v>2783</v>
      </c>
      <c r="J58" s="223">
        <v>50.0</v>
      </c>
      <c r="K58" s="223" t="s">
        <v>25</v>
      </c>
      <c r="L58" s="223">
        <v>102.9</v>
      </c>
      <c r="M58" s="346">
        <f t="shared" ref="M58:M84" si="3">L58*J58</f>
        <v>5145</v>
      </c>
      <c r="N58" s="362" t="s">
        <v>2785</v>
      </c>
      <c r="O58" s="362" t="s">
        <v>2775</v>
      </c>
    </row>
    <row r="59">
      <c r="A59" s="223"/>
      <c r="B59" s="223"/>
      <c r="C59" s="430"/>
      <c r="D59" s="223"/>
      <c r="E59" s="424"/>
      <c r="F59" s="223"/>
      <c r="G59" s="424"/>
      <c r="H59" s="362"/>
      <c r="I59" s="143"/>
      <c r="J59" s="422"/>
      <c r="K59" s="422"/>
      <c r="L59" s="422"/>
      <c r="M59" s="346">
        <f t="shared" si="3"/>
        <v>0</v>
      </c>
      <c r="N59" s="143"/>
      <c r="O59" s="143"/>
    </row>
    <row r="60">
      <c r="A60" s="422"/>
      <c r="B60" s="422"/>
      <c r="C60" s="422"/>
      <c r="D60" s="422"/>
      <c r="E60" s="422"/>
      <c r="F60" s="422"/>
      <c r="G60" s="422"/>
      <c r="H60" s="143"/>
      <c r="I60" s="143"/>
      <c r="J60" s="422"/>
      <c r="K60" s="422"/>
      <c r="L60" s="422"/>
      <c r="M60" s="346">
        <f t="shared" si="3"/>
        <v>0</v>
      </c>
      <c r="N60" s="143"/>
      <c r="O60" s="143"/>
    </row>
    <row r="61">
      <c r="A61" s="422"/>
      <c r="B61" s="422"/>
      <c r="C61" s="422"/>
      <c r="D61" s="422"/>
      <c r="E61" s="422"/>
      <c r="F61" s="422"/>
      <c r="G61" s="422"/>
      <c r="H61" s="143"/>
      <c r="I61" s="143"/>
      <c r="J61" s="422"/>
      <c r="K61" s="422"/>
      <c r="L61" s="422"/>
      <c r="M61" s="346">
        <f t="shared" si="3"/>
        <v>0</v>
      </c>
      <c r="N61" s="143"/>
      <c r="O61" s="143"/>
    </row>
    <row r="62">
      <c r="A62" s="422"/>
      <c r="B62" s="422"/>
      <c r="C62" s="422"/>
      <c r="D62" s="422"/>
      <c r="E62" s="422"/>
      <c r="F62" s="422"/>
      <c r="G62" s="422"/>
      <c r="H62" s="143"/>
      <c r="I62" s="143"/>
      <c r="J62" s="422"/>
      <c r="K62" s="422"/>
      <c r="L62" s="422"/>
      <c r="M62" s="346">
        <f t="shared" si="3"/>
        <v>0</v>
      </c>
      <c r="N62" s="143"/>
      <c r="O62" s="143"/>
    </row>
    <row r="63">
      <c r="A63" s="422"/>
      <c r="B63" s="422"/>
      <c r="C63" s="422"/>
      <c r="D63" s="422"/>
      <c r="E63" s="422"/>
      <c r="F63" s="422"/>
      <c r="G63" s="422"/>
      <c r="H63" s="143"/>
      <c r="I63" s="143"/>
      <c r="J63" s="422"/>
      <c r="K63" s="422"/>
      <c r="L63" s="422"/>
      <c r="M63" s="346">
        <f t="shared" si="3"/>
        <v>0</v>
      </c>
      <c r="N63" s="143"/>
      <c r="O63" s="143"/>
    </row>
    <row r="64">
      <c r="A64" s="422"/>
      <c r="B64" s="422"/>
      <c r="C64" s="422"/>
      <c r="D64" s="422"/>
      <c r="E64" s="422"/>
      <c r="F64" s="422"/>
      <c r="G64" s="422"/>
      <c r="H64" s="143"/>
      <c r="I64" s="143"/>
      <c r="J64" s="422"/>
      <c r="K64" s="422"/>
      <c r="L64" s="422"/>
      <c r="M64" s="346">
        <f t="shared" si="3"/>
        <v>0</v>
      </c>
      <c r="N64" s="143"/>
      <c r="O64" s="143"/>
    </row>
    <row r="65">
      <c r="A65" s="422"/>
      <c r="B65" s="422"/>
      <c r="C65" s="422"/>
      <c r="D65" s="422"/>
      <c r="E65" s="422"/>
      <c r="F65" s="422"/>
      <c r="G65" s="422"/>
      <c r="H65" s="143"/>
      <c r="I65" s="143"/>
      <c r="J65" s="422"/>
      <c r="K65" s="422"/>
      <c r="L65" s="422"/>
      <c r="M65" s="346">
        <f t="shared" si="3"/>
        <v>0</v>
      </c>
      <c r="N65" s="143"/>
      <c r="O65" s="143"/>
    </row>
    <row r="66">
      <c r="A66" s="422"/>
      <c r="B66" s="422"/>
      <c r="C66" s="422"/>
      <c r="D66" s="422"/>
      <c r="E66" s="422"/>
      <c r="F66" s="422"/>
      <c r="G66" s="422"/>
      <c r="H66" s="143"/>
      <c r="I66" s="143"/>
      <c r="J66" s="422"/>
      <c r="K66" s="422"/>
      <c r="L66" s="422"/>
      <c r="M66" s="346">
        <f t="shared" si="3"/>
        <v>0</v>
      </c>
      <c r="N66" s="143"/>
      <c r="O66" s="143"/>
    </row>
    <row r="67">
      <c r="A67" s="422"/>
      <c r="B67" s="422"/>
      <c r="C67" s="422"/>
      <c r="D67" s="422"/>
      <c r="E67" s="422"/>
      <c r="F67" s="422"/>
      <c r="G67" s="422"/>
      <c r="H67" s="143"/>
      <c r="I67" s="143"/>
      <c r="J67" s="422"/>
      <c r="K67" s="422"/>
      <c r="L67" s="422"/>
      <c r="M67" s="346">
        <f t="shared" si="3"/>
        <v>0</v>
      </c>
      <c r="N67" s="143"/>
      <c r="O67" s="143"/>
    </row>
    <row r="68">
      <c r="A68" s="422"/>
      <c r="B68" s="422"/>
      <c r="C68" s="422"/>
      <c r="D68" s="422"/>
      <c r="E68" s="422"/>
      <c r="F68" s="422"/>
      <c r="G68" s="422"/>
      <c r="H68" s="143"/>
      <c r="I68" s="143"/>
      <c r="J68" s="422"/>
      <c r="K68" s="422"/>
      <c r="L68" s="422"/>
      <c r="M68" s="346">
        <f t="shared" si="3"/>
        <v>0</v>
      </c>
      <c r="N68" s="143"/>
      <c r="O68" s="143"/>
    </row>
    <row r="69">
      <c r="A69" s="422"/>
      <c r="B69" s="422"/>
      <c r="C69" s="422"/>
      <c r="D69" s="422"/>
      <c r="E69" s="422"/>
      <c r="F69" s="422"/>
      <c r="G69" s="422"/>
      <c r="H69" s="143"/>
      <c r="I69" s="143"/>
      <c r="J69" s="422"/>
      <c r="K69" s="422"/>
      <c r="L69" s="422"/>
      <c r="M69" s="346">
        <f t="shared" si="3"/>
        <v>0</v>
      </c>
      <c r="N69" s="143"/>
      <c r="O69" s="143"/>
    </row>
    <row r="70">
      <c r="A70" s="422"/>
      <c r="B70" s="422"/>
      <c r="C70" s="422"/>
      <c r="D70" s="422"/>
      <c r="E70" s="422"/>
      <c r="F70" s="422"/>
      <c r="G70" s="422"/>
      <c r="H70" s="143"/>
      <c r="I70" s="143"/>
      <c r="J70" s="422"/>
      <c r="K70" s="422"/>
      <c r="L70" s="422"/>
      <c r="M70" s="346">
        <f t="shared" si="3"/>
        <v>0</v>
      </c>
      <c r="N70" s="143"/>
      <c r="O70" s="143"/>
    </row>
    <row r="71">
      <c r="A71" s="422"/>
      <c r="B71" s="422"/>
      <c r="C71" s="422"/>
      <c r="D71" s="422"/>
      <c r="E71" s="422"/>
      <c r="F71" s="422"/>
      <c r="G71" s="422"/>
      <c r="H71" s="143"/>
      <c r="I71" s="143"/>
      <c r="J71" s="422"/>
      <c r="K71" s="422"/>
      <c r="L71" s="422"/>
      <c r="M71" s="346">
        <f t="shared" si="3"/>
        <v>0</v>
      </c>
      <c r="N71" s="143"/>
      <c r="O71" s="143"/>
    </row>
    <row r="72">
      <c r="A72" s="422"/>
      <c r="B72" s="422"/>
      <c r="C72" s="422"/>
      <c r="D72" s="422"/>
      <c r="E72" s="422"/>
      <c r="F72" s="422"/>
      <c r="G72" s="422"/>
      <c r="H72" s="143"/>
      <c r="I72" s="143"/>
      <c r="J72" s="422"/>
      <c r="K72" s="422"/>
      <c r="L72" s="422"/>
      <c r="M72" s="346">
        <f t="shared" si="3"/>
        <v>0</v>
      </c>
      <c r="N72" s="143"/>
      <c r="O72" s="143"/>
    </row>
    <row r="73">
      <c r="A73" s="422"/>
      <c r="B73" s="422"/>
      <c r="C73" s="422"/>
      <c r="D73" s="422"/>
      <c r="E73" s="422"/>
      <c r="F73" s="422"/>
      <c r="G73" s="422"/>
      <c r="H73" s="143"/>
      <c r="I73" s="143"/>
      <c r="J73" s="422"/>
      <c r="K73" s="422"/>
      <c r="L73" s="422"/>
      <c r="M73" s="346">
        <f t="shared" si="3"/>
        <v>0</v>
      </c>
      <c r="N73" s="143"/>
      <c r="O73" s="143"/>
    </row>
    <row r="74">
      <c r="A74" s="422"/>
      <c r="B74" s="422"/>
      <c r="C74" s="422"/>
      <c r="D74" s="422"/>
      <c r="E74" s="422"/>
      <c r="F74" s="422"/>
      <c r="G74" s="422"/>
      <c r="H74" s="143"/>
      <c r="I74" s="143"/>
      <c r="J74" s="422"/>
      <c r="K74" s="422"/>
      <c r="L74" s="422"/>
      <c r="M74" s="346">
        <f t="shared" si="3"/>
        <v>0</v>
      </c>
      <c r="N74" s="143"/>
      <c r="O74" s="143"/>
    </row>
    <row r="75">
      <c r="A75" s="422"/>
      <c r="B75" s="422"/>
      <c r="C75" s="422"/>
      <c r="D75" s="422"/>
      <c r="E75" s="422"/>
      <c r="F75" s="422"/>
      <c r="G75" s="422"/>
      <c r="H75" s="143"/>
      <c r="I75" s="143"/>
      <c r="J75" s="422"/>
      <c r="K75" s="422"/>
      <c r="L75" s="422"/>
      <c r="M75" s="346">
        <f t="shared" si="3"/>
        <v>0</v>
      </c>
      <c r="N75" s="143"/>
      <c r="O75" s="143"/>
    </row>
    <row r="76">
      <c r="A76" s="422"/>
      <c r="B76" s="422"/>
      <c r="C76" s="422"/>
      <c r="D76" s="422"/>
      <c r="E76" s="422"/>
      <c r="F76" s="422"/>
      <c r="G76" s="422"/>
      <c r="H76" s="143"/>
      <c r="I76" s="143"/>
      <c r="J76" s="422"/>
      <c r="K76" s="422"/>
      <c r="L76" s="422"/>
      <c r="M76" s="346">
        <f t="shared" si="3"/>
        <v>0</v>
      </c>
      <c r="N76" s="143"/>
      <c r="O76" s="143"/>
    </row>
    <row r="77">
      <c r="A77" s="422"/>
      <c r="B77" s="422"/>
      <c r="C77" s="422"/>
      <c r="D77" s="422"/>
      <c r="E77" s="422"/>
      <c r="F77" s="422"/>
      <c r="G77" s="422"/>
      <c r="H77" s="143"/>
      <c r="I77" s="143"/>
      <c r="J77" s="422"/>
      <c r="K77" s="422"/>
      <c r="L77" s="422"/>
      <c r="M77" s="346">
        <f t="shared" si="3"/>
        <v>0</v>
      </c>
      <c r="N77" s="143"/>
      <c r="O77" s="143"/>
    </row>
    <row r="78">
      <c r="A78" s="422"/>
      <c r="B78" s="422"/>
      <c r="C78" s="422"/>
      <c r="D78" s="422"/>
      <c r="E78" s="422"/>
      <c r="F78" s="422"/>
      <c r="G78" s="422"/>
      <c r="H78" s="143"/>
      <c r="I78" s="143"/>
      <c r="J78" s="422"/>
      <c r="K78" s="422"/>
      <c r="L78" s="422"/>
      <c r="M78" s="346">
        <f t="shared" si="3"/>
        <v>0</v>
      </c>
      <c r="N78" s="143"/>
      <c r="O78" s="143"/>
    </row>
    <row r="79">
      <c r="A79" s="422"/>
      <c r="B79" s="422"/>
      <c r="C79" s="422"/>
      <c r="D79" s="422"/>
      <c r="E79" s="422"/>
      <c r="F79" s="422"/>
      <c r="G79" s="422"/>
      <c r="H79" s="143"/>
      <c r="I79" s="143"/>
      <c r="J79" s="422"/>
      <c r="K79" s="422"/>
      <c r="L79" s="422"/>
      <c r="M79" s="346">
        <f t="shared" si="3"/>
        <v>0</v>
      </c>
      <c r="N79" s="143"/>
      <c r="O79" s="143"/>
    </row>
    <row r="80">
      <c r="A80" s="422"/>
      <c r="B80" s="422"/>
      <c r="C80" s="422"/>
      <c r="D80" s="422"/>
      <c r="E80" s="422"/>
      <c r="F80" s="422"/>
      <c r="G80" s="422"/>
      <c r="H80" s="143"/>
      <c r="I80" s="143"/>
      <c r="J80" s="422"/>
      <c r="K80" s="422"/>
      <c r="L80" s="422"/>
      <c r="M80" s="346">
        <f t="shared" si="3"/>
        <v>0</v>
      </c>
      <c r="N80" s="143"/>
      <c r="O80" s="143"/>
    </row>
    <row r="81">
      <c r="A81" s="422"/>
      <c r="B81" s="422"/>
      <c r="C81" s="422"/>
      <c r="D81" s="422"/>
      <c r="E81" s="422"/>
      <c r="F81" s="422"/>
      <c r="G81" s="422"/>
      <c r="H81" s="143"/>
      <c r="I81" s="143"/>
      <c r="J81" s="422"/>
      <c r="K81" s="422"/>
      <c r="L81" s="422"/>
      <c r="M81" s="346">
        <f t="shared" si="3"/>
        <v>0</v>
      </c>
      <c r="N81" s="143"/>
      <c r="O81" s="143"/>
    </row>
    <row r="82">
      <c r="A82" s="422"/>
      <c r="B82" s="422"/>
      <c r="C82" s="422"/>
      <c r="D82" s="422"/>
      <c r="E82" s="422"/>
      <c r="F82" s="422"/>
      <c r="G82" s="422"/>
      <c r="H82" s="143"/>
      <c r="I82" s="143"/>
      <c r="J82" s="422"/>
      <c r="K82" s="422"/>
      <c r="L82" s="422"/>
      <c r="M82" s="346">
        <f t="shared" si="3"/>
        <v>0</v>
      </c>
      <c r="N82" s="143"/>
      <c r="O82" s="143"/>
    </row>
    <row r="83">
      <c r="A83" s="422"/>
      <c r="B83" s="422"/>
      <c r="C83" s="422"/>
      <c r="D83" s="422"/>
      <c r="E83" s="422"/>
      <c r="F83" s="422"/>
      <c r="G83" s="422"/>
      <c r="H83" s="143"/>
      <c r="I83" s="143"/>
      <c r="J83" s="422"/>
      <c r="K83" s="422"/>
      <c r="L83" s="422"/>
      <c r="M83" s="346">
        <f t="shared" si="3"/>
        <v>0</v>
      </c>
      <c r="N83" s="143"/>
      <c r="O83" s="143"/>
    </row>
    <row r="84">
      <c r="A84" s="422"/>
      <c r="B84" s="422"/>
      <c r="C84" s="422"/>
      <c r="D84" s="422"/>
      <c r="E84" s="422"/>
      <c r="F84" s="422"/>
      <c r="G84" s="422"/>
      <c r="H84" s="143"/>
      <c r="I84" s="143"/>
      <c r="J84" s="422"/>
      <c r="K84" s="422"/>
      <c r="L84" s="422"/>
      <c r="M84" s="346">
        <f t="shared" si="3"/>
        <v>0</v>
      </c>
      <c r="N84" s="143"/>
      <c r="O84" s="143"/>
    </row>
    <row r="85">
      <c r="A85" s="291"/>
      <c r="B85" s="291"/>
      <c r="C85" s="291"/>
      <c r="D85" s="291"/>
      <c r="E85" s="291"/>
      <c r="F85" s="291"/>
      <c r="G85" s="291"/>
      <c r="J85" s="291"/>
      <c r="K85" s="291"/>
      <c r="L85" s="291"/>
      <c r="M85" s="431">
        <f>SUM(M5:M84)</f>
        <v>708793.85</v>
      </c>
    </row>
    <row r="86">
      <c r="A86" s="291"/>
      <c r="B86" s="291"/>
      <c r="C86" s="291"/>
      <c r="D86" s="291"/>
      <c r="E86" s="291"/>
      <c r="F86" s="291"/>
      <c r="G86" s="291"/>
      <c r="J86" s="291"/>
      <c r="K86" s="291"/>
      <c r="L86" s="291"/>
      <c r="M86" s="292"/>
    </row>
    <row r="87">
      <c r="A87" s="291"/>
      <c r="B87" s="291"/>
      <c r="C87" s="291"/>
      <c r="D87" s="291"/>
      <c r="E87" s="291"/>
      <c r="F87" s="291"/>
      <c r="G87" s="291"/>
      <c r="J87" s="291"/>
      <c r="K87" s="291"/>
      <c r="L87" s="291"/>
      <c r="M87" s="292"/>
    </row>
    <row r="88">
      <c r="A88" s="291"/>
      <c r="B88" s="291"/>
      <c r="C88" s="291"/>
      <c r="D88" s="291"/>
      <c r="E88" s="291"/>
      <c r="F88" s="291"/>
      <c r="G88" s="291"/>
      <c r="J88" s="291"/>
      <c r="K88" s="291"/>
      <c r="L88" s="291"/>
      <c r="M88" s="292"/>
    </row>
    <row r="89">
      <c r="A89" s="291"/>
      <c r="B89" s="291"/>
      <c r="C89" s="291"/>
      <c r="D89" s="291"/>
      <c r="E89" s="291"/>
      <c r="F89" s="291"/>
      <c r="G89" s="291"/>
      <c r="J89" s="291"/>
      <c r="K89" s="291"/>
      <c r="L89" s="291"/>
      <c r="M89" s="292"/>
    </row>
    <row r="90">
      <c r="A90" s="291"/>
      <c r="B90" s="291"/>
      <c r="C90" s="291"/>
      <c r="D90" s="291"/>
      <c r="E90" s="291"/>
      <c r="F90" s="291"/>
      <c r="G90" s="291"/>
      <c r="J90" s="291"/>
      <c r="K90" s="291"/>
      <c r="L90" s="291"/>
      <c r="M90" s="292"/>
    </row>
    <row r="91">
      <c r="A91" s="291"/>
      <c r="B91" s="291"/>
      <c r="C91" s="291"/>
      <c r="D91" s="291"/>
      <c r="E91" s="291"/>
      <c r="F91" s="291"/>
      <c r="G91" s="291"/>
      <c r="J91" s="291"/>
      <c r="K91" s="291"/>
      <c r="L91" s="291"/>
      <c r="M91" s="292"/>
    </row>
    <row r="92">
      <c r="A92" s="291"/>
      <c r="B92" s="291"/>
      <c r="C92" s="291"/>
      <c r="D92" s="291"/>
      <c r="E92" s="291"/>
      <c r="F92" s="291"/>
      <c r="G92" s="291"/>
      <c r="J92" s="291"/>
      <c r="K92" s="291"/>
      <c r="L92" s="291"/>
      <c r="M92" s="292"/>
    </row>
    <row r="93">
      <c r="A93" s="291"/>
      <c r="B93" s="291"/>
      <c r="C93" s="291"/>
      <c r="D93" s="291"/>
      <c r="E93" s="291"/>
      <c r="F93" s="291"/>
      <c r="G93" s="291"/>
      <c r="J93" s="291"/>
      <c r="K93" s="291"/>
      <c r="L93" s="291"/>
      <c r="M93" s="292"/>
    </row>
    <row r="94">
      <c r="A94" s="291"/>
      <c r="B94" s="291"/>
      <c r="C94" s="291"/>
      <c r="D94" s="291"/>
      <c r="E94" s="291"/>
      <c r="F94" s="291"/>
      <c r="G94" s="291"/>
      <c r="J94" s="291"/>
      <c r="K94" s="291"/>
      <c r="L94" s="291"/>
      <c r="M94" s="292"/>
    </row>
    <row r="95">
      <c r="A95" s="291"/>
      <c r="B95" s="291"/>
      <c r="C95" s="291"/>
      <c r="D95" s="291"/>
      <c r="E95" s="291"/>
      <c r="F95" s="291"/>
      <c r="G95" s="291"/>
      <c r="J95" s="291"/>
      <c r="K95" s="291"/>
      <c r="L95" s="291"/>
      <c r="M95" s="292"/>
    </row>
    <row r="96">
      <c r="A96" s="291"/>
      <c r="B96" s="291"/>
      <c r="C96" s="291"/>
      <c r="D96" s="291"/>
      <c r="E96" s="291"/>
      <c r="F96" s="291"/>
      <c r="G96" s="291"/>
      <c r="J96" s="291"/>
      <c r="K96" s="291"/>
      <c r="L96" s="291"/>
      <c r="M96" s="292"/>
    </row>
    <row r="97">
      <c r="A97" s="291"/>
      <c r="B97" s="291"/>
      <c r="C97" s="291"/>
      <c r="D97" s="291"/>
      <c r="E97" s="291"/>
      <c r="F97" s="291"/>
      <c r="G97" s="291"/>
      <c r="J97" s="291"/>
      <c r="K97" s="291"/>
      <c r="L97" s="291"/>
      <c r="M97" s="292"/>
    </row>
    <row r="98">
      <c r="A98" s="291"/>
      <c r="B98" s="291"/>
      <c r="C98" s="291"/>
      <c r="D98" s="291"/>
      <c r="E98" s="291"/>
      <c r="F98" s="291"/>
      <c r="G98" s="291"/>
      <c r="J98" s="291"/>
      <c r="K98" s="291"/>
      <c r="L98" s="291"/>
      <c r="M98" s="292"/>
    </row>
    <row r="99">
      <c r="A99" s="291"/>
      <c r="B99" s="291"/>
      <c r="C99" s="291"/>
      <c r="D99" s="291"/>
      <c r="E99" s="291"/>
      <c r="F99" s="291"/>
      <c r="G99" s="291"/>
      <c r="J99" s="291"/>
      <c r="K99" s="291"/>
      <c r="L99" s="291"/>
      <c r="M99" s="292"/>
    </row>
    <row r="100">
      <c r="A100" s="291"/>
      <c r="B100" s="291"/>
      <c r="C100" s="291"/>
      <c r="D100" s="291"/>
      <c r="E100" s="291"/>
      <c r="F100" s="291"/>
      <c r="G100" s="291"/>
      <c r="J100" s="291"/>
      <c r="K100" s="291"/>
      <c r="L100" s="291"/>
      <c r="M100" s="292"/>
    </row>
    <row r="101">
      <c r="A101" s="291"/>
      <c r="B101" s="291"/>
      <c r="C101" s="291"/>
      <c r="D101" s="291"/>
      <c r="E101" s="291"/>
      <c r="F101" s="291"/>
      <c r="G101" s="291"/>
      <c r="J101" s="291"/>
      <c r="K101" s="291"/>
      <c r="L101" s="291"/>
      <c r="M101" s="292"/>
    </row>
    <row r="102">
      <c r="A102" s="291"/>
      <c r="B102" s="291"/>
      <c r="C102" s="291"/>
      <c r="D102" s="291"/>
      <c r="E102" s="291"/>
      <c r="F102" s="291"/>
      <c r="G102" s="291"/>
      <c r="J102" s="291"/>
      <c r="K102" s="291"/>
      <c r="L102" s="291"/>
      <c r="M102" s="292"/>
    </row>
    <row r="103">
      <c r="A103" s="291"/>
      <c r="B103" s="291"/>
      <c r="C103" s="291"/>
      <c r="D103" s="291"/>
      <c r="E103" s="291"/>
      <c r="F103" s="291"/>
      <c r="G103" s="291"/>
      <c r="J103" s="291"/>
      <c r="K103" s="291"/>
      <c r="L103" s="291"/>
      <c r="M103" s="292"/>
    </row>
    <row r="104">
      <c r="A104" s="291"/>
      <c r="B104" s="291"/>
      <c r="C104" s="291"/>
      <c r="D104" s="291"/>
      <c r="E104" s="291"/>
      <c r="F104" s="291"/>
      <c r="G104" s="291"/>
      <c r="J104" s="291"/>
      <c r="K104" s="291"/>
      <c r="L104" s="291"/>
      <c r="M104" s="292"/>
    </row>
    <row r="105">
      <c r="A105" s="291"/>
      <c r="B105" s="291"/>
      <c r="C105" s="291"/>
      <c r="D105" s="291"/>
      <c r="E105" s="291"/>
      <c r="F105" s="291"/>
      <c r="G105" s="291"/>
      <c r="J105" s="291"/>
      <c r="K105" s="291"/>
      <c r="L105" s="291"/>
      <c r="M105" s="292"/>
    </row>
    <row r="106">
      <c r="A106" s="291"/>
      <c r="B106" s="291"/>
      <c r="C106" s="291"/>
      <c r="D106" s="291"/>
      <c r="E106" s="291"/>
      <c r="F106" s="291"/>
      <c r="G106" s="291"/>
      <c r="J106" s="291"/>
      <c r="K106" s="291"/>
      <c r="L106" s="291"/>
      <c r="M106" s="292"/>
    </row>
    <row r="107">
      <c r="A107" s="291"/>
      <c r="B107" s="291"/>
      <c r="C107" s="291"/>
      <c r="D107" s="291"/>
      <c r="E107" s="291"/>
      <c r="F107" s="291"/>
      <c r="G107" s="291"/>
      <c r="J107" s="291"/>
      <c r="K107" s="291"/>
      <c r="L107" s="291"/>
      <c r="M107" s="292"/>
    </row>
    <row r="108">
      <c r="A108" s="291"/>
      <c r="B108" s="291"/>
      <c r="C108" s="291"/>
      <c r="D108" s="291"/>
      <c r="E108" s="291"/>
      <c r="F108" s="291"/>
      <c r="G108" s="291"/>
      <c r="J108" s="291"/>
      <c r="K108" s="291"/>
      <c r="L108" s="291"/>
      <c r="M108" s="292"/>
    </row>
    <row r="109">
      <c r="A109" s="291"/>
      <c r="B109" s="291"/>
      <c r="C109" s="291"/>
      <c r="D109" s="291"/>
      <c r="E109" s="291"/>
      <c r="F109" s="291"/>
      <c r="G109" s="291"/>
      <c r="J109" s="291"/>
      <c r="K109" s="291"/>
      <c r="L109" s="291"/>
      <c r="M109" s="292"/>
    </row>
    <row r="110">
      <c r="A110" s="291"/>
      <c r="B110" s="291"/>
      <c r="C110" s="291"/>
      <c r="D110" s="291"/>
      <c r="E110" s="291"/>
      <c r="F110" s="291"/>
      <c r="G110" s="291"/>
      <c r="J110" s="291"/>
      <c r="K110" s="291"/>
      <c r="L110" s="291"/>
      <c r="M110" s="292"/>
    </row>
    <row r="111">
      <c r="A111" s="291"/>
      <c r="B111" s="291"/>
      <c r="C111" s="291"/>
      <c r="D111" s="291"/>
      <c r="E111" s="291"/>
      <c r="F111" s="291"/>
      <c r="G111" s="291"/>
      <c r="J111" s="291"/>
      <c r="K111" s="291"/>
      <c r="L111" s="291"/>
      <c r="M111" s="292"/>
    </row>
    <row r="112">
      <c r="A112" s="291"/>
      <c r="B112" s="291"/>
      <c r="C112" s="291"/>
      <c r="D112" s="291"/>
      <c r="E112" s="291"/>
      <c r="F112" s="291"/>
      <c r="G112" s="291"/>
      <c r="J112" s="291"/>
      <c r="K112" s="291"/>
      <c r="L112" s="291"/>
      <c r="M112" s="292"/>
    </row>
    <row r="113">
      <c r="A113" s="291"/>
      <c r="B113" s="291"/>
      <c r="C113" s="291"/>
      <c r="D113" s="291"/>
      <c r="E113" s="291"/>
      <c r="F113" s="291"/>
      <c r="G113" s="291"/>
      <c r="J113" s="291"/>
      <c r="K113" s="291"/>
      <c r="L113" s="291"/>
      <c r="M113" s="292"/>
    </row>
    <row r="114">
      <c r="A114" s="291"/>
      <c r="B114" s="291"/>
      <c r="C114" s="291"/>
      <c r="D114" s="291"/>
      <c r="E114" s="291"/>
      <c r="F114" s="291"/>
      <c r="G114" s="291"/>
      <c r="J114" s="291"/>
      <c r="K114" s="291"/>
      <c r="L114" s="291"/>
      <c r="M114" s="292"/>
    </row>
    <row r="115">
      <c r="A115" s="291"/>
      <c r="B115" s="291"/>
      <c r="C115" s="291"/>
      <c r="D115" s="291"/>
      <c r="E115" s="291"/>
      <c r="F115" s="291"/>
      <c r="G115" s="291"/>
      <c r="J115" s="291"/>
      <c r="K115" s="291"/>
      <c r="L115" s="291"/>
      <c r="M115" s="292"/>
    </row>
    <row r="116">
      <c r="A116" s="291"/>
      <c r="B116" s="291"/>
      <c r="C116" s="291"/>
      <c r="D116" s="291"/>
      <c r="E116" s="291"/>
      <c r="F116" s="291"/>
      <c r="G116" s="291"/>
      <c r="J116" s="291"/>
      <c r="K116" s="291"/>
      <c r="L116" s="291"/>
      <c r="M116" s="292"/>
    </row>
    <row r="117">
      <c r="A117" s="291"/>
      <c r="B117" s="291"/>
      <c r="C117" s="291"/>
      <c r="D117" s="291"/>
      <c r="E117" s="291"/>
      <c r="F117" s="291"/>
      <c r="G117" s="291"/>
      <c r="J117" s="291"/>
      <c r="K117" s="291"/>
      <c r="L117" s="291"/>
      <c r="M117" s="292"/>
    </row>
    <row r="118">
      <c r="A118" s="291"/>
      <c r="B118" s="291"/>
      <c r="C118" s="291"/>
      <c r="D118" s="291"/>
      <c r="E118" s="291"/>
      <c r="F118" s="291"/>
      <c r="G118" s="291"/>
      <c r="J118" s="291"/>
      <c r="K118" s="291"/>
      <c r="L118" s="291"/>
      <c r="M118" s="292"/>
    </row>
    <row r="119">
      <c r="A119" s="291"/>
      <c r="B119" s="291"/>
      <c r="C119" s="291"/>
      <c r="D119" s="291"/>
      <c r="E119" s="291"/>
      <c r="F119" s="291"/>
      <c r="G119" s="291"/>
      <c r="J119" s="291"/>
      <c r="K119" s="291"/>
      <c r="L119" s="291"/>
      <c r="M119" s="292"/>
    </row>
    <row r="120">
      <c r="A120" s="291"/>
      <c r="B120" s="291"/>
      <c r="C120" s="291"/>
      <c r="D120" s="291"/>
      <c r="E120" s="291"/>
      <c r="F120" s="291"/>
      <c r="G120" s="291"/>
      <c r="J120" s="291"/>
      <c r="K120" s="291"/>
      <c r="L120" s="291"/>
      <c r="M120" s="292"/>
    </row>
    <row r="121">
      <c r="A121" s="291"/>
      <c r="B121" s="291"/>
      <c r="C121" s="291"/>
      <c r="D121" s="291"/>
      <c r="E121" s="291"/>
      <c r="F121" s="291"/>
      <c r="G121" s="291"/>
      <c r="J121" s="291"/>
      <c r="K121" s="291"/>
      <c r="L121" s="291"/>
      <c r="M121" s="292"/>
    </row>
    <row r="122">
      <c r="A122" s="291"/>
      <c r="B122" s="291"/>
      <c r="C122" s="291"/>
      <c r="D122" s="291"/>
      <c r="E122" s="291"/>
      <c r="F122" s="291"/>
      <c r="G122" s="291"/>
      <c r="J122" s="291"/>
      <c r="K122" s="291"/>
      <c r="L122" s="291"/>
      <c r="M122" s="292"/>
    </row>
    <row r="123">
      <c r="A123" s="291"/>
      <c r="B123" s="291"/>
      <c r="C123" s="291"/>
      <c r="D123" s="291"/>
      <c r="E123" s="291"/>
      <c r="F123" s="291"/>
      <c r="G123" s="291"/>
      <c r="J123" s="291"/>
      <c r="K123" s="291"/>
      <c r="L123" s="291"/>
      <c r="M123" s="292"/>
    </row>
    <row r="124">
      <c r="A124" s="291"/>
      <c r="B124" s="291"/>
      <c r="C124" s="291"/>
      <c r="D124" s="291"/>
      <c r="E124" s="291"/>
      <c r="F124" s="291"/>
      <c r="G124" s="291"/>
      <c r="J124" s="291"/>
      <c r="K124" s="291"/>
      <c r="L124" s="291"/>
      <c r="M124" s="292"/>
    </row>
    <row r="125">
      <c r="A125" s="291"/>
      <c r="B125" s="291"/>
      <c r="C125" s="291"/>
      <c r="D125" s="291"/>
      <c r="E125" s="291"/>
      <c r="F125" s="291"/>
      <c r="G125" s="291"/>
      <c r="J125" s="291"/>
      <c r="K125" s="291"/>
      <c r="L125" s="291"/>
      <c r="M125" s="292"/>
    </row>
    <row r="126">
      <c r="A126" s="291"/>
      <c r="B126" s="291"/>
      <c r="C126" s="291"/>
      <c r="D126" s="291"/>
      <c r="E126" s="291"/>
      <c r="F126" s="291"/>
      <c r="G126" s="291"/>
      <c r="J126" s="291"/>
      <c r="K126" s="291"/>
      <c r="L126" s="291"/>
      <c r="M126" s="292"/>
    </row>
    <row r="127">
      <c r="A127" s="291"/>
      <c r="B127" s="291"/>
      <c r="C127" s="291"/>
      <c r="D127" s="291"/>
      <c r="E127" s="291"/>
      <c r="F127" s="291"/>
      <c r="G127" s="291"/>
      <c r="J127" s="291"/>
      <c r="K127" s="291"/>
      <c r="L127" s="291"/>
      <c r="M127" s="292"/>
    </row>
    <row r="128">
      <c r="A128" s="291"/>
      <c r="B128" s="291"/>
      <c r="C128" s="291"/>
      <c r="D128" s="291"/>
      <c r="E128" s="291"/>
      <c r="F128" s="291"/>
      <c r="G128" s="291"/>
      <c r="J128" s="291"/>
      <c r="K128" s="291"/>
      <c r="L128" s="291"/>
      <c r="M128" s="292"/>
    </row>
    <row r="129">
      <c r="A129" s="291"/>
      <c r="B129" s="291"/>
      <c r="C129" s="291"/>
      <c r="D129" s="291"/>
      <c r="E129" s="291"/>
      <c r="F129" s="291"/>
      <c r="G129" s="291"/>
      <c r="J129" s="291"/>
      <c r="K129" s="291"/>
      <c r="L129" s="291"/>
      <c r="M129" s="292"/>
    </row>
    <row r="130">
      <c r="A130" s="291"/>
      <c r="B130" s="291"/>
      <c r="C130" s="291"/>
      <c r="D130" s="291"/>
      <c r="E130" s="291"/>
      <c r="F130" s="291"/>
      <c r="G130" s="291"/>
      <c r="J130" s="291"/>
      <c r="K130" s="291"/>
      <c r="L130" s="291"/>
      <c r="M130" s="292"/>
    </row>
    <row r="131">
      <c r="A131" s="291"/>
      <c r="B131" s="291"/>
      <c r="C131" s="291"/>
      <c r="D131" s="291"/>
      <c r="E131" s="291"/>
      <c r="F131" s="291"/>
      <c r="G131" s="291"/>
      <c r="J131" s="291"/>
      <c r="K131" s="291"/>
      <c r="L131" s="291"/>
      <c r="M131" s="292"/>
    </row>
    <row r="132">
      <c r="A132" s="291"/>
      <c r="B132" s="291"/>
      <c r="C132" s="291"/>
      <c r="D132" s="291"/>
      <c r="E132" s="291"/>
      <c r="F132" s="291"/>
      <c r="G132" s="291"/>
      <c r="J132" s="291"/>
      <c r="K132" s="291"/>
      <c r="L132" s="291"/>
      <c r="M132" s="292"/>
    </row>
    <row r="133">
      <c r="A133" s="291"/>
      <c r="B133" s="291"/>
      <c r="C133" s="291"/>
      <c r="D133" s="291"/>
      <c r="E133" s="291"/>
      <c r="F133" s="291"/>
      <c r="G133" s="291"/>
      <c r="J133" s="291"/>
      <c r="K133" s="291"/>
      <c r="L133" s="291"/>
      <c r="M133" s="292"/>
    </row>
    <row r="134">
      <c r="A134" s="291"/>
      <c r="B134" s="291"/>
      <c r="C134" s="291"/>
      <c r="D134" s="291"/>
      <c r="E134" s="291"/>
      <c r="F134" s="291"/>
      <c r="G134" s="291"/>
      <c r="J134" s="291"/>
      <c r="K134" s="291"/>
      <c r="L134" s="291"/>
      <c r="M134" s="292"/>
    </row>
    <row r="135">
      <c r="A135" s="291"/>
      <c r="B135" s="291"/>
      <c r="C135" s="291"/>
      <c r="D135" s="291"/>
      <c r="E135" s="291"/>
      <c r="F135" s="291"/>
      <c r="G135" s="291"/>
      <c r="J135" s="291"/>
      <c r="K135" s="291"/>
      <c r="L135" s="291"/>
      <c r="M135" s="292"/>
    </row>
    <row r="136">
      <c r="A136" s="291"/>
      <c r="B136" s="291"/>
      <c r="C136" s="291"/>
      <c r="D136" s="291"/>
      <c r="E136" s="291"/>
      <c r="F136" s="291"/>
      <c r="G136" s="291"/>
      <c r="J136" s="291"/>
      <c r="K136" s="291"/>
      <c r="L136" s="291"/>
      <c r="M136" s="292"/>
    </row>
    <row r="137">
      <c r="A137" s="291"/>
      <c r="B137" s="291"/>
      <c r="C137" s="291"/>
      <c r="D137" s="291"/>
      <c r="E137" s="291"/>
      <c r="F137" s="291"/>
      <c r="G137" s="291"/>
      <c r="J137" s="291"/>
      <c r="K137" s="291"/>
      <c r="L137" s="291"/>
      <c r="M137" s="292"/>
    </row>
    <row r="138">
      <c r="A138" s="291"/>
      <c r="B138" s="291"/>
      <c r="C138" s="291"/>
      <c r="D138" s="291"/>
      <c r="E138" s="291"/>
      <c r="F138" s="291"/>
      <c r="G138" s="291"/>
      <c r="J138" s="291"/>
      <c r="K138" s="291"/>
      <c r="L138" s="291"/>
      <c r="M138" s="292"/>
    </row>
    <row r="139">
      <c r="A139" s="291"/>
      <c r="B139" s="291"/>
      <c r="C139" s="291"/>
      <c r="D139" s="291"/>
      <c r="E139" s="291"/>
      <c r="F139" s="291"/>
      <c r="G139" s="291"/>
      <c r="J139" s="291"/>
      <c r="K139" s="291"/>
      <c r="L139" s="291"/>
      <c r="M139" s="292"/>
    </row>
    <row r="140">
      <c r="A140" s="291"/>
      <c r="B140" s="291"/>
      <c r="C140" s="291"/>
      <c r="D140" s="291"/>
      <c r="E140" s="291"/>
      <c r="F140" s="291"/>
      <c r="G140" s="291"/>
      <c r="J140" s="291"/>
      <c r="K140" s="291"/>
      <c r="L140" s="291"/>
      <c r="M140" s="292"/>
    </row>
    <row r="141">
      <c r="A141" s="291"/>
      <c r="B141" s="291"/>
      <c r="C141" s="291"/>
      <c r="D141" s="291"/>
      <c r="E141" s="291"/>
      <c r="F141" s="291"/>
      <c r="G141" s="291"/>
      <c r="J141" s="291"/>
      <c r="K141" s="291"/>
      <c r="L141" s="291"/>
      <c r="M141" s="292"/>
    </row>
    <row r="142">
      <c r="A142" s="291"/>
      <c r="B142" s="291"/>
      <c r="C142" s="291"/>
      <c r="D142" s="291"/>
      <c r="E142" s="291"/>
      <c r="F142" s="291"/>
      <c r="G142" s="291"/>
      <c r="J142" s="291"/>
      <c r="K142" s="291"/>
      <c r="L142" s="291"/>
      <c r="M142" s="292"/>
    </row>
    <row r="143">
      <c r="A143" s="291"/>
      <c r="B143" s="291"/>
      <c r="C143" s="291"/>
      <c r="D143" s="291"/>
      <c r="E143" s="291"/>
      <c r="F143" s="291"/>
      <c r="G143" s="291"/>
      <c r="J143" s="291"/>
      <c r="K143" s="291"/>
      <c r="L143" s="291"/>
      <c r="M143" s="292"/>
    </row>
    <row r="144">
      <c r="A144" s="291"/>
      <c r="B144" s="291"/>
      <c r="C144" s="291"/>
      <c r="D144" s="291"/>
      <c r="E144" s="291"/>
      <c r="F144" s="291"/>
      <c r="G144" s="291"/>
      <c r="J144" s="291"/>
      <c r="K144" s="291"/>
      <c r="L144" s="291"/>
      <c r="M144" s="292"/>
    </row>
    <row r="145">
      <c r="A145" s="291"/>
      <c r="B145" s="291"/>
      <c r="C145" s="291"/>
      <c r="D145" s="291"/>
      <c r="E145" s="291"/>
      <c r="F145" s="291"/>
      <c r="G145" s="291"/>
      <c r="J145" s="291"/>
      <c r="K145" s="291"/>
      <c r="L145" s="291"/>
      <c r="M145" s="292"/>
    </row>
    <row r="146">
      <c r="A146" s="291"/>
      <c r="B146" s="291"/>
      <c r="C146" s="291"/>
      <c r="D146" s="291"/>
      <c r="E146" s="291"/>
      <c r="F146" s="291"/>
      <c r="G146" s="291"/>
      <c r="J146" s="291"/>
      <c r="K146" s="291"/>
      <c r="L146" s="291"/>
      <c r="M146" s="292"/>
    </row>
    <row r="147">
      <c r="A147" s="291"/>
      <c r="B147" s="291"/>
      <c r="C147" s="291"/>
      <c r="D147" s="291"/>
      <c r="E147" s="291"/>
      <c r="F147" s="291"/>
      <c r="G147" s="291"/>
      <c r="J147" s="291"/>
      <c r="K147" s="291"/>
      <c r="L147" s="291"/>
      <c r="M147" s="292"/>
    </row>
    <row r="148">
      <c r="A148" s="291"/>
      <c r="B148" s="291"/>
      <c r="C148" s="291"/>
      <c r="D148" s="291"/>
      <c r="E148" s="291"/>
      <c r="F148" s="291"/>
      <c r="G148" s="291"/>
      <c r="J148" s="291"/>
      <c r="K148" s="291"/>
      <c r="L148" s="291"/>
      <c r="M148" s="292"/>
    </row>
    <row r="149">
      <c r="A149" s="291"/>
      <c r="B149" s="291"/>
      <c r="C149" s="291"/>
      <c r="D149" s="291"/>
      <c r="E149" s="291"/>
      <c r="F149" s="291"/>
      <c r="G149" s="291"/>
      <c r="J149" s="291"/>
      <c r="K149" s="291"/>
      <c r="L149" s="291"/>
      <c r="M149" s="292"/>
    </row>
    <row r="150">
      <c r="A150" s="291"/>
      <c r="B150" s="291"/>
      <c r="C150" s="291"/>
      <c r="D150" s="291"/>
      <c r="E150" s="291"/>
      <c r="F150" s="291"/>
      <c r="G150" s="291"/>
      <c r="J150" s="291"/>
      <c r="K150" s="291"/>
      <c r="L150" s="291"/>
      <c r="M150" s="292"/>
    </row>
    <row r="151">
      <c r="A151" s="291"/>
      <c r="B151" s="291"/>
      <c r="C151" s="291"/>
      <c r="D151" s="291"/>
      <c r="E151" s="291"/>
      <c r="F151" s="291"/>
      <c r="G151" s="291"/>
      <c r="J151" s="291"/>
      <c r="K151" s="291"/>
      <c r="L151" s="291"/>
      <c r="M151" s="292"/>
    </row>
    <row r="152">
      <c r="A152" s="291"/>
      <c r="B152" s="291"/>
      <c r="C152" s="291"/>
      <c r="D152" s="291"/>
      <c r="E152" s="291"/>
      <c r="F152" s="291"/>
      <c r="G152" s="291"/>
      <c r="J152" s="291"/>
      <c r="K152" s="291"/>
      <c r="L152" s="291"/>
      <c r="M152" s="292"/>
    </row>
    <row r="153">
      <c r="A153" s="291"/>
      <c r="B153" s="291"/>
      <c r="C153" s="291"/>
      <c r="D153" s="291"/>
      <c r="E153" s="291"/>
      <c r="F153" s="291"/>
      <c r="G153" s="291"/>
      <c r="J153" s="291"/>
      <c r="K153" s="291"/>
      <c r="L153" s="291"/>
      <c r="M153" s="292"/>
    </row>
    <row r="154">
      <c r="A154" s="291"/>
      <c r="B154" s="291"/>
      <c r="C154" s="291"/>
      <c r="D154" s="291"/>
      <c r="E154" s="291"/>
      <c r="F154" s="291"/>
      <c r="G154" s="291"/>
      <c r="J154" s="291"/>
      <c r="K154" s="291"/>
      <c r="L154" s="291"/>
      <c r="M154" s="292"/>
    </row>
    <row r="155">
      <c r="A155" s="291"/>
      <c r="B155" s="291"/>
      <c r="C155" s="291"/>
      <c r="D155" s="291"/>
      <c r="E155" s="291"/>
      <c r="F155" s="291"/>
      <c r="G155" s="291"/>
      <c r="J155" s="291"/>
      <c r="K155" s="291"/>
      <c r="L155" s="291"/>
      <c r="M155" s="292"/>
    </row>
    <row r="156">
      <c r="A156" s="291"/>
      <c r="B156" s="291"/>
      <c r="C156" s="291"/>
      <c r="D156" s="291"/>
      <c r="E156" s="291"/>
      <c r="F156" s="291"/>
      <c r="G156" s="291"/>
      <c r="J156" s="291"/>
      <c r="K156" s="291"/>
      <c r="L156" s="291"/>
      <c r="M156" s="292"/>
    </row>
    <row r="157">
      <c r="A157" s="291"/>
      <c r="B157" s="291"/>
      <c r="C157" s="291"/>
      <c r="D157" s="291"/>
      <c r="E157" s="291"/>
      <c r="F157" s="291"/>
      <c r="G157" s="291"/>
      <c r="J157" s="291"/>
      <c r="K157" s="291"/>
      <c r="L157" s="291"/>
      <c r="M157" s="292"/>
    </row>
    <row r="158">
      <c r="A158" s="291"/>
      <c r="B158" s="291"/>
      <c r="C158" s="291"/>
      <c r="D158" s="291"/>
      <c r="E158" s="291"/>
      <c r="F158" s="291"/>
      <c r="G158" s="291"/>
      <c r="J158" s="291"/>
      <c r="K158" s="291"/>
      <c r="L158" s="291"/>
      <c r="M158" s="292"/>
    </row>
    <row r="159">
      <c r="A159" s="291"/>
      <c r="B159" s="291"/>
      <c r="C159" s="291"/>
      <c r="D159" s="291"/>
      <c r="E159" s="291"/>
      <c r="F159" s="291"/>
      <c r="G159" s="291"/>
      <c r="J159" s="291"/>
      <c r="K159" s="291"/>
      <c r="L159" s="291"/>
      <c r="M159" s="292"/>
    </row>
    <row r="160">
      <c r="A160" s="291"/>
      <c r="B160" s="291"/>
      <c r="C160" s="291"/>
      <c r="D160" s="291"/>
      <c r="E160" s="291"/>
      <c r="F160" s="291"/>
      <c r="G160" s="291"/>
      <c r="J160" s="291"/>
      <c r="K160" s="291"/>
      <c r="L160" s="291"/>
      <c r="M160" s="292"/>
    </row>
    <row r="161">
      <c r="A161" s="291"/>
      <c r="B161" s="291"/>
      <c r="C161" s="291"/>
      <c r="D161" s="291"/>
      <c r="E161" s="291"/>
      <c r="F161" s="291"/>
      <c r="G161" s="291"/>
      <c r="J161" s="291"/>
      <c r="K161" s="291"/>
      <c r="L161" s="291"/>
      <c r="M161" s="292"/>
    </row>
    <row r="162">
      <c r="A162" s="291"/>
      <c r="B162" s="291"/>
      <c r="C162" s="291"/>
      <c r="D162" s="291"/>
      <c r="E162" s="291"/>
      <c r="F162" s="291"/>
      <c r="G162" s="291"/>
      <c r="J162" s="291"/>
      <c r="K162" s="291"/>
      <c r="L162" s="291"/>
      <c r="M162" s="292"/>
    </row>
    <row r="163">
      <c r="A163" s="291"/>
      <c r="B163" s="291"/>
      <c r="C163" s="291"/>
      <c r="D163" s="291"/>
      <c r="E163" s="291"/>
      <c r="F163" s="291"/>
      <c r="G163" s="291"/>
      <c r="J163" s="291"/>
      <c r="K163" s="291"/>
      <c r="L163" s="291"/>
      <c r="M163" s="292"/>
    </row>
    <row r="164">
      <c r="A164" s="291"/>
      <c r="B164" s="291"/>
      <c r="C164" s="291"/>
      <c r="D164" s="291"/>
      <c r="E164" s="291"/>
      <c r="F164" s="291"/>
      <c r="G164" s="291"/>
      <c r="J164" s="291"/>
      <c r="K164" s="291"/>
      <c r="L164" s="291"/>
      <c r="M164" s="292"/>
    </row>
    <row r="165">
      <c r="A165" s="291"/>
      <c r="B165" s="291"/>
      <c r="C165" s="291"/>
      <c r="D165" s="291"/>
      <c r="E165" s="291"/>
      <c r="F165" s="291"/>
      <c r="G165" s="291"/>
      <c r="J165" s="291"/>
      <c r="K165" s="291"/>
      <c r="L165" s="291"/>
      <c r="M165" s="292"/>
    </row>
    <row r="166">
      <c r="A166" s="291"/>
      <c r="B166" s="291"/>
      <c r="C166" s="291"/>
      <c r="D166" s="291"/>
      <c r="E166" s="291"/>
      <c r="F166" s="291"/>
      <c r="G166" s="291"/>
      <c r="J166" s="291"/>
      <c r="K166" s="291"/>
      <c r="L166" s="291"/>
      <c r="M166" s="292"/>
    </row>
    <row r="167">
      <c r="A167" s="291"/>
      <c r="B167" s="291"/>
      <c r="C167" s="291"/>
      <c r="D167" s="291"/>
      <c r="E167" s="291"/>
      <c r="F167" s="291"/>
      <c r="G167" s="291"/>
      <c r="J167" s="291"/>
      <c r="K167" s="291"/>
      <c r="L167" s="291"/>
      <c r="M167" s="292"/>
    </row>
    <row r="168">
      <c r="A168" s="291"/>
      <c r="B168" s="291"/>
      <c r="C168" s="291"/>
      <c r="D168" s="291"/>
      <c r="E168" s="291"/>
      <c r="F168" s="291"/>
      <c r="G168" s="291"/>
      <c r="J168" s="291"/>
      <c r="K168" s="291"/>
      <c r="L168" s="291"/>
      <c r="M168" s="292"/>
    </row>
    <row r="169">
      <c r="A169" s="291"/>
      <c r="B169" s="291"/>
      <c r="C169" s="291"/>
      <c r="D169" s="291"/>
      <c r="E169" s="291"/>
      <c r="F169" s="291"/>
      <c r="G169" s="291"/>
      <c r="J169" s="291"/>
      <c r="K169" s="291"/>
      <c r="L169" s="291"/>
      <c r="M169" s="292"/>
    </row>
    <row r="170">
      <c r="A170" s="291"/>
      <c r="B170" s="291"/>
      <c r="C170" s="291"/>
      <c r="D170" s="291"/>
      <c r="E170" s="291"/>
      <c r="F170" s="291"/>
      <c r="G170" s="291"/>
      <c r="J170" s="291"/>
      <c r="K170" s="291"/>
      <c r="L170" s="291"/>
      <c r="M170" s="292"/>
    </row>
    <row r="171">
      <c r="A171" s="291"/>
      <c r="B171" s="291"/>
      <c r="C171" s="291"/>
      <c r="D171" s="291"/>
      <c r="E171" s="291"/>
      <c r="F171" s="291"/>
      <c r="G171" s="291"/>
      <c r="J171" s="291"/>
      <c r="K171" s="291"/>
      <c r="L171" s="291"/>
      <c r="M171" s="292"/>
    </row>
    <row r="172">
      <c r="A172" s="291"/>
      <c r="B172" s="291"/>
      <c r="C172" s="291"/>
      <c r="D172" s="291"/>
      <c r="E172" s="291"/>
      <c r="F172" s="291"/>
      <c r="G172" s="291"/>
      <c r="J172" s="291"/>
      <c r="K172" s="291"/>
      <c r="L172" s="291"/>
      <c r="M172" s="292"/>
    </row>
    <row r="173">
      <c r="A173" s="291"/>
      <c r="B173" s="291"/>
      <c r="C173" s="291"/>
      <c r="D173" s="291"/>
      <c r="E173" s="291"/>
      <c r="F173" s="291"/>
      <c r="G173" s="291"/>
      <c r="J173" s="291"/>
      <c r="K173" s="291"/>
      <c r="L173" s="291"/>
      <c r="M173" s="292"/>
    </row>
    <row r="174">
      <c r="A174" s="291"/>
      <c r="B174" s="291"/>
      <c r="C174" s="291"/>
      <c r="D174" s="291"/>
      <c r="E174" s="291"/>
      <c r="F174" s="291"/>
      <c r="G174" s="291"/>
      <c r="J174" s="291"/>
      <c r="K174" s="291"/>
      <c r="L174" s="291"/>
      <c r="M174" s="292"/>
    </row>
    <row r="175">
      <c r="A175" s="291"/>
      <c r="B175" s="291"/>
      <c r="C175" s="291"/>
      <c r="D175" s="291"/>
      <c r="E175" s="291"/>
      <c r="F175" s="291"/>
      <c r="G175" s="291"/>
      <c r="J175" s="291"/>
      <c r="K175" s="291"/>
      <c r="L175" s="291"/>
      <c r="M175" s="292"/>
    </row>
    <row r="176">
      <c r="A176" s="291"/>
      <c r="B176" s="291"/>
      <c r="C176" s="291"/>
      <c r="D176" s="291"/>
      <c r="E176" s="291"/>
      <c r="F176" s="291"/>
      <c r="G176" s="291"/>
      <c r="J176" s="291"/>
      <c r="K176" s="291"/>
      <c r="L176" s="291"/>
      <c r="M176" s="292"/>
    </row>
    <row r="177">
      <c r="A177" s="291"/>
      <c r="B177" s="291"/>
      <c r="C177" s="291"/>
      <c r="D177" s="291"/>
      <c r="E177" s="291"/>
      <c r="F177" s="291"/>
      <c r="G177" s="291"/>
      <c r="J177" s="291"/>
      <c r="K177" s="291"/>
      <c r="L177" s="291"/>
      <c r="M177" s="292"/>
    </row>
    <row r="178">
      <c r="A178" s="291"/>
      <c r="B178" s="291"/>
      <c r="C178" s="291"/>
      <c r="D178" s="291"/>
      <c r="E178" s="291"/>
      <c r="F178" s="291"/>
      <c r="G178" s="291"/>
      <c r="J178" s="291"/>
      <c r="K178" s="291"/>
      <c r="L178" s="291"/>
      <c r="M178" s="292"/>
    </row>
    <row r="179">
      <c r="A179" s="291"/>
      <c r="B179" s="291"/>
      <c r="C179" s="291"/>
      <c r="D179" s="291"/>
      <c r="E179" s="291"/>
      <c r="F179" s="291"/>
      <c r="G179" s="291"/>
      <c r="J179" s="291"/>
      <c r="K179" s="291"/>
      <c r="L179" s="291"/>
      <c r="M179" s="292"/>
    </row>
    <row r="180">
      <c r="A180" s="291"/>
      <c r="B180" s="291"/>
      <c r="C180" s="291"/>
      <c r="D180" s="291"/>
      <c r="E180" s="291"/>
      <c r="F180" s="291"/>
      <c r="G180" s="291"/>
      <c r="J180" s="291"/>
      <c r="K180" s="291"/>
      <c r="L180" s="291"/>
      <c r="M180" s="292"/>
    </row>
    <row r="181">
      <c r="A181" s="291"/>
      <c r="B181" s="291"/>
      <c r="C181" s="291"/>
      <c r="D181" s="291"/>
      <c r="E181" s="291"/>
      <c r="F181" s="291"/>
      <c r="G181" s="291"/>
      <c r="J181" s="291"/>
      <c r="K181" s="291"/>
      <c r="L181" s="291"/>
      <c r="M181" s="292"/>
    </row>
    <row r="182">
      <c r="A182" s="291"/>
      <c r="B182" s="291"/>
      <c r="C182" s="291"/>
      <c r="D182" s="291"/>
      <c r="E182" s="291"/>
      <c r="F182" s="291"/>
      <c r="G182" s="291"/>
      <c r="J182" s="291"/>
      <c r="K182" s="291"/>
      <c r="L182" s="291"/>
      <c r="M182" s="292"/>
    </row>
    <row r="183">
      <c r="A183" s="291"/>
      <c r="B183" s="291"/>
      <c r="C183" s="291"/>
      <c r="D183" s="291"/>
      <c r="E183" s="291"/>
      <c r="F183" s="291"/>
      <c r="G183" s="291"/>
      <c r="J183" s="291"/>
      <c r="K183" s="291"/>
      <c r="L183" s="291"/>
      <c r="M183" s="292"/>
    </row>
    <row r="184">
      <c r="A184" s="291"/>
      <c r="B184" s="291"/>
      <c r="C184" s="291"/>
      <c r="D184" s="291"/>
      <c r="E184" s="291"/>
      <c r="F184" s="291"/>
      <c r="G184" s="291"/>
      <c r="J184" s="291"/>
      <c r="K184" s="291"/>
      <c r="L184" s="291"/>
      <c r="M184" s="292"/>
    </row>
    <row r="185">
      <c r="A185" s="291"/>
      <c r="B185" s="291"/>
      <c r="C185" s="291"/>
      <c r="D185" s="291"/>
      <c r="E185" s="291"/>
      <c r="F185" s="291"/>
      <c r="G185" s="291"/>
      <c r="J185" s="291"/>
      <c r="K185" s="291"/>
      <c r="L185" s="291"/>
      <c r="M185" s="292"/>
    </row>
    <row r="186">
      <c r="A186" s="291"/>
      <c r="B186" s="291"/>
      <c r="C186" s="291"/>
      <c r="D186" s="291"/>
      <c r="E186" s="291"/>
      <c r="F186" s="291"/>
      <c r="G186" s="291"/>
      <c r="J186" s="291"/>
      <c r="K186" s="291"/>
      <c r="L186" s="291"/>
      <c r="M186" s="292"/>
    </row>
    <row r="187">
      <c r="A187" s="291"/>
      <c r="B187" s="291"/>
      <c r="C187" s="291"/>
      <c r="D187" s="291"/>
      <c r="E187" s="291"/>
      <c r="F187" s="291"/>
      <c r="G187" s="291"/>
      <c r="J187" s="291"/>
      <c r="K187" s="291"/>
      <c r="L187" s="291"/>
      <c r="M187" s="292"/>
    </row>
    <row r="188">
      <c r="A188" s="291"/>
      <c r="B188" s="291"/>
      <c r="C188" s="291"/>
      <c r="D188" s="291"/>
      <c r="E188" s="291"/>
      <c r="F188" s="291"/>
      <c r="G188" s="291"/>
      <c r="J188" s="291"/>
      <c r="K188" s="291"/>
      <c r="L188" s="291"/>
      <c r="M188" s="292"/>
    </row>
    <row r="189">
      <c r="A189" s="291"/>
      <c r="B189" s="291"/>
      <c r="C189" s="291"/>
      <c r="D189" s="291"/>
      <c r="E189" s="291"/>
      <c r="F189" s="291"/>
      <c r="G189" s="291"/>
      <c r="J189" s="291"/>
      <c r="K189" s="291"/>
      <c r="L189" s="291"/>
      <c r="M189" s="292"/>
    </row>
    <row r="190">
      <c r="A190" s="291"/>
      <c r="B190" s="291"/>
      <c r="C190" s="291"/>
      <c r="D190" s="291"/>
      <c r="E190" s="291"/>
      <c r="F190" s="291"/>
      <c r="G190" s="291"/>
      <c r="J190" s="291"/>
      <c r="K190" s="291"/>
      <c r="L190" s="291"/>
      <c r="M190" s="292"/>
    </row>
    <row r="191">
      <c r="A191" s="291"/>
      <c r="B191" s="291"/>
      <c r="C191" s="291"/>
      <c r="D191" s="291"/>
      <c r="E191" s="291"/>
      <c r="F191" s="291"/>
      <c r="G191" s="291"/>
      <c r="J191" s="291"/>
      <c r="K191" s="291"/>
      <c r="L191" s="291"/>
      <c r="M191" s="292"/>
    </row>
    <row r="192">
      <c r="A192" s="291"/>
      <c r="B192" s="291"/>
      <c r="C192" s="291"/>
      <c r="D192" s="291"/>
      <c r="E192" s="291"/>
      <c r="F192" s="291"/>
      <c r="G192" s="291"/>
      <c r="J192" s="291"/>
      <c r="K192" s="291"/>
      <c r="L192" s="291"/>
      <c r="M192" s="292"/>
    </row>
    <row r="193">
      <c r="A193" s="291"/>
      <c r="B193" s="291"/>
      <c r="C193" s="291"/>
      <c r="D193" s="291"/>
      <c r="E193" s="291"/>
      <c r="F193" s="291"/>
      <c r="G193" s="291"/>
      <c r="J193" s="291"/>
      <c r="K193" s="291"/>
      <c r="L193" s="291"/>
      <c r="M193" s="292"/>
    </row>
    <row r="194">
      <c r="A194" s="291"/>
      <c r="B194" s="291"/>
      <c r="C194" s="291"/>
      <c r="D194" s="291"/>
      <c r="E194" s="291"/>
      <c r="F194" s="291"/>
      <c r="G194" s="291"/>
      <c r="J194" s="291"/>
      <c r="K194" s="291"/>
      <c r="L194" s="291"/>
      <c r="M194" s="292"/>
    </row>
    <row r="195">
      <c r="A195" s="291"/>
      <c r="B195" s="291"/>
      <c r="C195" s="291"/>
      <c r="D195" s="291"/>
      <c r="E195" s="291"/>
      <c r="F195" s="291"/>
      <c r="G195" s="291"/>
      <c r="J195" s="291"/>
      <c r="K195" s="291"/>
      <c r="L195" s="291"/>
      <c r="M195" s="292"/>
    </row>
    <row r="196">
      <c r="A196" s="291"/>
      <c r="B196" s="291"/>
      <c r="C196" s="291"/>
      <c r="D196" s="291"/>
      <c r="E196" s="291"/>
      <c r="F196" s="291"/>
      <c r="G196" s="291"/>
      <c r="J196" s="291"/>
      <c r="K196" s="291"/>
      <c r="L196" s="291"/>
      <c r="M196" s="292"/>
    </row>
    <row r="197">
      <c r="A197" s="291"/>
      <c r="B197" s="291"/>
      <c r="C197" s="291"/>
      <c r="D197" s="291"/>
      <c r="E197" s="291"/>
      <c r="F197" s="291"/>
      <c r="G197" s="291"/>
      <c r="J197" s="291"/>
      <c r="K197" s="291"/>
      <c r="L197" s="291"/>
      <c r="M197" s="292"/>
    </row>
    <row r="198">
      <c r="A198" s="291"/>
      <c r="B198" s="291"/>
      <c r="C198" s="291"/>
      <c r="D198" s="291"/>
      <c r="E198" s="291"/>
      <c r="F198" s="291"/>
      <c r="G198" s="291"/>
      <c r="J198" s="291"/>
      <c r="K198" s="291"/>
      <c r="L198" s="291"/>
      <c r="M198" s="292"/>
    </row>
    <row r="199">
      <c r="A199" s="291"/>
      <c r="B199" s="291"/>
      <c r="C199" s="291"/>
      <c r="D199" s="291"/>
      <c r="E199" s="291"/>
      <c r="F199" s="291"/>
      <c r="G199" s="291"/>
      <c r="J199" s="291"/>
      <c r="K199" s="291"/>
      <c r="L199" s="291"/>
      <c r="M199" s="292"/>
    </row>
    <row r="200">
      <c r="A200" s="291"/>
      <c r="B200" s="291"/>
      <c r="C200" s="291"/>
      <c r="D200" s="291"/>
      <c r="E200" s="291"/>
      <c r="F200" s="291"/>
      <c r="G200" s="291"/>
      <c r="J200" s="291"/>
      <c r="K200" s="291"/>
      <c r="L200" s="291"/>
      <c r="M200" s="292"/>
    </row>
    <row r="201">
      <c r="A201" s="291"/>
      <c r="B201" s="291"/>
      <c r="C201" s="291"/>
      <c r="D201" s="291"/>
      <c r="E201" s="291"/>
      <c r="F201" s="291"/>
      <c r="G201" s="291"/>
      <c r="J201" s="291"/>
      <c r="K201" s="291"/>
      <c r="L201" s="291"/>
      <c r="M201" s="292"/>
    </row>
    <row r="202">
      <c r="A202" s="291"/>
      <c r="B202" s="291"/>
      <c r="C202" s="291"/>
      <c r="D202" s="291"/>
      <c r="E202" s="291"/>
      <c r="F202" s="291"/>
      <c r="G202" s="291"/>
      <c r="J202" s="291"/>
      <c r="K202" s="291"/>
      <c r="L202" s="291"/>
      <c r="M202" s="292"/>
    </row>
    <row r="203">
      <c r="A203" s="291"/>
      <c r="B203" s="291"/>
      <c r="C203" s="291"/>
      <c r="D203" s="291"/>
      <c r="E203" s="291"/>
      <c r="F203" s="291"/>
      <c r="G203" s="291"/>
      <c r="J203" s="291"/>
      <c r="K203" s="291"/>
      <c r="L203" s="291"/>
      <c r="M203" s="292"/>
    </row>
    <row r="204">
      <c r="A204" s="291"/>
      <c r="B204" s="291"/>
      <c r="C204" s="291"/>
      <c r="D204" s="291"/>
      <c r="E204" s="291"/>
      <c r="F204" s="291"/>
      <c r="G204" s="291"/>
      <c r="J204" s="291"/>
      <c r="K204" s="291"/>
      <c r="L204" s="291"/>
      <c r="M204" s="292"/>
    </row>
    <row r="205">
      <c r="A205" s="291"/>
      <c r="B205" s="291"/>
      <c r="C205" s="291"/>
      <c r="D205" s="291"/>
      <c r="E205" s="291"/>
      <c r="F205" s="291"/>
      <c r="G205" s="291"/>
      <c r="J205" s="291"/>
      <c r="K205" s="291"/>
      <c r="L205" s="291"/>
      <c r="M205" s="292"/>
    </row>
    <row r="206">
      <c r="A206" s="291"/>
      <c r="B206" s="291"/>
      <c r="C206" s="291"/>
      <c r="D206" s="291"/>
      <c r="E206" s="291"/>
      <c r="F206" s="291"/>
      <c r="G206" s="291"/>
      <c r="J206" s="291"/>
      <c r="K206" s="291"/>
      <c r="L206" s="291"/>
      <c r="M206" s="292"/>
    </row>
    <row r="207">
      <c r="A207" s="291"/>
      <c r="B207" s="291"/>
      <c r="C207" s="291"/>
      <c r="D207" s="291"/>
      <c r="E207" s="291"/>
      <c r="F207" s="291"/>
      <c r="G207" s="291"/>
      <c r="J207" s="291"/>
      <c r="K207" s="291"/>
      <c r="L207" s="291"/>
      <c r="M207" s="292"/>
    </row>
    <row r="208">
      <c r="A208" s="291"/>
      <c r="B208" s="291"/>
      <c r="C208" s="291"/>
      <c r="D208" s="291"/>
      <c r="E208" s="291"/>
      <c r="F208" s="291"/>
      <c r="G208" s="291"/>
      <c r="J208" s="291"/>
      <c r="K208" s="291"/>
      <c r="L208" s="291"/>
      <c r="M208" s="292"/>
    </row>
    <row r="209">
      <c r="A209" s="291"/>
      <c r="B209" s="291"/>
      <c r="C209" s="291"/>
      <c r="D209" s="291"/>
      <c r="E209" s="291"/>
      <c r="F209" s="291"/>
      <c r="G209" s="291"/>
      <c r="J209" s="291"/>
      <c r="K209" s="291"/>
      <c r="L209" s="291"/>
      <c r="M209" s="292"/>
    </row>
    <row r="210">
      <c r="A210" s="291"/>
      <c r="B210" s="291"/>
      <c r="C210" s="291"/>
      <c r="D210" s="291"/>
      <c r="E210" s="291"/>
      <c r="F210" s="291"/>
      <c r="G210" s="291"/>
      <c r="J210" s="291"/>
      <c r="K210" s="291"/>
      <c r="L210" s="291"/>
      <c r="M210" s="292"/>
    </row>
    <row r="211">
      <c r="A211" s="291"/>
      <c r="B211" s="291"/>
      <c r="C211" s="291"/>
      <c r="D211" s="291"/>
      <c r="E211" s="291"/>
      <c r="F211" s="291"/>
      <c r="G211" s="291"/>
      <c r="J211" s="291"/>
      <c r="K211" s="291"/>
      <c r="L211" s="291"/>
      <c r="M211" s="292"/>
    </row>
    <row r="212">
      <c r="A212" s="291"/>
      <c r="B212" s="291"/>
      <c r="C212" s="291"/>
      <c r="D212" s="291"/>
      <c r="E212" s="291"/>
      <c r="F212" s="291"/>
      <c r="G212" s="291"/>
      <c r="J212" s="291"/>
      <c r="K212" s="291"/>
      <c r="L212" s="291"/>
      <c r="M212" s="292"/>
    </row>
    <row r="213">
      <c r="A213" s="291"/>
      <c r="B213" s="291"/>
      <c r="C213" s="291"/>
      <c r="D213" s="291"/>
      <c r="E213" s="291"/>
      <c r="F213" s="291"/>
      <c r="G213" s="291"/>
      <c r="J213" s="291"/>
      <c r="K213" s="291"/>
      <c r="L213" s="291"/>
      <c r="M213" s="292"/>
    </row>
    <row r="214">
      <c r="A214" s="291"/>
      <c r="B214" s="291"/>
      <c r="C214" s="291"/>
      <c r="D214" s="291"/>
      <c r="E214" s="291"/>
      <c r="F214" s="291"/>
      <c r="G214" s="291"/>
      <c r="J214" s="291"/>
      <c r="K214" s="291"/>
      <c r="L214" s="291"/>
      <c r="M214" s="292"/>
    </row>
    <row r="215">
      <c r="A215" s="291"/>
      <c r="B215" s="291"/>
      <c r="C215" s="291"/>
      <c r="D215" s="291"/>
      <c r="E215" s="291"/>
      <c r="F215" s="291"/>
      <c r="G215" s="291"/>
      <c r="J215" s="291"/>
      <c r="K215" s="291"/>
      <c r="L215" s="291"/>
      <c r="M215" s="292"/>
    </row>
    <row r="216">
      <c r="A216" s="291"/>
      <c r="B216" s="291"/>
      <c r="C216" s="291"/>
      <c r="D216" s="291"/>
      <c r="E216" s="291"/>
      <c r="F216" s="291"/>
      <c r="G216" s="291"/>
      <c r="J216" s="291"/>
      <c r="K216" s="291"/>
      <c r="L216" s="291"/>
      <c r="M216" s="292"/>
    </row>
    <row r="217">
      <c r="A217" s="291"/>
      <c r="B217" s="291"/>
      <c r="C217" s="291"/>
      <c r="D217" s="291"/>
      <c r="E217" s="291"/>
      <c r="F217" s="291"/>
      <c r="G217" s="291"/>
      <c r="J217" s="291"/>
      <c r="K217" s="291"/>
      <c r="L217" s="291"/>
      <c r="M217" s="292"/>
    </row>
    <row r="218">
      <c r="A218" s="291"/>
      <c r="B218" s="291"/>
      <c r="C218" s="291"/>
      <c r="D218" s="291"/>
      <c r="E218" s="291"/>
      <c r="F218" s="291"/>
      <c r="G218" s="291"/>
      <c r="J218" s="291"/>
      <c r="K218" s="291"/>
      <c r="L218" s="291"/>
      <c r="M218" s="292"/>
    </row>
    <row r="219">
      <c r="A219" s="291"/>
      <c r="B219" s="291"/>
      <c r="C219" s="291"/>
      <c r="D219" s="291"/>
      <c r="E219" s="291"/>
      <c r="F219" s="291"/>
      <c r="G219" s="291"/>
      <c r="J219" s="291"/>
      <c r="K219" s="291"/>
      <c r="L219" s="291"/>
      <c r="M219" s="292"/>
    </row>
    <row r="220">
      <c r="A220" s="291"/>
      <c r="B220" s="291"/>
      <c r="C220" s="291"/>
      <c r="D220" s="291"/>
      <c r="E220" s="291"/>
      <c r="F220" s="291"/>
      <c r="G220" s="291"/>
      <c r="J220" s="291"/>
      <c r="K220" s="291"/>
      <c r="L220" s="291"/>
      <c r="M220" s="292"/>
    </row>
    <row r="221">
      <c r="A221" s="291"/>
      <c r="B221" s="291"/>
      <c r="C221" s="291"/>
      <c r="D221" s="291"/>
      <c r="E221" s="291"/>
      <c r="F221" s="291"/>
      <c r="G221" s="291"/>
      <c r="J221" s="291"/>
      <c r="K221" s="291"/>
      <c r="L221" s="291"/>
      <c r="M221" s="292"/>
    </row>
    <row r="222">
      <c r="A222" s="291"/>
      <c r="B222" s="291"/>
      <c r="C222" s="291"/>
      <c r="D222" s="291"/>
      <c r="E222" s="291"/>
      <c r="F222" s="291"/>
      <c r="G222" s="291"/>
      <c r="J222" s="291"/>
      <c r="K222" s="291"/>
      <c r="L222" s="291"/>
      <c r="M222" s="292"/>
    </row>
    <row r="223">
      <c r="A223" s="291"/>
      <c r="B223" s="291"/>
      <c r="C223" s="291"/>
      <c r="D223" s="291"/>
      <c r="E223" s="291"/>
      <c r="F223" s="291"/>
      <c r="G223" s="291"/>
      <c r="J223" s="291"/>
      <c r="K223" s="291"/>
      <c r="L223" s="291"/>
      <c r="M223" s="292"/>
    </row>
    <row r="224">
      <c r="A224" s="291"/>
      <c r="B224" s="291"/>
      <c r="C224" s="291"/>
      <c r="D224" s="291"/>
      <c r="E224" s="291"/>
      <c r="F224" s="291"/>
      <c r="G224" s="291"/>
      <c r="J224" s="291"/>
      <c r="K224" s="291"/>
      <c r="L224" s="291"/>
      <c r="M224" s="292"/>
    </row>
    <row r="225">
      <c r="A225" s="291"/>
      <c r="B225" s="291"/>
      <c r="C225" s="291"/>
      <c r="D225" s="291"/>
      <c r="E225" s="291"/>
      <c r="F225" s="291"/>
      <c r="G225" s="291"/>
      <c r="J225" s="291"/>
      <c r="K225" s="291"/>
      <c r="L225" s="291"/>
      <c r="M225" s="292"/>
    </row>
    <row r="226">
      <c r="A226" s="291"/>
      <c r="B226" s="291"/>
      <c r="C226" s="291"/>
      <c r="D226" s="291"/>
      <c r="E226" s="291"/>
      <c r="F226" s="291"/>
      <c r="G226" s="291"/>
      <c r="J226" s="291"/>
      <c r="K226" s="291"/>
      <c r="L226" s="291"/>
      <c r="M226" s="292"/>
    </row>
    <row r="227">
      <c r="A227" s="291"/>
      <c r="B227" s="291"/>
      <c r="C227" s="291"/>
      <c r="D227" s="291"/>
      <c r="E227" s="291"/>
      <c r="F227" s="291"/>
      <c r="G227" s="291"/>
      <c r="J227" s="291"/>
      <c r="K227" s="291"/>
      <c r="L227" s="291"/>
      <c r="M227" s="292"/>
    </row>
    <row r="228">
      <c r="A228" s="291"/>
      <c r="B228" s="291"/>
      <c r="C228" s="291"/>
      <c r="D228" s="291"/>
      <c r="E228" s="291"/>
      <c r="F228" s="291"/>
      <c r="G228" s="291"/>
      <c r="J228" s="291"/>
      <c r="K228" s="291"/>
      <c r="L228" s="291"/>
      <c r="M228" s="292"/>
    </row>
    <row r="229">
      <c r="A229" s="291"/>
      <c r="B229" s="291"/>
      <c r="C229" s="291"/>
      <c r="D229" s="291"/>
      <c r="E229" s="291"/>
      <c r="F229" s="291"/>
      <c r="G229" s="291"/>
      <c r="J229" s="291"/>
      <c r="K229" s="291"/>
      <c r="L229" s="291"/>
      <c r="M229" s="292"/>
    </row>
    <row r="230">
      <c r="A230" s="291"/>
      <c r="B230" s="291"/>
      <c r="C230" s="291"/>
      <c r="D230" s="291"/>
      <c r="E230" s="291"/>
      <c r="F230" s="291"/>
      <c r="G230" s="291"/>
      <c r="J230" s="291"/>
      <c r="K230" s="291"/>
      <c r="L230" s="291"/>
      <c r="M230" s="292"/>
    </row>
    <row r="231">
      <c r="A231" s="291"/>
      <c r="B231" s="291"/>
      <c r="C231" s="291"/>
      <c r="D231" s="291"/>
      <c r="E231" s="291"/>
      <c r="F231" s="291"/>
      <c r="G231" s="291"/>
      <c r="J231" s="291"/>
      <c r="K231" s="291"/>
      <c r="L231" s="291"/>
      <c r="M231" s="292"/>
    </row>
    <row r="232">
      <c r="A232" s="291"/>
      <c r="B232" s="291"/>
      <c r="C232" s="291"/>
      <c r="D232" s="291"/>
      <c r="E232" s="291"/>
      <c r="F232" s="291"/>
      <c r="G232" s="291"/>
      <c r="J232" s="291"/>
      <c r="K232" s="291"/>
      <c r="L232" s="291"/>
      <c r="M232" s="292"/>
    </row>
    <row r="233">
      <c r="A233" s="291"/>
      <c r="B233" s="291"/>
      <c r="C233" s="291"/>
      <c r="D233" s="291"/>
      <c r="E233" s="291"/>
      <c r="F233" s="291"/>
      <c r="G233" s="291"/>
      <c r="J233" s="291"/>
      <c r="K233" s="291"/>
      <c r="L233" s="291"/>
      <c r="M233" s="292"/>
    </row>
    <row r="234">
      <c r="A234" s="291"/>
      <c r="B234" s="291"/>
      <c r="C234" s="291"/>
      <c r="D234" s="291"/>
      <c r="E234" s="291"/>
      <c r="F234" s="291"/>
      <c r="G234" s="291"/>
      <c r="J234" s="291"/>
      <c r="K234" s="291"/>
      <c r="L234" s="291"/>
      <c r="M234" s="292"/>
    </row>
    <row r="235">
      <c r="A235" s="291"/>
      <c r="B235" s="291"/>
      <c r="C235" s="291"/>
      <c r="D235" s="291"/>
      <c r="E235" s="291"/>
      <c r="F235" s="291"/>
      <c r="G235" s="291"/>
      <c r="J235" s="291"/>
      <c r="K235" s="291"/>
      <c r="L235" s="291"/>
      <c r="M235" s="292"/>
    </row>
    <row r="236">
      <c r="A236" s="291"/>
      <c r="B236" s="291"/>
      <c r="C236" s="291"/>
      <c r="D236" s="291"/>
      <c r="E236" s="291"/>
      <c r="F236" s="291"/>
      <c r="G236" s="291"/>
      <c r="J236" s="291"/>
      <c r="K236" s="291"/>
      <c r="L236" s="291"/>
      <c r="M236" s="292"/>
    </row>
    <row r="237">
      <c r="A237" s="291"/>
      <c r="B237" s="291"/>
      <c r="C237" s="291"/>
      <c r="D237" s="291"/>
      <c r="E237" s="291"/>
      <c r="F237" s="291"/>
      <c r="G237" s="291"/>
      <c r="J237" s="291"/>
      <c r="K237" s="291"/>
      <c r="L237" s="291"/>
      <c r="M237" s="292"/>
    </row>
    <row r="238">
      <c r="A238" s="291"/>
      <c r="B238" s="291"/>
      <c r="C238" s="291"/>
      <c r="D238" s="291"/>
      <c r="E238" s="291"/>
      <c r="F238" s="291"/>
      <c r="G238" s="291"/>
      <c r="J238" s="291"/>
      <c r="K238" s="291"/>
      <c r="L238" s="291"/>
      <c r="M238" s="292"/>
    </row>
    <row r="239">
      <c r="A239" s="291"/>
      <c r="B239" s="291"/>
      <c r="C239" s="291"/>
      <c r="D239" s="291"/>
      <c r="E239" s="291"/>
      <c r="F239" s="291"/>
      <c r="G239" s="291"/>
      <c r="J239" s="291"/>
      <c r="K239" s="291"/>
      <c r="L239" s="291"/>
      <c r="M239" s="292"/>
    </row>
    <row r="240">
      <c r="A240" s="291"/>
      <c r="B240" s="291"/>
      <c r="C240" s="291"/>
      <c r="D240" s="291"/>
      <c r="E240" s="291"/>
      <c r="F240" s="291"/>
      <c r="G240" s="291"/>
      <c r="J240" s="291"/>
      <c r="K240" s="291"/>
      <c r="L240" s="291"/>
      <c r="M240" s="292"/>
    </row>
    <row r="241">
      <c r="A241" s="291"/>
      <c r="B241" s="291"/>
      <c r="C241" s="291"/>
      <c r="D241" s="291"/>
      <c r="E241" s="291"/>
      <c r="F241" s="291"/>
      <c r="G241" s="291"/>
      <c r="J241" s="291"/>
      <c r="K241" s="291"/>
      <c r="L241" s="291"/>
      <c r="M241" s="292"/>
    </row>
    <row r="242">
      <c r="A242" s="291"/>
      <c r="B242" s="291"/>
      <c r="C242" s="291"/>
      <c r="D242" s="291"/>
      <c r="E242" s="291"/>
      <c r="F242" s="291"/>
      <c r="G242" s="291"/>
      <c r="J242" s="291"/>
      <c r="K242" s="291"/>
      <c r="L242" s="291"/>
      <c r="M242" s="292"/>
    </row>
    <row r="243">
      <c r="A243" s="291"/>
      <c r="B243" s="291"/>
      <c r="C243" s="291"/>
      <c r="D243" s="291"/>
      <c r="E243" s="291"/>
      <c r="F243" s="291"/>
      <c r="G243" s="291"/>
      <c r="J243" s="291"/>
      <c r="K243" s="291"/>
      <c r="L243" s="291"/>
      <c r="M243" s="292"/>
    </row>
    <row r="244">
      <c r="A244" s="291"/>
      <c r="B244" s="291"/>
      <c r="C244" s="291"/>
      <c r="D244" s="291"/>
      <c r="E244" s="291"/>
      <c r="F244" s="291"/>
      <c r="G244" s="291"/>
      <c r="J244" s="291"/>
      <c r="K244" s="291"/>
      <c r="L244" s="291"/>
      <c r="M244" s="292"/>
    </row>
    <row r="245">
      <c r="A245" s="291"/>
      <c r="B245" s="291"/>
      <c r="C245" s="291"/>
      <c r="D245" s="291"/>
      <c r="E245" s="291"/>
      <c r="F245" s="291"/>
      <c r="G245" s="291"/>
      <c r="J245" s="291"/>
      <c r="K245" s="291"/>
      <c r="L245" s="291"/>
      <c r="M245" s="292"/>
    </row>
    <row r="246">
      <c r="A246" s="291"/>
      <c r="B246" s="291"/>
      <c r="C246" s="291"/>
      <c r="D246" s="291"/>
      <c r="E246" s="291"/>
      <c r="F246" s="291"/>
      <c r="G246" s="291"/>
      <c r="J246" s="291"/>
      <c r="K246" s="291"/>
      <c r="L246" s="291"/>
      <c r="M246" s="292"/>
    </row>
    <row r="247">
      <c r="A247" s="291"/>
      <c r="B247" s="291"/>
      <c r="C247" s="291"/>
      <c r="D247" s="291"/>
      <c r="E247" s="291"/>
      <c r="F247" s="291"/>
      <c r="G247" s="291"/>
      <c r="J247" s="291"/>
      <c r="K247" s="291"/>
      <c r="L247" s="291"/>
      <c r="M247" s="292"/>
    </row>
    <row r="248">
      <c r="A248" s="291"/>
      <c r="B248" s="291"/>
      <c r="C248" s="291"/>
      <c r="D248" s="291"/>
      <c r="E248" s="291"/>
      <c r="F248" s="291"/>
      <c r="G248" s="291"/>
      <c r="J248" s="291"/>
      <c r="K248" s="291"/>
      <c r="L248" s="291"/>
      <c r="M248" s="292"/>
    </row>
    <row r="249">
      <c r="A249" s="291"/>
      <c r="B249" s="291"/>
      <c r="C249" s="291"/>
      <c r="D249" s="291"/>
      <c r="E249" s="291"/>
      <c r="F249" s="291"/>
      <c r="G249" s="291"/>
      <c r="J249" s="291"/>
      <c r="K249" s="291"/>
      <c r="L249" s="291"/>
      <c r="M249" s="292"/>
    </row>
    <row r="250">
      <c r="A250" s="291"/>
      <c r="B250" s="291"/>
      <c r="C250" s="291"/>
      <c r="D250" s="291"/>
      <c r="E250" s="291"/>
      <c r="F250" s="291"/>
      <c r="G250" s="291"/>
      <c r="J250" s="291"/>
      <c r="K250" s="291"/>
      <c r="L250" s="291"/>
      <c r="M250" s="292"/>
    </row>
    <row r="251">
      <c r="A251" s="291"/>
      <c r="B251" s="291"/>
      <c r="C251" s="291"/>
      <c r="D251" s="291"/>
      <c r="E251" s="291"/>
      <c r="F251" s="291"/>
      <c r="G251" s="291"/>
      <c r="J251" s="291"/>
      <c r="K251" s="291"/>
      <c r="L251" s="291"/>
      <c r="M251" s="292"/>
    </row>
    <row r="252">
      <c r="A252" s="291"/>
      <c r="B252" s="291"/>
      <c r="C252" s="291"/>
      <c r="D252" s="291"/>
      <c r="E252" s="291"/>
      <c r="F252" s="291"/>
      <c r="G252" s="291"/>
      <c r="J252" s="291"/>
      <c r="K252" s="291"/>
      <c r="L252" s="291"/>
      <c r="M252" s="292"/>
    </row>
    <row r="253">
      <c r="A253" s="291"/>
      <c r="B253" s="291"/>
      <c r="C253" s="291"/>
      <c r="D253" s="291"/>
      <c r="E253" s="291"/>
      <c r="F253" s="291"/>
      <c r="G253" s="291"/>
      <c r="J253" s="291"/>
      <c r="K253" s="291"/>
      <c r="L253" s="291"/>
      <c r="M253" s="292"/>
    </row>
    <row r="254">
      <c r="A254" s="291"/>
      <c r="B254" s="291"/>
      <c r="C254" s="291"/>
      <c r="D254" s="291"/>
      <c r="E254" s="291"/>
      <c r="F254" s="291"/>
      <c r="G254" s="291"/>
      <c r="J254" s="291"/>
      <c r="K254" s="291"/>
      <c r="L254" s="291"/>
      <c r="M254" s="292"/>
    </row>
    <row r="255">
      <c r="A255" s="291"/>
      <c r="B255" s="291"/>
      <c r="C255" s="291"/>
      <c r="D255" s="291"/>
      <c r="E255" s="291"/>
      <c r="F255" s="291"/>
      <c r="G255" s="291"/>
      <c r="J255" s="291"/>
      <c r="K255" s="291"/>
      <c r="L255" s="291"/>
      <c r="M255" s="292"/>
    </row>
    <row r="256">
      <c r="A256" s="291"/>
      <c r="B256" s="291"/>
      <c r="C256" s="291"/>
      <c r="D256" s="291"/>
      <c r="E256" s="291"/>
      <c r="F256" s="291"/>
      <c r="G256" s="291"/>
      <c r="J256" s="291"/>
      <c r="K256" s="291"/>
      <c r="L256" s="291"/>
      <c r="M256" s="292"/>
    </row>
    <row r="257">
      <c r="A257" s="291"/>
      <c r="B257" s="291"/>
      <c r="C257" s="291"/>
      <c r="D257" s="291"/>
      <c r="E257" s="291"/>
      <c r="F257" s="291"/>
      <c r="G257" s="291"/>
      <c r="J257" s="291"/>
      <c r="K257" s="291"/>
      <c r="L257" s="291"/>
      <c r="M257" s="292"/>
    </row>
    <row r="258">
      <c r="A258" s="291"/>
      <c r="B258" s="291"/>
      <c r="C258" s="291"/>
      <c r="D258" s="291"/>
      <c r="E258" s="291"/>
      <c r="F258" s="291"/>
      <c r="G258" s="291"/>
      <c r="J258" s="291"/>
      <c r="K258" s="291"/>
      <c r="L258" s="291"/>
      <c r="M258" s="292"/>
    </row>
    <row r="259">
      <c r="A259" s="291"/>
      <c r="B259" s="291"/>
      <c r="C259" s="291"/>
      <c r="D259" s="291"/>
      <c r="E259" s="291"/>
      <c r="F259" s="291"/>
      <c r="G259" s="291"/>
      <c r="J259" s="291"/>
      <c r="K259" s="291"/>
      <c r="L259" s="291"/>
      <c r="M259" s="292"/>
    </row>
    <row r="260">
      <c r="A260" s="291"/>
      <c r="B260" s="291"/>
      <c r="C260" s="291"/>
      <c r="D260" s="291"/>
      <c r="E260" s="291"/>
      <c r="F260" s="291"/>
      <c r="G260" s="291"/>
      <c r="J260" s="291"/>
      <c r="K260" s="291"/>
      <c r="L260" s="291"/>
      <c r="M260" s="292"/>
    </row>
    <row r="261">
      <c r="A261" s="291"/>
      <c r="B261" s="291"/>
      <c r="C261" s="291"/>
      <c r="D261" s="291"/>
      <c r="E261" s="291"/>
      <c r="F261" s="291"/>
      <c r="G261" s="291"/>
      <c r="J261" s="291"/>
      <c r="K261" s="291"/>
      <c r="L261" s="291"/>
      <c r="M261" s="292"/>
    </row>
    <row r="262">
      <c r="A262" s="291"/>
      <c r="B262" s="291"/>
      <c r="C262" s="291"/>
      <c r="D262" s="291"/>
      <c r="E262" s="291"/>
      <c r="F262" s="291"/>
      <c r="G262" s="291"/>
      <c r="J262" s="291"/>
      <c r="K262" s="291"/>
      <c r="L262" s="291"/>
      <c r="M262" s="292"/>
    </row>
    <row r="263">
      <c r="A263" s="291"/>
      <c r="B263" s="291"/>
      <c r="C263" s="291"/>
      <c r="D263" s="291"/>
      <c r="E263" s="291"/>
      <c r="F263" s="291"/>
      <c r="G263" s="291"/>
      <c r="J263" s="291"/>
      <c r="K263" s="291"/>
      <c r="L263" s="291"/>
      <c r="M263" s="292"/>
    </row>
    <row r="264">
      <c r="A264" s="291"/>
      <c r="B264" s="291"/>
      <c r="C264" s="291"/>
      <c r="D264" s="291"/>
      <c r="E264" s="291"/>
      <c r="F264" s="291"/>
      <c r="G264" s="291"/>
      <c r="J264" s="291"/>
      <c r="K264" s="291"/>
      <c r="L264" s="291"/>
      <c r="M264" s="292"/>
    </row>
    <row r="265">
      <c r="A265" s="291"/>
      <c r="B265" s="291"/>
      <c r="C265" s="291"/>
      <c r="D265" s="291"/>
      <c r="E265" s="291"/>
      <c r="F265" s="291"/>
      <c r="G265" s="291"/>
      <c r="J265" s="291"/>
      <c r="K265" s="291"/>
      <c r="L265" s="291"/>
      <c r="M265" s="292"/>
    </row>
    <row r="266">
      <c r="A266" s="291"/>
      <c r="B266" s="291"/>
      <c r="C266" s="291"/>
      <c r="D266" s="291"/>
      <c r="E266" s="291"/>
      <c r="F266" s="291"/>
      <c r="G266" s="291"/>
      <c r="J266" s="291"/>
      <c r="K266" s="291"/>
      <c r="L266" s="291"/>
      <c r="M266" s="292"/>
    </row>
    <row r="267">
      <c r="A267" s="291"/>
      <c r="B267" s="291"/>
      <c r="C267" s="291"/>
      <c r="D267" s="291"/>
      <c r="E267" s="291"/>
      <c r="F267" s="291"/>
      <c r="G267" s="291"/>
      <c r="J267" s="291"/>
      <c r="K267" s="291"/>
      <c r="L267" s="291"/>
      <c r="M267" s="292"/>
    </row>
    <row r="268">
      <c r="A268" s="291"/>
      <c r="B268" s="291"/>
      <c r="C268" s="291"/>
      <c r="D268" s="291"/>
      <c r="E268" s="291"/>
      <c r="F268" s="291"/>
      <c r="G268" s="291"/>
      <c r="J268" s="291"/>
      <c r="K268" s="291"/>
      <c r="L268" s="291"/>
      <c r="M268" s="292"/>
    </row>
    <row r="269">
      <c r="A269" s="291"/>
      <c r="B269" s="291"/>
      <c r="C269" s="291"/>
      <c r="D269" s="291"/>
      <c r="E269" s="291"/>
      <c r="F269" s="291"/>
      <c r="G269" s="291"/>
      <c r="J269" s="291"/>
      <c r="K269" s="291"/>
      <c r="L269" s="291"/>
      <c r="M269" s="292"/>
    </row>
    <row r="270">
      <c r="A270" s="291"/>
      <c r="B270" s="291"/>
      <c r="C270" s="291"/>
      <c r="D270" s="291"/>
      <c r="E270" s="291"/>
      <c r="F270" s="291"/>
      <c r="G270" s="291"/>
      <c r="J270" s="291"/>
      <c r="K270" s="291"/>
      <c r="L270" s="291"/>
      <c r="M270" s="292"/>
    </row>
    <row r="271">
      <c r="A271" s="291"/>
      <c r="B271" s="291"/>
      <c r="C271" s="291"/>
      <c r="D271" s="291"/>
      <c r="E271" s="291"/>
      <c r="F271" s="291"/>
      <c r="G271" s="291"/>
      <c r="J271" s="291"/>
      <c r="K271" s="291"/>
      <c r="L271" s="291"/>
      <c r="M271" s="292"/>
    </row>
    <row r="272">
      <c r="A272" s="291"/>
      <c r="B272" s="291"/>
      <c r="C272" s="291"/>
      <c r="D272" s="291"/>
      <c r="E272" s="291"/>
      <c r="F272" s="291"/>
      <c r="G272" s="291"/>
      <c r="J272" s="291"/>
      <c r="K272" s="291"/>
      <c r="L272" s="291"/>
      <c r="M272" s="292"/>
    </row>
    <row r="273">
      <c r="A273" s="291"/>
      <c r="B273" s="291"/>
      <c r="C273" s="291"/>
      <c r="D273" s="291"/>
      <c r="E273" s="291"/>
      <c r="F273" s="291"/>
      <c r="G273" s="291"/>
      <c r="J273" s="291"/>
      <c r="K273" s="291"/>
      <c r="L273" s="291"/>
      <c r="M273" s="292"/>
    </row>
    <row r="274">
      <c r="A274" s="291"/>
      <c r="B274" s="291"/>
      <c r="C274" s="291"/>
      <c r="D274" s="291"/>
      <c r="E274" s="291"/>
      <c r="F274" s="291"/>
      <c r="G274" s="291"/>
      <c r="J274" s="291"/>
      <c r="K274" s="291"/>
      <c r="L274" s="291"/>
      <c r="M274" s="292"/>
    </row>
    <row r="275">
      <c r="A275" s="291"/>
      <c r="B275" s="291"/>
      <c r="C275" s="291"/>
      <c r="D275" s="291"/>
      <c r="E275" s="291"/>
      <c r="F275" s="291"/>
      <c r="G275" s="291"/>
      <c r="J275" s="291"/>
      <c r="K275" s="291"/>
      <c r="L275" s="291"/>
      <c r="M275" s="292"/>
    </row>
    <row r="276">
      <c r="A276" s="291"/>
      <c r="B276" s="291"/>
      <c r="C276" s="291"/>
      <c r="D276" s="291"/>
      <c r="E276" s="291"/>
      <c r="F276" s="291"/>
      <c r="G276" s="291"/>
      <c r="J276" s="291"/>
      <c r="K276" s="291"/>
      <c r="L276" s="291"/>
      <c r="M276" s="292"/>
    </row>
    <row r="277">
      <c r="A277" s="291"/>
      <c r="B277" s="291"/>
      <c r="C277" s="291"/>
      <c r="D277" s="291"/>
      <c r="E277" s="291"/>
      <c r="F277" s="291"/>
      <c r="G277" s="291"/>
      <c r="J277" s="291"/>
      <c r="K277" s="291"/>
      <c r="L277" s="291"/>
      <c r="M277" s="292"/>
    </row>
    <row r="278">
      <c r="A278" s="291"/>
      <c r="B278" s="291"/>
      <c r="C278" s="291"/>
      <c r="D278" s="291"/>
      <c r="E278" s="291"/>
      <c r="F278" s="291"/>
      <c r="G278" s="291"/>
      <c r="J278" s="291"/>
      <c r="K278" s="291"/>
      <c r="L278" s="291"/>
      <c r="M278" s="292"/>
    </row>
    <row r="279">
      <c r="A279" s="291"/>
      <c r="B279" s="291"/>
      <c r="C279" s="291"/>
      <c r="D279" s="291"/>
      <c r="E279" s="291"/>
      <c r="F279" s="291"/>
      <c r="G279" s="291"/>
      <c r="J279" s="291"/>
      <c r="K279" s="291"/>
      <c r="L279" s="291"/>
      <c r="M279" s="292"/>
    </row>
    <row r="280">
      <c r="A280" s="291"/>
      <c r="B280" s="291"/>
      <c r="C280" s="291"/>
      <c r="D280" s="291"/>
      <c r="E280" s="291"/>
      <c r="F280" s="291"/>
      <c r="G280" s="291"/>
      <c r="J280" s="291"/>
      <c r="K280" s="291"/>
      <c r="L280" s="291"/>
      <c r="M280" s="292"/>
    </row>
    <row r="281">
      <c r="A281" s="291"/>
      <c r="B281" s="291"/>
      <c r="C281" s="291"/>
      <c r="D281" s="291"/>
      <c r="E281" s="291"/>
      <c r="F281" s="291"/>
      <c r="G281" s="291"/>
      <c r="J281" s="291"/>
      <c r="K281" s="291"/>
      <c r="L281" s="291"/>
      <c r="M281" s="292"/>
    </row>
    <row r="282">
      <c r="A282" s="291"/>
      <c r="B282" s="291"/>
      <c r="C282" s="291"/>
      <c r="D282" s="291"/>
      <c r="E282" s="291"/>
      <c r="F282" s="291"/>
      <c r="G282" s="291"/>
      <c r="J282" s="291"/>
      <c r="K282" s="291"/>
      <c r="L282" s="291"/>
      <c r="M282" s="292"/>
    </row>
    <row r="283">
      <c r="A283" s="291"/>
      <c r="B283" s="291"/>
      <c r="C283" s="291"/>
      <c r="D283" s="291"/>
      <c r="E283" s="291"/>
      <c r="F283" s="291"/>
      <c r="G283" s="291"/>
      <c r="J283" s="291"/>
      <c r="K283" s="291"/>
      <c r="L283" s="291"/>
      <c r="M283" s="292"/>
    </row>
    <row r="284">
      <c r="A284" s="291"/>
      <c r="B284" s="291"/>
      <c r="C284" s="291"/>
      <c r="D284" s="291"/>
      <c r="E284" s="291"/>
      <c r="F284" s="291"/>
      <c r="G284" s="291"/>
      <c r="J284" s="291"/>
      <c r="K284" s="291"/>
      <c r="L284" s="291"/>
      <c r="M284" s="292"/>
    </row>
    <row r="285">
      <c r="A285" s="291"/>
      <c r="B285" s="291"/>
      <c r="C285" s="291"/>
      <c r="D285" s="291"/>
      <c r="E285" s="291"/>
      <c r="F285" s="291"/>
      <c r="G285" s="291"/>
      <c r="J285" s="291"/>
      <c r="K285" s="291"/>
      <c r="L285" s="291"/>
      <c r="M285" s="292"/>
    </row>
    <row r="286">
      <c r="A286" s="291"/>
      <c r="B286" s="291"/>
      <c r="C286" s="291"/>
      <c r="D286" s="291"/>
      <c r="E286" s="291"/>
      <c r="F286" s="291"/>
      <c r="G286" s="291"/>
      <c r="J286" s="291"/>
      <c r="K286" s="291"/>
      <c r="L286" s="291"/>
      <c r="M286" s="292"/>
    </row>
    <row r="287">
      <c r="A287" s="291"/>
      <c r="B287" s="291"/>
      <c r="C287" s="291"/>
      <c r="D287" s="291"/>
      <c r="E287" s="291"/>
      <c r="F287" s="291"/>
      <c r="G287" s="291"/>
      <c r="J287" s="291"/>
      <c r="K287" s="291"/>
      <c r="L287" s="291"/>
      <c r="M287" s="292"/>
    </row>
    <row r="288">
      <c r="A288" s="291"/>
      <c r="B288" s="291"/>
      <c r="C288" s="291"/>
      <c r="D288" s="291"/>
      <c r="E288" s="291"/>
      <c r="F288" s="291"/>
      <c r="G288" s="291"/>
      <c r="J288" s="291"/>
      <c r="K288" s="291"/>
      <c r="L288" s="291"/>
      <c r="M288" s="292"/>
    </row>
    <row r="289">
      <c r="A289" s="291"/>
      <c r="B289" s="291"/>
      <c r="C289" s="291"/>
      <c r="D289" s="291"/>
      <c r="E289" s="291"/>
      <c r="F289" s="291"/>
      <c r="G289" s="291"/>
      <c r="J289" s="291"/>
      <c r="K289" s="291"/>
      <c r="L289" s="291"/>
      <c r="M289" s="292"/>
    </row>
    <row r="290">
      <c r="A290" s="291"/>
      <c r="B290" s="291"/>
      <c r="C290" s="291"/>
      <c r="D290" s="291"/>
      <c r="E290" s="291"/>
      <c r="F290" s="291"/>
      <c r="G290" s="291"/>
      <c r="J290" s="291"/>
      <c r="K290" s="291"/>
      <c r="L290" s="291"/>
      <c r="M290" s="292"/>
    </row>
    <row r="291">
      <c r="A291" s="291"/>
      <c r="B291" s="291"/>
      <c r="C291" s="291"/>
      <c r="D291" s="291"/>
      <c r="E291" s="291"/>
      <c r="F291" s="291"/>
      <c r="G291" s="291"/>
      <c r="J291" s="291"/>
      <c r="K291" s="291"/>
      <c r="L291" s="291"/>
      <c r="M291" s="292"/>
    </row>
    <row r="292">
      <c r="A292" s="291"/>
      <c r="B292" s="291"/>
      <c r="C292" s="291"/>
      <c r="D292" s="291"/>
      <c r="E292" s="291"/>
      <c r="F292" s="291"/>
      <c r="G292" s="291"/>
      <c r="J292" s="291"/>
      <c r="K292" s="291"/>
      <c r="L292" s="291"/>
      <c r="M292" s="292"/>
    </row>
    <row r="293">
      <c r="A293" s="291"/>
      <c r="B293" s="291"/>
      <c r="C293" s="291"/>
      <c r="D293" s="291"/>
      <c r="E293" s="291"/>
      <c r="F293" s="291"/>
      <c r="G293" s="291"/>
      <c r="J293" s="291"/>
      <c r="K293" s="291"/>
      <c r="L293" s="291"/>
      <c r="M293" s="292"/>
    </row>
    <row r="294">
      <c r="A294" s="291"/>
      <c r="B294" s="291"/>
      <c r="C294" s="291"/>
      <c r="D294" s="291"/>
      <c r="E294" s="291"/>
      <c r="F294" s="291"/>
      <c r="G294" s="291"/>
      <c r="J294" s="291"/>
      <c r="K294" s="291"/>
      <c r="L294" s="291"/>
      <c r="M294" s="292"/>
    </row>
    <row r="295">
      <c r="A295" s="291"/>
      <c r="B295" s="291"/>
      <c r="C295" s="291"/>
      <c r="D295" s="291"/>
      <c r="E295" s="291"/>
      <c r="F295" s="291"/>
      <c r="G295" s="291"/>
      <c r="J295" s="291"/>
      <c r="K295" s="291"/>
      <c r="L295" s="291"/>
      <c r="M295" s="292"/>
    </row>
    <row r="296">
      <c r="A296" s="291"/>
      <c r="B296" s="291"/>
      <c r="C296" s="291"/>
      <c r="D296" s="291"/>
      <c r="E296" s="291"/>
      <c r="F296" s="291"/>
      <c r="G296" s="291"/>
      <c r="J296" s="291"/>
      <c r="K296" s="291"/>
      <c r="L296" s="291"/>
      <c r="M296" s="292"/>
    </row>
    <row r="297">
      <c r="A297" s="291"/>
      <c r="B297" s="291"/>
      <c r="C297" s="291"/>
      <c r="D297" s="291"/>
      <c r="E297" s="291"/>
      <c r="F297" s="291"/>
      <c r="G297" s="291"/>
      <c r="J297" s="291"/>
      <c r="K297" s="291"/>
      <c r="L297" s="291"/>
      <c r="M297" s="292"/>
    </row>
    <row r="298">
      <c r="A298" s="291"/>
      <c r="B298" s="291"/>
      <c r="C298" s="291"/>
      <c r="D298" s="291"/>
      <c r="E298" s="291"/>
      <c r="F298" s="291"/>
      <c r="G298" s="291"/>
      <c r="J298" s="291"/>
      <c r="K298" s="291"/>
      <c r="L298" s="291"/>
      <c r="M298" s="292"/>
    </row>
    <row r="299">
      <c r="A299" s="291"/>
      <c r="B299" s="291"/>
      <c r="C299" s="291"/>
      <c r="D299" s="291"/>
      <c r="E299" s="291"/>
      <c r="F299" s="291"/>
      <c r="G299" s="291"/>
      <c r="J299" s="291"/>
      <c r="K299" s="291"/>
      <c r="L299" s="291"/>
      <c r="M299" s="292"/>
    </row>
    <row r="300">
      <c r="A300" s="291"/>
      <c r="B300" s="291"/>
      <c r="C300" s="291"/>
      <c r="D300" s="291"/>
      <c r="E300" s="291"/>
      <c r="F300" s="291"/>
      <c r="G300" s="291"/>
      <c r="J300" s="291"/>
      <c r="K300" s="291"/>
      <c r="L300" s="291"/>
      <c r="M300" s="292"/>
    </row>
    <row r="301">
      <c r="A301" s="291"/>
      <c r="B301" s="291"/>
      <c r="C301" s="291"/>
      <c r="D301" s="291"/>
      <c r="E301" s="291"/>
      <c r="F301" s="291"/>
      <c r="G301" s="291"/>
      <c r="J301" s="291"/>
      <c r="K301" s="291"/>
      <c r="L301" s="291"/>
      <c r="M301" s="292"/>
    </row>
    <row r="302">
      <c r="A302" s="291"/>
      <c r="B302" s="291"/>
      <c r="C302" s="291"/>
      <c r="D302" s="291"/>
      <c r="E302" s="291"/>
      <c r="F302" s="291"/>
      <c r="G302" s="291"/>
      <c r="J302" s="291"/>
      <c r="K302" s="291"/>
      <c r="L302" s="291"/>
      <c r="M302" s="292"/>
    </row>
    <row r="303">
      <c r="A303" s="291"/>
      <c r="B303" s="291"/>
      <c r="C303" s="291"/>
      <c r="D303" s="291"/>
      <c r="E303" s="291"/>
      <c r="F303" s="291"/>
      <c r="G303" s="291"/>
      <c r="J303" s="291"/>
      <c r="K303" s="291"/>
      <c r="L303" s="291"/>
      <c r="M303" s="292"/>
    </row>
    <row r="304">
      <c r="A304" s="291"/>
      <c r="B304" s="291"/>
      <c r="C304" s="291"/>
      <c r="D304" s="291"/>
      <c r="E304" s="291"/>
      <c r="F304" s="291"/>
      <c r="G304" s="291"/>
      <c r="J304" s="291"/>
      <c r="K304" s="291"/>
      <c r="L304" s="291"/>
      <c r="M304" s="292"/>
    </row>
    <row r="305">
      <c r="A305" s="291"/>
      <c r="B305" s="291"/>
      <c r="C305" s="291"/>
      <c r="D305" s="291"/>
      <c r="E305" s="291"/>
      <c r="F305" s="291"/>
      <c r="G305" s="291"/>
      <c r="J305" s="291"/>
      <c r="K305" s="291"/>
      <c r="L305" s="291"/>
      <c r="M305" s="292"/>
    </row>
    <row r="306">
      <c r="A306" s="291"/>
      <c r="B306" s="291"/>
      <c r="C306" s="291"/>
      <c r="D306" s="291"/>
      <c r="E306" s="291"/>
      <c r="F306" s="291"/>
      <c r="G306" s="291"/>
      <c r="J306" s="291"/>
      <c r="K306" s="291"/>
      <c r="L306" s="291"/>
      <c r="M306" s="292"/>
    </row>
    <row r="307">
      <c r="A307" s="291"/>
      <c r="B307" s="291"/>
      <c r="C307" s="291"/>
      <c r="D307" s="291"/>
      <c r="E307" s="291"/>
      <c r="F307" s="291"/>
      <c r="G307" s="291"/>
      <c r="J307" s="291"/>
      <c r="K307" s="291"/>
      <c r="L307" s="291"/>
      <c r="M307" s="292"/>
    </row>
    <row r="308">
      <c r="A308" s="291"/>
      <c r="B308" s="291"/>
      <c r="C308" s="291"/>
      <c r="D308" s="291"/>
      <c r="E308" s="291"/>
      <c r="F308" s="291"/>
      <c r="G308" s="291"/>
      <c r="J308" s="291"/>
      <c r="K308" s="291"/>
      <c r="L308" s="291"/>
      <c r="M308" s="292"/>
    </row>
    <row r="309">
      <c r="A309" s="291"/>
      <c r="B309" s="291"/>
      <c r="C309" s="291"/>
      <c r="D309" s="291"/>
      <c r="E309" s="291"/>
      <c r="F309" s="291"/>
      <c r="G309" s="291"/>
      <c r="J309" s="291"/>
      <c r="K309" s="291"/>
      <c r="L309" s="291"/>
      <c r="M309" s="292"/>
    </row>
    <row r="310">
      <c r="A310" s="291"/>
      <c r="B310" s="291"/>
      <c r="C310" s="291"/>
      <c r="D310" s="291"/>
      <c r="E310" s="291"/>
      <c r="F310" s="291"/>
      <c r="G310" s="291"/>
      <c r="J310" s="291"/>
      <c r="K310" s="291"/>
      <c r="L310" s="291"/>
      <c r="M310" s="292"/>
    </row>
    <row r="311">
      <c r="A311" s="291"/>
      <c r="B311" s="291"/>
      <c r="C311" s="291"/>
      <c r="D311" s="291"/>
      <c r="E311" s="291"/>
      <c r="F311" s="291"/>
      <c r="G311" s="291"/>
      <c r="J311" s="291"/>
      <c r="K311" s="291"/>
      <c r="L311" s="291"/>
      <c r="M311" s="292"/>
    </row>
    <row r="312">
      <c r="A312" s="291"/>
      <c r="B312" s="291"/>
      <c r="C312" s="291"/>
      <c r="D312" s="291"/>
      <c r="E312" s="291"/>
      <c r="F312" s="291"/>
      <c r="G312" s="291"/>
      <c r="J312" s="291"/>
      <c r="K312" s="291"/>
      <c r="L312" s="291"/>
      <c r="M312" s="292"/>
    </row>
    <row r="313">
      <c r="A313" s="291"/>
      <c r="B313" s="291"/>
      <c r="C313" s="291"/>
      <c r="D313" s="291"/>
      <c r="E313" s="291"/>
      <c r="F313" s="291"/>
      <c r="G313" s="291"/>
      <c r="J313" s="291"/>
      <c r="K313" s="291"/>
      <c r="L313" s="291"/>
      <c r="M313" s="292"/>
    </row>
    <row r="314">
      <c r="A314" s="291"/>
      <c r="B314" s="291"/>
      <c r="C314" s="291"/>
      <c r="D314" s="291"/>
      <c r="E314" s="291"/>
      <c r="F314" s="291"/>
      <c r="G314" s="291"/>
      <c r="J314" s="291"/>
      <c r="K314" s="291"/>
      <c r="L314" s="291"/>
      <c r="M314" s="292"/>
    </row>
    <row r="315">
      <c r="A315" s="291"/>
      <c r="B315" s="291"/>
      <c r="C315" s="291"/>
      <c r="D315" s="291"/>
      <c r="E315" s="291"/>
      <c r="F315" s="291"/>
      <c r="G315" s="291"/>
      <c r="J315" s="291"/>
      <c r="K315" s="291"/>
      <c r="L315" s="291"/>
      <c r="M315" s="292"/>
    </row>
    <row r="316">
      <c r="A316" s="291"/>
      <c r="B316" s="291"/>
      <c r="C316" s="291"/>
      <c r="D316" s="291"/>
      <c r="E316" s="291"/>
      <c r="F316" s="291"/>
      <c r="G316" s="291"/>
      <c r="J316" s="291"/>
      <c r="K316" s="291"/>
      <c r="L316" s="291"/>
      <c r="M316" s="292"/>
    </row>
    <row r="317">
      <c r="A317" s="291"/>
      <c r="B317" s="291"/>
      <c r="C317" s="291"/>
      <c r="D317" s="291"/>
      <c r="E317" s="291"/>
      <c r="F317" s="291"/>
      <c r="G317" s="291"/>
      <c r="J317" s="291"/>
      <c r="K317" s="291"/>
      <c r="L317" s="291"/>
      <c r="M317" s="292"/>
    </row>
    <row r="318">
      <c r="A318" s="291"/>
      <c r="B318" s="291"/>
      <c r="C318" s="291"/>
      <c r="D318" s="291"/>
      <c r="E318" s="291"/>
      <c r="F318" s="291"/>
      <c r="G318" s="291"/>
      <c r="J318" s="291"/>
      <c r="K318" s="291"/>
      <c r="L318" s="291"/>
      <c r="M318" s="292"/>
    </row>
    <row r="319">
      <c r="A319" s="291"/>
      <c r="B319" s="291"/>
      <c r="C319" s="291"/>
      <c r="D319" s="291"/>
      <c r="E319" s="291"/>
      <c r="F319" s="291"/>
      <c r="G319" s="291"/>
      <c r="J319" s="291"/>
      <c r="K319" s="291"/>
      <c r="L319" s="291"/>
      <c r="M319" s="292"/>
    </row>
    <row r="320">
      <c r="A320" s="291"/>
      <c r="B320" s="291"/>
      <c r="C320" s="291"/>
      <c r="D320" s="291"/>
      <c r="E320" s="291"/>
      <c r="F320" s="291"/>
      <c r="G320" s="291"/>
      <c r="J320" s="291"/>
      <c r="K320" s="291"/>
      <c r="L320" s="291"/>
      <c r="M320" s="292"/>
    </row>
    <row r="321">
      <c r="A321" s="291"/>
      <c r="B321" s="291"/>
      <c r="C321" s="291"/>
      <c r="D321" s="291"/>
      <c r="E321" s="291"/>
      <c r="F321" s="291"/>
      <c r="G321" s="291"/>
      <c r="J321" s="291"/>
      <c r="K321" s="291"/>
      <c r="L321" s="291"/>
      <c r="M321" s="292"/>
    </row>
    <row r="322">
      <c r="A322" s="291"/>
      <c r="B322" s="291"/>
      <c r="C322" s="291"/>
      <c r="D322" s="291"/>
      <c r="E322" s="291"/>
      <c r="F322" s="291"/>
      <c r="G322" s="291"/>
      <c r="J322" s="291"/>
      <c r="K322" s="291"/>
      <c r="L322" s="291"/>
      <c r="M322" s="292"/>
    </row>
    <row r="323">
      <c r="A323" s="291"/>
      <c r="B323" s="291"/>
      <c r="C323" s="291"/>
      <c r="D323" s="291"/>
      <c r="E323" s="291"/>
      <c r="F323" s="291"/>
      <c r="G323" s="291"/>
      <c r="J323" s="291"/>
      <c r="K323" s="291"/>
      <c r="L323" s="291"/>
      <c r="M323" s="292"/>
    </row>
    <row r="324">
      <c r="A324" s="291"/>
      <c r="B324" s="291"/>
      <c r="C324" s="291"/>
      <c r="D324" s="291"/>
      <c r="E324" s="291"/>
      <c r="F324" s="291"/>
      <c r="G324" s="291"/>
      <c r="J324" s="291"/>
      <c r="K324" s="291"/>
      <c r="L324" s="291"/>
      <c r="M324" s="292"/>
    </row>
    <row r="325">
      <c r="A325" s="291"/>
      <c r="B325" s="291"/>
      <c r="C325" s="291"/>
      <c r="D325" s="291"/>
      <c r="E325" s="291"/>
      <c r="F325" s="291"/>
      <c r="G325" s="291"/>
      <c r="J325" s="291"/>
      <c r="K325" s="291"/>
      <c r="L325" s="291"/>
      <c r="M325" s="292"/>
    </row>
    <row r="326">
      <c r="A326" s="291"/>
      <c r="B326" s="291"/>
      <c r="C326" s="291"/>
      <c r="D326" s="291"/>
      <c r="E326" s="291"/>
      <c r="F326" s="291"/>
      <c r="G326" s="291"/>
      <c r="J326" s="291"/>
      <c r="K326" s="291"/>
      <c r="L326" s="291"/>
      <c r="M326" s="292"/>
    </row>
    <row r="327">
      <c r="A327" s="291"/>
      <c r="B327" s="291"/>
      <c r="C327" s="291"/>
      <c r="D327" s="291"/>
      <c r="E327" s="291"/>
      <c r="F327" s="291"/>
      <c r="G327" s="291"/>
      <c r="J327" s="291"/>
      <c r="K327" s="291"/>
      <c r="L327" s="291"/>
      <c r="M327" s="292"/>
    </row>
    <row r="328">
      <c r="A328" s="291"/>
      <c r="B328" s="291"/>
      <c r="C328" s="291"/>
      <c r="D328" s="291"/>
      <c r="E328" s="291"/>
      <c r="F328" s="291"/>
      <c r="G328" s="291"/>
      <c r="J328" s="291"/>
      <c r="K328" s="291"/>
      <c r="L328" s="291"/>
      <c r="M328" s="292"/>
    </row>
    <row r="329">
      <c r="A329" s="291"/>
      <c r="B329" s="291"/>
      <c r="C329" s="291"/>
      <c r="D329" s="291"/>
      <c r="E329" s="291"/>
      <c r="F329" s="291"/>
      <c r="G329" s="291"/>
      <c r="J329" s="291"/>
      <c r="K329" s="291"/>
      <c r="L329" s="291"/>
      <c r="M329" s="292"/>
    </row>
    <row r="330">
      <c r="A330" s="291"/>
      <c r="B330" s="291"/>
      <c r="C330" s="291"/>
      <c r="D330" s="291"/>
      <c r="E330" s="291"/>
      <c r="F330" s="291"/>
      <c r="G330" s="291"/>
      <c r="J330" s="291"/>
      <c r="K330" s="291"/>
      <c r="L330" s="291"/>
      <c r="M330" s="292"/>
    </row>
    <row r="331">
      <c r="A331" s="291"/>
      <c r="B331" s="291"/>
      <c r="C331" s="291"/>
      <c r="D331" s="291"/>
      <c r="E331" s="291"/>
      <c r="F331" s="291"/>
      <c r="G331" s="291"/>
      <c r="J331" s="291"/>
      <c r="K331" s="291"/>
      <c r="L331" s="291"/>
      <c r="M331" s="292"/>
    </row>
    <row r="332">
      <c r="A332" s="291"/>
      <c r="B332" s="291"/>
      <c r="C332" s="291"/>
      <c r="D332" s="291"/>
      <c r="E332" s="291"/>
      <c r="F332" s="291"/>
      <c r="G332" s="291"/>
      <c r="J332" s="291"/>
      <c r="K332" s="291"/>
      <c r="L332" s="291"/>
      <c r="M332" s="292"/>
    </row>
    <row r="333">
      <c r="A333" s="291"/>
      <c r="B333" s="291"/>
      <c r="C333" s="291"/>
      <c r="D333" s="291"/>
      <c r="E333" s="291"/>
      <c r="F333" s="291"/>
      <c r="G333" s="291"/>
      <c r="J333" s="291"/>
      <c r="K333" s="291"/>
      <c r="L333" s="291"/>
      <c r="M333" s="292"/>
    </row>
    <row r="334">
      <c r="A334" s="291"/>
      <c r="B334" s="291"/>
      <c r="C334" s="291"/>
      <c r="D334" s="291"/>
      <c r="E334" s="291"/>
      <c r="F334" s="291"/>
      <c r="G334" s="291"/>
      <c r="J334" s="291"/>
      <c r="K334" s="291"/>
      <c r="L334" s="291"/>
      <c r="M334" s="292"/>
    </row>
    <row r="335">
      <c r="A335" s="291"/>
      <c r="B335" s="291"/>
      <c r="C335" s="291"/>
      <c r="D335" s="291"/>
      <c r="E335" s="291"/>
      <c r="F335" s="291"/>
      <c r="G335" s="291"/>
      <c r="J335" s="291"/>
      <c r="K335" s="291"/>
      <c r="L335" s="291"/>
      <c r="M335" s="292"/>
    </row>
    <row r="336">
      <c r="A336" s="291"/>
      <c r="B336" s="291"/>
      <c r="C336" s="291"/>
      <c r="D336" s="291"/>
      <c r="E336" s="291"/>
      <c r="F336" s="291"/>
      <c r="G336" s="291"/>
      <c r="J336" s="291"/>
      <c r="K336" s="291"/>
      <c r="L336" s="291"/>
      <c r="M336" s="292"/>
    </row>
    <row r="337">
      <c r="A337" s="291"/>
      <c r="B337" s="291"/>
      <c r="C337" s="291"/>
      <c r="D337" s="291"/>
      <c r="E337" s="291"/>
      <c r="F337" s="291"/>
      <c r="G337" s="291"/>
      <c r="J337" s="291"/>
      <c r="K337" s="291"/>
      <c r="L337" s="291"/>
      <c r="M337" s="292"/>
    </row>
    <row r="338">
      <c r="A338" s="291"/>
      <c r="B338" s="291"/>
      <c r="C338" s="291"/>
      <c r="D338" s="291"/>
      <c r="E338" s="291"/>
      <c r="F338" s="291"/>
      <c r="G338" s="291"/>
      <c r="J338" s="291"/>
      <c r="K338" s="291"/>
      <c r="L338" s="291"/>
      <c r="M338" s="292"/>
    </row>
    <row r="339">
      <c r="A339" s="291"/>
      <c r="B339" s="291"/>
      <c r="C339" s="291"/>
      <c r="D339" s="291"/>
      <c r="E339" s="291"/>
      <c r="F339" s="291"/>
      <c r="G339" s="291"/>
      <c r="J339" s="291"/>
      <c r="K339" s="291"/>
      <c r="L339" s="291"/>
      <c r="M339" s="292"/>
    </row>
    <row r="340">
      <c r="A340" s="291"/>
      <c r="B340" s="291"/>
      <c r="C340" s="291"/>
      <c r="D340" s="291"/>
      <c r="E340" s="291"/>
      <c r="F340" s="291"/>
      <c r="G340" s="291"/>
      <c r="J340" s="291"/>
      <c r="K340" s="291"/>
      <c r="L340" s="291"/>
      <c r="M340" s="292"/>
    </row>
    <row r="341">
      <c r="A341" s="291"/>
      <c r="B341" s="291"/>
      <c r="C341" s="291"/>
      <c r="D341" s="291"/>
      <c r="E341" s="291"/>
      <c r="F341" s="291"/>
      <c r="G341" s="291"/>
      <c r="J341" s="291"/>
      <c r="K341" s="291"/>
      <c r="L341" s="291"/>
      <c r="M341" s="292"/>
    </row>
    <row r="342">
      <c r="A342" s="291"/>
      <c r="B342" s="291"/>
      <c r="C342" s="291"/>
      <c r="D342" s="291"/>
      <c r="E342" s="291"/>
      <c r="F342" s="291"/>
      <c r="G342" s="291"/>
      <c r="J342" s="291"/>
      <c r="K342" s="291"/>
      <c r="L342" s="291"/>
      <c r="M342" s="292"/>
    </row>
    <row r="343">
      <c r="A343" s="291"/>
      <c r="B343" s="291"/>
      <c r="C343" s="291"/>
      <c r="D343" s="291"/>
      <c r="E343" s="291"/>
      <c r="F343" s="291"/>
      <c r="G343" s="291"/>
      <c r="J343" s="291"/>
      <c r="K343" s="291"/>
      <c r="L343" s="291"/>
      <c r="M343" s="292"/>
    </row>
    <row r="344">
      <c r="A344" s="291"/>
      <c r="B344" s="291"/>
      <c r="C344" s="291"/>
      <c r="D344" s="291"/>
      <c r="E344" s="291"/>
      <c r="F344" s="291"/>
      <c r="G344" s="291"/>
      <c r="J344" s="291"/>
      <c r="K344" s="291"/>
      <c r="L344" s="291"/>
      <c r="M344" s="292"/>
    </row>
    <row r="345">
      <c r="A345" s="291"/>
      <c r="B345" s="291"/>
      <c r="C345" s="291"/>
      <c r="D345" s="291"/>
      <c r="E345" s="291"/>
      <c r="F345" s="291"/>
      <c r="G345" s="291"/>
      <c r="J345" s="291"/>
      <c r="K345" s="291"/>
      <c r="L345" s="291"/>
      <c r="M345" s="292"/>
    </row>
    <row r="346">
      <c r="A346" s="291"/>
      <c r="B346" s="291"/>
      <c r="C346" s="291"/>
      <c r="D346" s="291"/>
      <c r="E346" s="291"/>
      <c r="F346" s="291"/>
      <c r="G346" s="291"/>
      <c r="J346" s="291"/>
      <c r="K346" s="291"/>
      <c r="L346" s="291"/>
      <c r="M346" s="292"/>
    </row>
    <row r="347">
      <c r="A347" s="291"/>
      <c r="B347" s="291"/>
      <c r="C347" s="291"/>
      <c r="D347" s="291"/>
      <c r="E347" s="291"/>
      <c r="F347" s="291"/>
      <c r="G347" s="291"/>
      <c r="J347" s="291"/>
      <c r="K347" s="291"/>
      <c r="L347" s="291"/>
      <c r="M347" s="292"/>
    </row>
    <row r="348">
      <c r="A348" s="291"/>
      <c r="B348" s="291"/>
      <c r="C348" s="291"/>
      <c r="D348" s="291"/>
      <c r="E348" s="291"/>
      <c r="F348" s="291"/>
      <c r="G348" s="291"/>
      <c r="J348" s="291"/>
      <c r="K348" s="291"/>
      <c r="L348" s="291"/>
      <c r="M348" s="292"/>
    </row>
    <row r="349">
      <c r="A349" s="291"/>
      <c r="B349" s="291"/>
      <c r="C349" s="291"/>
      <c r="D349" s="291"/>
      <c r="E349" s="291"/>
      <c r="F349" s="291"/>
      <c r="G349" s="291"/>
      <c r="J349" s="291"/>
      <c r="K349" s="291"/>
      <c r="L349" s="291"/>
      <c r="M349" s="292"/>
    </row>
    <row r="350">
      <c r="A350" s="291"/>
      <c r="B350" s="291"/>
      <c r="C350" s="291"/>
      <c r="D350" s="291"/>
      <c r="E350" s="291"/>
      <c r="F350" s="291"/>
      <c r="G350" s="291"/>
      <c r="J350" s="291"/>
      <c r="K350" s="291"/>
      <c r="L350" s="291"/>
      <c r="M350" s="292"/>
    </row>
    <row r="351">
      <c r="A351" s="291"/>
      <c r="B351" s="291"/>
      <c r="C351" s="291"/>
      <c r="D351" s="291"/>
      <c r="E351" s="291"/>
      <c r="F351" s="291"/>
      <c r="G351" s="291"/>
      <c r="J351" s="291"/>
      <c r="K351" s="291"/>
      <c r="L351" s="291"/>
      <c r="M351" s="292"/>
    </row>
    <row r="352">
      <c r="A352" s="291"/>
      <c r="B352" s="291"/>
      <c r="C352" s="291"/>
      <c r="D352" s="291"/>
      <c r="E352" s="291"/>
      <c r="F352" s="291"/>
      <c r="G352" s="291"/>
      <c r="J352" s="291"/>
      <c r="K352" s="291"/>
      <c r="L352" s="291"/>
      <c r="M352" s="292"/>
    </row>
    <row r="353">
      <c r="A353" s="291"/>
      <c r="B353" s="291"/>
      <c r="C353" s="291"/>
      <c r="D353" s="291"/>
      <c r="E353" s="291"/>
      <c r="F353" s="291"/>
      <c r="G353" s="291"/>
      <c r="J353" s="291"/>
      <c r="K353" s="291"/>
      <c r="L353" s="291"/>
      <c r="M353" s="292"/>
    </row>
    <row r="354">
      <c r="A354" s="291"/>
      <c r="B354" s="291"/>
      <c r="C354" s="291"/>
      <c r="D354" s="291"/>
      <c r="E354" s="291"/>
      <c r="F354" s="291"/>
      <c r="G354" s="291"/>
      <c r="J354" s="291"/>
      <c r="K354" s="291"/>
      <c r="L354" s="291"/>
      <c r="M354" s="292"/>
    </row>
    <row r="355">
      <c r="A355" s="291"/>
      <c r="B355" s="291"/>
      <c r="C355" s="291"/>
      <c r="D355" s="291"/>
      <c r="E355" s="291"/>
      <c r="F355" s="291"/>
      <c r="G355" s="291"/>
      <c r="J355" s="291"/>
      <c r="K355" s="291"/>
      <c r="L355" s="291"/>
      <c r="M355" s="292"/>
    </row>
    <row r="356">
      <c r="A356" s="291"/>
      <c r="B356" s="291"/>
      <c r="C356" s="291"/>
      <c r="D356" s="291"/>
      <c r="E356" s="291"/>
      <c r="F356" s="291"/>
      <c r="G356" s="291"/>
      <c r="J356" s="291"/>
      <c r="K356" s="291"/>
      <c r="L356" s="291"/>
      <c r="M356" s="292"/>
    </row>
    <row r="357">
      <c r="A357" s="291"/>
      <c r="B357" s="291"/>
      <c r="C357" s="291"/>
      <c r="D357" s="291"/>
      <c r="E357" s="291"/>
      <c r="F357" s="291"/>
      <c r="G357" s="291"/>
      <c r="J357" s="291"/>
      <c r="K357" s="291"/>
      <c r="L357" s="291"/>
      <c r="M357" s="292"/>
    </row>
    <row r="358">
      <c r="A358" s="291"/>
      <c r="B358" s="291"/>
      <c r="C358" s="291"/>
      <c r="D358" s="291"/>
      <c r="E358" s="291"/>
      <c r="F358" s="291"/>
      <c r="G358" s="291"/>
      <c r="J358" s="291"/>
      <c r="K358" s="291"/>
      <c r="L358" s="291"/>
      <c r="M358" s="292"/>
    </row>
    <row r="359">
      <c r="A359" s="291"/>
      <c r="B359" s="291"/>
      <c r="C359" s="291"/>
      <c r="D359" s="291"/>
      <c r="E359" s="291"/>
      <c r="F359" s="291"/>
      <c r="G359" s="291"/>
      <c r="J359" s="291"/>
      <c r="K359" s="291"/>
      <c r="L359" s="291"/>
      <c r="M359" s="292"/>
    </row>
    <row r="360">
      <c r="A360" s="291"/>
      <c r="B360" s="291"/>
      <c r="C360" s="291"/>
      <c r="D360" s="291"/>
      <c r="E360" s="291"/>
      <c r="F360" s="291"/>
      <c r="G360" s="291"/>
      <c r="J360" s="291"/>
      <c r="K360" s="291"/>
      <c r="L360" s="291"/>
      <c r="M360" s="292"/>
    </row>
    <row r="361">
      <c r="A361" s="291"/>
      <c r="B361" s="291"/>
      <c r="C361" s="291"/>
      <c r="D361" s="291"/>
      <c r="E361" s="291"/>
      <c r="F361" s="291"/>
      <c r="G361" s="291"/>
      <c r="J361" s="291"/>
      <c r="K361" s="291"/>
      <c r="L361" s="291"/>
      <c r="M361" s="292"/>
    </row>
    <row r="362">
      <c r="A362" s="291"/>
      <c r="B362" s="291"/>
      <c r="C362" s="291"/>
      <c r="D362" s="291"/>
      <c r="E362" s="291"/>
      <c r="F362" s="291"/>
      <c r="G362" s="291"/>
      <c r="J362" s="291"/>
      <c r="K362" s="291"/>
      <c r="L362" s="291"/>
      <c r="M362" s="292"/>
    </row>
    <row r="363">
      <c r="A363" s="291"/>
      <c r="B363" s="291"/>
      <c r="C363" s="291"/>
      <c r="D363" s="291"/>
      <c r="E363" s="291"/>
      <c r="F363" s="291"/>
      <c r="G363" s="291"/>
      <c r="J363" s="291"/>
      <c r="K363" s="291"/>
      <c r="L363" s="291"/>
      <c r="M363" s="292"/>
    </row>
    <row r="364">
      <c r="A364" s="291"/>
      <c r="B364" s="291"/>
      <c r="C364" s="291"/>
      <c r="D364" s="291"/>
      <c r="E364" s="291"/>
      <c r="F364" s="291"/>
      <c r="G364" s="291"/>
      <c r="J364" s="291"/>
      <c r="K364" s="291"/>
      <c r="L364" s="291"/>
      <c r="M364" s="292"/>
    </row>
    <row r="365">
      <c r="A365" s="291"/>
      <c r="B365" s="291"/>
      <c r="C365" s="291"/>
      <c r="D365" s="291"/>
      <c r="E365" s="291"/>
      <c r="F365" s="291"/>
      <c r="G365" s="291"/>
      <c r="J365" s="291"/>
      <c r="K365" s="291"/>
      <c r="L365" s="291"/>
      <c r="M365" s="292"/>
    </row>
    <row r="366">
      <c r="A366" s="291"/>
      <c r="B366" s="291"/>
      <c r="C366" s="291"/>
      <c r="D366" s="291"/>
      <c r="E366" s="291"/>
      <c r="F366" s="291"/>
      <c r="G366" s="291"/>
      <c r="J366" s="291"/>
      <c r="K366" s="291"/>
      <c r="L366" s="291"/>
      <c r="M366" s="292"/>
    </row>
    <row r="367">
      <c r="A367" s="291"/>
      <c r="B367" s="291"/>
      <c r="C367" s="291"/>
      <c r="D367" s="291"/>
      <c r="E367" s="291"/>
      <c r="F367" s="291"/>
      <c r="G367" s="291"/>
      <c r="J367" s="291"/>
      <c r="K367" s="291"/>
      <c r="L367" s="291"/>
      <c r="M367" s="292"/>
    </row>
    <row r="368">
      <c r="A368" s="291"/>
      <c r="B368" s="291"/>
      <c r="C368" s="291"/>
      <c r="D368" s="291"/>
      <c r="E368" s="291"/>
      <c r="F368" s="291"/>
      <c r="G368" s="291"/>
      <c r="J368" s="291"/>
      <c r="K368" s="291"/>
      <c r="L368" s="291"/>
      <c r="M368" s="292"/>
    </row>
    <row r="369">
      <c r="A369" s="291"/>
      <c r="B369" s="291"/>
      <c r="C369" s="291"/>
      <c r="D369" s="291"/>
      <c r="E369" s="291"/>
      <c r="F369" s="291"/>
      <c r="G369" s="291"/>
      <c r="J369" s="291"/>
      <c r="K369" s="291"/>
      <c r="L369" s="291"/>
      <c r="M369" s="292"/>
    </row>
    <row r="370">
      <c r="A370" s="291"/>
      <c r="B370" s="291"/>
      <c r="C370" s="291"/>
      <c r="D370" s="291"/>
      <c r="E370" s="291"/>
      <c r="F370" s="291"/>
      <c r="G370" s="291"/>
      <c r="J370" s="291"/>
      <c r="K370" s="291"/>
      <c r="L370" s="291"/>
      <c r="M370" s="292"/>
    </row>
    <row r="371">
      <c r="A371" s="291"/>
      <c r="B371" s="291"/>
      <c r="C371" s="291"/>
      <c r="D371" s="291"/>
      <c r="E371" s="291"/>
      <c r="F371" s="291"/>
      <c r="G371" s="291"/>
      <c r="J371" s="291"/>
      <c r="K371" s="291"/>
      <c r="L371" s="291"/>
      <c r="M371" s="292"/>
    </row>
    <row r="372">
      <c r="A372" s="291"/>
      <c r="B372" s="291"/>
      <c r="C372" s="291"/>
      <c r="D372" s="291"/>
      <c r="E372" s="291"/>
      <c r="F372" s="291"/>
      <c r="G372" s="291"/>
      <c r="J372" s="291"/>
      <c r="K372" s="291"/>
      <c r="L372" s="291"/>
      <c r="M372" s="292"/>
    </row>
    <row r="373">
      <c r="A373" s="291"/>
      <c r="B373" s="291"/>
      <c r="C373" s="291"/>
      <c r="D373" s="291"/>
      <c r="E373" s="291"/>
      <c r="F373" s="291"/>
      <c r="G373" s="291"/>
      <c r="J373" s="291"/>
      <c r="K373" s="291"/>
      <c r="L373" s="291"/>
      <c r="M373" s="292"/>
    </row>
    <row r="374">
      <c r="A374" s="291"/>
      <c r="B374" s="291"/>
      <c r="C374" s="291"/>
      <c r="D374" s="291"/>
      <c r="E374" s="291"/>
      <c r="F374" s="291"/>
      <c r="G374" s="291"/>
      <c r="J374" s="291"/>
      <c r="K374" s="291"/>
      <c r="L374" s="291"/>
      <c r="M374" s="292"/>
    </row>
    <row r="375">
      <c r="A375" s="291"/>
      <c r="B375" s="291"/>
      <c r="C375" s="291"/>
      <c r="D375" s="291"/>
      <c r="E375" s="291"/>
      <c r="F375" s="291"/>
      <c r="G375" s="291"/>
      <c r="J375" s="291"/>
      <c r="K375" s="291"/>
      <c r="L375" s="291"/>
      <c r="M375" s="292"/>
    </row>
    <row r="376">
      <c r="A376" s="291"/>
      <c r="B376" s="291"/>
      <c r="C376" s="291"/>
      <c r="D376" s="291"/>
      <c r="E376" s="291"/>
      <c r="F376" s="291"/>
      <c r="G376" s="291"/>
      <c r="J376" s="291"/>
      <c r="K376" s="291"/>
      <c r="L376" s="291"/>
      <c r="M376" s="292"/>
    </row>
    <row r="377">
      <c r="A377" s="291"/>
      <c r="B377" s="291"/>
      <c r="C377" s="291"/>
      <c r="D377" s="291"/>
      <c r="E377" s="291"/>
      <c r="F377" s="291"/>
      <c r="G377" s="291"/>
      <c r="J377" s="291"/>
      <c r="K377" s="291"/>
      <c r="L377" s="291"/>
      <c r="M377" s="292"/>
    </row>
    <row r="378">
      <c r="A378" s="291"/>
      <c r="B378" s="291"/>
      <c r="C378" s="291"/>
      <c r="D378" s="291"/>
      <c r="E378" s="291"/>
      <c r="F378" s="291"/>
      <c r="G378" s="291"/>
      <c r="J378" s="291"/>
      <c r="K378" s="291"/>
      <c r="L378" s="291"/>
      <c r="M378" s="292"/>
    </row>
    <row r="379">
      <c r="A379" s="291"/>
      <c r="B379" s="291"/>
      <c r="C379" s="291"/>
      <c r="D379" s="291"/>
      <c r="E379" s="291"/>
      <c r="F379" s="291"/>
      <c r="G379" s="291"/>
      <c r="J379" s="291"/>
      <c r="K379" s="291"/>
      <c r="L379" s="291"/>
      <c r="M379" s="292"/>
    </row>
    <row r="380">
      <c r="A380" s="291"/>
      <c r="B380" s="291"/>
      <c r="C380" s="291"/>
      <c r="D380" s="291"/>
      <c r="E380" s="291"/>
      <c r="F380" s="291"/>
      <c r="G380" s="291"/>
      <c r="J380" s="291"/>
      <c r="K380" s="291"/>
      <c r="L380" s="291"/>
      <c r="M380" s="292"/>
    </row>
    <row r="381">
      <c r="A381" s="291"/>
      <c r="B381" s="291"/>
      <c r="C381" s="291"/>
      <c r="D381" s="291"/>
      <c r="E381" s="291"/>
      <c r="F381" s="291"/>
      <c r="G381" s="291"/>
      <c r="J381" s="291"/>
      <c r="K381" s="291"/>
      <c r="L381" s="291"/>
      <c r="M381" s="292"/>
    </row>
    <row r="382">
      <c r="A382" s="291"/>
      <c r="B382" s="291"/>
      <c r="C382" s="291"/>
      <c r="D382" s="291"/>
      <c r="E382" s="291"/>
      <c r="F382" s="291"/>
      <c r="G382" s="291"/>
      <c r="J382" s="291"/>
      <c r="K382" s="291"/>
      <c r="L382" s="291"/>
      <c r="M382" s="292"/>
    </row>
    <row r="383">
      <c r="A383" s="291"/>
      <c r="B383" s="291"/>
      <c r="C383" s="291"/>
      <c r="D383" s="291"/>
      <c r="E383" s="291"/>
      <c r="F383" s="291"/>
      <c r="G383" s="291"/>
      <c r="J383" s="291"/>
      <c r="K383" s="291"/>
      <c r="L383" s="291"/>
      <c r="M383" s="292"/>
    </row>
    <row r="384">
      <c r="A384" s="291"/>
      <c r="B384" s="291"/>
      <c r="C384" s="291"/>
      <c r="D384" s="291"/>
      <c r="E384" s="291"/>
      <c r="F384" s="291"/>
      <c r="G384" s="291"/>
      <c r="J384" s="291"/>
      <c r="K384" s="291"/>
      <c r="L384" s="291"/>
      <c r="M384" s="292"/>
    </row>
    <row r="385">
      <c r="A385" s="291"/>
      <c r="B385" s="291"/>
      <c r="C385" s="291"/>
      <c r="D385" s="291"/>
      <c r="E385" s="291"/>
      <c r="F385" s="291"/>
      <c r="G385" s="291"/>
      <c r="J385" s="291"/>
      <c r="K385" s="291"/>
      <c r="L385" s="291"/>
      <c r="M385" s="292"/>
    </row>
    <row r="386">
      <c r="A386" s="291"/>
      <c r="B386" s="291"/>
      <c r="C386" s="291"/>
      <c r="D386" s="291"/>
      <c r="E386" s="291"/>
      <c r="F386" s="291"/>
      <c r="G386" s="291"/>
      <c r="J386" s="291"/>
      <c r="K386" s="291"/>
      <c r="L386" s="291"/>
      <c r="M386" s="292"/>
    </row>
    <row r="387">
      <c r="A387" s="291"/>
      <c r="B387" s="291"/>
      <c r="C387" s="291"/>
      <c r="D387" s="291"/>
      <c r="E387" s="291"/>
      <c r="F387" s="291"/>
      <c r="G387" s="291"/>
      <c r="J387" s="291"/>
      <c r="K387" s="291"/>
      <c r="L387" s="291"/>
      <c r="M387" s="292"/>
    </row>
    <row r="388">
      <c r="A388" s="291"/>
      <c r="B388" s="291"/>
      <c r="C388" s="291"/>
      <c r="D388" s="291"/>
      <c r="E388" s="291"/>
      <c r="F388" s="291"/>
      <c r="G388" s="291"/>
      <c r="J388" s="291"/>
      <c r="K388" s="291"/>
      <c r="L388" s="291"/>
      <c r="M388" s="292"/>
    </row>
    <row r="389">
      <c r="A389" s="291"/>
      <c r="B389" s="291"/>
      <c r="C389" s="291"/>
      <c r="D389" s="291"/>
      <c r="E389" s="291"/>
      <c r="F389" s="291"/>
      <c r="G389" s="291"/>
      <c r="J389" s="291"/>
      <c r="K389" s="291"/>
      <c r="L389" s="291"/>
      <c r="M389" s="292"/>
    </row>
    <row r="390">
      <c r="A390" s="291"/>
      <c r="B390" s="291"/>
      <c r="C390" s="291"/>
      <c r="D390" s="291"/>
      <c r="E390" s="291"/>
      <c r="F390" s="291"/>
      <c r="G390" s="291"/>
      <c r="J390" s="291"/>
      <c r="K390" s="291"/>
      <c r="L390" s="291"/>
      <c r="M390" s="292"/>
    </row>
    <row r="391">
      <c r="A391" s="291"/>
      <c r="B391" s="291"/>
      <c r="C391" s="291"/>
      <c r="D391" s="291"/>
      <c r="E391" s="291"/>
      <c r="F391" s="291"/>
      <c r="G391" s="291"/>
      <c r="J391" s="291"/>
      <c r="K391" s="291"/>
      <c r="L391" s="291"/>
      <c r="M391" s="292"/>
    </row>
    <row r="392">
      <c r="A392" s="291"/>
      <c r="B392" s="291"/>
      <c r="C392" s="291"/>
      <c r="D392" s="291"/>
      <c r="E392" s="291"/>
      <c r="F392" s="291"/>
      <c r="G392" s="291"/>
      <c r="J392" s="291"/>
      <c r="K392" s="291"/>
      <c r="L392" s="291"/>
      <c r="M392" s="292"/>
    </row>
    <row r="393">
      <c r="A393" s="291"/>
      <c r="B393" s="291"/>
      <c r="C393" s="291"/>
      <c r="D393" s="291"/>
      <c r="E393" s="291"/>
      <c r="F393" s="291"/>
      <c r="G393" s="291"/>
      <c r="J393" s="291"/>
      <c r="K393" s="291"/>
      <c r="L393" s="291"/>
      <c r="M393" s="292"/>
    </row>
    <row r="394">
      <c r="A394" s="291"/>
      <c r="B394" s="291"/>
      <c r="C394" s="291"/>
      <c r="D394" s="291"/>
      <c r="E394" s="291"/>
      <c r="F394" s="291"/>
      <c r="G394" s="291"/>
      <c r="J394" s="291"/>
      <c r="K394" s="291"/>
      <c r="L394" s="291"/>
      <c r="M394" s="292"/>
    </row>
    <row r="395">
      <c r="A395" s="291"/>
      <c r="B395" s="291"/>
      <c r="C395" s="291"/>
      <c r="D395" s="291"/>
      <c r="E395" s="291"/>
      <c r="F395" s="291"/>
      <c r="G395" s="291"/>
      <c r="J395" s="291"/>
      <c r="K395" s="291"/>
      <c r="L395" s="291"/>
      <c r="M395" s="292"/>
    </row>
    <row r="396">
      <c r="A396" s="291"/>
      <c r="B396" s="291"/>
      <c r="C396" s="291"/>
      <c r="D396" s="291"/>
      <c r="E396" s="291"/>
      <c r="F396" s="291"/>
      <c r="G396" s="291"/>
      <c r="J396" s="291"/>
      <c r="K396" s="291"/>
      <c r="L396" s="291"/>
      <c r="M396" s="292"/>
    </row>
    <row r="397">
      <c r="A397" s="291"/>
      <c r="B397" s="291"/>
      <c r="C397" s="291"/>
      <c r="D397" s="291"/>
      <c r="E397" s="291"/>
      <c r="F397" s="291"/>
      <c r="G397" s="291"/>
      <c r="J397" s="291"/>
      <c r="K397" s="291"/>
      <c r="L397" s="291"/>
      <c r="M397" s="292"/>
    </row>
    <row r="398">
      <c r="A398" s="291"/>
      <c r="B398" s="291"/>
      <c r="C398" s="291"/>
      <c r="D398" s="291"/>
      <c r="E398" s="291"/>
      <c r="F398" s="291"/>
      <c r="G398" s="291"/>
      <c r="J398" s="291"/>
      <c r="K398" s="291"/>
      <c r="L398" s="291"/>
      <c r="M398" s="292"/>
    </row>
    <row r="399">
      <c r="A399" s="291"/>
      <c r="B399" s="291"/>
      <c r="C399" s="291"/>
      <c r="D399" s="291"/>
      <c r="E399" s="291"/>
      <c r="F399" s="291"/>
      <c r="G399" s="291"/>
      <c r="J399" s="291"/>
      <c r="K399" s="291"/>
      <c r="L399" s="291"/>
      <c r="M399" s="292"/>
    </row>
    <row r="400">
      <c r="A400" s="291"/>
      <c r="B400" s="291"/>
      <c r="C400" s="291"/>
      <c r="D400" s="291"/>
      <c r="E400" s="291"/>
      <c r="F400" s="291"/>
      <c r="G400" s="291"/>
      <c r="J400" s="291"/>
      <c r="K400" s="291"/>
      <c r="L400" s="291"/>
      <c r="M400" s="292"/>
    </row>
    <row r="401">
      <c r="A401" s="291"/>
      <c r="B401" s="291"/>
      <c r="C401" s="291"/>
      <c r="D401" s="291"/>
      <c r="E401" s="291"/>
      <c r="F401" s="291"/>
      <c r="G401" s="291"/>
      <c r="J401" s="291"/>
      <c r="K401" s="291"/>
      <c r="L401" s="291"/>
      <c r="M401" s="292"/>
    </row>
    <row r="402">
      <c r="A402" s="291"/>
      <c r="B402" s="291"/>
      <c r="C402" s="291"/>
      <c r="D402" s="291"/>
      <c r="E402" s="291"/>
      <c r="F402" s="291"/>
      <c r="G402" s="291"/>
      <c r="J402" s="291"/>
      <c r="K402" s="291"/>
      <c r="L402" s="291"/>
      <c r="M402" s="292"/>
    </row>
    <row r="403">
      <c r="A403" s="291"/>
      <c r="B403" s="291"/>
      <c r="C403" s="291"/>
      <c r="D403" s="291"/>
      <c r="E403" s="291"/>
      <c r="F403" s="291"/>
      <c r="G403" s="291"/>
      <c r="J403" s="291"/>
      <c r="K403" s="291"/>
      <c r="L403" s="291"/>
      <c r="M403" s="292"/>
    </row>
    <row r="404">
      <c r="A404" s="291"/>
      <c r="B404" s="291"/>
      <c r="C404" s="291"/>
      <c r="D404" s="291"/>
      <c r="E404" s="291"/>
      <c r="F404" s="291"/>
      <c r="G404" s="291"/>
      <c r="J404" s="291"/>
      <c r="K404" s="291"/>
      <c r="L404" s="291"/>
      <c r="M404" s="292"/>
    </row>
    <row r="405">
      <c r="A405" s="291"/>
      <c r="B405" s="291"/>
      <c r="C405" s="291"/>
      <c r="D405" s="291"/>
      <c r="E405" s="291"/>
      <c r="F405" s="291"/>
      <c r="G405" s="291"/>
      <c r="J405" s="291"/>
      <c r="K405" s="291"/>
      <c r="L405" s="291"/>
      <c r="M405" s="292"/>
    </row>
    <row r="406">
      <c r="A406" s="291"/>
      <c r="B406" s="291"/>
      <c r="C406" s="291"/>
      <c r="D406" s="291"/>
      <c r="E406" s="291"/>
      <c r="F406" s="291"/>
      <c r="G406" s="291"/>
      <c r="J406" s="291"/>
      <c r="K406" s="291"/>
      <c r="L406" s="291"/>
      <c r="M406" s="292"/>
    </row>
    <row r="407">
      <c r="A407" s="291"/>
      <c r="B407" s="291"/>
      <c r="C407" s="291"/>
      <c r="D407" s="291"/>
      <c r="E407" s="291"/>
      <c r="F407" s="291"/>
      <c r="G407" s="291"/>
      <c r="J407" s="291"/>
      <c r="K407" s="291"/>
      <c r="L407" s="291"/>
      <c r="M407" s="292"/>
    </row>
    <row r="408">
      <c r="A408" s="291"/>
      <c r="B408" s="291"/>
      <c r="C408" s="291"/>
      <c r="D408" s="291"/>
      <c r="E408" s="291"/>
      <c r="F408" s="291"/>
      <c r="G408" s="291"/>
      <c r="J408" s="291"/>
      <c r="K408" s="291"/>
      <c r="L408" s="291"/>
      <c r="M408" s="292"/>
    </row>
    <row r="409">
      <c r="A409" s="291"/>
      <c r="B409" s="291"/>
      <c r="C409" s="291"/>
      <c r="D409" s="291"/>
      <c r="E409" s="291"/>
      <c r="F409" s="291"/>
      <c r="G409" s="291"/>
      <c r="J409" s="291"/>
      <c r="K409" s="291"/>
      <c r="L409" s="291"/>
      <c r="M409" s="292"/>
    </row>
    <row r="410">
      <c r="A410" s="291"/>
      <c r="B410" s="291"/>
      <c r="C410" s="291"/>
      <c r="D410" s="291"/>
      <c r="E410" s="291"/>
      <c r="F410" s="291"/>
      <c r="G410" s="291"/>
      <c r="J410" s="291"/>
      <c r="K410" s="291"/>
      <c r="L410" s="291"/>
      <c r="M410" s="292"/>
    </row>
    <row r="411">
      <c r="A411" s="291"/>
      <c r="B411" s="291"/>
      <c r="C411" s="291"/>
      <c r="D411" s="291"/>
      <c r="E411" s="291"/>
      <c r="F411" s="291"/>
      <c r="G411" s="291"/>
      <c r="J411" s="291"/>
      <c r="K411" s="291"/>
      <c r="L411" s="291"/>
      <c r="M411" s="292"/>
    </row>
    <row r="412">
      <c r="A412" s="291"/>
      <c r="B412" s="291"/>
      <c r="C412" s="291"/>
      <c r="D412" s="291"/>
      <c r="E412" s="291"/>
      <c r="F412" s="291"/>
      <c r="G412" s="291"/>
      <c r="J412" s="291"/>
      <c r="K412" s="291"/>
      <c r="L412" s="291"/>
      <c r="M412" s="292"/>
    </row>
    <row r="413">
      <c r="A413" s="291"/>
      <c r="B413" s="291"/>
      <c r="C413" s="291"/>
      <c r="D413" s="291"/>
      <c r="E413" s="291"/>
      <c r="F413" s="291"/>
      <c r="G413" s="291"/>
      <c r="J413" s="291"/>
      <c r="K413" s="291"/>
      <c r="L413" s="291"/>
      <c r="M413" s="292"/>
    </row>
    <row r="414">
      <c r="A414" s="291"/>
      <c r="B414" s="291"/>
      <c r="C414" s="291"/>
      <c r="D414" s="291"/>
      <c r="E414" s="291"/>
      <c r="F414" s="291"/>
      <c r="G414" s="291"/>
      <c r="J414" s="291"/>
      <c r="K414" s="291"/>
      <c r="L414" s="291"/>
      <c r="M414" s="292"/>
    </row>
    <row r="415">
      <c r="A415" s="291"/>
      <c r="B415" s="291"/>
      <c r="C415" s="291"/>
      <c r="D415" s="291"/>
      <c r="E415" s="291"/>
      <c r="F415" s="291"/>
      <c r="G415" s="291"/>
      <c r="J415" s="291"/>
      <c r="K415" s="291"/>
      <c r="L415" s="291"/>
      <c r="M415" s="292"/>
    </row>
    <row r="416">
      <c r="A416" s="291"/>
      <c r="B416" s="291"/>
      <c r="C416" s="291"/>
      <c r="D416" s="291"/>
      <c r="E416" s="291"/>
      <c r="F416" s="291"/>
      <c r="G416" s="291"/>
      <c r="J416" s="291"/>
      <c r="K416" s="291"/>
      <c r="L416" s="291"/>
      <c r="M416" s="292"/>
    </row>
    <row r="417">
      <c r="A417" s="291"/>
      <c r="B417" s="291"/>
      <c r="C417" s="291"/>
      <c r="D417" s="291"/>
      <c r="E417" s="291"/>
      <c r="F417" s="291"/>
      <c r="G417" s="291"/>
      <c r="J417" s="291"/>
      <c r="K417" s="291"/>
      <c r="L417" s="291"/>
      <c r="M417" s="292"/>
    </row>
    <row r="418">
      <c r="A418" s="291"/>
      <c r="B418" s="291"/>
      <c r="C418" s="291"/>
      <c r="D418" s="291"/>
      <c r="E418" s="291"/>
      <c r="F418" s="291"/>
      <c r="G418" s="291"/>
      <c r="J418" s="291"/>
      <c r="K418" s="291"/>
      <c r="L418" s="291"/>
      <c r="M418" s="292"/>
    </row>
    <row r="419">
      <c r="A419" s="291"/>
      <c r="B419" s="291"/>
      <c r="C419" s="291"/>
      <c r="D419" s="291"/>
      <c r="E419" s="291"/>
      <c r="F419" s="291"/>
      <c r="G419" s="291"/>
      <c r="J419" s="291"/>
      <c r="K419" s="291"/>
      <c r="L419" s="291"/>
      <c r="M419" s="292"/>
    </row>
    <row r="420">
      <c r="A420" s="291"/>
      <c r="B420" s="291"/>
      <c r="C420" s="291"/>
      <c r="D420" s="291"/>
      <c r="E420" s="291"/>
      <c r="F420" s="291"/>
      <c r="G420" s="291"/>
      <c r="J420" s="291"/>
      <c r="K420" s="291"/>
      <c r="L420" s="291"/>
      <c r="M420" s="292"/>
    </row>
    <row r="421">
      <c r="A421" s="291"/>
      <c r="B421" s="291"/>
      <c r="C421" s="291"/>
      <c r="D421" s="291"/>
      <c r="E421" s="291"/>
      <c r="F421" s="291"/>
      <c r="G421" s="291"/>
      <c r="J421" s="291"/>
      <c r="K421" s="291"/>
      <c r="L421" s="291"/>
      <c r="M421" s="292"/>
    </row>
    <row r="422">
      <c r="A422" s="291"/>
      <c r="B422" s="291"/>
      <c r="C422" s="291"/>
      <c r="D422" s="291"/>
      <c r="E422" s="291"/>
      <c r="F422" s="291"/>
      <c r="G422" s="291"/>
      <c r="J422" s="291"/>
      <c r="K422" s="291"/>
      <c r="L422" s="291"/>
      <c r="M422" s="292"/>
    </row>
    <row r="423">
      <c r="A423" s="291"/>
      <c r="B423" s="291"/>
      <c r="C423" s="291"/>
      <c r="D423" s="291"/>
      <c r="E423" s="291"/>
      <c r="F423" s="291"/>
      <c r="G423" s="291"/>
      <c r="J423" s="291"/>
      <c r="K423" s="291"/>
      <c r="L423" s="291"/>
      <c r="M423" s="292"/>
    </row>
    <row r="424">
      <c r="A424" s="291"/>
      <c r="B424" s="291"/>
      <c r="C424" s="291"/>
      <c r="D424" s="291"/>
      <c r="E424" s="291"/>
      <c r="F424" s="291"/>
      <c r="G424" s="291"/>
      <c r="J424" s="291"/>
      <c r="K424" s="291"/>
      <c r="L424" s="291"/>
      <c r="M424" s="292"/>
    </row>
    <row r="425">
      <c r="A425" s="291"/>
      <c r="B425" s="291"/>
      <c r="C425" s="291"/>
      <c r="D425" s="291"/>
      <c r="E425" s="291"/>
      <c r="F425" s="291"/>
      <c r="G425" s="291"/>
      <c r="J425" s="291"/>
      <c r="K425" s="291"/>
      <c r="L425" s="291"/>
      <c r="M425" s="292"/>
    </row>
    <row r="426">
      <c r="A426" s="291"/>
      <c r="B426" s="291"/>
      <c r="C426" s="291"/>
      <c r="D426" s="291"/>
      <c r="E426" s="291"/>
      <c r="F426" s="291"/>
      <c r="G426" s="291"/>
      <c r="J426" s="291"/>
      <c r="K426" s="291"/>
      <c r="L426" s="291"/>
      <c r="M426" s="292"/>
    </row>
    <row r="427">
      <c r="A427" s="291"/>
      <c r="B427" s="291"/>
      <c r="C427" s="291"/>
      <c r="D427" s="291"/>
      <c r="E427" s="291"/>
      <c r="F427" s="291"/>
      <c r="G427" s="291"/>
      <c r="J427" s="291"/>
      <c r="K427" s="291"/>
      <c r="L427" s="291"/>
      <c r="M427" s="292"/>
    </row>
    <row r="428">
      <c r="A428" s="291"/>
      <c r="B428" s="291"/>
      <c r="C428" s="291"/>
      <c r="D428" s="291"/>
      <c r="E428" s="291"/>
      <c r="F428" s="291"/>
      <c r="G428" s="291"/>
      <c r="J428" s="291"/>
      <c r="K428" s="291"/>
      <c r="L428" s="291"/>
      <c r="M428" s="292"/>
    </row>
    <row r="429">
      <c r="A429" s="291"/>
      <c r="B429" s="291"/>
      <c r="C429" s="291"/>
      <c r="D429" s="291"/>
      <c r="E429" s="291"/>
      <c r="F429" s="291"/>
      <c r="G429" s="291"/>
      <c r="J429" s="291"/>
      <c r="K429" s="291"/>
      <c r="L429" s="291"/>
      <c r="M429" s="292"/>
    </row>
    <row r="430">
      <c r="A430" s="291"/>
      <c r="B430" s="291"/>
      <c r="C430" s="291"/>
      <c r="D430" s="291"/>
      <c r="E430" s="291"/>
      <c r="F430" s="291"/>
      <c r="G430" s="291"/>
      <c r="J430" s="291"/>
      <c r="K430" s="291"/>
      <c r="L430" s="291"/>
      <c r="M430" s="292"/>
    </row>
    <row r="431">
      <c r="A431" s="291"/>
      <c r="B431" s="291"/>
      <c r="C431" s="291"/>
      <c r="D431" s="291"/>
      <c r="E431" s="291"/>
      <c r="F431" s="291"/>
      <c r="G431" s="291"/>
      <c r="J431" s="291"/>
      <c r="K431" s="291"/>
      <c r="L431" s="291"/>
      <c r="M431" s="292"/>
    </row>
    <row r="432">
      <c r="A432" s="291"/>
      <c r="B432" s="291"/>
      <c r="C432" s="291"/>
      <c r="D432" s="291"/>
      <c r="E432" s="291"/>
      <c r="F432" s="291"/>
      <c r="G432" s="291"/>
      <c r="J432" s="291"/>
      <c r="K432" s="291"/>
      <c r="L432" s="291"/>
      <c r="M432" s="292"/>
    </row>
    <row r="433">
      <c r="A433" s="291"/>
      <c r="B433" s="291"/>
      <c r="C433" s="291"/>
      <c r="D433" s="291"/>
      <c r="E433" s="291"/>
      <c r="F433" s="291"/>
      <c r="G433" s="291"/>
      <c r="J433" s="291"/>
      <c r="K433" s="291"/>
      <c r="L433" s="291"/>
      <c r="M433" s="292"/>
    </row>
    <row r="434">
      <c r="A434" s="291"/>
      <c r="B434" s="291"/>
      <c r="C434" s="291"/>
      <c r="D434" s="291"/>
      <c r="E434" s="291"/>
      <c r="F434" s="291"/>
      <c r="G434" s="291"/>
      <c r="J434" s="291"/>
      <c r="K434" s="291"/>
      <c r="L434" s="291"/>
      <c r="M434" s="292"/>
    </row>
    <row r="435">
      <c r="A435" s="291"/>
      <c r="B435" s="291"/>
      <c r="C435" s="291"/>
      <c r="D435" s="291"/>
      <c r="E435" s="291"/>
      <c r="F435" s="291"/>
      <c r="G435" s="291"/>
      <c r="J435" s="291"/>
      <c r="K435" s="291"/>
      <c r="L435" s="291"/>
      <c r="M435" s="292"/>
    </row>
    <row r="436">
      <c r="A436" s="291"/>
      <c r="B436" s="291"/>
      <c r="C436" s="291"/>
      <c r="D436" s="291"/>
      <c r="E436" s="291"/>
      <c r="F436" s="291"/>
      <c r="G436" s="291"/>
      <c r="J436" s="291"/>
      <c r="K436" s="291"/>
      <c r="L436" s="291"/>
      <c r="M436" s="292"/>
    </row>
    <row r="437">
      <c r="A437" s="291"/>
      <c r="B437" s="291"/>
      <c r="C437" s="291"/>
      <c r="D437" s="291"/>
      <c r="E437" s="291"/>
      <c r="F437" s="291"/>
      <c r="G437" s="291"/>
      <c r="J437" s="291"/>
      <c r="K437" s="291"/>
      <c r="L437" s="291"/>
      <c r="M437" s="292"/>
    </row>
    <row r="438">
      <c r="A438" s="291"/>
      <c r="B438" s="291"/>
      <c r="C438" s="291"/>
      <c r="D438" s="291"/>
      <c r="E438" s="291"/>
      <c r="F438" s="291"/>
      <c r="G438" s="291"/>
      <c r="J438" s="291"/>
      <c r="K438" s="291"/>
      <c r="L438" s="291"/>
      <c r="M438" s="292"/>
    </row>
    <row r="439">
      <c r="A439" s="291"/>
      <c r="B439" s="291"/>
      <c r="C439" s="291"/>
      <c r="D439" s="291"/>
      <c r="E439" s="291"/>
      <c r="F439" s="291"/>
      <c r="G439" s="291"/>
      <c r="J439" s="291"/>
      <c r="K439" s="291"/>
      <c r="L439" s="291"/>
      <c r="M439" s="292"/>
    </row>
    <row r="440">
      <c r="A440" s="291"/>
      <c r="B440" s="291"/>
      <c r="C440" s="291"/>
      <c r="D440" s="291"/>
      <c r="E440" s="291"/>
      <c r="F440" s="291"/>
      <c r="G440" s="291"/>
      <c r="J440" s="291"/>
      <c r="K440" s="291"/>
      <c r="L440" s="291"/>
      <c r="M440" s="292"/>
    </row>
    <row r="441">
      <c r="A441" s="291"/>
      <c r="B441" s="291"/>
      <c r="C441" s="291"/>
      <c r="D441" s="291"/>
      <c r="E441" s="291"/>
      <c r="F441" s="291"/>
      <c r="G441" s="291"/>
      <c r="J441" s="291"/>
      <c r="K441" s="291"/>
      <c r="L441" s="291"/>
      <c r="M441" s="292"/>
    </row>
    <row r="442">
      <c r="A442" s="291"/>
      <c r="B442" s="291"/>
      <c r="C442" s="291"/>
      <c r="D442" s="291"/>
      <c r="E442" s="291"/>
      <c r="F442" s="291"/>
      <c r="G442" s="291"/>
      <c r="J442" s="291"/>
      <c r="K442" s="291"/>
      <c r="L442" s="291"/>
      <c r="M442" s="292"/>
    </row>
    <row r="443">
      <c r="A443" s="291"/>
      <c r="B443" s="291"/>
      <c r="C443" s="291"/>
      <c r="D443" s="291"/>
      <c r="E443" s="291"/>
      <c r="F443" s="291"/>
      <c r="G443" s="291"/>
      <c r="J443" s="291"/>
      <c r="K443" s="291"/>
      <c r="L443" s="291"/>
      <c r="M443" s="292"/>
    </row>
    <row r="444">
      <c r="A444" s="291"/>
      <c r="B444" s="291"/>
      <c r="C444" s="291"/>
      <c r="D444" s="291"/>
      <c r="E444" s="291"/>
      <c r="F444" s="291"/>
      <c r="G444" s="291"/>
      <c r="J444" s="291"/>
      <c r="K444" s="291"/>
      <c r="L444" s="291"/>
      <c r="M444" s="292"/>
    </row>
    <row r="445">
      <c r="A445" s="291"/>
      <c r="B445" s="291"/>
      <c r="C445" s="291"/>
      <c r="D445" s="291"/>
      <c r="E445" s="291"/>
      <c r="F445" s="291"/>
      <c r="G445" s="291"/>
      <c r="J445" s="291"/>
      <c r="K445" s="291"/>
      <c r="L445" s="291"/>
      <c r="M445" s="292"/>
    </row>
    <row r="446">
      <c r="A446" s="291"/>
      <c r="B446" s="291"/>
      <c r="C446" s="291"/>
      <c r="D446" s="291"/>
      <c r="E446" s="291"/>
      <c r="F446" s="291"/>
      <c r="G446" s="291"/>
      <c r="J446" s="291"/>
      <c r="K446" s="291"/>
      <c r="L446" s="291"/>
      <c r="M446" s="292"/>
    </row>
    <row r="447">
      <c r="A447" s="291"/>
      <c r="B447" s="291"/>
      <c r="C447" s="291"/>
      <c r="D447" s="291"/>
      <c r="E447" s="291"/>
      <c r="F447" s="291"/>
      <c r="G447" s="291"/>
      <c r="J447" s="291"/>
      <c r="K447" s="291"/>
      <c r="L447" s="291"/>
      <c r="M447" s="292"/>
    </row>
    <row r="448">
      <c r="A448" s="291"/>
      <c r="B448" s="291"/>
      <c r="C448" s="291"/>
      <c r="D448" s="291"/>
      <c r="E448" s="291"/>
      <c r="F448" s="291"/>
      <c r="G448" s="291"/>
      <c r="J448" s="291"/>
      <c r="K448" s="291"/>
      <c r="L448" s="291"/>
      <c r="M448" s="292"/>
    </row>
    <row r="449">
      <c r="A449" s="291"/>
      <c r="B449" s="291"/>
      <c r="C449" s="291"/>
      <c r="D449" s="291"/>
      <c r="E449" s="291"/>
      <c r="F449" s="291"/>
      <c r="G449" s="291"/>
      <c r="J449" s="291"/>
      <c r="K449" s="291"/>
      <c r="L449" s="291"/>
      <c r="M449" s="292"/>
    </row>
    <row r="450">
      <c r="A450" s="291"/>
      <c r="B450" s="291"/>
      <c r="C450" s="291"/>
      <c r="D450" s="291"/>
      <c r="E450" s="291"/>
      <c r="F450" s="291"/>
      <c r="G450" s="291"/>
      <c r="J450" s="291"/>
      <c r="K450" s="291"/>
      <c r="L450" s="291"/>
      <c r="M450" s="292"/>
    </row>
    <row r="451">
      <c r="A451" s="291"/>
      <c r="B451" s="291"/>
      <c r="C451" s="291"/>
      <c r="D451" s="291"/>
      <c r="E451" s="291"/>
      <c r="F451" s="291"/>
      <c r="G451" s="291"/>
      <c r="J451" s="291"/>
      <c r="K451" s="291"/>
      <c r="L451" s="291"/>
      <c r="M451" s="292"/>
    </row>
    <row r="452">
      <c r="A452" s="291"/>
      <c r="B452" s="291"/>
      <c r="C452" s="291"/>
      <c r="D452" s="291"/>
      <c r="E452" s="291"/>
      <c r="F452" s="291"/>
      <c r="G452" s="291"/>
      <c r="J452" s="291"/>
      <c r="K452" s="291"/>
      <c r="L452" s="291"/>
      <c r="M452" s="292"/>
    </row>
    <row r="453">
      <c r="A453" s="291"/>
      <c r="B453" s="291"/>
      <c r="C453" s="291"/>
      <c r="D453" s="291"/>
      <c r="E453" s="291"/>
      <c r="F453" s="291"/>
      <c r="G453" s="291"/>
      <c r="J453" s="291"/>
      <c r="K453" s="291"/>
      <c r="L453" s="291"/>
      <c r="M453" s="292"/>
    </row>
    <row r="454">
      <c r="A454" s="291"/>
      <c r="B454" s="291"/>
      <c r="C454" s="291"/>
      <c r="D454" s="291"/>
      <c r="E454" s="291"/>
      <c r="F454" s="291"/>
      <c r="G454" s="291"/>
      <c r="J454" s="291"/>
      <c r="K454" s="291"/>
      <c r="L454" s="291"/>
      <c r="M454" s="292"/>
    </row>
    <row r="455">
      <c r="A455" s="291"/>
      <c r="B455" s="291"/>
      <c r="C455" s="291"/>
      <c r="D455" s="291"/>
      <c r="E455" s="291"/>
      <c r="F455" s="291"/>
      <c r="G455" s="291"/>
      <c r="J455" s="291"/>
      <c r="K455" s="291"/>
      <c r="L455" s="291"/>
      <c r="M455" s="292"/>
    </row>
    <row r="456">
      <c r="A456" s="291"/>
      <c r="B456" s="291"/>
      <c r="C456" s="291"/>
      <c r="D456" s="291"/>
      <c r="E456" s="291"/>
      <c r="F456" s="291"/>
      <c r="G456" s="291"/>
      <c r="J456" s="291"/>
      <c r="K456" s="291"/>
      <c r="L456" s="291"/>
      <c r="M456" s="292"/>
    </row>
    <row r="457">
      <c r="A457" s="291"/>
      <c r="B457" s="291"/>
      <c r="C457" s="291"/>
      <c r="D457" s="291"/>
      <c r="E457" s="291"/>
      <c r="F457" s="291"/>
      <c r="G457" s="291"/>
      <c r="J457" s="291"/>
      <c r="K457" s="291"/>
      <c r="L457" s="291"/>
      <c r="M457" s="292"/>
    </row>
    <row r="458">
      <c r="A458" s="291"/>
      <c r="B458" s="291"/>
      <c r="C458" s="291"/>
      <c r="D458" s="291"/>
      <c r="E458" s="291"/>
      <c r="F458" s="291"/>
      <c r="G458" s="291"/>
      <c r="J458" s="291"/>
      <c r="K458" s="291"/>
      <c r="L458" s="291"/>
      <c r="M458" s="292"/>
    </row>
    <row r="459">
      <c r="A459" s="291"/>
      <c r="B459" s="291"/>
      <c r="C459" s="291"/>
      <c r="D459" s="291"/>
      <c r="E459" s="291"/>
      <c r="F459" s="291"/>
      <c r="G459" s="291"/>
      <c r="J459" s="291"/>
      <c r="K459" s="291"/>
      <c r="L459" s="291"/>
      <c r="M459" s="292"/>
    </row>
    <row r="460">
      <c r="A460" s="291"/>
      <c r="B460" s="291"/>
      <c r="C460" s="291"/>
      <c r="D460" s="291"/>
      <c r="E460" s="291"/>
      <c r="F460" s="291"/>
      <c r="G460" s="291"/>
      <c r="J460" s="291"/>
      <c r="K460" s="291"/>
      <c r="L460" s="291"/>
      <c r="M460" s="292"/>
    </row>
    <row r="461">
      <c r="A461" s="291"/>
      <c r="B461" s="291"/>
      <c r="C461" s="291"/>
      <c r="D461" s="291"/>
      <c r="E461" s="291"/>
      <c r="F461" s="291"/>
      <c r="G461" s="291"/>
      <c r="J461" s="291"/>
      <c r="K461" s="291"/>
      <c r="L461" s="291"/>
      <c r="M461" s="292"/>
    </row>
    <row r="462">
      <c r="A462" s="291"/>
      <c r="B462" s="291"/>
      <c r="C462" s="291"/>
      <c r="D462" s="291"/>
      <c r="E462" s="291"/>
      <c r="F462" s="291"/>
      <c r="G462" s="291"/>
      <c r="J462" s="291"/>
      <c r="K462" s="291"/>
      <c r="L462" s="291"/>
      <c r="M462" s="292"/>
    </row>
    <row r="463">
      <c r="A463" s="291"/>
      <c r="B463" s="291"/>
      <c r="C463" s="291"/>
      <c r="D463" s="291"/>
      <c r="E463" s="291"/>
      <c r="F463" s="291"/>
      <c r="G463" s="291"/>
      <c r="J463" s="291"/>
      <c r="K463" s="291"/>
      <c r="L463" s="291"/>
      <c r="M463" s="292"/>
    </row>
    <row r="464">
      <c r="A464" s="291"/>
      <c r="B464" s="291"/>
      <c r="C464" s="291"/>
      <c r="D464" s="291"/>
      <c r="E464" s="291"/>
      <c r="F464" s="291"/>
      <c r="G464" s="291"/>
      <c r="J464" s="291"/>
      <c r="K464" s="291"/>
      <c r="L464" s="291"/>
      <c r="M464" s="292"/>
    </row>
    <row r="465">
      <c r="A465" s="291"/>
      <c r="B465" s="291"/>
      <c r="C465" s="291"/>
      <c r="D465" s="291"/>
      <c r="E465" s="291"/>
      <c r="F465" s="291"/>
      <c r="G465" s="291"/>
      <c r="J465" s="291"/>
      <c r="K465" s="291"/>
      <c r="L465" s="291"/>
      <c r="M465" s="292"/>
    </row>
    <row r="466">
      <c r="A466" s="291"/>
      <c r="B466" s="291"/>
      <c r="C466" s="291"/>
      <c r="D466" s="291"/>
      <c r="E466" s="291"/>
      <c r="F466" s="291"/>
      <c r="G466" s="291"/>
      <c r="J466" s="291"/>
      <c r="K466" s="291"/>
      <c r="L466" s="291"/>
      <c r="M466" s="292"/>
    </row>
    <row r="467">
      <c r="A467" s="291"/>
      <c r="B467" s="291"/>
      <c r="C467" s="291"/>
      <c r="D467" s="291"/>
      <c r="E467" s="291"/>
      <c r="F467" s="291"/>
      <c r="G467" s="291"/>
      <c r="J467" s="291"/>
      <c r="K467" s="291"/>
      <c r="L467" s="291"/>
      <c r="M467" s="292"/>
    </row>
    <row r="468">
      <c r="A468" s="291"/>
      <c r="B468" s="291"/>
      <c r="C468" s="291"/>
      <c r="D468" s="291"/>
      <c r="E468" s="291"/>
      <c r="F468" s="291"/>
      <c r="G468" s="291"/>
      <c r="J468" s="291"/>
      <c r="K468" s="291"/>
      <c r="L468" s="291"/>
      <c r="M468" s="292"/>
    </row>
    <row r="469">
      <c r="A469" s="291"/>
      <c r="B469" s="291"/>
      <c r="C469" s="291"/>
      <c r="D469" s="291"/>
      <c r="E469" s="291"/>
      <c r="F469" s="291"/>
      <c r="G469" s="291"/>
      <c r="J469" s="291"/>
      <c r="K469" s="291"/>
      <c r="L469" s="291"/>
      <c r="M469" s="292"/>
    </row>
    <row r="470">
      <c r="A470" s="291"/>
      <c r="B470" s="291"/>
      <c r="C470" s="291"/>
      <c r="D470" s="291"/>
      <c r="E470" s="291"/>
      <c r="F470" s="291"/>
      <c r="G470" s="291"/>
      <c r="J470" s="291"/>
      <c r="K470" s="291"/>
      <c r="L470" s="291"/>
      <c r="M470" s="292"/>
    </row>
    <row r="471">
      <c r="A471" s="291"/>
      <c r="B471" s="291"/>
      <c r="C471" s="291"/>
      <c r="D471" s="291"/>
      <c r="E471" s="291"/>
      <c r="F471" s="291"/>
      <c r="G471" s="291"/>
      <c r="J471" s="291"/>
      <c r="K471" s="291"/>
      <c r="L471" s="291"/>
      <c r="M471" s="292"/>
    </row>
    <row r="472">
      <c r="A472" s="291"/>
      <c r="B472" s="291"/>
      <c r="C472" s="291"/>
      <c r="D472" s="291"/>
      <c r="E472" s="291"/>
      <c r="F472" s="291"/>
      <c r="G472" s="291"/>
      <c r="J472" s="291"/>
      <c r="K472" s="291"/>
      <c r="L472" s="291"/>
      <c r="M472" s="292"/>
    </row>
    <row r="473">
      <c r="A473" s="291"/>
      <c r="B473" s="291"/>
      <c r="C473" s="291"/>
      <c r="D473" s="291"/>
      <c r="E473" s="291"/>
      <c r="F473" s="291"/>
      <c r="G473" s="291"/>
      <c r="J473" s="291"/>
      <c r="K473" s="291"/>
      <c r="L473" s="291"/>
      <c r="M473" s="292"/>
    </row>
    <row r="474">
      <c r="A474" s="291"/>
      <c r="B474" s="291"/>
      <c r="C474" s="291"/>
      <c r="D474" s="291"/>
      <c r="E474" s="291"/>
      <c r="F474" s="291"/>
      <c r="G474" s="291"/>
      <c r="J474" s="291"/>
      <c r="K474" s="291"/>
      <c r="L474" s="291"/>
      <c r="M474" s="292"/>
    </row>
    <row r="475">
      <c r="A475" s="291"/>
      <c r="B475" s="291"/>
      <c r="C475" s="291"/>
      <c r="D475" s="291"/>
      <c r="E475" s="291"/>
      <c r="F475" s="291"/>
      <c r="G475" s="291"/>
      <c r="J475" s="291"/>
      <c r="K475" s="291"/>
      <c r="L475" s="291"/>
      <c r="M475" s="292"/>
    </row>
    <row r="476">
      <c r="A476" s="291"/>
      <c r="B476" s="291"/>
      <c r="C476" s="291"/>
      <c r="D476" s="291"/>
      <c r="E476" s="291"/>
      <c r="F476" s="291"/>
      <c r="G476" s="291"/>
      <c r="J476" s="291"/>
      <c r="K476" s="291"/>
      <c r="L476" s="291"/>
      <c r="M476" s="292"/>
    </row>
    <row r="477">
      <c r="A477" s="291"/>
      <c r="B477" s="291"/>
      <c r="C477" s="291"/>
      <c r="D477" s="291"/>
      <c r="E477" s="291"/>
      <c r="F477" s="291"/>
      <c r="G477" s="291"/>
      <c r="J477" s="291"/>
      <c r="K477" s="291"/>
      <c r="L477" s="291"/>
      <c r="M477" s="292"/>
    </row>
    <row r="478">
      <c r="A478" s="291"/>
      <c r="B478" s="291"/>
      <c r="C478" s="291"/>
      <c r="D478" s="291"/>
      <c r="E478" s="291"/>
      <c r="F478" s="291"/>
      <c r="G478" s="291"/>
      <c r="J478" s="291"/>
      <c r="K478" s="291"/>
      <c r="L478" s="291"/>
      <c r="M478" s="292"/>
    </row>
    <row r="479">
      <c r="A479" s="291"/>
      <c r="B479" s="291"/>
      <c r="C479" s="291"/>
      <c r="D479" s="291"/>
      <c r="E479" s="291"/>
      <c r="F479" s="291"/>
      <c r="G479" s="291"/>
      <c r="J479" s="291"/>
      <c r="K479" s="291"/>
      <c r="L479" s="291"/>
      <c r="M479" s="292"/>
    </row>
    <row r="480">
      <c r="A480" s="291"/>
      <c r="B480" s="291"/>
      <c r="C480" s="291"/>
      <c r="D480" s="291"/>
      <c r="E480" s="291"/>
      <c r="F480" s="291"/>
      <c r="G480" s="291"/>
      <c r="J480" s="291"/>
      <c r="K480" s="291"/>
      <c r="L480" s="291"/>
      <c r="M480" s="292"/>
    </row>
    <row r="481">
      <c r="A481" s="291"/>
      <c r="B481" s="291"/>
      <c r="C481" s="291"/>
      <c r="D481" s="291"/>
      <c r="E481" s="291"/>
      <c r="F481" s="291"/>
      <c r="G481" s="291"/>
      <c r="J481" s="291"/>
      <c r="K481" s="291"/>
      <c r="L481" s="291"/>
      <c r="M481" s="292"/>
    </row>
    <row r="482">
      <c r="A482" s="291"/>
      <c r="B482" s="291"/>
      <c r="C482" s="291"/>
      <c r="D482" s="291"/>
      <c r="E482" s="291"/>
      <c r="F482" s="291"/>
      <c r="G482" s="291"/>
      <c r="J482" s="291"/>
      <c r="K482" s="291"/>
      <c r="L482" s="291"/>
      <c r="M482" s="292"/>
    </row>
    <row r="483">
      <c r="A483" s="291"/>
      <c r="B483" s="291"/>
      <c r="C483" s="291"/>
      <c r="D483" s="291"/>
      <c r="E483" s="291"/>
      <c r="F483" s="291"/>
      <c r="G483" s="291"/>
      <c r="J483" s="291"/>
      <c r="K483" s="291"/>
      <c r="L483" s="291"/>
      <c r="M483" s="292"/>
    </row>
    <row r="484">
      <c r="A484" s="291"/>
      <c r="B484" s="291"/>
      <c r="C484" s="291"/>
      <c r="D484" s="291"/>
      <c r="E484" s="291"/>
      <c r="F484" s="291"/>
      <c r="G484" s="291"/>
      <c r="J484" s="291"/>
      <c r="K484" s="291"/>
      <c r="L484" s="291"/>
      <c r="M484" s="292"/>
    </row>
    <row r="485">
      <c r="A485" s="291"/>
      <c r="B485" s="291"/>
      <c r="C485" s="291"/>
      <c r="D485" s="291"/>
      <c r="E485" s="291"/>
      <c r="F485" s="291"/>
      <c r="G485" s="291"/>
      <c r="J485" s="291"/>
      <c r="K485" s="291"/>
      <c r="L485" s="291"/>
      <c r="M485" s="292"/>
    </row>
    <row r="486">
      <c r="A486" s="291"/>
      <c r="B486" s="291"/>
      <c r="C486" s="291"/>
      <c r="D486" s="291"/>
      <c r="E486" s="291"/>
      <c r="F486" s="291"/>
      <c r="G486" s="291"/>
      <c r="J486" s="291"/>
      <c r="K486" s="291"/>
      <c r="L486" s="291"/>
      <c r="M486" s="292"/>
    </row>
    <row r="487">
      <c r="A487" s="291"/>
      <c r="B487" s="291"/>
      <c r="C487" s="291"/>
      <c r="D487" s="291"/>
      <c r="E487" s="291"/>
      <c r="F487" s="291"/>
      <c r="G487" s="291"/>
      <c r="J487" s="291"/>
      <c r="K487" s="291"/>
      <c r="L487" s="291"/>
      <c r="M487" s="292"/>
    </row>
    <row r="488">
      <c r="A488" s="291"/>
      <c r="B488" s="291"/>
      <c r="C488" s="291"/>
      <c r="D488" s="291"/>
      <c r="E488" s="291"/>
      <c r="F488" s="291"/>
      <c r="G488" s="291"/>
      <c r="J488" s="291"/>
      <c r="K488" s="291"/>
      <c r="L488" s="291"/>
      <c r="M488" s="292"/>
    </row>
    <row r="489">
      <c r="A489" s="291"/>
      <c r="B489" s="291"/>
      <c r="C489" s="291"/>
      <c r="D489" s="291"/>
      <c r="E489" s="291"/>
      <c r="F489" s="291"/>
      <c r="G489" s="291"/>
      <c r="J489" s="291"/>
      <c r="K489" s="291"/>
      <c r="L489" s="291"/>
      <c r="M489" s="292"/>
    </row>
    <row r="490">
      <c r="A490" s="291"/>
      <c r="B490" s="291"/>
      <c r="C490" s="291"/>
      <c r="D490" s="291"/>
      <c r="E490" s="291"/>
      <c r="F490" s="291"/>
      <c r="G490" s="291"/>
      <c r="J490" s="291"/>
      <c r="K490" s="291"/>
      <c r="L490" s="291"/>
      <c r="M490" s="292"/>
    </row>
    <row r="491">
      <c r="A491" s="291"/>
      <c r="B491" s="291"/>
      <c r="C491" s="291"/>
      <c r="D491" s="291"/>
      <c r="E491" s="291"/>
      <c r="F491" s="291"/>
      <c r="G491" s="291"/>
      <c r="J491" s="291"/>
      <c r="K491" s="291"/>
      <c r="L491" s="291"/>
      <c r="M491" s="292"/>
    </row>
    <row r="492">
      <c r="A492" s="291"/>
      <c r="B492" s="291"/>
      <c r="C492" s="291"/>
      <c r="D492" s="291"/>
      <c r="E492" s="291"/>
      <c r="F492" s="291"/>
      <c r="G492" s="291"/>
      <c r="J492" s="291"/>
      <c r="K492" s="291"/>
      <c r="L492" s="291"/>
      <c r="M492" s="292"/>
    </row>
    <row r="493">
      <c r="A493" s="291"/>
      <c r="B493" s="291"/>
      <c r="C493" s="291"/>
      <c r="D493" s="291"/>
      <c r="E493" s="291"/>
      <c r="F493" s="291"/>
      <c r="G493" s="291"/>
      <c r="J493" s="291"/>
      <c r="K493" s="291"/>
      <c r="L493" s="291"/>
      <c r="M493" s="292"/>
    </row>
    <row r="494">
      <c r="A494" s="291"/>
      <c r="B494" s="291"/>
      <c r="C494" s="291"/>
      <c r="D494" s="291"/>
      <c r="E494" s="291"/>
      <c r="F494" s="291"/>
      <c r="G494" s="291"/>
      <c r="J494" s="291"/>
      <c r="K494" s="291"/>
      <c r="L494" s="291"/>
      <c r="M494" s="292"/>
    </row>
    <row r="495">
      <c r="A495" s="291"/>
      <c r="B495" s="291"/>
      <c r="C495" s="291"/>
      <c r="D495" s="291"/>
      <c r="E495" s="291"/>
      <c r="F495" s="291"/>
      <c r="G495" s="291"/>
      <c r="J495" s="291"/>
      <c r="K495" s="291"/>
      <c r="L495" s="291"/>
      <c r="M495" s="292"/>
    </row>
    <row r="496">
      <c r="A496" s="291"/>
      <c r="B496" s="291"/>
      <c r="C496" s="291"/>
      <c r="D496" s="291"/>
      <c r="E496" s="291"/>
      <c r="F496" s="291"/>
      <c r="G496" s="291"/>
      <c r="J496" s="291"/>
      <c r="K496" s="291"/>
      <c r="L496" s="291"/>
      <c r="M496" s="292"/>
    </row>
    <row r="497">
      <c r="A497" s="291"/>
      <c r="B497" s="291"/>
      <c r="C497" s="291"/>
      <c r="D497" s="291"/>
      <c r="E497" s="291"/>
      <c r="F497" s="291"/>
      <c r="G497" s="291"/>
      <c r="J497" s="291"/>
      <c r="K497" s="291"/>
      <c r="L497" s="291"/>
      <c r="M497" s="292"/>
    </row>
    <row r="498">
      <c r="A498" s="291"/>
      <c r="B498" s="291"/>
      <c r="C498" s="291"/>
      <c r="D498" s="291"/>
      <c r="E498" s="291"/>
      <c r="F498" s="291"/>
      <c r="G498" s="291"/>
      <c r="J498" s="291"/>
      <c r="K498" s="291"/>
      <c r="L498" s="291"/>
      <c r="M498" s="292"/>
    </row>
    <row r="499">
      <c r="A499" s="291"/>
      <c r="B499" s="291"/>
      <c r="C499" s="291"/>
      <c r="D499" s="291"/>
      <c r="E499" s="291"/>
      <c r="F499" s="291"/>
      <c r="G499" s="291"/>
      <c r="J499" s="291"/>
      <c r="K499" s="291"/>
      <c r="L499" s="291"/>
      <c r="M499" s="292"/>
    </row>
    <row r="500">
      <c r="A500" s="291"/>
      <c r="B500" s="291"/>
      <c r="C500" s="291"/>
      <c r="D500" s="291"/>
      <c r="E500" s="291"/>
      <c r="F500" s="291"/>
      <c r="G500" s="291"/>
      <c r="J500" s="291"/>
      <c r="K500" s="291"/>
      <c r="L500" s="291"/>
      <c r="M500" s="292"/>
    </row>
    <row r="501">
      <c r="A501" s="291"/>
      <c r="B501" s="291"/>
      <c r="C501" s="291"/>
      <c r="D501" s="291"/>
      <c r="E501" s="291"/>
      <c r="F501" s="291"/>
      <c r="G501" s="291"/>
      <c r="J501" s="291"/>
      <c r="K501" s="291"/>
      <c r="L501" s="291"/>
      <c r="M501" s="292"/>
    </row>
    <row r="502">
      <c r="A502" s="291"/>
      <c r="B502" s="291"/>
      <c r="C502" s="291"/>
      <c r="D502" s="291"/>
      <c r="E502" s="291"/>
      <c r="F502" s="291"/>
      <c r="G502" s="291"/>
      <c r="J502" s="291"/>
      <c r="K502" s="291"/>
      <c r="L502" s="291"/>
      <c r="M502" s="292"/>
    </row>
    <row r="503">
      <c r="A503" s="291"/>
      <c r="B503" s="291"/>
      <c r="C503" s="291"/>
      <c r="D503" s="291"/>
      <c r="E503" s="291"/>
      <c r="F503" s="291"/>
      <c r="G503" s="291"/>
      <c r="J503" s="291"/>
      <c r="K503" s="291"/>
      <c r="L503" s="291"/>
      <c r="M503" s="292"/>
    </row>
    <row r="504">
      <c r="A504" s="291"/>
      <c r="B504" s="291"/>
      <c r="C504" s="291"/>
      <c r="D504" s="291"/>
      <c r="E504" s="291"/>
      <c r="F504" s="291"/>
      <c r="G504" s="291"/>
      <c r="J504" s="291"/>
      <c r="K504" s="291"/>
      <c r="L504" s="291"/>
      <c r="M504" s="292"/>
    </row>
    <row r="505">
      <c r="A505" s="291"/>
      <c r="B505" s="291"/>
      <c r="C505" s="291"/>
      <c r="D505" s="291"/>
      <c r="E505" s="291"/>
      <c r="F505" s="291"/>
      <c r="G505" s="291"/>
      <c r="J505" s="291"/>
      <c r="K505" s="291"/>
      <c r="L505" s="291"/>
      <c r="M505" s="292"/>
    </row>
    <row r="506">
      <c r="A506" s="291"/>
      <c r="B506" s="291"/>
      <c r="C506" s="291"/>
      <c r="D506" s="291"/>
      <c r="E506" s="291"/>
      <c r="F506" s="291"/>
      <c r="G506" s="291"/>
      <c r="J506" s="291"/>
      <c r="K506" s="291"/>
      <c r="L506" s="291"/>
      <c r="M506" s="292"/>
    </row>
    <row r="507">
      <c r="A507" s="291"/>
      <c r="B507" s="291"/>
      <c r="C507" s="291"/>
      <c r="D507" s="291"/>
      <c r="E507" s="291"/>
      <c r="F507" s="291"/>
      <c r="G507" s="291"/>
      <c r="J507" s="291"/>
      <c r="K507" s="291"/>
      <c r="L507" s="291"/>
      <c r="M507" s="292"/>
    </row>
    <row r="508">
      <c r="A508" s="291"/>
      <c r="B508" s="291"/>
      <c r="C508" s="291"/>
      <c r="D508" s="291"/>
      <c r="E508" s="291"/>
      <c r="F508" s="291"/>
      <c r="G508" s="291"/>
      <c r="J508" s="291"/>
      <c r="K508" s="291"/>
      <c r="L508" s="291"/>
      <c r="M508" s="292"/>
    </row>
    <row r="509">
      <c r="A509" s="291"/>
      <c r="B509" s="291"/>
      <c r="C509" s="291"/>
      <c r="D509" s="291"/>
      <c r="E509" s="291"/>
      <c r="F509" s="291"/>
      <c r="G509" s="291"/>
      <c r="J509" s="291"/>
      <c r="K509" s="291"/>
      <c r="L509" s="291"/>
      <c r="M509" s="292"/>
    </row>
    <row r="510">
      <c r="A510" s="291"/>
      <c r="B510" s="291"/>
      <c r="C510" s="291"/>
      <c r="D510" s="291"/>
      <c r="E510" s="291"/>
      <c r="F510" s="291"/>
      <c r="G510" s="291"/>
      <c r="J510" s="291"/>
      <c r="K510" s="291"/>
      <c r="L510" s="291"/>
      <c r="M510" s="292"/>
    </row>
    <row r="511">
      <c r="A511" s="291"/>
      <c r="B511" s="291"/>
      <c r="C511" s="291"/>
      <c r="D511" s="291"/>
      <c r="E511" s="291"/>
      <c r="F511" s="291"/>
      <c r="G511" s="291"/>
      <c r="J511" s="291"/>
      <c r="K511" s="291"/>
      <c r="L511" s="291"/>
      <c r="M511" s="292"/>
    </row>
    <row r="512">
      <c r="A512" s="291"/>
      <c r="B512" s="291"/>
      <c r="C512" s="291"/>
      <c r="D512" s="291"/>
      <c r="E512" s="291"/>
      <c r="F512" s="291"/>
      <c r="G512" s="291"/>
      <c r="J512" s="291"/>
      <c r="K512" s="291"/>
      <c r="L512" s="291"/>
      <c r="M512" s="292"/>
    </row>
    <row r="513">
      <c r="A513" s="291"/>
      <c r="B513" s="291"/>
      <c r="C513" s="291"/>
      <c r="D513" s="291"/>
      <c r="E513" s="291"/>
      <c r="F513" s="291"/>
      <c r="G513" s="291"/>
      <c r="J513" s="291"/>
      <c r="K513" s="291"/>
      <c r="L513" s="291"/>
      <c r="M513" s="292"/>
    </row>
    <row r="514">
      <c r="A514" s="291"/>
      <c r="B514" s="291"/>
      <c r="C514" s="291"/>
      <c r="D514" s="291"/>
      <c r="E514" s="291"/>
      <c r="F514" s="291"/>
      <c r="G514" s="291"/>
      <c r="J514" s="291"/>
      <c r="K514" s="291"/>
      <c r="L514" s="291"/>
      <c r="M514" s="292"/>
    </row>
    <row r="515">
      <c r="A515" s="291"/>
      <c r="B515" s="291"/>
      <c r="C515" s="291"/>
      <c r="D515" s="291"/>
      <c r="E515" s="291"/>
      <c r="F515" s="291"/>
      <c r="G515" s="291"/>
      <c r="J515" s="291"/>
      <c r="K515" s="291"/>
      <c r="L515" s="291"/>
      <c r="M515" s="292"/>
    </row>
    <row r="516">
      <c r="A516" s="291"/>
      <c r="B516" s="291"/>
      <c r="C516" s="291"/>
      <c r="D516" s="291"/>
      <c r="E516" s="291"/>
      <c r="F516" s="291"/>
      <c r="G516" s="291"/>
      <c r="J516" s="291"/>
      <c r="K516" s="291"/>
      <c r="L516" s="291"/>
      <c r="M516" s="292"/>
    </row>
    <row r="517">
      <c r="A517" s="291"/>
      <c r="B517" s="291"/>
      <c r="C517" s="291"/>
      <c r="D517" s="291"/>
      <c r="E517" s="291"/>
      <c r="F517" s="291"/>
      <c r="G517" s="291"/>
      <c r="J517" s="291"/>
      <c r="K517" s="291"/>
      <c r="L517" s="291"/>
      <c r="M517" s="292"/>
    </row>
    <row r="518">
      <c r="A518" s="291"/>
      <c r="B518" s="291"/>
      <c r="C518" s="291"/>
      <c r="D518" s="291"/>
      <c r="E518" s="291"/>
      <c r="F518" s="291"/>
      <c r="G518" s="291"/>
      <c r="J518" s="291"/>
      <c r="K518" s="291"/>
      <c r="L518" s="291"/>
      <c r="M518" s="292"/>
    </row>
    <row r="519">
      <c r="A519" s="291"/>
      <c r="B519" s="291"/>
      <c r="C519" s="291"/>
      <c r="D519" s="291"/>
      <c r="E519" s="291"/>
      <c r="F519" s="291"/>
      <c r="G519" s="291"/>
      <c r="J519" s="291"/>
      <c r="K519" s="291"/>
      <c r="L519" s="291"/>
      <c r="M519" s="292"/>
    </row>
    <row r="520">
      <c r="A520" s="291"/>
      <c r="B520" s="291"/>
      <c r="C520" s="291"/>
      <c r="D520" s="291"/>
      <c r="E520" s="291"/>
      <c r="F520" s="291"/>
      <c r="G520" s="291"/>
      <c r="J520" s="291"/>
      <c r="K520" s="291"/>
      <c r="L520" s="291"/>
      <c r="M520" s="292"/>
    </row>
    <row r="521">
      <c r="A521" s="291"/>
      <c r="B521" s="291"/>
      <c r="C521" s="291"/>
      <c r="D521" s="291"/>
      <c r="E521" s="291"/>
      <c r="F521" s="291"/>
      <c r="G521" s="291"/>
      <c r="J521" s="291"/>
      <c r="K521" s="291"/>
      <c r="L521" s="291"/>
      <c r="M521" s="292"/>
    </row>
    <row r="522">
      <c r="A522" s="291"/>
      <c r="B522" s="291"/>
      <c r="C522" s="291"/>
      <c r="D522" s="291"/>
      <c r="E522" s="291"/>
      <c r="F522" s="291"/>
      <c r="G522" s="291"/>
      <c r="J522" s="291"/>
      <c r="K522" s="291"/>
      <c r="L522" s="291"/>
      <c r="M522" s="292"/>
    </row>
    <row r="523">
      <c r="A523" s="291"/>
      <c r="B523" s="291"/>
      <c r="C523" s="291"/>
      <c r="D523" s="291"/>
      <c r="E523" s="291"/>
      <c r="F523" s="291"/>
      <c r="G523" s="291"/>
      <c r="J523" s="291"/>
      <c r="K523" s="291"/>
      <c r="L523" s="291"/>
      <c r="M523" s="292"/>
    </row>
    <row r="524">
      <c r="A524" s="291"/>
      <c r="B524" s="291"/>
      <c r="C524" s="291"/>
      <c r="D524" s="291"/>
      <c r="E524" s="291"/>
      <c r="F524" s="291"/>
      <c r="G524" s="291"/>
      <c r="J524" s="291"/>
      <c r="K524" s="291"/>
      <c r="L524" s="291"/>
      <c r="M524" s="292"/>
    </row>
    <row r="525">
      <c r="A525" s="291"/>
      <c r="B525" s="291"/>
      <c r="C525" s="291"/>
      <c r="D525" s="291"/>
      <c r="E525" s="291"/>
      <c r="F525" s="291"/>
      <c r="G525" s="291"/>
      <c r="J525" s="291"/>
      <c r="K525" s="291"/>
      <c r="L525" s="291"/>
      <c r="M525" s="292"/>
    </row>
    <row r="526">
      <c r="A526" s="291"/>
      <c r="B526" s="291"/>
      <c r="C526" s="291"/>
      <c r="D526" s="291"/>
      <c r="E526" s="291"/>
      <c r="F526" s="291"/>
      <c r="G526" s="291"/>
      <c r="J526" s="291"/>
      <c r="K526" s="291"/>
      <c r="L526" s="291"/>
      <c r="M526" s="292"/>
    </row>
    <row r="527">
      <c r="A527" s="291"/>
      <c r="B527" s="291"/>
      <c r="C527" s="291"/>
      <c r="D527" s="291"/>
      <c r="E527" s="291"/>
      <c r="F527" s="291"/>
      <c r="G527" s="291"/>
      <c r="J527" s="291"/>
      <c r="K527" s="291"/>
      <c r="L527" s="291"/>
      <c r="M527" s="292"/>
    </row>
    <row r="528">
      <c r="A528" s="291"/>
      <c r="B528" s="291"/>
      <c r="C528" s="291"/>
      <c r="D528" s="291"/>
      <c r="E528" s="291"/>
      <c r="F528" s="291"/>
      <c r="G528" s="291"/>
      <c r="J528" s="291"/>
      <c r="K528" s="291"/>
      <c r="L528" s="291"/>
      <c r="M528" s="292"/>
    </row>
    <row r="529">
      <c r="A529" s="291"/>
      <c r="B529" s="291"/>
      <c r="C529" s="291"/>
      <c r="D529" s="291"/>
      <c r="E529" s="291"/>
      <c r="F529" s="291"/>
      <c r="G529" s="291"/>
      <c r="J529" s="291"/>
      <c r="K529" s="291"/>
      <c r="L529" s="291"/>
      <c r="M529" s="292"/>
    </row>
    <row r="530">
      <c r="A530" s="291"/>
      <c r="B530" s="291"/>
      <c r="C530" s="291"/>
      <c r="D530" s="291"/>
      <c r="E530" s="291"/>
      <c r="F530" s="291"/>
      <c r="G530" s="291"/>
      <c r="J530" s="291"/>
      <c r="K530" s="291"/>
      <c r="L530" s="291"/>
      <c r="M530" s="292"/>
    </row>
    <row r="531">
      <c r="A531" s="291"/>
      <c r="B531" s="291"/>
      <c r="C531" s="291"/>
      <c r="D531" s="291"/>
      <c r="E531" s="291"/>
      <c r="F531" s="291"/>
      <c r="G531" s="291"/>
      <c r="J531" s="291"/>
      <c r="K531" s="291"/>
      <c r="L531" s="291"/>
      <c r="M531" s="292"/>
    </row>
    <row r="532">
      <c r="A532" s="291"/>
      <c r="B532" s="291"/>
      <c r="C532" s="291"/>
      <c r="D532" s="291"/>
      <c r="E532" s="291"/>
      <c r="F532" s="291"/>
      <c r="G532" s="291"/>
      <c r="J532" s="291"/>
      <c r="K532" s="291"/>
      <c r="L532" s="291"/>
      <c r="M532" s="292"/>
    </row>
    <row r="533">
      <c r="A533" s="291"/>
      <c r="B533" s="291"/>
      <c r="C533" s="291"/>
      <c r="D533" s="291"/>
      <c r="E533" s="291"/>
      <c r="F533" s="291"/>
      <c r="G533" s="291"/>
      <c r="J533" s="291"/>
      <c r="K533" s="291"/>
      <c r="L533" s="291"/>
      <c r="M533" s="292"/>
    </row>
    <row r="534">
      <c r="A534" s="291"/>
      <c r="B534" s="291"/>
      <c r="C534" s="291"/>
      <c r="D534" s="291"/>
      <c r="E534" s="291"/>
      <c r="F534" s="291"/>
      <c r="G534" s="291"/>
      <c r="J534" s="291"/>
      <c r="K534" s="291"/>
      <c r="L534" s="291"/>
      <c r="M534" s="292"/>
    </row>
    <row r="535">
      <c r="A535" s="291"/>
      <c r="B535" s="291"/>
      <c r="C535" s="291"/>
      <c r="D535" s="291"/>
      <c r="E535" s="291"/>
      <c r="F535" s="291"/>
      <c r="G535" s="291"/>
      <c r="J535" s="291"/>
      <c r="K535" s="291"/>
      <c r="L535" s="291"/>
      <c r="M535" s="292"/>
    </row>
    <row r="536">
      <c r="A536" s="291"/>
      <c r="B536" s="291"/>
      <c r="C536" s="291"/>
      <c r="D536" s="291"/>
      <c r="E536" s="291"/>
      <c r="F536" s="291"/>
      <c r="G536" s="291"/>
      <c r="J536" s="291"/>
      <c r="K536" s="291"/>
      <c r="L536" s="291"/>
      <c r="M536" s="292"/>
    </row>
    <row r="537">
      <c r="A537" s="291"/>
      <c r="B537" s="291"/>
      <c r="C537" s="291"/>
      <c r="D537" s="291"/>
      <c r="E537" s="291"/>
      <c r="F537" s="291"/>
      <c r="G537" s="291"/>
      <c r="J537" s="291"/>
      <c r="K537" s="291"/>
      <c r="L537" s="291"/>
      <c r="M537" s="292"/>
    </row>
    <row r="538">
      <c r="A538" s="291"/>
      <c r="B538" s="291"/>
      <c r="C538" s="291"/>
      <c r="D538" s="291"/>
      <c r="E538" s="291"/>
      <c r="F538" s="291"/>
      <c r="G538" s="291"/>
      <c r="J538" s="291"/>
      <c r="K538" s="291"/>
      <c r="L538" s="291"/>
      <c r="M538" s="292"/>
    </row>
    <row r="539">
      <c r="A539" s="291"/>
      <c r="B539" s="291"/>
      <c r="C539" s="291"/>
      <c r="D539" s="291"/>
      <c r="E539" s="291"/>
      <c r="F539" s="291"/>
      <c r="G539" s="291"/>
      <c r="J539" s="291"/>
      <c r="K539" s="291"/>
      <c r="L539" s="291"/>
      <c r="M539" s="292"/>
    </row>
    <row r="540">
      <c r="A540" s="291"/>
      <c r="B540" s="291"/>
      <c r="C540" s="291"/>
      <c r="D540" s="291"/>
      <c r="E540" s="291"/>
      <c r="F540" s="291"/>
      <c r="G540" s="291"/>
      <c r="J540" s="291"/>
      <c r="K540" s="291"/>
      <c r="L540" s="291"/>
      <c r="M540" s="292"/>
    </row>
    <row r="541">
      <c r="A541" s="291"/>
      <c r="B541" s="291"/>
      <c r="C541" s="291"/>
      <c r="D541" s="291"/>
      <c r="E541" s="291"/>
      <c r="F541" s="291"/>
      <c r="G541" s="291"/>
      <c r="J541" s="291"/>
      <c r="K541" s="291"/>
      <c r="L541" s="291"/>
      <c r="M541" s="292"/>
    </row>
    <row r="542">
      <c r="A542" s="291"/>
      <c r="B542" s="291"/>
      <c r="C542" s="291"/>
      <c r="D542" s="291"/>
      <c r="E542" s="291"/>
      <c r="F542" s="291"/>
      <c r="G542" s="291"/>
      <c r="J542" s="291"/>
      <c r="K542" s="291"/>
      <c r="L542" s="291"/>
      <c r="M542" s="292"/>
    </row>
    <row r="543">
      <c r="A543" s="291"/>
      <c r="B543" s="291"/>
      <c r="C543" s="291"/>
      <c r="D543" s="291"/>
      <c r="E543" s="291"/>
      <c r="F543" s="291"/>
      <c r="G543" s="291"/>
      <c r="J543" s="291"/>
      <c r="K543" s="291"/>
      <c r="L543" s="291"/>
      <c r="M543" s="292"/>
    </row>
    <row r="544">
      <c r="A544" s="291"/>
      <c r="B544" s="291"/>
      <c r="C544" s="291"/>
      <c r="D544" s="291"/>
      <c r="E544" s="291"/>
      <c r="F544" s="291"/>
      <c r="G544" s="291"/>
      <c r="J544" s="291"/>
      <c r="K544" s="291"/>
      <c r="L544" s="291"/>
      <c r="M544" s="292"/>
    </row>
    <row r="545">
      <c r="A545" s="291"/>
      <c r="B545" s="291"/>
      <c r="C545" s="291"/>
      <c r="D545" s="291"/>
      <c r="E545" s="291"/>
      <c r="F545" s="291"/>
      <c r="G545" s="291"/>
      <c r="J545" s="291"/>
      <c r="K545" s="291"/>
      <c r="L545" s="291"/>
      <c r="M545" s="292"/>
    </row>
    <row r="546">
      <c r="A546" s="291"/>
      <c r="B546" s="291"/>
      <c r="C546" s="291"/>
      <c r="D546" s="291"/>
      <c r="E546" s="291"/>
      <c r="F546" s="291"/>
      <c r="G546" s="291"/>
      <c r="J546" s="291"/>
      <c r="K546" s="291"/>
      <c r="L546" s="291"/>
      <c r="M546" s="292"/>
    </row>
    <row r="547">
      <c r="A547" s="291"/>
      <c r="B547" s="291"/>
      <c r="C547" s="291"/>
      <c r="D547" s="291"/>
      <c r="E547" s="291"/>
      <c r="F547" s="291"/>
      <c r="G547" s="291"/>
      <c r="J547" s="291"/>
      <c r="K547" s="291"/>
      <c r="L547" s="291"/>
      <c r="M547" s="292"/>
    </row>
    <row r="548">
      <c r="A548" s="291"/>
      <c r="B548" s="291"/>
      <c r="C548" s="291"/>
      <c r="D548" s="291"/>
      <c r="E548" s="291"/>
      <c r="F548" s="291"/>
      <c r="G548" s="291"/>
      <c r="J548" s="291"/>
      <c r="K548" s="291"/>
      <c r="L548" s="291"/>
      <c r="M548" s="292"/>
    </row>
    <row r="549">
      <c r="A549" s="291"/>
      <c r="B549" s="291"/>
      <c r="C549" s="291"/>
      <c r="D549" s="291"/>
      <c r="E549" s="291"/>
      <c r="F549" s="291"/>
      <c r="G549" s="291"/>
      <c r="J549" s="291"/>
      <c r="K549" s="291"/>
      <c r="L549" s="291"/>
      <c r="M549" s="292"/>
    </row>
    <row r="550">
      <c r="A550" s="291"/>
      <c r="B550" s="291"/>
      <c r="C550" s="291"/>
      <c r="D550" s="291"/>
      <c r="E550" s="291"/>
      <c r="F550" s="291"/>
      <c r="G550" s="291"/>
      <c r="J550" s="291"/>
      <c r="K550" s="291"/>
      <c r="L550" s="291"/>
      <c r="M550" s="292"/>
    </row>
    <row r="551">
      <c r="A551" s="291"/>
      <c r="B551" s="291"/>
      <c r="C551" s="291"/>
      <c r="D551" s="291"/>
      <c r="E551" s="291"/>
      <c r="F551" s="291"/>
      <c r="G551" s="291"/>
      <c r="J551" s="291"/>
      <c r="K551" s="291"/>
      <c r="L551" s="291"/>
      <c r="M551" s="292"/>
    </row>
    <row r="552">
      <c r="A552" s="291"/>
      <c r="B552" s="291"/>
      <c r="C552" s="291"/>
      <c r="D552" s="291"/>
      <c r="E552" s="291"/>
      <c r="F552" s="291"/>
      <c r="G552" s="291"/>
      <c r="J552" s="291"/>
      <c r="K552" s="291"/>
      <c r="L552" s="291"/>
      <c r="M552" s="292"/>
    </row>
    <row r="553">
      <c r="A553" s="291"/>
      <c r="B553" s="291"/>
      <c r="C553" s="291"/>
      <c r="D553" s="291"/>
      <c r="E553" s="291"/>
      <c r="F553" s="291"/>
      <c r="G553" s="291"/>
      <c r="J553" s="291"/>
      <c r="K553" s="291"/>
      <c r="L553" s="291"/>
      <c r="M553" s="292"/>
    </row>
    <row r="554">
      <c r="A554" s="291"/>
      <c r="B554" s="291"/>
      <c r="C554" s="291"/>
      <c r="D554" s="291"/>
      <c r="E554" s="291"/>
      <c r="F554" s="291"/>
      <c r="G554" s="291"/>
      <c r="J554" s="291"/>
      <c r="K554" s="291"/>
      <c r="L554" s="291"/>
      <c r="M554" s="292"/>
    </row>
    <row r="555">
      <c r="A555" s="291"/>
      <c r="B555" s="291"/>
      <c r="C555" s="291"/>
      <c r="D555" s="291"/>
      <c r="E555" s="291"/>
      <c r="F555" s="291"/>
      <c r="G555" s="291"/>
      <c r="J555" s="291"/>
      <c r="K555" s="291"/>
      <c r="L555" s="291"/>
      <c r="M555" s="292"/>
    </row>
    <row r="556">
      <c r="A556" s="291"/>
      <c r="B556" s="291"/>
      <c r="C556" s="291"/>
      <c r="D556" s="291"/>
      <c r="E556" s="291"/>
      <c r="F556" s="291"/>
      <c r="G556" s="291"/>
      <c r="J556" s="291"/>
      <c r="K556" s="291"/>
      <c r="L556" s="291"/>
      <c r="M556" s="292"/>
    </row>
    <row r="557">
      <c r="A557" s="291"/>
      <c r="B557" s="291"/>
      <c r="C557" s="291"/>
      <c r="D557" s="291"/>
      <c r="E557" s="291"/>
      <c r="F557" s="291"/>
      <c r="G557" s="291"/>
      <c r="J557" s="291"/>
      <c r="K557" s="291"/>
      <c r="L557" s="291"/>
      <c r="M557" s="292"/>
    </row>
    <row r="558">
      <c r="A558" s="291"/>
      <c r="B558" s="291"/>
      <c r="C558" s="291"/>
      <c r="D558" s="291"/>
      <c r="E558" s="291"/>
      <c r="F558" s="291"/>
      <c r="G558" s="291"/>
      <c r="J558" s="291"/>
      <c r="K558" s="291"/>
      <c r="L558" s="291"/>
      <c r="M558" s="292"/>
    </row>
    <row r="559">
      <c r="A559" s="291"/>
      <c r="B559" s="291"/>
      <c r="C559" s="291"/>
      <c r="D559" s="291"/>
      <c r="E559" s="291"/>
      <c r="F559" s="291"/>
      <c r="G559" s="291"/>
      <c r="J559" s="291"/>
      <c r="K559" s="291"/>
      <c r="L559" s="291"/>
      <c r="M559" s="292"/>
    </row>
    <row r="560">
      <c r="A560" s="291"/>
      <c r="B560" s="291"/>
      <c r="C560" s="291"/>
      <c r="D560" s="291"/>
      <c r="E560" s="291"/>
      <c r="F560" s="291"/>
      <c r="G560" s="291"/>
      <c r="J560" s="291"/>
      <c r="K560" s="291"/>
      <c r="L560" s="291"/>
      <c r="M560" s="292"/>
    </row>
    <row r="561">
      <c r="A561" s="291"/>
      <c r="B561" s="291"/>
      <c r="C561" s="291"/>
      <c r="D561" s="291"/>
      <c r="E561" s="291"/>
      <c r="F561" s="291"/>
      <c r="G561" s="291"/>
      <c r="J561" s="291"/>
      <c r="K561" s="291"/>
      <c r="L561" s="291"/>
      <c r="M561" s="292"/>
    </row>
    <row r="562">
      <c r="A562" s="291"/>
      <c r="B562" s="291"/>
      <c r="C562" s="291"/>
      <c r="D562" s="291"/>
      <c r="E562" s="291"/>
      <c r="F562" s="291"/>
      <c r="G562" s="291"/>
      <c r="J562" s="291"/>
      <c r="K562" s="291"/>
      <c r="L562" s="291"/>
      <c r="M562" s="292"/>
    </row>
    <row r="563">
      <c r="A563" s="291"/>
      <c r="B563" s="291"/>
      <c r="C563" s="291"/>
      <c r="D563" s="291"/>
      <c r="E563" s="291"/>
      <c r="F563" s="291"/>
      <c r="G563" s="291"/>
      <c r="J563" s="291"/>
      <c r="K563" s="291"/>
      <c r="L563" s="291"/>
      <c r="M563" s="292"/>
    </row>
    <row r="564">
      <c r="A564" s="291"/>
      <c r="B564" s="291"/>
      <c r="C564" s="291"/>
      <c r="D564" s="291"/>
      <c r="E564" s="291"/>
      <c r="F564" s="291"/>
      <c r="G564" s="291"/>
      <c r="J564" s="291"/>
      <c r="K564" s="291"/>
      <c r="L564" s="291"/>
      <c r="M564" s="292"/>
    </row>
    <row r="565">
      <c r="A565" s="291"/>
      <c r="B565" s="291"/>
      <c r="C565" s="291"/>
      <c r="D565" s="291"/>
      <c r="E565" s="291"/>
      <c r="F565" s="291"/>
      <c r="G565" s="291"/>
      <c r="J565" s="291"/>
      <c r="K565" s="291"/>
      <c r="L565" s="291"/>
      <c r="M565" s="292"/>
    </row>
    <row r="566">
      <c r="A566" s="291"/>
      <c r="B566" s="291"/>
      <c r="C566" s="291"/>
      <c r="D566" s="291"/>
      <c r="E566" s="291"/>
      <c r="F566" s="291"/>
      <c r="G566" s="291"/>
      <c r="J566" s="291"/>
      <c r="K566" s="291"/>
      <c r="L566" s="291"/>
      <c r="M566" s="292"/>
    </row>
    <row r="567">
      <c r="A567" s="291"/>
      <c r="B567" s="291"/>
      <c r="C567" s="291"/>
      <c r="D567" s="291"/>
      <c r="E567" s="291"/>
      <c r="F567" s="291"/>
      <c r="G567" s="291"/>
      <c r="J567" s="291"/>
      <c r="K567" s="291"/>
      <c r="L567" s="291"/>
      <c r="M567" s="292"/>
    </row>
    <row r="568">
      <c r="A568" s="291"/>
      <c r="B568" s="291"/>
      <c r="C568" s="291"/>
      <c r="D568" s="291"/>
      <c r="E568" s="291"/>
      <c r="F568" s="291"/>
      <c r="G568" s="291"/>
      <c r="J568" s="291"/>
      <c r="K568" s="291"/>
      <c r="L568" s="291"/>
      <c r="M568" s="292"/>
    </row>
    <row r="569">
      <c r="A569" s="291"/>
      <c r="B569" s="291"/>
      <c r="C569" s="291"/>
      <c r="D569" s="291"/>
      <c r="E569" s="291"/>
      <c r="F569" s="291"/>
      <c r="G569" s="291"/>
      <c r="J569" s="291"/>
      <c r="K569" s="291"/>
      <c r="L569" s="291"/>
      <c r="M569" s="292"/>
    </row>
    <row r="570">
      <c r="A570" s="291"/>
      <c r="B570" s="291"/>
      <c r="C570" s="291"/>
      <c r="D570" s="291"/>
      <c r="E570" s="291"/>
      <c r="F570" s="291"/>
      <c r="G570" s="291"/>
      <c r="J570" s="291"/>
      <c r="K570" s="291"/>
      <c r="L570" s="291"/>
      <c r="M570" s="292"/>
    </row>
    <row r="571">
      <c r="A571" s="291"/>
      <c r="B571" s="291"/>
      <c r="C571" s="291"/>
      <c r="D571" s="291"/>
      <c r="E571" s="291"/>
      <c r="F571" s="291"/>
      <c r="G571" s="291"/>
      <c r="J571" s="291"/>
      <c r="K571" s="291"/>
      <c r="L571" s="291"/>
      <c r="M571" s="292"/>
    </row>
    <row r="572">
      <c r="A572" s="291"/>
      <c r="B572" s="291"/>
      <c r="C572" s="291"/>
      <c r="D572" s="291"/>
      <c r="E572" s="291"/>
      <c r="F572" s="291"/>
      <c r="G572" s="291"/>
      <c r="J572" s="291"/>
      <c r="K572" s="291"/>
      <c r="L572" s="291"/>
      <c r="M572" s="292"/>
    </row>
    <row r="573">
      <c r="A573" s="291"/>
      <c r="B573" s="291"/>
      <c r="C573" s="291"/>
      <c r="D573" s="291"/>
      <c r="E573" s="291"/>
      <c r="F573" s="291"/>
      <c r="G573" s="291"/>
      <c r="J573" s="291"/>
      <c r="K573" s="291"/>
      <c r="L573" s="291"/>
      <c r="M573" s="292"/>
    </row>
    <row r="574">
      <c r="A574" s="291"/>
      <c r="B574" s="291"/>
      <c r="C574" s="291"/>
      <c r="D574" s="291"/>
      <c r="E574" s="291"/>
      <c r="F574" s="291"/>
      <c r="G574" s="291"/>
      <c r="J574" s="291"/>
      <c r="K574" s="291"/>
      <c r="L574" s="291"/>
      <c r="M574" s="292"/>
    </row>
    <row r="575">
      <c r="A575" s="291"/>
      <c r="B575" s="291"/>
      <c r="C575" s="291"/>
      <c r="D575" s="291"/>
      <c r="E575" s="291"/>
      <c r="F575" s="291"/>
      <c r="G575" s="291"/>
      <c r="J575" s="291"/>
      <c r="K575" s="291"/>
      <c r="L575" s="291"/>
      <c r="M575" s="292"/>
    </row>
    <row r="576">
      <c r="A576" s="291"/>
      <c r="B576" s="291"/>
      <c r="C576" s="291"/>
      <c r="D576" s="291"/>
      <c r="E576" s="291"/>
      <c r="F576" s="291"/>
      <c r="G576" s="291"/>
      <c r="J576" s="291"/>
      <c r="K576" s="291"/>
      <c r="L576" s="291"/>
      <c r="M576" s="292"/>
    </row>
    <row r="577">
      <c r="A577" s="291"/>
      <c r="B577" s="291"/>
      <c r="C577" s="291"/>
      <c r="D577" s="291"/>
      <c r="E577" s="291"/>
      <c r="F577" s="291"/>
      <c r="G577" s="291"/>
      <c r="J577" s="291"/>
      <c r="K577" s="291"/>
      <c r="L577" s="291"/>
      <c r="M577" s="292"/>
    </row>
    <row r="578">
      <c r="A578" s="291"/>
      <c r="B578" s="291"/>
      <c r="C578" s="291"/>
      <c r="D578" s="291"/>
      <c r="E578" s="291"/>
      <c r="F578" s="291"/>
      <c r="G578" s="291"/>
      <c r="J578" s="291"/>
      <c r="K578" s="291"/>
      <c r="L578" s="291"/>
      <c r="M578" s="292"/>
    </row>
    <row r="579">
      <c r="A579" s="291"/>
      <c r="B579" s="291"/>
      <c r="C579" s="291"/>
      <c r="D579" s="291"/>
      <c r="E579" s="291"/>
      <c r="F579" s="291"/>
      <c r="G579" s="291"/>
      <c r="J579" s="291"/>
      <c r="K579" s="291"/>
      <c r="L579" s="291"/>
      <c r="M579" s="292"/>
    </row>
    <row r="580">
      <c r="A580" s="291"/>
      <c r="B580" s="291"/>
      <c r="C580" s="291"/>
      <c r="D580" s="291"/>
      <c r="E580" s="291"/>
      <c r="F580" s="291"/>
      <c r="G580" s="291"/>
      <c r="J580" s="291"/>
      <c r="K580" s="291"/>
      <c r="L580" s="291"/>
      <c r="M580" s="292"/>
    </row>
    <row r="581">
      <c r="A581" s="291"/>
      <c r="B581" s="291"/>
      <c r="C581" s="291"/>
      <c r="D581" s="291"/>
      <c r="E581" s="291"/>
      <c r="F581" s="291"/>
      <c r="G581" s="291"/>
      <c r="J581" s="291"/>
      <c r="K581" s="291"/>
      <c r="L581" s="291"/>
      <c r="M581" s="292"/>
    </row>
    <row r="582">
      <c r="A582" s="291"/>
      <c r="B582" s="291"/>
      <c r="C582" s="291"/>
      <c r="D582" s="291"/>
      <c r="E582" s="291"/>
      <c r="F582" s="291"/>
      <c r="G582" s="291"/>
      <c r="J582" s="291"/>
      <c r="K582" s="291"/>
      <c r="L582" s="291"/>
      <c r="M582" s="292"/>
    </row>
    <row r="583">
      <c r="A583" s="291"/>
      <c r="B583" s="291"/>
      <c r="C583" s="291"/>
      <c r="D583" s="291"/>
      <c r="E583" s="291"/>
      <c r="F583" s="291"/>
      <c r="G583" s="291"/>
      <c r="J583" s="291"/>
      <c r="K583" s="291"/>
      <c r="L583" s="291"/>
      <c r="M583" s="292"/>
    </row>
    <row r="584">
      <c r="A584" s="291"/>
      <c r="B584" s="291"/>
      <c r="C584" s="291"/>
      <c r="D584" s="291"/>
      <c r="E584" s="291"/>
      <c r="F584" s="291"/>
      <c r="G584" s="291"/>
      <c r="J584" s="291"/>
      <c r="K584" s="291"/>
      <c r="L584" s="291"/>
      <c r="M584" s="292"/>
    </row>
    <row r="585">
      <c r="A585" s="291"/>
      <c r="B585" s="291"/>
      <c r="C585" s="291"/>
      <c r="D585" s="291"/>
      <c r="E585" s="291"/>
      <c r="F585" s="291"/>
      <c r="G585" s="291"/>
      <c r="J585" s="291"/>
      <c r="K585" s="291"/>
      <c r="L585" s="291"/>
      <c r="M585" s="292"/>
    </row>
    <row r="586">
      <c r="A586" s="291"/>
      <c r="B586" s="291"/>
      <c r="C586" s="291"/>
      <c r="D586" s="291"/>
      <c r="E586" s="291"/>
      <c r="F586" s="291"/>
      <c r="G586" s="291"/>
      <c r="J586" s="291"/>
      <c r="K586" s="291"/>
      <c r="L586" s="291"/>
      <c r="M586" s="292"/>
    </row>
    <row r="587">
      <c r="A587" s="291"/>
      <c r="B587" s="291"/>
      <c r="C587" s="291"/>
      <c r="D587" s="291"/>
      <c r="E587" s="291"/>
      <c r="F587" s="291"/>
      <c r="G587" s="291"/>
      <c r="J587" s="291"/>
      <c r="K587" s="291"/>
      <c r="L587" s="291"/>
      <c r="M587" s="292"/>
    </row>
    <row r="588">
      <c r="A588" s="291"/>
      <c r="B588" s="291"/>
      <c r="C588" s="291"/>
      <c r="D588" s="291"/>
      <c r="E588" s="291"/>
      <c r="F588" s="291"/>
      <c r="G588" s="291"/>
      <c r="J588" s="291"/>
      <c r="K588" s="291"/>
      <c r="L588" s="291"/>
      <c r="M588" s="292"/>
    </row>
    <row r="589">
      <c r="A589" s="291"/>
      <c r="B589" s="291"/>
      <c r="C589" s="291"/>
      <c r="D589" s="291"/>
      <c r="E589" s="291"/>
      <c r="F589" s="291"/>
      <c r="G589" s="291"/>
      <c r="J589" s="291"/>
      <c r="K589" s="291"/>
      <c r="L589" s="291"/>
      <c r="M589" s="292"/>
    </row>
    <row r="590">
      <c r="A590" s="291"/>
      <c r="B590" s="291"/>
      <c r="C590" s="291"/>
      <c r="D590" s="291"/>
      <c r="E590" s="291"/>
      <c r="F590" s="291"/>
      <c r="G590" s="291"/>
      <c r="J590" s="291"/>
      <c r="K590" s="291"/>
      <c r="L590" s="291"/>
      <c r="M590" s="292"/>
    </row>
    <row r="591">
      <c r="A591" s="291"/>
      <c r="B591" s="291"/>
      <c r="C591" s="291"/>
      <c r="D591" s="291"/>
      <c r="E591" s="291"/>
      <c r="F591" s="291"/>
      <c r="G591" s="291"/>
      <c r="J591" s="291"/>
      <c r="K591" s="291"/>
      <c r="L591" s="291"/>
      <c r="M591" s="292"/>
    </row>
    <row r="592">
      <c r="A592" s="291"/>
      <c r="B592" s="291"/>
      <c r="C592" s="291"/>
      <c r="D592" s="291"/>
      <c r="E592" s="291"/>
      <c r="F592" s="291"/>
      <c r="G592" s="291"/>
      <c r="J592" s="291"/>
      <c r="K592" s="291"/>
      <c r="L592" s="291"/>
      <c r="M592" s="292"/>
    </row>
    <row r="593">
      <c r="A593" s="291"/>
      <c r="B593" s="291"/>
      <c r="C593" s="291"/>
      <c r="D593" s="291"/>
      <c r="E593" s="291"/>
      <c r="F593" s="291"/>
      <c r="G593" s="291"/>
      <c r="J593" s="291"/>
      <c r="K593" s="291"/>
      <c r="L593" s="291"/>
      <c r="M593" s="292"/>
    </row>
    <row r="594">
      <c r="A594" s="291"/>
      <c r="B594" s="291"/>
      <c r="C594" s="291"/>
      <c r="D594" s="291"/>
      <c r="E594" s="291"/>
      <c r="F594" s="291"/>
      <c r="G594" s="291"/>
      <c r="J594" s="291"/>
      <c r="K594" s="291"/>
      <c r="L594" s="291"/>
      <c r="M594" s="292"/>
    </row>
    <row r="595">
      <c r="A595" s="291"/>
      <c r="B595" s="291"/>
      <c r="C595" s="291"/>
      <c r="D595" s="291"/>
      <c r="E595" s="291"/>
      <c r="F595" s="291"/>
      <c r="G595" s="291"/>
      <c r="J595" s="291"/>
      <c r="K595" s="291"/>
      <c r="L595" s="291"/>
      <c r="M595" s="292"/>
    </row>
    <row r="596">
      <c r="A596" s="291"/>
      <c r="B596" s="291"/>
      <c r="C596" s="291"/>
      <c r="D596" s="291"/>
      <c r="E596" s="291"/>
      <c r="F596" s="291"/>
      <c r="G596" s="291"/>
      <c r="J596" s="291"/>
      <c r="K596" s="291"/>
      <c r="L596" s="291"/>
      <c r="M596" s="292"/>
    </row>
    <row r="597">
      <c r="A597" s="291"/>
      <c r="B597" s="291"/>
      <c r="C597" s="291"/>
      <c r="D597" s="291"/>
      <c r="E597" s="291"/>
      <c r="F597" s="291"/>
      <c r="G597" s="291"/>
      <c r="J597" s="291"/>
      <c r="K597" s="291"/>
      <c r="L597" s="291"/>
      <c r="M597" s="292"/>
    </row>
    <row r="598">
      <c r="A598" s="291"/>
      <c r="B598" s="291"/>
      <c r="C598" s="291"/>
      <c r="D598" s="291"/>
      <c r="E598" s="291"/>
      <c r="F598" s="291"/>
      <c r="G598" s="291"/>
      <c r="J598" s="291"/>
      <c r="K598" s="291"/>
      <c r="L598" s="291"/>
      <c r="M598" s="292"/>
    </row>
    <row r="599">
      <c r="A599" s="291"/>
      <c r="B599" s="291"/>
      <c r="C599" s="291"/>
      <c r="D599" s="291"/>
      <c r="E599" s="291"/>
      <c r="F599" s="291"/>
      <c r="G599" s="291"/>
      <c r="J599" s="291"/>
      <c r="K599" s="291"/>
      <c r="L599" s="291"/>
      <c r="M599" s="292"/>
    </row>
    <row r="600">
      <c r="A600" s="291"/>
      <c r="B600" s="291"/>
      <c r="C600" s="291"/>
      <c r="D600" s="291"/>
      <c r="E600" s="291"/>
      <c r="F600" s="291"/>
      <c r="G600" s="291"/>
      <c r="J600" s="291"/>
      <c r="K600" s="291"/>
      <c r="L600" s="291"/>
      <c r="M600" s="292"/>
    </row>
    <row r="601">
      <c r="A601" s="291"/>
      <c r="B601" s="291"/>
      <c r="C601" s="291"/>
      <c r="D601" s="291"/>
      <c r="E601" s="291"/>
      <c r="F601" s="291"/>
      <c r="G601" s="291"/>
      <c r="J601" s="291"/>
      <c r="K601" s="291"/>
      <c r="L601" s="291"/>
      <c r="M601" s="292"/>
    </row>
    <row r="602">
      <c r="A602" s="291"/>
      <c r="B602" s="291"/>
      <c r="C602" s="291"/>
      <c r="D602" s="291"/>
      <c r="E602" s="291"/>
      <c r="F602" s="291"/>
      <c r="G602" s="291"/>
      <c r="J602" s="291"/>
      <c r="K602" s="291"/>
      <c r="L602" s="291"/>
      <c r="M602" s="292"/>
    </row>
    <row r="603">
      <c r="A603" s="291"/>
      <c r="B603" s="291"/>
      <c r="C603" s="291"/>
      <c r="D603" s="291"/>
      <c r="E603" s="291"/>
      <c r="F603" s="291"/>
      <c r="G603" s="291"/>
      <c r="J603" s="291"/>
      <c r="K603" s="291"/>
      <c r="L603" s="291"/>
      <c r="M603" s="292"/>
    </row>
    <row r="604">
      <c r="A604" s="291"/>
      <c r="B604" s="291"/>
      <c r="C604" s="291"/>
      <c r="D604" s="291"/>
      <c r="E604" s="291"/>
      <c r="F604" s="291"/>
      <c r="G604" s="291"/>
      <c r="J604" s="291"/>
      <c r="K604" s="291"/>
      <c r="L604" s="291"/>
      <c r="M604" s="292"/>
    </row>
    <row r="605">
      <c r="A605" s="291"/>
      <c r="B605" s="291"/>
      <c r="C605" s="291"/>
      <c r="D605" s="291"/>
      <c r="E605" s="291"/>
      <c r="F605" s="291"/>
      <c r="G605" s="291"/>
      <c r="J605" s="291"/>
      <c r="K605" s="291"/>
      <c r="L605" s="291"/>
      <c r="M605" s="292"/>
    </row>
    <row r="606">
      <c r="A606" s="291"/>
      <c r="B606" s="291"/>
      <c r="C606" s="291"/>
      <c r="D606" s="291"/>
      <c r="E606" s="291"/>
      <c r="F606" s="291"/>
      <c r="G606" s="291"/>
      <c r="J606" s="291"/>
      <c r="K606" s="291"/>
      <c r="L606" s="291"/>
      <c r="M606" s="292"/>
    </row>
    <row r="607">
      <c r="A607" s="291"/>
      <c r="B607" s="291"/>
      <c r="C607" s="291"/>
      <c r="D607" s="291"/>
      <c r="E607" s="291"/>
      <c r="F607" s="291"/>
      <c r="G607" s="291"/>
      <c r="J607" s="291"/>
      <c r="K607" s="291"/>
      <c r="L607" s="291"/>
      <c r="M607" s="292"/>
    </row>
    <row r="608">
      <c r="A608" s="291"/>
      <c r="B608" s="291"/>
      <c r="C608" s="291"/>
      <c r="D608" s="291"/>
      <c r="E608" s="291"/>
      <c r="F608" s="291"/>
      <c r="G608" s="291"/>
      <c r="J608" s="291"/>
      <c r="K608" s="291"/>
      <c r="L608" s="291"/>
      <c r="M608" s="292"/>
    </row>
    <row r="609">
      <c r="A609" s="291"/>
      <c r="B609" s="291"/>
      <c r="C609" s="291"/>
      <c r="D609" s="291"/>
      <c r="E609" s="291"/>
      <c r="F609" s="291"/>
      <c r="G609" s="291"/>
      <c r="J609" s="291"/>
      <c r="K609" s="291"/>
      <c r="L609" s="291"/>
      <c r="M609" s="292"/>
    </row>
    <row r="610">
      <c r="A610" s="291"/>
      <c r="B610" s="291"/>
      <c r="C610" s="291"/>
      <c r="D610" s="291"/>
      <c r="E610" s="291"/>
      <c r="F610" s="291"/>
      <c r="G610" s="291"/>
      <c r="J610" s="291"/>
      <c r="K610" s="291"/>
      <c r="L610" s="291"/>
      <c r="M610" s="292"/>
    </row>
    <row r="611">
      <c r="A611" s="291"/>
      <c r="B611" s="291"/>
      <c r="C611" s="291"/>
      <c r="D611" s="291"/>
      <c r="E611" s="291"/>
      <c r="F611" s="291"/>
      <c r="G611" s="291"/>
      <c r="J611" s="291"/>
      <c r="K611" s="291"/>
      <c r="L611" s="291"/>
      <c r="M611" s="292"/>
    </row>
    <row r="612">
      <c r="A612" s="291"/>
      <c r="B612" s="291"/>
      <c r="C612" s="291"/>
      <c r="D612" s="291"/>
      <c r="E612" s="291"/>
      <c r="F612" s="291"/>
      <c r="G612" s="291"/>
      <c r="J612" s="291"/>
      <c r="K612" s="291"/>
      <c r="L612" s="291"/>
      <c r="M612" s="292"/>
    </row>
    <row r="613">
      <c r="A613" s="291"/>
      <c r="B613" s="291"/>
      <c r="C613" s="291"/>
      <c r="D613" s="291"/>
      <c r="E613" s="291"/>
      <c r="F613" s="291"/>
      <c r="G613" s="291"/>
      <c r="J613" s="291"/>
      <c r="K613" s="291"/>
      <c r="L613" s="291"/>
      <c r="M613" s="292"/>
    </row>
    <row r="614">
      <c r="A614" s="291"/>
      <c r="B614" s="291"/>
      <c r="C614" s="291"/>
      <c r="D614" s="291"/>
      <c r="E614" s="291"/>
      <c r="F614" s="291"/>
      <c r="G614" s="291"/>
      <c r="J614" s="291"/>
      <c r="K614" s="291"/>
      <c r="L614" s="291"/>
      <c r="M614" s="292"/>
    </row>
    <row r="615">
      <c r="A615" s="291"/>
      <c r="B615" s="291"/>
      <c r="C615" s="291"/>
      <c r="D615" s="291"/>
      <c r="E615" s="291"/>
      <c r="F615" s="291"/>
      <c r="G615" s="291"/>
      <c r="J615" s="291"/>
      <c r="K615" s="291"/>
      <c r="L615" s="291"/>
      <c r="M615" s="292"/>
    </row>
    <row r="616">
      <c r="A616" s="291"/>
      <c r="B616" s="291"/>
      <c r="C616" s="291"/>
      <c r="D616" s="291"/>
      <c r="E616" s="291"/>
      <c r="F616" s="291"/>
      <c r="G616" s="291"/>
      <c r="J616" s="291"/>
      <c r="K616" s="291"/>
      <c r="L616" s="291"/>
      <c r="M616" s="292"/>
    </row>
    <row r="617">
      <c r="A617" s="291"/>
      <c r="B617" s="291"/>
      <c r="C617" s="291"/>
      <c r="D617" s="291"/>
      <c r="E617" s="291"/>
      <c r="F617" s="291"/>
      <c r="G617" s="291"/>
      <c r="J617" s="291"/>
      <c r="K617" s="291"/>
      <c r="L617" s="291"/>
      <c r="M617" s="292"/>
    </row>
    <row r="618">
      <c r="A618" s="291"/>
      <c r="B618" s="291"/>
      <c r="C618" s="291"/>
      <c r="D618" s="291"/>
      <c r="E618" s="291"/>
      <c r="F618" s="291"/>
      <c r="G618" s="291"/>
      <c r="J618" s="291"/>
      <c r="K618" s="291"/>
      <c r="L618" s="291"/>
      <c r="M618" s="292"/>
    </row>
    <row r="619">
      <c r="A619" s="291"/>
      <c r="B619" s="291"/>
      <c r="C619" s="291"/>
      <c r="D619" s="291"/>
      <c r="E619" s="291"/>
      <c r="F619" s="291"/>
      <c r="G619" s="291"/>
      <c r="J619" s="291"/>
      <c r="K619" s="291"/>
      <c r="L619" s="291"/>
      <c r="M619" s="292"/>
    </row>
    <row r="620">
      <c r="A620" s="291"/>
      <c r="B620" s="291"/>
      <c r="C620" s="291"/>
      <c r="D620" s="291"/>
      <c r="E620" s="291"/>
      <c r="F620" s="291"/>
      <c r="G620" s="291"/>
      <c r="J620" s="291"/>
      <c r="K620" s="291"/>
      <c r="L620" s="291"/>
      <c r="M620" s="292"/>
    </row>
    <row r="621">
      <c r="A621" s="291"/>
      <c r="B621" s="291"/>
      <c r="C621" s="291"/>
      <c r="D621" s="291"/>
      <c r="E621" s="291"/>
      <c r="F621" s="291"/>
      <c r="G621" s="291"/>
      <c r="J621" s="291"/>
      <c r="K621" s="291"/>
      <c r="L621" s="291"/>
      <c r="M621" s="292"/>
    </row>
    <row r="622">
      <c r="A622" s="291"/>
      <c r="B622" s="291"/>
      <c r="C622" s="291"/>
      <c r="D622" s="291"/>
      <c r="E622" s="291"/>
      <c r="F622" s="291"/>
      <c r="G622" s="291"/>
      <c r="J622" s="291"/>
      <c r="K622" s="291"/>
      <c r="L622" s="291"/>
      <c r="M622" s="292"/>
    </row>
    <row r="623">
      <c r="A623" s="291"/>
      <c r="B623" s="291"/>
      <c r="C623" s="291"/>
      <c r="D623" s="291"/>
      <c r="E623" s="291"/>
      <c r="F623" s="291"/>
      <c r="G623" s="291"/>
      <c r="J623" s="291"/>
      <c r="K623" s="291"/>
      <c r="L623" s="291"/>
      <c r="M623" s="292"/>
    </row>
    <row r="624">
      <c r="A624" s="291"/>
      <c r="B624" s="291"/>
      <c r="C624" s="291"/>
      <c r="D624" s="291"/>
      <c r="E624" s="291"/>
      <c r="F624" s="291"/>
      <c r="G624" s="291"/>
      <c r="J624" s="291"/>
      <c r="K624" s="291"/>
      <c r="L624" s="291"/>
      <c r="M624" s="292"/>
    </row>
    <row r="625">
      <c r="A625" s="291"/>
      <c r="B625" s="291"/>
      <c r="C625" s="291"/>
      <c r="D625" s="291"/>
      <c r="E625" s="291"/>
      <c r="F625" s="291"/>
      <c r="G625" s="291"/>
      <c r="J625" s="291"/>
      <c r="K625" s="291"/>
      <c r="L625" s="291"/>
      <c r="M625" s="292"/>
    </row>
    <row r="626">
      <c r="A626" s="291"/>
      <c r="B626" s="291"/>
      <c r="C626" s="291"/>
      <c r="D626" s="291"/>
      <c r="E626" s="291"/>
      <c r="F626" s="291"/>
      <c r="G626" s="291"/>
      <c r="J626" s="291"/>
      <c r="K626" s="291"/>
      <c r="L626" s="291"/>
      <c r="M626" s="292"/>
    </row>
    <row r="627">
      <c r="A627" s="291"/>
      <c r="B627" s="291"/>
      <c r="C627" s="291"/>
      <c r="D627" s="291"/>
      <c r="E627" s="291"/>
      <c r="F627" s="291"/>
      <c r="G627" s="291"/>
      <c r="J627" s="291"/>
      <c r="K627" s="291"/>
      <c r="L627" s="291"/>
      <c r="M627" s="292"/>
    </row>
    <row r="628">
      <c r="A628" s="291"/>
      <c r="B628" s="291"/>
      <c r="C628" s="291"/>
      <c r="D628" s="291"/>
      <c r="E628" s="291"/>
      <c r="F628" s="291"/>
      <c r="G628" s="291"/>
      <c r="J628" s="291"/>
      <c r="K628" s="291"/>
      <c r="L628" s="291"/>
      <c r="M628" s="292"/>
    </row>
    <row r="629">
      <c r="A629" s="291"/>
      <c r="B629" s="291"/>
      <c r="C629" s="291"/>
      <c r="D629" s="291"/>
      <c r="E629" s="291"/>
      <c r="F629" s="291"/>
      <c r="G629" s="291"/>
      <c r="J629" s="291"/>
      <c r="K629" s="291"/>
      <c r="L629" s="291"/>
      <c r="M629" s="292"/>
    </row>
    <row r="630">
      <c r="A630" s="291"/>
      <c r="B630" s="291"/>
      <c r="C630" s="291"/>
      <c r="D630" s="291"/>
      <c r="E630" s="291"/>
      <c r="F630" s="291"/>
      <c r="G630" s="291"/>
      <c r="J630" s="291"/>
      <c r="K630" s="291"/>
      <c r="L630" s="291"/>
      <c r="M630" s="292"/>
    </row>
    <row r="631">
      <c r="A631" s="291"/>
      <c r="B631" s="291"/>
      <c r="C631" s="291"/>
      <c r="D631" s="291"/>
      <c r="E631" s="291"/>
      <c r="F631" s="291"/>
      <c r="G631" s="291"/>
      <c r="J631" s="291"/>
      <c r="K631" s="291"/>
      <c r="L631" s="291"/>
      <c r="M631" s="292"/>
    </row>
    <row r="632">
      <c r="A632" s="291"/>
      <c r="B632" s="291"/>
      <c r="C632" s="291"/>
      <c r="D632" s="291"/>
      <c r="E632" s="291"/>
      <c r="F632" s="291"/>
      <c r="G632" s="291"/>
      <c r="J632" s="291"/>
      <c r="K632" s="291"/>
      <c r="L632" s="291"/>
      <c r="M632" s="292"/>
    </row>
    <row r="633">
      <c r="A633" s="291"/>
      <c r="B633" s="291"/>
      <c r="C633" s="291"/>
      <c r="D633" s="291"/>
      <c r="E633" s="291"/>
      <c r="F633" s="291"/>
      <c r="G633" s="291"/>
      <c r="J633" s="291"/>
      <c r="K633" s="291"/>
      <c r="L633" s="291"/>
      <c r="M633" s="292"/>
    </row>
    <row r="634">
      <c r="A634" s="291"/>
      <c r="B634" s="291"/>
      <c r="C634" s="291"/>
      <c r="D634" s="291"/>
      <c r="E634" s="291"/>
      <c r="F634" s="291"/>
      <c r="G634" s="291"/>
      <c r="J634" s="291"/>
      <c r="K634" s="291"/>
      <c r="L634" s="291"/>
      <c r="M634" s="292"/>
    </row>
    <row r="635">
      <c r="A635" s="291"/>
      <c r="B635" s="291"/>
      <c r="C635" s="291"/>
      <c r="D635" s="291"/>
      <c r="E635" s="291"/>
      <c r="F635" s="291"/>
      <c r="G635" s="291"/>
      <c r="J635" s="291"/>
      <c r="K635" s="291"/>
      <c r="L635" s="291"/>
      <c r="M635" s="292"/>
    </row>
    <row r="636">
      <c r="A636" s="291"/>
      <c r="B636" s="291"/>
      <c r="C636" s="291"/>
      <c r="D636" s="291"/>
      <c r="E636" s="291"/>
      <c r="F636" s="291"/>
      <c r="G636" s="291"/>
      <c r="J636" s="291"/>
      <c r="K636" s="291"/>
      <c r="L636" s="291"/>
      <c r="M636" s="292"/>
    </row>
    <row r="637">
      <c r="A637" s="291"/>
      <c r="B637" s="291"/>
      <c r="C637" s="291"/>
      <c r="D637" s="291"/>
      <c r="E637" s="291"/>
      <c r="F637" s="291"/>
      <c r="G637" s="291"/>
      <c r="J637" s="291"/>
      <c r="K637" s="291"/>
      <c r="L637" s="291"/>
      <c r="M637" s="292"/>
    </row>
    <row r="638">
      <c r="A638" s="291"/>
      <c r="B638" s="291"/>
      <c r="C638" s="291"/>
      <c r="D638" s="291"/>
      <c r="E638" s="291"/>
      <c r="F638" s="291"/>
      <c r="G638" s="291"/>
      <c r="J638" s="291"/>
      <c r="K638" s="291"/>
      <c r="L638" s="291"/>
      <c r="M638" s="292"/>
    </row>
    <row r="639">
      <c r="A639" s="291"/>
      <c r="B639" s="291"/>
      <c r="C639" s="291"/>
      <c r="D639" s="291"/>
      <c r="E639" s="291"/>
      <c r="F639" s="291"/>
      <c r="G639" s="291"/>
      <c r="J639" s="291"/>
      <c r="K639" s="291"/>
      <c r="L639" s="291"/>
      <c r="M639" s="292"/>
    </row>
    <row r="640">
      <c r="A640" s="291"/>
      <c r="B640" s="291"/>
      <c r="C640" s="291"/>
      <c r="D640" s="291"/>
      <c r="E640" s="291"/>
      <c r="F640" s="291"/>
      <c r="G640" s="291"/>
      <c r="J640" s="291"/>
      <c r="K640" s="291"/>
      <c r="L640" s="291"/>
      <c r="M640" s="292"/>
    </row>
    <row r="641">
      <c r="A641" s="291"/>
      <c r="B641" s="291"/>
      <c r="C641" s="291"/>
      <c r="D641" s="291"/>
      <c r="E641" s="291"/>
      <c r="F641" s="291"/>
      <c r="G641" s="291"/>
      <c r="J641" s="291"/>
      <c r="K641" s="291"/>
      <c r="L641" s="291"/>
      <c r="M641" s="292"/>
    </row>
    <row r="642">
      <c r="A642" s="291"/>
      <c r="B642" s="291"/>
      <c r="C642" s="291"/>
      <c r="D642" s="291"/>
      <c r="E642" s="291"/>
      <c r="F642" s="291"/>
      <c r="G642" s="291"/>
      <c r="J642" s="291"/>
      <c r="K642" s="291"/>
      <c r="L642" s="291"/>
      <c r="M642" s="292"/>
    </row>
    <row r="643">
      <c r="A643" s="291"/>
      <c r="B643" s="291"/>
      <c r="C643" s="291"/>
      <c r="D643" s="291"/>
      <c r="E643" s="291"/>
      <c r="F643" s="291"/>
      <c r="G643" s="291"/>
      <c r="J643" s="291"/>
      <c r="K643" s="291"/>
      <c r="L643" s="291"/>
      <c r="M643" s="292"/>
    </row>
    <row r="644">
      <c r="A644" s="291"/>
      <c r="B644" s="291"/>
      <c r="C644" s="291"/>
      <c r="D644" s="291"/>
      <c r="E644" s="291"/>
      <c r="F644" s="291"/>
      <c r="G644" s="291"/>
      <c r="J644" s="291"/>
      <c r="K644" s="291"/>
      <c r="L644" s="291"/>
      <c r="M644" s="292"/>
    </row>
    <row r="645">
      <c r="A645" s="291"/>
      <c r="B645" s="291"/>
      <c r="C645" s="291"/>
      <c r="D645" s="291"/>
      <c r="E645" s="291"/>
      <c r="F645" s="291"/>
      <c r="G645" s="291"/>
      <c r="J645" s="291"/>
      <c r="K645" s="291"/>
      <c r="L645" s="291"/>
      <c r="M645" s="292"/>
    </row>
    <row r="646">
      <c r="A646" s="291"/>
      <c r="B646" s="291"/>
      <c r="C646" s="291"/>
      <c r="D646" s="291"/>
      <c r="E646" s="291"/>
      <c r="F646" s="291"/>
      <c r="G646" s="291"/>
      <c r="J646" s="291"/>
      <c r="K646" s="291"/>
      <c r="L646" s="291"/>
      <c r="M646" s="292"/>
    </row>
    <row r="647">
      <c r="A647" s="291"/>
      <c r="B647" s="291"/>
      <c r="C647" s="291"/>
      <c r="D647" s="291"/>
      <c r="E647" s="291"/>
      <c r="F647" s="291"/>
      <c r="G647" s="291"/>
      <c r="J647" s="291"/>
      <c r="K647" s="291"/>
      <c r="L647" s="291"/>
      <c r="M647" s="292"/>
    </row>
    <row r="648">
      <c r="A648" s="291"/>
      <c r="B648" s="291"/>
      <c r="C648" s="291"/>
      <c r="D648" s="291"/>
      <c r="E648" s="291"/>
      <c r="F648" s="291"/>
      <c r="G648" s="291"/>
      <c r="J648" s="291"/>
      <c r="K648" s="291"/>
      <c r="L648" s="291"/>
      <c r="M648" s="292"/>
    </row>
    <row r="649">
      <c r="A649" s="291"/>
      <c r="B649" s="291"/>
      <c r="C649" s="291"/>
      <c r="D649" s="291"/>
      <c r="E649" s="291"/>
      <c r="F649" s="291"/>
      <c r="G649" s="291"/>
      <c r="J649" s="291"/>
      <c r="K649" s="291"/>
      <c r="L649" s="291"/>
      <c r="M649" s="292"/>
    </row>
    <row r="650">
      <c r="A650" s="291"/>
      <c r="B650" s="291"/>
      <c r="C650" s="291"/>
      <c r="D650" s="291"/>
      <c r="E650" s="291"/>
      <c r="F650" s="291"/>
      <c r="G650" s="291"/>
      <c r="J650" s="291"/>
      <c r="K650" s="291"/>
      <c r="L650" s="291"/>
      <c r="M650" s="292"/>
    </row>
    <row r="651">
      <c r="A651" s="291"/>
      <c r="B651" s="291"/>
      <c r="C651" s="291"/>
      <c r="D651" s="291"/>
      <c r="E651" s="291"/>
      <c r="F651" s="291"/>
      <c r="G651" s="291"/>
      <c r="J651" s="291"/>
      <c r="K651" s="291"/>
      <c r="L651" s="291"/>
      <c r="M651" s="292"/>
    </row>
    <row r="652">
      <c r="A652" s="291"/>
      <c r="B652" s="291"/>
      <c r="C652" s="291"/>
      <c r="D652" s="291"/>
      <c r="E652" s="291"/>
      <c r="F652" s="291"/>
      <c r="G652" s="291"/>
      <c r="J652" s="291"/>
      <c r="K652" s="291"/>
      <c r="L652" s="291"/>
      <c r="M652" s="292"/>
    </row>
    <row r="653">
      <c r="A653" s="291"/>
      <c r="B653" s="291"/>
      <c r="C653" s="291"/>
      <c r="D653" s="291"/>
      <c r="E653" s="291"/>
      <c r="F653" s="291"/>
      <c r="G653" s="291"/>
      <c r="J653" s="291"/>
      <c r="K653" s="291"/>
      <c r="L653" s="291"/>
      <c r="M653" s="292"/>
    </row>
    <row r="654">
      <c r="A654" s="291"/>
      <c r="B654" s="291"/>
      <c r="C654" s="291"/>
      <c r="D654" s="291"/>
      <c r="E654" s="291"/>
      <c r="F654" s="291"/>
      <c r="G654" s="291"/>
      <c r="J654" s="291"/>
      <c r="K654" s="291"/>
      <c r="L654" s="291"/>
      <c r="M654" s="292"/>
    </row>
    <row r="655">
      <c r="A655" s="291"/>
      <c r="B655" s="291"/>
      <c r="C655" s="291"/>
      <c r="D655" s="291"/>
      <c r="E655" s="291"/>
      <c r="F655" s="291"/>
      <c r="G655" s="291"/>
      <c r="J655" s="291"/>
      <c r="K655" s="291"/>
      <c r="L655" s="291"/>
      <c r="M655" s="292"/>
    </row>
    <row r="656">
      <c r="A656" s="291"/>
      <c r="B656" s="291"/>
      <c r="C656" s="291"/>
      <c r="D656" s="291"/>
      <c r="E656" s="291"/>
      <c r="F656" s="291"/>
      <c r="G656" s="291"/>
      <c r="J656" s="291"/>
      <c r="K656" s="291"/>
      <c r="L656" s="291"/>
      <c r="M656" s="292"/>
    </row>
    <row r="657">
      <c r="A657" s="291"/>
      <c r="B657" s="291"/>
      <c r="C657" s="291"/>
      <c r="D657" s="291"/>
      <c r="E657" s="291"/>
      <c r="F657" s="291"/>
      <c r="G657" s="291"/>
      <c r="J657" s="291"/>
      <c r="K657" s="291"/>
      <c r="L657" s="291"/>
      <c r="M657" s="292"/>
    </row>
    <row r="658">
      <c r="A658" s="291"/>
      <c r="B658" s="291"/>
      <c r="C658" s="291"/>
      <c r="D658" s="291"/>
      <c r="E658" s="291"/>
      <c r="F658" s="291"/>
      <c r="G658" s="291"/>
      <c r="J658" s="291"/>
      <c r="K658" s="291"/>
      <c r="L658" s="291"/>
      <c r="M658" s="292"/>
    </row>
    <row r="659">
      <c r="A659" s="291"/>
      <c r="B659" s="291"/>
      <c r="C659" s="291"/>
      <c r="D659" s="291"/>
      <c r="E659" s="291"/>
      <c r="F659" s="291"/>
      <c r="G659" s="291"/>
      <c r="J659" s="291"/>
      <c r="K659" s="291"/>
      <c r="L659" s="291"/>
      <c r="M659" s="292"/>
    </row>
    <row r="660">
      <c r="A660" s="291"/>
      <c r="B660" s="291"/>
      <c r="C660" s="291"/>
      <c r="D660" s="291"/>
      <c r="E660" s="291"/>
      <c r="F660" s="291"/>
      <c r="G660" s="291"/>
      <c r="J660" s="291"/>
      <c r="K660" s="291"/>
      <c r="L660" s="291"/>
      <c r="M660" s="292"/>
    </row>
    <row r="661">
      <c r="A661" s="291"/>
      <c r="B661" s="291"/>
      <c r="C661" s="291"/>
      <c r="D661" s="291"/>
      <c r="E661" s="291"/>
      <c r="F661" s="291"/>
      <c r="G661" s="291"/>
      <c r="J661" s="291"/>
      <c r="K661" s="291"/>
      <c r="L661" s="291"/>
      <c r="M661" s="292"/>
    </row>
    <row r="662">
      <c r="A662" s="291"/>
      <c r="B662" s="291"/>
      <c r="C662" s="291"/>
      <c r="D662" s="291"/>
      <c r="E662" s="291"/>
      <c r="F662" s="291"/>
      <c r="G662" s="291"/>
      <c r="J662" s="291"/>
      <c r="K662" s="291"/>
      <c r="L662" s="291"/>
      <c r="M662" s="292"/>
    </row>
    <row r="663">
      <c r="A663" s="291"/>
      <c r="B663" s="291"/>
      <c r="C663" s="291"/>
      <c r="D663" s="291"/>
      <c r="E663" s="291"/>
      <c r="F663" s="291"/>
      <c r="G663" s="291"/>
      <c r="J663" s="291"/>
      <c r="K663" s="291"/>
      <c r="L663" s="291"/>
      <c r="M663" s="292"/>
    </row>
    <row r="664">
      <c r="A664" s="291"/>
      <c r="B664" s="291"/>
      <c r="C664" s="291"/>
      <c r="D664" s="291"/>
      <c r="E664" s="291"/>
      <c r="F664" s="291"/>
      <c r="G664" s="291"/>
      <c r="J664" s="291"/>
      <c r="K664" s="291"/>
      <c r="L664" s="291"/>
      <c r="M664" s="292"/>
    </row>
    <row r="665">
      <c r="A665" s="291"/>
      <c r="B665" s="291"/>
      <c r="C665" s="291"/>
      <c r="D665" s="291"/>
      <c r="E665" s="291"/>
      <c r="F665" s="291"/>
      <c r="G665" s="291"/>
      <c r="J665" s="291"/>
      <c r="K665" s="291"/>
      <c r="L665" s="291"/>
      <c r="M665" s="292"/>
    </row>
    <row r="666">
      <c r="A666" s="291"/>
      <c r="B666" s="291"/>
      <c r="C666" s="291"/>
      <c r="D666" s="291"/>
      <c r="E666" s="291"/>
      <c r="F666" s="291"/>
      <c r="G666" s="291"/>
      <c r="J666" s="291"/>
      <c r="K666" s="291"/>
      <c r="L666" s="291"/>
      <c r="M666" s="292"/>
    </row>
    <row r="667">
      <c r="A667" s="291"/>
      <c r="B667" s="291"/>
      <c r="C667" s="291"/>
      <c r="D667" s="291"/>
      <c r="E667" s="291"/>
      <c r="F667" s="291"/>
      <c r="G667" s="291"/>
      <c r="J667" s="291"/>
      <c r="K667" s="291"/>
      <c r="L667" s="291"/>
      <c r="M667" s="292"/>
    </row>
    <row r="668">
      <c r="A668" s="291"/>
      <c r="B668" s="291"/>
      <c r="C668" s="291"/>
      <c r="D668" s="291"/>
      <c r="E668" s="291"/>
      <c r="F668" s="291"/>
      <c r="G668" s="291"/>
      <c r="J668" s="291"/>
      <c r="K668" s="291"/>
      <c r="L668" s="291"/>
      <c r="M668" s="292"/>
    </row>
    <row r="669">
      <c r="A669" s="291"/>
      <c r="B669" s="291"/>
      <c r="C669" s="291"/>
      <c r="D669" s="291"/>
      <c r="E669" s="291"/>
      <c r="F669" s="291"/>
      <c r="G669" s="291"/>
      <c r="J669" s="291"/>
      <c r="K669" s="291"/>
      <c r="L669" s="291"/>
      <c r="M669" s="292"/>
    </row>
    <row r="670">
      <c r="A670" s="291"/>
      <c r="B670" s="291"/>
      <c r="C670" s="291"/>
      <c r="D670" s="291"/>
      <c r="E670" s="291"/>
      <c r="F670" s="291"/>
      <c r="G670" s="291"/>
      <c r="J670" s="291"/>
      <c r="K670" s="291"/>
      <c r="L670" s="291"/>
      <c r="M670" s="292"/>
    </row>
    <row r="671">
      <c r="A671" s="291"/>
      <c r="B671" s="291"/>
      <c r="C671" s="291"/>
      <c r="D671" s="291"/>
      <c r="E671" s="291"/>
      <c r="F671" s="291"/>
      <c r="G671" s="291"/>
      <c r="J671" s="291"/>
      <c r="K671" s="291"/>
      <c r="L671" s="291"/>
      <c r="M671" s="292"/>
    </row>
    <row r="672">
      <c r="A672" s="291"/>
      <c r="B672" s="291"/>
      <c r="C672" s="291"/>
      <c r="D672" s="291"/>
      <c r="E672" s="291"/>
      <c r="F672" s="291"/>
      <c r="G672" s="291"/>
      <c r="J672" s="291"/>
      <c r="K672" s="291"/>
      <c r="L672" s="291"/>
      <c r="M672" s="292"/>
    </row>
    <row r="673">
      <c r="A673" s="291"/>
      <c r="B673" s="291"/>
      <c r="C673" s="291"/>
      <c r="D673" s="291"/>
      <c r="E673" s="291"/>
      <c r="F673" s="291"/>
      <c r="G673" s="291"/>
      <c r="J673" s="291"/>
      <c r="K673" s="291"/>
      <c r="L673" s="291"/>
      <c r="M673" s="292"/>
    </row>
    <row r="674">
      <c r="A674" s="291"/>
      <c r="B674" s="291"/>
      <c r="C674" s="291"/>
      <c r="D674" s="291"/>
      <c r="E674" s="291"/>
      <c r="F674" s="291"/>
      <c r="G674" s="291"/>
      <c r="J674" s="291"/>
      <c r="K674" s="291"/>
      <c r="L674" s="291"/>
      <c r="M674" s="292"/>
    </row>
    <row r="675">
      <c r="A675" s="291"/>
      <c r="B675" s="291"/>
      <c r="C675" s="291"/>
      <c r="D675" s="291"/>
      <c r="E675" s="291"/>
      <c r="F675" s="291"/>
      <c r="G675" s="291"/>
      <c r="J675" s="291"/>
      <c r="K675" s="291"/>
      <c r="L675" s="291"/>
      <c r="M675" s="292"/>
    </row>
    <row r="676">
      <c r="A676" s="291"/>
      <c r="B676" s="291"/>
      <c r="C676" s="291"/>
      <c r="D676" s="291"/>
      <c r="E676" s="291"/>
      <c r="F676" s="291"/>
      <c r="G676" s="291"/>
      <c r="J676" s="291"/>
      <c r="K676" s="291"/>
      <c r="L676" s="291"/>
      <c r="M676" s="292"/>
    </row>
    <row r="677">
      <c r="A677" s="291"/>
      <c r="B677" s="291"/>
      <c r="C677" s="291"/>
      <c r="D677" s="291"/>
      <c r="E677" s="291"/>
      <c r="F677" s="291"/>
      <c r="G677" s="291"/>
      <c r="J677" s="291"/>
      <c r="K677" s="291"/>
      <c r="L677" s="291"/>
      <c r="M677" s="292"/>
    </row>
    <row r="678">
      <c r="A678" s="291"/>
      <c r="B678" s="291"/>
      <c r="C678" s="291"/>
      <c r="D678" s="291"/>
      <c r="E678" s="291"/>
      <c r="F678" s="291"/>
      <c r="G678" s="291"/>
      <c r="J678" s="291"/>
      <c r="K678" s="291"/>
      <c r="L678" s="291"/>
      <c r="M678" s="292"/>
    </row>
    <row r="679">
      <c r="A679" s="291"/>
      <c r="B679" s="291"/>
      <c r="C679" s="291"/>
      <c r="D679" s="291"/>
      <c r="E679" s="291"/>
      <c r="F679" s="291"/>
      <c r="G679" s="291"/>
      <c r="J679" s="291"/>
      <c r="K679" s="291"/>
      <c r="L679" s="291"/>
      <c r="M679" s="292"/>
    </row>
    <row r="680">
      <c r="A680" s="291"/>
      <c r="B680" s="291"/>
      <c r="C680" s="291"/>
      <c r="D680" s="291"/>
      <c r="E680" s="291"/>
      <c r="F680" s="291"/>
      <c r="G680" s="291"/>
      <c r="J680" s="291"/>
      <c r="K680" s="291"/>
      <c r="L680" s="291"/>
      <c r="M680" s="292"/>
    </row>
    <row r="681">
      <c r="A681" s="291"/>
      <c r="B681" s="291"/>
      <c r="C681" s="291"/>
      <c r="D681" s="291"/>
      <c r="E681" s="291"/>
      <c r="F681" s="291"/>
      <c r="G681" s="291"/>
      <c r="J681" s="291"/>
      <c r="K681" s="291"/>
      <c r="L681" s="291"/>
      <c r="M681" s="292"/>
    </row>
    <row r="682">
      <c r="A682" s="291"/>
      <c r="B682" s="291"/>
      <c r="C682" s="291"/>
      <c r="D682" s="291"/>
      <c r="E682" s="291"/>
      <c r="F682" s="291"/>
      <c r="G682" s="291"/>
      <c r="J682" s="291"/>
      <c r="K682" s="291"/>
      <c r="L682" s="291"/>
      <c r="M682" s="292"/>
    </row>
    <row r="683">
      <c r="A683" s="291"/>
      <c r="B683" s="291"/>
      <c r="C683" s="291"/>
      <c r="D683" s="291"/>
      <c r="E683" s="291"/>
      <c r="F683" s="291"/>
      <c r="G683" s="291"/>
      <c r="J683" s="291"/>
      <c r="K683" s="291"/>
      <c r="L683" s="291"/>
      <c r="M683" s="292"/>
    </row>
    <row r="684">
      <c r="A684" s="291"/>
      <c r="B684" s="291"/>
      <c r="C684" s="291"/>
      <c r="D684" s="291"/>
      <c r="E684" s="291"/>
      <c r="F684" s="291"/>
      <c r="G684" s="291"/>
      <c r="J684" s="291"/>
      <c r="K684" s="291"/>
      <c r="L684" s="291"/>
      <c r="M684" s="292"/>
    </row>
    <row r="685">
      <c r="A685" s="291"/>
      <c r="B685" s="291"/>
      <c r="C685" s="291"/>
      <c r="D685" s="291"/>
      <c r="E685" s="291"/>
      <c r="F685" s="291"/>
      <c r="G685" s="291"/>
      <c r="J685" s="291"/>
      <c r="K685" s="291"/>
      <c r="L685" s="291"/>
      <c r="M685" s="292"/>
    </row>
    <row r="686">
      <c r="A686" s="291"/>
      <c r="B686" s="291"/>
      <c r="C686" s="291"/>
      <c r="D686" s="291"/>
      <c r="E686" s="291"/>
      <c r="F686" s="291"/>
      <c r="G686" s="291"/>
      <c r="J686" s="291"/>
      <c r="K686" s="291"/>
      <c r="L686" s="291"/>
      <c r="M686" s="292"/>
    </row>
    <row r="687">
      <c r="A687" s="291"/>
      <c r="B687" s="291"/>
      <c r="C687" s="291"/>
      <c r="D687" s="291"/>
      <c r="E687" s="291"/>
      <c r="F687" s="291"/>
      <c r="G687" s="291"/>
      <c r="J687" s="291"/>
      <c r="K687" s="291"/>
      <c r="L687" s="291"/>
      <c r="M687" s="292"/>
    </row>
    <row r="688">
      <c r="A688" s="291"/>
      <c r="B688" s="291"/>
      <c r="C688" s="291"/>
      <c r="D688" s="291"/>
      <c r="E688" s="291"/>
      <c r="F688" s="291"/>
      <c r="G688" s="291"/>
      <c r="J688" s="291"/>
      <c r="K688" s="291"/>
      <c r="L688" s="291"/>
      <c r="M688" s="292"/>
    </row>
    <row r="689">
      <c r="A689" s="291"/>
      <c r="B689" s="291"/>
      <c r="C689" s="291"/>
      <c r="D689" s="291"/>
      <c r="E689" s="291"/>
      <c r="F689" s="291"/>
      <c r="G689" s="291"/>
      <c r="J689" s="291"/>
      <c r="K689" s="291"/>
      <c r="L689" s="291"/>
      <c r="M689" s="292"/>
    </row>
    <row r="690">
      <c r="A690" s="291"/>
      <c r="B690" s="291"/>
      <c r="C690" s="291"/>
      <c r="D690" s="291"/>
      <c r="E690" s="291"/>
      <c r="F690" s="291"/>
      <c r="G690" s="291"/>
      <c r="J690" s="291"/>
      <c r="K690" s="291"/>
      <c r="L690" s="291"/>
      <c r="M690" s="292"/>
    </row>
    <row r="691">
      <c r="A691" s="291"/>
      <c r="B691" s="291"/>
      <c r="C691" s="291"/>
      <c r="D691" s="291"/>
      <c r="E691" s="291"/>
      <c r="F691" s="291"/>
      <c r="G691" s="291"/>
      <c r="J691" s="291"/>
      <c r="K691" s="291"/>
      <c r="L691" s="291"/>
      <c r="M691" s="292"/>
    </row>
    <row r="692">
      <c r="A692" s="291"/>
      <c r="B692" s="291"/>
      <c r="C692" s="291"/>
      <c r="D692" s="291"/>
      <c r="E692" s="291"/>
      <c r="F692" s="291"/>
      <c r="G692" s="291"/>
      <c r="J692" s="291"/>
      <c r="K692" s="291"/>
      <c r="L692" s="291"/>
      <c r="M692" s="292"/>
    </row>
    <row r="693">
      <c r="A693" s="291"/>
      <c r="B693" s="291"/>
      <c r="C693" s="291"/>
      <c r="D693" s="291"/>
      <c r="E693" s="291"/>
      <c r="F693" s="291"/>
      <c r="G693" s="291"/>
      <c r="J693" s="291"/>
      <c r="K693" s="291"/>
      <c r="L693" s="291"/>
      <c r="M693" s="292"/>
    </row>
    <row r="694">
      <c r="A694" s="291"/>
      <c r="B694" s="291"/>
      <c r="C694" s="291"/>
      <c r="D694" s="291"/>
      <c r="E694" s="291"/>
      <c r="F694" s="291"/>
      <c r="G694" s="291"/>
      <c r="J694" s="291"/>
      <c r="K694" s="291"/>
      <c r="L694" s="291"/>
      <c r="M694" s="292"/>
    </row>
    <row r="695">
      <c r="A695" s="291"/>
      <c r="B695" s="291"/>
      <c r="C695" s="291"/>
      <c r="D695" s="291"/>
      <c r="E695" s="291"/>
      <c r="F695" s="291"/>
      <c r="G695" s="291"/>
      <c r="J695" s="291"/>
      <c r="K695" s="291"/>
      <c r="L695" s="291"/>
      <c r="M695" s="292"/>
    </row>
    <row r="696">
      <c r="A696" s="291"/>
      <c r="B696" s="291"/>
      <c r="C696" s="291"/>
      <c r="D696" s="291"/>
      <c r="E696" s="291"/>
      <c r="F696" s="291"/>
      <c r="G696" s="291"/>
      <c r="J696" s="291"/>
      <c r="K696" s="291"/>
      <c r="L696" s="291"/>
      <c r="M696" s="292"/>
    </row>
    <row r="697">
      <c r="A697" s="291"/>
      <c r="B697" s="291"/>
      <c r="C697" s="291"/>
      <c r="D697" s="291"/>
      <c r="E697" s="291"/>
      <c r="F697" s="291"/>
      <c r="G697" s="291"/>
      <c r="J697" s="291"/>
      <c r="K697" s="291"/>
      <c r="L697" s="291"/>
      <c r="M697" s="292"/>
    </row>
    <row r="698">
      <c r="A698" s="291"/>
      <c r="B698" s="291"/>
      <c r="C698" s="291"/>
      <c r="D698" s="291"/>
      <c r="E698" s="291"/>
      <c r="F698" s="291"/>
      <c r="G698" s="291"/>
      <c r="J698" s="291"/>
      <c r="K698" s="291"/>
      <c r="L698" s="291"/>
      <c r="M698" s="292"/>
    </row>
    <row r="699">
      <c r="A699" s="291"/>
      <c r="B699" s="291"/>
      <c r="C699" s="291"/>
      <c r="D699" s="291"/>
      <c r="E699" s="291"/>
      <c r="F699" s="291"/>
      <c r="G699" s="291"/>
      <c r="J699" s="291"/>
      <c r="K699" s="291"/>
      <c r="L699" s="291"/>
      <c r="M699" s="292"/>
    </row>
    <row r="700">
      <c r="A700" s="291"/>
      <c r="B700" s="291"/>
      <c r="C700" s="291"/>
      <c r="D700" s="291"/>
      <c r="E700" s="291"/>
      <c r="F700" s="291"/>
      <c r="G700" s="291"/>
      <c r="J700" s="291"/>
      <c r="K700" s="291"/>
      <c r="L700" s="291"/>
      <c r="M700" s="292"/>
    </row>
    <row r="701">
      <c r="A701" s="291"/>
      <c r="B701" s="291"/>
      <c r="C701" s="291"/>
      <c r="D701" s="291"/>
      <c r="E701" s="291"/>
      <c r="F701" s="291"/>
      <c r="G701" s="291"/>
      <c r="J701" s="291"/>
      <c r="K701" s="291"/>
      <c r="L701" s="291"/>
      <c r="M701" s="292"/>
    </row>
    <row r="702">
      <c r="A702" s="291"/>
      <c r="B702" s="291"/>
      <c r="C702" s="291"/>
      <c r="D702" s="291"/>
      <c r="E702" s="291"/>
      <c r="F702" s="291"/>
      <c r="G702" s="291"/>
      <c r="J702" s="291"/>
      <c r="K702" s="291"/>
      <c r="L702" s="291"/>
      <c r="M702" s="292"/>
    </row>
    <row r="703">
      <c r="A703" s="291"/>
      <c r="B703" s="291"/>
      <c r="C703" s="291"/>
      <c r="D703" s="291"/>
      <c r="E703" s="291"/>
      <c r="F703" s="291"/>
      <c r="G703" s="291"/>
      <c r="J703" s="291"/>
      <c r="K703" s="291"/>
      <c r="L703" s="291"/>
      <c r="M703" s="292"/>
    </row>
    <row r="704">
      <c r="A704" s="291"/>
      <c r="B704" s="291"/>
      <c r="C704" s="291"/>
      <c r="D704" s="291"/>
      <c r="E704" s="291"/>
      <c r="F704" s="291"/>
      <c r="G704" s="291"/>
      <c r="J704" s="291"/>
      <c r="K704" s="291"/>
      <c r="L704" s="291"/>
      <c r="M704" s="292"/>
    </row>
    <row r="705">
      <c r="A705" s="291"/>
      <c r="B705" s="291"/>
      <c r="C705" s="291"/>
      <c r="D705" s="291"/>
      <c r="E705" s="291"/>
      <c r="F705" s="291"/>
      <c r="G705" s="291"/>
      <c r="J705" s="291"/>
      <c r="K705" s="291"/>
      <c r="L705" s="291"/>
      <c r="M705" s="292"/>
    </row>
    <row r="706">
      <c r="A706" s="291"/>
      <c r="B706" s="291"/>
      <c r="C706" s="291"/>
      <c r="D706" s="291"/>
      <c r="E706" s="291"/>
      <c r="F706" s="291"/>
      <c r="G706" s="291"/>
      <c r="J706" s="291"/>
      <c r="K706" s="291"/>
      <c r="L706" s="291"/>
      <c r="M706" s="292"/>
    </row>
    <row r="707">
      <c r="A707" s="291"/>
      <c r="B707" s="291"/>
      <c r="C707" s="291"/>
      <c r="D707" s="291"/>
      <c r="E707" s="291"/>
      <c r="F707" s="291"/>
      <c r="G707" s="291"/>
      <c r="J707" s="291"/>
      <c r="K707" s="291"/>
      <c r="L707" s="291"/>
      <c r="M707" s="292"/>
    </row>
    <row r="708">
      <c r="A708" s="291"/>
      <c r="B708" s="291"/>
      <c r="C708" s="291"/>
      <c r="D708" s="291"/>
      <c r="E708" s="291"/>
      <c r="F708" s="291"/>
      <c r="G708" s="291"/>
      <c r="J708" s="291"/>
      <c r="K708" s="291"/>
      <c r="L708" s="291"/>
      <c r="M708" s="292"/>
    </row>
    <row r="709">
      <c r="A709" s="291"/>
      <c r="B709" s="291"/>
      <c r="C709" s="291"/>
      <c r="D709" s="291"/>
      <c r="E709" s="291"/>
      <c r="F709" s="291"/>
      <c r="G709" s="291"/>
      <c r="J709" s="291"/>
      <c r="K709" s="291"/>
      <c r="L709" s="291"/>
      <c r="M709" s="292"/>
    </row>
    <row r="710">
      <c r="A710" s="291"/>
      <c r="B710" s="291"/>
      <c r="C710" s="291"/>
      <c r="D710" s="291"/>
      <c r="E710" s="291"/>
      <c r="F710" s="291"/>
      <c r="G710" s="291"/>
      <c r="J710" s="291"/>
      <c r="K710" s="291"/>
      <c r="L710" s="291"/>
      <c r="M710" s="292"/>
    </row>
    <row r="711">
      <c r="A711" s="291"/>
      <c r="B711" s="291"/>
      <c r="C711" s="291"/>
      <c r="D711" s="291"/>
      <c r="E711" s="291"/>
      <c r="F711" s="291"/>
      <c r="G711" s="291"/>
      <c r="J711" s="291"/>
      <c r="K711" s="291"/>
      <c r="L711" s="291"/>
      <c r="M711" s="292"/>
    </row>
    <row r="712">
      <c r="A712" s="291"/>
      <c r="B712" s="291"/>
      <c r="C712" s="291"/>
      <c r="D712" s="291"/>
      <c r="E712" s="291"/>
      <c r="F712" s="291"/>
      <c r="G712" s="291"/>
      <c r="J712" s="291"/>
      <c r="K712" s="291"/>
      <c r="L712" s="291"/>
      <c r="M712" s="292"/>
    </row>
    <row r="713">
      <c r="A713" s="291"/>
      <c r="B713" s="291"/>
      <c r="C713" s="291"/>
      <c r="D713" s="291"/>
      <c r="E713" s="291"/>
      <c r="F713" s="291"/>
      <c r="G713" s="291"/>
      <c r="J713" s="291"/>
      <c r="K713" s="291"/>
      <c r="L713" s="291"/>
      <c r="M713" s="292"/>
    </row>
    <row r="714">
      <c r="A714" s="291"/>
      <c r="B714" s="291"/>
      <c r="C714" s="291"/>
      <c r="D714" s="291"/>
      <c r="E714" s="291"/>
      <c r="F714" s="291"/>
      <c r="G714" s="291"/>
      <c r="J714" s="291"/>
      <c r="K714" s="291"/>
      <c r="L714" s="291"/>
      <c r="M714" s="292"/>
    </row>
    <row r="715">
      <c r="A715" s="291"/>
      <c r="B715" s="291"/>
      <c r="C715" s="291"/>
      <c r="D715" s="291"/>
      <c r="E715" s="291"/>
      <c r="F715" s="291"/>
      <c r="G715" s="291"/>
      <c r="J715" s="291"/>
      <c r="K715" s="291"/>
      <c r="L715" s="291"/>
      <c r="M715" s="292"/>
    </row>
    <row r="716">
      <c r="A716" s="291"/>
      <c r="B716" s="291"/>
      <c r="C716" s="291"/>
      <c r="D716" s="291"/>
      <c r="E716" s="291"/>
      <c r="F716" s="291"/>
      <c r="G716" s="291"/>
      <c r="J716" s="291"/>
      <c r="K716" s="291"/>
      <c r="L716" s="291"/>
      <c r="M716" s="292"/>
    </row>
    <row r="717">
      <c r="A717" s="291"/>
      <c r="B717" s="291"/>
      <c r="C717" s="291"/>
      <c r="D717" s="291"/>
      <c r="E717" s="291"/>
      <c r="F717" s="291"/>
      <c r="G717" s="291"/>
      <c r="J717" s="291"/>
      <c r="K717" s="291"/>
      <c r="L717" s="291"/>
      <c r="M717" s="292"/>
    </row>
    <row r="718">
      <c r="A718" s="291"/>
      <c r="B718" s="291"/>
      <c r="C718" s="291"/>
      <c r="D718" s="291"/>
      <c r="E718" s="291"/>
      <c r="F718" s="291"/>
      <c r="G718" s="291"/>
      <c r="J718" s="291"/>
      <c r="K718" s="291"/>
      <c r="L718" s="291"/>
      <c r="M718" s="292"/>
    </row>
    <row r="719">
      <c r="A719" s="291"/>
      <c r="B719" s="291"/>
      <c r="C719" s="291"/>
      <c r="D719" s="291"/>
      <c r="E719" s="291"/>
      <c r="F719" s="291"/>
      <c r="G719" s="291"/>
      <c r="J719" s="291"/>
      <c r="K719" s="291"/>
      <c r="L719" s="291"/>
      <c r="M719" s="292"/>
    </row>
    <row r="720">
      <c r="A720" s="291"/>
      <c r="B720" s="291"/>
      <c r="C720" s="291"/>
      <c r="D720" s="291"/>
      <c r="E720" s="291"/>
      <c r="F720" s="291"/>
      <c r="G720" s="291"/>
      <c r="J720" s="291"/>
      <c r="K720" s="291"/>
      <c r="L720" s="291"/>
      <c r="M720" s="292"/>
    </row>
    <row r="721">
      <c r="A721" s="291"/>
      <c r="B721" s="291"/>
      <c r="C721" s="291"/>
      <c r="D721" s="291"/>
      <c r="E721" s="291"/>
      <c r="F721" s="291"/>
      <c r="G721" s="291"/>
      <c r="J721" s="291"/>
      <c r="K721" s="291"/>
      <c r="L721" s="291"/>
      <c r="M721" s="292"/>
    </row>
    <row r="722">
      <c r="A722" s="291"/>
      <c r="B722" s="291"/>
      <c r="C722" s="291"/>
      <c r="D722" s="291"/>
      <c r="E722" s="291"/>
      <c r="F722" s="291"/>
      <c r="G722" s="291"/>
      <c r="J722" s="291"/>
      <c r="K722" s="291"/>
      <c r="L722" s="291"/>
      <c r="M722" s="292"/>
    </row>
    <row r="723">
      <c r="A723" s="291"/>
      <c r="B723" s="291"/>
      <c r="C723" s="291"/>
      <c r="D723" s="291"/>
      <c r="E723" s="291"/>
      <c r="F723" s="291"/>
      <c r="G723" s="291"/>
      <c r="J723" s="291"/>
      <c r="K723" s="291"/>
      <c r="L723" s="291"/>
      <c r="M723" s="292"/>
    </row>
    <row r="724">
      <c r="A724" s="291"/>
      <c r="B724" s="291"/>
      <c r="C724" s="291"/>
      <c r="D724" s="291"/>
      <c r="E724" s="291"/>
      <c r="F724" s="291"/>
      <c r="G724" s="291"/>
      <c r="J724" s="291"/>
      <c r="K724" s="291"/>
      <c r="L724" s="291"/>
      <c r="M724" s="292"/>
    </row>
    <row r="725">
      <c r="A725" s="291"/>
      <c r="B725" s="291"/>
      <c r="C725" s="291"/>
      <c r="D725" s="291"/>
      <c r="E725" s="291"/>
      <c r="F725" s="291"/>
      <c r="G725" s="291"/>
      <c r="J725" s="291"/>
      <c r="K725" s="291"/>
      <c r="L725" s="291"/>
      <c r="M725" s="292"/>
    </row>
    <row r="726">
      <c r="A726" s="291"/>
      <c r="B726" s="291"/>
      <c r="C726" s="291"/>
      <c r="D726" s="291"/>
      <c r="E726" s="291"/>
      <c r="F726" s="291"/>
      <c r="G726" s="291"/>
      <c r="J726" s="291"/>
      <c r="K726" s="291"/>
      <c r="L726" s="291"/>
      <c r="M726" s="292"/>
    </row>
    <row r="727">
      <c r="A727" s="291"/>
      <c r="B727" s="291"/>
      <c r="C727" s="291"/>
      <c r="D727" s="291"/>
      <c r="E727" s="291"/>
      <c r="F727" s="291"/>
      <c r="G727" s="291"/>
      <c r="J727" s="291"/>
      <c r="K727" s="291"/>
      <c r="L727" s="291"/>
      <c r="M727" s="292"/>
    </row>
    <row r="728">
      <c r="A728" s="291"/>
      <c r="B728" s="291"/>
      <c r="C728" s="291"/>
      <c r="D728" s="291"/>
      <c r="E728" s="291"/>
      <c r="F728" s="291"/>
      <c r="G728" s="291"/>
      <c r="J728" s="291"/>
      <c r="K728" s="291"/>
      <c r="L728" s="291"/>
      <c r="M728" s="292"/>
    </row>
    <row r="729">
      <c r="A729" s="291"/>
      <c r="B729" s="291"/>
      <c r="C729" s="291"/>
      <c r="D729" s="291"/>
      <c r="E729" s="291"/>
      <c r="F729" s="291"/>
      <c r="G729" s="291"/>
      <c r="J729" s="291"/>
      <c r="K729" s="291"/>
      <c r="L729" s="291"/>
      <c r="M729" s="292"/>
    </row>
    <row r="730">
      <c r="A730" s="291"/>
      <c r="B730" s="291"/>
      <c r="C730" s="291"/>
      <c r="D730" s="291"/>
      <c r="E730" s="291"/>
      <c r="F730" s="291"/>
      <c r="G730" s="291"/>
      <c r="J730" s="291"/>
      <c r="K730" s="291"/>
      <c r="L730" s="291"/>
      <c r="M730" s="292"/>
    </row>
    <row r="731">
      <c r="A731" s="291"/>
      <c r="B731" s="291"/>
      <c r="C731" s="291"/>
      <c r="D731" s="291"/>
      <c r="E731" s="291"/>
      <c r="F731" s="291"/>
      <c r="G731" s="291"/>
      <c r="J731" s="291"/>
      <c r="K731" s="291"/>
      <c r="L731" s="291"/>
      <c r="M731" s="292"/>
    </row>
    <row r="732">
      <c r="A732" s="291"/>
      <c r="B732" s="291"/>
      <c r="C732" s="291"/>
      <c r="D732" s="291"/>
      <c r="E732" s="291"/>
      <c r="F732" s="291"/>
      <c r="G732" s="291"/>
      <c r="J732" s="291"/>
      <c r="K732" s="291"/>
      <c r="L732" s="291"/>
      <c r="M732" s="292"/>
    </row>
    <row r="733">
      <c r="A733" s="291"/>
      <c r="B733" s="291"/>
      <c r="C733" s="291"/>
      <c r="D733" s="291"/>
      <c r="E733" s="291"/>
      <c r="F733" s="291"/>
      <c r="G733" s="291"/>
      <c r="J733" s="291"/>
      <c r="K733" s="291"/>
      <c r="L733" s="291"/>
      <c r="M733" s="292"/>
    </row>
    <row r="734">
      <c r="A734" s="291"/>
      <c r="B734" s="291"/>
      <c r="C734" s="291"/>
      <c r="D734" s="291"/>
      <c r="E734" s="291"/>
      <c r="F734" s="291"/>
      <c r="G734" s="291"/>
      <c r="J734" s="291"/>
      <c r="K734" s="291"/>
      <c r="L734" s="291"/>
      <c r="M734" s="292"/>
    </row>
    <row r="735">
      <c r="A735" s="291"/>
      <c r="B735" s="291"/>
      <c r="C735" s="291"/>
      <c r="D735" s="291"/>
      <c r="E735" s="291"/>
      <c r="F735" s="291"/>
      <c r="G735" s="291"/>
      <c r="J735" s="291"/>
      <c r="K735" s="291"/>
      <c r="L735" s="291"/>
      <c r="M735" s="292"/>
    </row>
    <row r="736">
      <c r="A736" s="291"/>
      <c r="B736" s="291"/>
      <c r="C736" s="291"/>
      <c r="D736" s="291"/>
      <c r="E736" s="291"/>
      <c r="F736" s="291"/>
      <c r="G736" s="291"/>
      <c r="J736" s="291"/>
      <c r="K736" s="291"/>
      <c r="L736" s="291"/>
      <c r="M736" s="292"/>
    </row>
    <row r="737">
      <c r="A737" s="291"/>
      <c r="B737" s="291"/>
      <c r="C737" s="291"/>
      <c r="D737" s="291"/>
      <c r="E737" s="291"/>
      <c r="F737" s="291"/>
      <c r="G737" s="291"/>
      <c r="J737" s="291"/>
      <c r="K737" s="291"/>
      <c r="L737" s="291"/>
      <c r="M737" s="292"/>
    </row>
    <row r="738">
      <c r="A738" s="291"/>
      <c r="B738" s="291"/>
      <c r="C738" s="291"/>
      <c r="D738" s="291"/>
      <c r="E738" s="291"/>
      <c r="F738" s="291"/>
      <c r="G738" s="291"/>
      <c r="J738" s="291"/>
      <c r="K738" s="291"/>
      <c r="L738" s="291"/>
      <c r="M738" s="292"/>
    </row>
    <row r="739">
      <c r="A739" s="291"/>
      <c r="B739" s="291"/>
      <c r="C739" s="291"/>
      <c r="D739" s="291"/>
      <c r="E739" s="291"/>
      <c r="F739" s="291"/>
      <c r="G739" s="291"/>
      <c r="J739" s="291"/>
      <c r="K739" s="291"/>
      <c r="L739" s="291"/>
      <c r="M739" s="292"/>
    </row>
    <row r="740">
      <c r="A740" s="291"/>
      <c r="B740" s="291"/>
      <c r="C740" s="291"/>
      <c r="D740" s="291"/>
      <c r="E740" s="291"/>
      <c r="F740" s="291"/>
      <c r="G740" s="291"/>
      <c r="J740" s="291"/>
      <c r="K740" s="291"/>
      <c r="L740" s="291"/>
      <c r="M740" s="292"/>
    </row>
    <row r="741">
      <c r="A741" s="291"/>
      <c r="B741" s="291"/>
      <c r="C741" s="291"/>
      <c r="D741" s="291"/>
      <c r="E741" s="291"/>
      <c r="F741" s="291"/>
      <c r="G741" s="291"/>
      <c r="J741" s="291"/>
      <c r="K741" s="291"/>
      <c r="L741" s="291"/>
      <c r="M741" s="292"/>
    </row>
    <row r="742">
      <c r="A742" s="291"/>
      <c r="B742" s="291"/>
      <c r="C742" s="291"/>
      <c r="D742" s="291"/>
      <c r="E742" s="291"/>
      <c r="F742" s="291"/>
      <c r="G742" s="291"/>
      <c r="J742" s="291"/>
      <c r="K742" s="291"/>
      <c r="L742" s="291"/>
      <c r="M742" s="292"/>
    </row>
    <row r="743">
      <c r="A743" s="291"/>
      <c r="B743" s="291"/>
      <c r="C743" s="291"/>
      <c r="D743" s="291"/>
      <c r="E743" s="291"/>
      <c r="F743" s="291"/>
      <c r="G743" s="291"/>
      <c r="J743" s="291"/>
      <c r="K743" s="291"/>
      <c r="L743" s="291"/>
      <c r="M743" s="292"/>
    </row>
    <row r="744">
      <c r="A744" s="291"/>
      <c r="B744" s="291"/>
      <c r="C744" s="291"/>
      <c r="D744" s="291"/>
      <c r="E744" s="291"/>
      <c r="F744" s="291"/>
      <c r="G744" s="291"/>
      <c r="J744" s="291"/>
      <c r="K744" s="291"/>
      <c r="L744" s="291"/>
      <c r="M744" s="292"/>
    </row>
    <row r="745">
      <c r="A745" s="291"/>
      <c r="B745" s="291"/>
      <c r="C745" s="291"/>
      <c r="D745" s="291"/>
      <c r="E745" s="291"/>
      <c r="F745" s="291"/>
      <c r="G745" s="291"/>
      <c r="J745" s="291"/>
      <c r="K745" s="291"/>
      <c r="L745" s="291"/>
      <c r="M745" s="292"/>
    </row>
    <row r="746">
      <c r="A746" s="291"/>
      <c r="B746" s="291"/>
      <c r="C746" s="291"/>
      <c r="D746" s="291"/>
      <c r="E746" s="291"/>
      <c r="F746" s="291"/>
      <c r="G746" s="291"/>
      <c r="J746" s="291"/>
      <c r="K746" s="291"/>
      <c r="L746" s="291"/>
      <c r="M746" s="292"/>
    </row>
    <row r="747">
      <c r="A747" s="291"/>
      <c r="B747" s="291"/>
      <c r="C747" s="291"/>
      <c r="D747" s="291"/>
      <c r="E747" s="291"/>
      <c r="F747" s="291"/>
      <c r="G747" s="291"/>
      <c r="J747" s="291"/>
      <c r="K747" s="291"/>
      <c r="L747" s="291"/>
      <c r="M747" s="292"/>
    </row>
    <row r="748">
      <c r="A748" s="291"/>
      <c r="B748" s="291"/>
      <c r="C748" s="291"/>
      <c r="D748" s="291"/>
      <c r="E748" s="291"/>
      <c r="F748" s="291"/>
      <c r="G748" s="291"/>
      <c r="J748" s="291"/>
      <c r="K748" s="291"/>
      <c r="L748" s="291"/>
      <c r="M748" s="292"/>
    </row>
    <row r="749">
      <c r="A749" s="291"/>
      <c r="B749" s="291"/>
      <c r="C749" s="291"/>
      <c r="D749" s="291"/>
      <c r="E749" s="291"/>
      <c r="F749" s="291"/>
      <c r="G749" s="291"/>
      <c r="J749" s="291"/>
      <c r="K749" s="291"/>
      <c r="L749" s="291"/>
      <c r="M749" s="292"/>
    </row>
    <row r="750">
      <c r="A750" s="291"/>
      <c r="B750" s="291"/>
      <c r="C750" s="291"/>
      <c r="D750" s="291"/>
      <c r="E750" s="291"/>
      <c r="F750" s="291"/>
      <c r="G750" s="291"/>
      <c r="J750" s="291"/>
      <c r="K750" s="291"/>
      <c r="L750" s="291"/>
      <c r="M750" s="292"/>
    </row>
    <row r="751">
      <c r="A751" s="291"/>
      <c r="B751" s="291"/>
      <c r="C751" s="291"/>
      <c r="D751" s="291"/>
      <c r="E751" s="291"/>
      <c r="F751" s="291"/>
      <c r="G751" s="291"/>
      <c r="J751" s="291"/>
      <c r="K751" s="291"/>
      <c r="L751" s="291"/>
      <c r="M751" s="292"/>
    </row>
    <row r="752">
      <c r="A752" s="291"/>
      <c r="B752" s="291"/>
      <c r="C752" s="291"/>
      <c r="D752" s="291"/>
      <c r="E752" s="291"/>
      <c r="F752" s="291"/>
      <c r="G752" s="291"/>
      <c r="J752" s="291"/>
      <c r="K752" s="291"/>
      <c r="L752" s="291"/>
      <c r="M752" s="292"/>
    </row>
    <row r="753">
      <c r="A753" s="291"/>
      <c r="B753" s="291"/>
      <c r="C753" s="291"/>
      <c r="D753" s="291"/>
      <c r="E753" s="291"/>
      <c r="F753" s="291"/>
      <c r="G753" s="291"/>
      <c r="J753" s="291"/>
      <c r="K753" s="291"/>
      <c r="L753" s="291"/>
      <c r="M753" s="292"/>
    </row>
    <row r="754">
      <c r="A754" s="291"/>
      <c r="B754" s="291"/>
      <c r="C754" s="291"/>
      <c r="D754" s="291"/>
      <c r="E754" s="291"/>
      <c r="F754" s="291"/>
      <c r="G754" s="291"/>
      <c r="J754" s="291"/>
      <c r="K754" s="291"/>
      <c r="L754" s="291"/>
      <c r="M754" s="292"/>
    </row>
    <row r="755">
      <c r="A755" s="291"/>
      <c r="B755" s="291"/>
      <c r="C755" s="291"/>
      <c r="D755" s="291"/>
      <c r="E755" s="291"/>
      <c r="F755" s="291"/>
      <c r="G755" s="291"/>
      <c r="J755" s="291"/>
      <c r="K755" s="291"/>
      <c r="L755" s="291"/>
      <c r="M755" s="292"/>
    </row>
    <row r="756">
      <c r="A756" s="291"/>
      <c r="B756" s="291"/>
      <c r="C756" s="291"/>
      <c r="D756" s="291"/>
      <c r="E756" s="291"/>
      <c r="F756" s="291"/>
      <c r="G756" s="291"/>
      <c r="J756" s="291"/>
      <c r="K756" s="291"/>
      <c r="L756" s="291"/>
      <c r="M756" s="292"/>
    </row>
    <row r="757">
      <c r="A757" s="291"/>
      <c r="B757" s="291"/>
      <c r="C757" s="291"/>
      <c r="D757" s="291"/>
      <c r="E757" s="291"/>
      <c r="F757" s="291"/>
      <c r="G757" s="291"/>
      <c r="J757" s="291"/>
      <c r="K757" s="291"/>
      <c r="L757" s="291"/>
      <c r="M757" s="292"/>
    </row>
    <row r="758">
      <c r="A758" s="291"/>
      <c r="B758" s="291"/>
      <c r="C758" s="291"/>
      <c r="D758" s="291"/>
      <c r="E758" s="291"/>
      <c r="F758" s="291"/>
      <c r="G758" s="291"/>
      <c r="J758" s="291"/>
      <c r="K758" s="291"/>
      <c r="L758" s="291"/>
      <c r="M758" s="292"/>
    </row>
    <row r="759">
      <c r="A759" s="291"/>
      <c r="B759" s="291"/>
      <c r="C759" s="291"/>
      <c r="D759" s="291"/>
      <c r="E759" s="291"/>
      <c r="F759" s="291"/>
      <c r="G759" s="291"/>
      <c r="J759" s="291"/>
      <c r="K759" s="291"/>
      <c r="L759" s="291"/>
      <c r="M759" s="292"/>
    </row>
    <row r="760">
      <c r="A760" s="291"/>
      <c r="B760" s="291"/>
      <c r="C760" s="291"/>
      <c r="D760" s="291"/>
      <c r="E760" s="291"/>
      <c r="F760" s="291"/>
      <c r="G760" s="291"/>
      <c r="J760" s="291"/>
      <c r="K760" s="291"/>
      <c r="L760" s="291"/>
      <c r="M760" s="292"/>
    </row>
    <row r="761">
      <c r="A761" s="291"/>
      <c r="B761" s="291"/>
      <c r="C761" s="291"/>
      <c r="D761" s="291"/>
      <c r="E761" s="291"/>
      <c r="F761" s="291"/>
      <c r="G761" s="291"/>
      <c r="J761" s="291"/>
      <c r="K761" s="291"/>
      <c r="L761" s="291"/>
      <c r="M761" s="292"/>
    </row>
    <row r="762">
      <c r="A762" s="291"/>
      <c r="B762" s="291"/>
      <c r="C762" s="291"/>
      <c r="D762" s="291"/>
      <c r="E762" s="291"/>
      <c r="F762" s="291"/>
      <c r="G762" s="291"/>
      <c r="J762" s="291"/>
      <c r="K762" s="291"/>
      <c r="L762" s="291"/>
      <c r="M762" s="292"/>
    </row>
    <row r="763">
      <c r="A763" s="291"/>
      <c r="B763" s="291"/>
      <c r="C763" s="291"/>
      <c r="D763" s="291"/>
      <c r="E763" s="291"/>
      <c r="F763" s="291"/>
      <c r="G763" s="291"/>
      <c r="J763" s="291"/>
      <c r="K763" s="291"/>
      <c r="L763" s="291"/>
      <c r="M763" s="292"/>
    </row>
    <row r="764">
      <c r="A764" s="291"/>
      <c r="B764" s="291"/>
      <c r="C764" s="291"/>
      <c r="D764" s="291"/>
      <c r="E764" s="291"/>
      <c r="F764" s="291"/>
      <c r="G764" s="291"/>
      <c r="J764" s="291"/>
      <c r="K764" s="291"/>
      <c r="L764" s="291"/>
      <c r="M764" s="292"/>
    </row>
    <row r="765">
      <c r="A765" s="291"/>
      <c r="B765" s="291"/>
      <c r="C765" s="291"/>
      <c r="D765" s="291"/>
      <c r="E765" s="291"/>
      <c r="F765" s="291"/>
      <c r="G765" s="291"/>
      <c r="J765" s="291"/>
      <c r="K765" s="291"/>
      <c r="L765" s="291"/>
      <c r="M765" s="292"/>
    </row>
    <row r="766">
      <c r="A766" s="291"/>
      <c r="B766" s="291"/>
      <c r="C766" s="291"/>
      <c r="D766" s="291"/>
      <c r="E766" s="291"/>
      <c r="F766" s="291"/>
      <c r="G766" s="291"/>
      <c r="J766" s="291"/>
      <c r="K766" s="291"/>
      <c r="L766" s="291"/>
      <c r="M766" s="292"/>
    </row>
    <row r="767">
      <c r="A767" s="291"/>
      <c r="B767" s="291"/>
      <c r="C767" s="291"/>
      <c r="D767" s="291"/>
      <c r="E767" s="291"/>
      <c r="F767" s="291"/>
      <c r="G767" s="291"/>
      <c r="J767" s="291"/>
      <c r="K767" s="291"/>
      <c r="L767" s="291"/>
      <c r="M767" s="292"/>
    </row>
    <row r="768">
      <c r="A768" s="291"/>
      <c r="B768" s="291"/>
      <c r="C768" s="291"/>
      <c r="D768" s="291"/>
      <c r="E768" s="291"/>
      <c r="F768" s="291"/>
      <c r="G768" s="291"/>
      <c r="J768" s="291"/>
      <c r="K768" s="291"/>
      <c r="L768" s="291"/>
      <c r="M768" s="292"/>
    </row>
    <row r="769">
      <c r="A769" s="291"/>
      <c r="B769" s="291"/>
      <c r="C769" s="291"/>
      <c r="D769" s="291"/>
      <c r="E769" s="291"/>
      <c r="F769" s="291"/>
      <c r="G769" s="291"/>
      <c r="J769" s="291"/>
      <c r="K769" s="291"/>
      <c r="L769" s="291"/>
      <c r="M769" s="292"/>
    </row>
    <row r="770">
      <c r="A770" s="291"/>
      <c r="B770" s="291"/>
      <c r="C770" s="291"/>
      <c r="D770" s="291"/>
      <c r="E770" s="291"/>
      <c r="F770" s="291"/>
      <c r="G770" s="291"/>
      <c r="J770" s="291"/>
      <c r="K770" s="291"/>
      <c r="L770" s="291"/>
      <c r="M770" s="292"/>
    </row>
    <row r="771">
      <c r="A771" s="291"/>
      <c r="B771" s="291"/>
      <c r="C771" s="291"/>
      <c r="D771" s="291"/>
      <c r="E771" s="291"/>
      <c r="F771" s="291"/>
      <c r="G771" s="291"/>
      <c r="J771" s="291"/>
      <c r="K771" s="291"/>
      <c r="L771" s="291"/>
      <c r="M771" s="292"/>
    </row>
    <row r="772">
      <c r="A772" s="291"/>
      <c r="B772" s="291"/>
      <c r="C772" s="291"/>
      <c r="D772" s="291"/>
      <c r="E772" s="291"/>
      <c r="F772" s="291"/>
      <c r="G772" s="291"/>
      <c r="J772" s="291"/>
      <c r="K772" s="291"/>
      <c r="L772" s="291"/>
      <c r="M772" s="292"/>
    </row>
    <row r="773">
      <c r="A773" s="291"/>
      <c r="B773" s="291"/>
      <c r="C773" s="291"/>
      <c r="D773" s="291"/>
      <c r="E773" s="291"/>
      <c r="F773" s="291"/>
      <c r="G773" s="291"/>
      <c r="J773" s="291"/>
      <c r="K773" s="291"/>
      <c r="L773" s="291"/>
      <c r="M773" s="292"/>
    </row>
    <row r="774">
      <c r="A774" s="291"/>
      <c r="B774" s="291"/>
      <c r="C774" s="291"/>
      <c r="D774" s="291"/>
      <c r="E774" s="291"/>
      <c r="F774" s="291"/>
      <c r="G774" s="291"/>
      <c r="J774" s="291"/>
      <c r="K774" s="291"/>
      <c r="L774" s="291"/>
      <c r="M774" s="292"/>
    </row>
    <row r="775">
      <c r="A775" s="291"/>
      <c r="B775" s="291"/>
      <c r="C775" s="291"/>
      <c r="D775" s="291"/>
      <c r="E775" s="291"/>
      <c r="F775" s="291"/>
      <c r="G775" s="291"/>
      <c r="J775" s="291"/>
      <c r="K775" s="291"/>
      <c r="L775" s="291"/>
      <c r="M775" s="292"/>
    </row>
    <row r="776">
      <c r="A776" s="291"/>
      <c r="B776" s="291"/>
      <c r="C776" s="291"/>
      <c r="D776" s="291"/>
      <c r="E776" s="291"/>
      <c r="F776" s="291"/>
      <c r="G776" s="291"/>
      <c r="J776" s="291"/>
      <c r="K776" s="291"/>
      <c r="L776" s="291"/>
      <c r="M776" s="292"/>
    </row>
    <row r="777">
      <c r="A777" s="291"/>
      <c r="B777" s="291"/>
      <c r="C777" s="291"/>
      <c r="D777" s="291"/>
      <c r="E777" s="291"/>
      <c r="F777" s="291"/>
      <c r="G777" s="291"/>
      <c r="J777" s="291"/>
      <c r="K777" s="291"/>
      <c r="L777" s="291"/>
      <c r="M777" s="292"/>
    </row>
    <row r="778">
      <c r="A778" s="291"/>
      <c r="B778" s="291"/>
      <c r="C778" s="291"/>
      <c r="D778" s="291"/>
      <c r="E778" s="291"/>
      <c r="F778" s="291"/>
      <c r="G778" s="291"/>
      <c r="J778" s="291"/>
      <c r="K778" s="291"/>
      <c r="L778" s="291"/>
      <c r="M778" s="292"/>
    </row>
    <row r="779">
      <c r="A779" s="291"/>
      <c r="B779" s="291"/>
      <c r="C779" s="291"/>
      <c r="D779" s="291"/>
      <c r="E779" s="291"/>
      <c r="F779" s="291"/>
      <c r="G779" s="291"/>
      <c r="J779" s="291"/>
      <c r="K779" s="291"/>
      <c r="L779" s="291"/>
      <c r="M779" s="292"/>
    </row>
    <row r="780">
      <c r="A780" s="291"/>
      <c r="B780" s="291"/>
      <c r="C780" s="291"/>
      <c r="D780" s="291"/>
      <c r="E780" s="291"/>
      <c r="F780" s="291"/>
      <c r="G780" s="291"/>
      <c r="J780" s="291"/>
      <c r="K780" s="291"/>
      <c r="L780" s="291"/>
      <c r="M780" s="292"/>
    </row>
    <row r="781">
      <c r="A781" s="291"/>
      <c r="B781" s="291"/>
      <c r="C781" s="291"/>
      <c r="D781" s="291"/>
      <c r="E781" s="291"/>
      <c r="F781" s="291"/>
      <c r="G781" s="291"/>
      <c r="J781" s="291"/>
      <c r="K781" s="291"/>
      <c r="L781" s="291"/>
      <c r="M781" s="292"/>
    </row>
    <row r="782">
      <c r="A782" s="291"/>
      <c r="B782" s="291"/>
      <c r="C782" s="291"/>
      <c r="D782" s="291"/>
      <c r="E782" s="291"/>
      <c r="F782" s="291"/>
      <c r="G782" s="291"/>
      <c r="J782" s="291"/>
      <c r="K782" s="291"/>
      <c r="L782" s="291"/>
      <c r="M782" s="292"/>
    </row>
    <row r="783">
      <c r="A783" s="291"/>
      <c r="B783" s="291"/>
      <c r="C783" s="291"/>
      <c r="D783" s="291"/>
      <c r="E783" s="291"/>
      <c r="F783" s="291"/>
      <c r="G783" s="291"/>
      <c r="J783" s="291"/>
      <c r="K783" s="291"/>
      <c r="L783" s="291"/>
      <c r="M783" s="292"/>
    </row>
    <row r="784">
      <c r="A784" s="291"/>
      <c r="B784" s="291"/>
      <c r="C784" s="291"/>
      <c r="D784" s="291"/>
      <c r="E784" s="291"/>
      <c r="F784" s="291"/>
      <c r="G784" s="291"/>
      <c r="J784" s="291"/>
      <c r="K784" s="291"/>
      <c r="L784" s="291"/>
      <c r="M784" s="292"/>
    </row>
    <row r="785">
      <c r="A785" s="291"/>
      <c r="B785" s="291"/>
      <c r="C785" s="291"/>
      <c r="D785" s="291"/>
      <c r="E785" s="291"/>
      <c r="F785" s="291"/>
      <c r="G785" s="291"/>
      <c r="J785" s="291"/>
      <c r="K785" s="291"/>
      <c r="L785" s="291"/>
      <c r="M785" s="292"/>
    </row>
    <row r="786">
      <c r="A786" s="291"/>
      <c r="B786" s="291"/>
      <c r="C786" s="291"/>
      <c r="D786" s="291"/>
      <c r="E786" s="291"/>
      <c r="F786" s="291"/>
      <c r="G786" s="291"/>
      <c r="J786" s="291"/>
      <c r="K786" s="291"/>
      <c r="L786" s="291"/>
      <c r="M786" s="292"/>
    </row>
    <row r="787">
      <c r="A787" s="291"/>
      <c r="B787" s="291"/>
      <c r="C787" s="291"/>
      <c r="D787" s="291"/>
      <c r="E787" s="291"/>
      <c r="F787" s="291"/>
      <c r="G787" s="291"/>
      <c r="J787" s="291"/>
      <c r="K787" s="291"/>
      <c r="L787" s="291"/>
      <c r="M787" s="292"/>
    </row>
    <row r="788">
      <c r="A788" s="291"/>
      <c r="B788" s="291"/>
      <c r="C788" s="291"/>
      <c r="D788" s="291"/>
      <c r="E788" s="291"/>
      <c r="F788" s="291"/>
      <c r="G788" s="291"/>
      <c r="J788" s="291"/>
      <c r="K788" s="291"/>
      <c r="L788" s="291"/>
      <c r="M788" s="292"/>
    </row>
    <row r="789">
      <c r="A789" s="291"/>
      <c r="B789" s="291"/>
      <c r="C789" s="291"/>
      <c r="D789" s="291"/>
      <c r="E789" s="291"/>
      <c r="F789" s="291"/>
      <c r="G789" s="291"/>
      <c r="J789" s="291"/>
      <c r="K789" s="291"/>
      <c r="L789" s="291"/>
      <c r="M789" s="292"/>
    </row>
    <row r="790">
      <c r="A790" s="291"/>
      <c r="B790" s="291"/>
      <c r="C790" s="291"/>
      <c r="D790" s="291"/>
      <c r="E790" s="291"/>
      <c r="F790" s="291"/>
      <c r="G790" s="291"/>
      <c r="J790" s="291"/>
      <c r="K790" s="291"/>
      <c r="L790" s="291"/>
      <c r="M790" s="292"/>
    </row>
    <row r="791">
      <c r="A791" s="291"/>
      <c r="B791" s="291"/>
      <c r="C791" s="291"/>
      <c r="D791" s="291"/>
      <c r="E791" s="291"/>
      <c r="F791" s="291"/>
      <c r="G791" s="291"/>
      <c r="J791" s="291"/>
      <c r="K791" s="291"/>
      <c r="L791" s="291"/>
      <c r="M791" s="292"/>
    </row>
    <row r="792">
      <c r="A792" s="291"/>
      <c r="B792" s="291"/>
      <c r="C792" s="291"/>
      <c r="D792" s="291"/>
      <c r="E792" s="291"/>
      <c r="F792" s="291"/>
      <c r="G792" s="291"/>
      <c r="J792" s="291"/>
      <c r="K792" s="291"/>
      <c r="L792" s="291"/>
      <c r="M792" s="292"/>
    </row>
    <row r="793">
      <c r="A793" s="291"/>
      <c r="B793" s="291"/>
      <c r="C793" s="291"/>
      <c r="D793" s="291"/>
      <c r="E793" s="291"/>
      <c r="F793" s="291"/>
      <c r="G793" s="291"/>
      <c r="J793" s="291"/>
      <c r="K793" s="291"/>
      <c r="L793" s="291"/>
      <c r="M793" s="292"/>
    </row>
    <row r="794">
      <c r="A794" s="291"/>
      <c r="B794" s="291"/>
      <c r="C794" s="291"/>
      <c r="D794" s="291"/>
      <c r="E794" s="291"/>
      <c r="F794" s="291"/>
      <c r="G794" s="291"/>
      <c r="J794" s="291"/>
      <c r="K794" s="291"/>
      <c r="L794" s="291"/>
      <c r="M794" s="292"/>
    </row>
    <row r="795">
      <c r="A795" s="291"/>
      <c r="B795" s="291"/>
      <c r="C795" s="291"/>
      <c r="D795" s="291"/>
      <c r="E795" s="291"/>
      <c r="F795" s="291"/>
      <c r="G795" s="291"/>
      <c r="J795" s="291"/>
      <c r="K795" s="291"/>
      <c r="L795" s="291"/>
      <c r="M795" s="292"/>
    </row>
    <row r="796">
      <c r="A796" s="291"/>
      <c r="B796" s="291"/>
      <c r="C796" s="291"/>
      <c r="D796" s="291"/>
      <c r="E796" s="291"/>
      <c r="F796" s="291"/>
      <c r="G796" s="291"/>
      <c r="J796" s="291"/>
      <c r="K796" s="291"/>
      <c r="L796" s="291"/>
      <c r="M796" s="292"/>
    </row>
    <row r="797">
      <c r="A797" s="291"/>
      <c r="B797" s="291"/>
      <c r="C797" s="291"/>
      <c r="D797" s="291"/>
      <c r="E797" s="291"/>
      <c r="F797" s="291"/>
      <c r="G797" s="291"/>
      <c r="J797" s="291"/>
      <c r="K797" s="291"/>
      <c r="L797" s="291"/>
      <c r="M797" s="292"/>
    </row>
    <row r="798">
      <c r="A798" s="291"/>
      <c r="B798" s="291"/>
      <c r="C798" s="291"/>
      <c r="D798" s="291"/>
      <c r="E798" s="291"/>
      <c r="F798" s="291"/>
      <c r="G798" s="291"/>
      <c r="J798" s="291"/>
      <c r="K798" s="291"/>
      <c r="L798" s="291"/>
      <c r="M798" s="292"/>
    </row>
    <row r="799">
      <c r="A799" s="291"/>
      <c r="B799" s="291"/>
      <c r="C799" s="291"/>
      <c r="D799" s="291"/>
      <c r="E799" s="291"/>
      <c r="F799" s="291"/>
      <c r="G799" s="291"/>
      <c r="J799" s="291"/>
      <c r="K799" s="291"/>
      <c r="L799" s="291"/>
      <c r="M799" s="292"/>
    </row>
    <row r="800">
      <c r="A800" s="291"/>
      <c r="B800" s="291"/>
      <c r="C800" s="291"/>
      <c r="D800" s="291"/>
      <c r="E800" s="291"/>
      <c r="F800" s="291"/>
      <c r="G800" s="291"/>
      <c r="J800" s="291"/>
      <c r="K800" s="291"/>
      <c r="L800" s="291"/>
      <c r="M800" s="292"/>
    </row>
    <row r="801">
      <c r="A801" s="291"/>
      <c r="B801" s="291"/>
      <c r="C801" s="291"/>
      <c r="D801" s="291"/>
      <c r="E801" s="291"/>
      <c r="F801" s="291"/>
      <c r="G801" s="291"/>
      <c r="J801" s="291"/>
      <c r="K801" s="291"/>
      <c r="L801" s="291"/>
      <c r="M801" s="292"/>
    </row>
    <row r="802">
      <c r="A802" s="291"/>
      <c r="B802" s="291"/>
      <c r="C802" s="291"/>
      <c r="D802" s="291"/>
      <c r="E802" s="291"/>
      <c r="F802" s="291"/>
      <c r="G802" s="291"/>
      <c r="J802" s="291"/>
      <c r="K802" s="291"/>
      <c r="L802" s="291"/>
      <c r="M802" s="292"/>
    </row>
    <row r="803">
      <c r="A803" s="291"/>
      <c r="B803" s="291"/>
      <c r="C803" s="291"/>
      <c r="D803" s="291"/>
      <c r="E803" s="291"/>
      <c r="F803" s="291"/>
      <c r="G803" s="291"/>
      <c r="J803" s="291"/>
      <c r="K803" s="291"/>
      <c r="L803" s="291"/>
      <c r="M803" s="292"/>
    </row>
    <row r="804">
      <c r="A804" s="291"/>
      <c r="B804" s="291"/>
      <c r="C804" s="291"/>
      <c r="D804" s="291"/>
      <c r="E804" s="291"/>
      <c r="F804" s="291"/>
      <c r="G804" s="291"/>
      <c r="J804" s="291"/>
      <c r="K804" s="291"/>
      <c r="L804" s="291"/>
      <c r="M804" s="292"/>
    </row>
    <row r="805">
      <c r="A805" s="291"/>
      <c r="B805" s="291"/>
      <c r="C805" s="291"/>
      <c r="D805" s="291"/>
      <c r="E805" s="291"/>
      <c r="F805" s="291"/>
      <c r="G805" s="291"/>
      <c r="J805" s="291"/>
      <c r="K805" s="291"/>
      <c r="L805" s="291"/>
      <c r="M805" s="292"/>
    </row>
    <row r="806">
      <c r="A806" s="291"/>
      <c r="B806" s="291"/>
      <c r="C806" s="291"/>
      <c r="D806" s="291"/>
      <c r="E806" s="291"/>
      <c r="F806" s="291"/>
      <c r="G806" s="291"/>
      <c r="J806" s="291"/>
      <c r="K806" s="291"/>
      <c r="L806" s="291"/>
      <c r="M806" s="292"/>
    </row>
    <row r="807">
      <c r="A807" s="291"/>
      <c r="B807" s="291"/>
      <c r="C807" s="291"/>
      <c r="D807" s="291"/>
      <c r="E807" s="291"/>
      <c r="F807" s="291"/>
      <c r="G807" s="291"/>
      <c r="J807" s="291"/>
      <c r="K807" s="291"/>
      <c r="L807" s="291"/>
      <c r="M807" s="292"/>
    </row>
    <row r="808">
      <c r="A808" s="291"/>
      <c r="B808" s="291"/>
      <c r="C808" s="291"/>
      <c r="D808" s="291"/>
      <c r="E808" s="291"/>
      <c r="F808" s="291"/>
      <c r="G808" s="291"/>
      <c r="J808" s="291"/>
      <c r="K808" s="291"/>
      <c r="L808" s="291"/>
      <c r="M808" s="292"/>
    </row>
    <row r="809">
      <c r="A809" s="291"/>
      <c r="B809" s="291"/>
      <c r="C809" s="291"/>
      <c r="D809" s="291"/>
      <c r="E809" s="291"/>
      <c r="F809" s="291"/>
      <c r="G809" s="291"/>
      <c r="J809" s="291"/>
      <c r="K809" s="291"/>
      <c r="L809" s="291"/>
      <c r="M809" s="292"/>
    </row>
    <row r="810">
      <c r="A810" s="291"/>
      <c r="B810" s="291"/>
      <c r="C810" s="291"/>
      <c r="D810" s="291"/>
      <c r="E810" s="291"/>
      <c r="F810" s="291"/>
      <c r="G810" s="291"/>
      <c r="J810" s="291"/>
      <c r="K810" s="291"/>
      <c r="L810" s="291"/>
      <c r="M810" s="292"/>
    </row>
    <row r="811">
      <c r="A811" s="291"/>
      <c r="B811" s="291"/>
      <c r="C811" s="291"/>
      <c r="D811" s="291"/>
      <c r="E811" s="291"/>
      <c r="F811" s="291"/>
      <c r="G811" s="291"/>
      <c r="J811" s="291"/>
      <c r="K811" s="291"/>
      <c r="L811" s="291"/>
      <c r="M811" s="292"/>
    </row>
    <row r="812">
      <c r="A812" s="291"/>
      <c r="B812" s="291"/>
      <c r="C812" s="291"/>
      <c r="D812" s="291"/>
      <c r="E812" s="291"/>
      <c r="F812" s="291"/>
      <c r="G812" s="291"/>
      <c r="J812" s="291"/>
      <c r="K812" s="291"/>
      <c r="L812" s="291"/>
      <c r="M812" s="292"/>
    </row>
    <row r="813">
      <c r="A813" s="291"/>
      <c r="B813" s="291"/>
      <c r="C813" s="291"/>
      <c r="D813" s="291"/>
      <c r="E813" s="291"/>
      <c r="F813" s="291"/>
      <c r="G813" s="291"/>
      <c r="J813" s="291"/>
      <c r="K813" s="291"/>
      <c r="L813" s="291"/>
      <c r="M813" s="292"/>
    </row>
    <row r="814">
      <c r="A814" s="291"/>
      <c r="B814" s="291"/>
      <c r="C814" s="291"/>
      <c r="D814" s="291"/>
      <c r="E814" s="291"/>
      <c r="F814" s="291"/>
      <c r="G814" s="291"/>
      <c r="J814" s="291"/>
      <c r="K814" s="291"/>
      <c r="L814" s="291"/>
      <c r="M814" s="292"/>
    </row>
    <row r="815">
      <c r="A815" s="291"/>
      <c r="B815" s="291"/>
      <c r="C815" s="291"/>
      <c r="D815" s="291"/>
      <c r="E815" s="291"/>
      <c r="F815" s="291"/>
      <c r="G815" s="291"/>
      <c r="J815" s="291"/>
      <c r="K815" s="291"/>
      <c r="L815" s="291"/>
      <c r="M815" s="292"/>
    </row>
    <row r="816">
      <c r="A816" s="291"/>
      <c r="B816" s="291"/>
      <c r="C816" s="291"/>
      <c r="D816" s="291"/>
      <c r="E816" s="291"/>
      <c r="F816" s="291"/>
      <c r="G816" s="291"/>
      <c r="J816" s="291"/>
      <c r="K816" s="291"/>
      <c r="L816" s="291"/>
      <c r="M816" s="292"/>
    </row>
    <row r="817">
      <c r="A817" s="291"/>
      <c r="B817" s="291"/>
      <c r="C817" s="291"/>
      <c r="D817" s="291"/>
      <c r="E817" s="291"/>
      <c r="F817" s="291"/>
      <c r="G817" s="291"/>
      <c r="J817" s="291"/>
      <c r="K817" s="291"/>
      <c r="L817" s="291"/>
      <c r="M817" s="292"/>
    </row>
    <row r="818">
      <c r="A818" s="291"/>
      <c r="B818" s="291"/>
      <c r="C818" s="291"/>
      <c r="D818" s="291"/>
      <c r="E818" s="291"/>
      <c r="F818" s="291"/>
      <c r="G818" s="291"/>
      <c r="J818" s="291"/>
      <c r="K818" s="291"/>
      <c r="L818" s="291"/>
      <c r="M818" s="292"/>
    </row>
    <row r="819">
      <c r="A819" s="291"/>
      <c r="B819" s="291"/>
      <c r="C819" s="291"/>
      <c r="D819" s="291"/>
      <c r="E819" s="291"/>
      <c r="F819" s="291"/>
      <c r="G819" s="291"/>
      <c r="J819" s="291"/>
      <c r="K819" s="291"/>
      <c r="L819" s="291"/>
      <c r="M819" s="292"/>
    </row>
    <row r="820">
      <c r="A820" s="291"/>
      <c r="B820" s="291"/>
      <c r="C820" s="291"/>
      <c r="D820" s="291"/>
      <c r="E820" s="291"/>
      <c r="F820" s="291"/>
      <c r="G820" s="291"/>
      <c r="J820" s="291"/>
      <c r="K820" s="291"/>
      <c r="L820" s="291"/>
      <c r="M820" s="292"/>
    </row>
    <row r="821">
      <c r="A821" s="291"/>
      <c r="B821" s="291"/>
      <c r="C821" s="291"/>
      <c r="D821" s="291"/>
      <c r="E821" s="291"/>
      <c r="F821" s="291"/>
      <c r="G821" s="291"/>
      <c r="J821" s="291"/>
      <c r="K821" s="291"/>
      <c r="L821" s="291"/>
      <c r="M821" s="292"/>
    </row>
    <row r="822">
      <c r="A822" s="291"/>
      <c r="B822" s="291"/>
      <c r="C822" s="291"/>
      <c r="D822" s="291"/>
      <c r="E822" s="291"/>
      <c r="F822" s="291"/>
      <c r="G822" s="291"/>
      <c r="J822" s="291"/>
      <c r="K822" s="291"/>
      <c r="L822" s="291"/>
      <c r="M822" s="292"/>
    </row>
    <row r="823">
      <c r="A823" s="291"/>
      <c r="B823" s="291"/>
      <c r="C823" s="291"/>
      <c r="D823" s="291"/>
      <c r="E823" s="291"/>
      <c r="F823" s="291"/>
      <c r="G823" s="291"/>
      <c r="J823" s="291"/>
      <c r="K823" s="291"/>
      <c r="L823" s="291"/>
      <c r="M823" s="292"/>
    </row>
    <row r="824">
      <c r="A824" s="291"/>
      <c r="B824" s="291"/>
      <c r="C824" s="291"/>
      <c r="D824" s="291"/>
      <c r="E824" s="291"/>
      <c r="F824" s="291"/>
      <c r="G824" s="291"/>
      <c r="J824" s="291"/>
      <c r="K824" s="291"/>
      <c r="L824" s="291"/>
      <c r="M824" s="292"/>
    </row>
    <row r="825">
      <c r="A825" s="291"/>
      <c r="B825" s="291"/>
      <c r="C825" s="291"/>
      <c r="D825" s="291"/>
      <c r="E825" s="291"/>
      <c r="F825" s="291"/>
      <c r="G825" s="291"/>
      <c r="J825" s="291"/>
      <c r="K825" s="291"/>
      <c r="L825" s="291"/>
      <c r="M825" s="292"/>
    </row>
    <row r="826">
      <c r="A826" s="291"/>
      <c r="B826" s="291"/>
      <c r="C826" s="291"/>
      <c r="D826" s="291"/>
      <c r="E826" s="291"/>
      <c r="F826" s="291"/>
      <c r="G826" s="291"/>
      <c r="J826" s="291"/>
      <c r="K826" s="291"/>
      <c r="L826" s="291"/>
      <c r="M826" s="292"/>
    </row>
    <row r="827">
      <c r="A827" s="291"/>
      <c r="B827" s="291"/>
      <c r="C827" s="291"/>
      <c r="D827" s="291"/>
      <c r="E827" s="291"/>
      <c r="F827" s="291"/>
      <c r="G827" s="291"/>
      <c r="J827" s="291"/>
      <c r="K827" s="291"/>
      <c r="L827" s="291"/>
      <c r="M827" s="292"/>
    </row>
    <row r="828">
      <c r="A828" s="291"/>
      <c r="B828" s="291"/>
      <c r="C828" s="291"/>
      <c r="D828" s="291"/>
      <c r="E828" s="291"/>
      <c r="F828" s="291"/>
      <c r="G828" s="291"/>
      <c r="J828" s="291"/>
      <c r="K828" s="291"/>
      <c r="L828" s="291"/>
      <c r="M828" s="292"/>
    </row>
    <row r="829">
      <c r="A829" s="291"/>
      <c r="B829" s="291"/>
      <c r="C829" s="291"/>
      <c r="D829" s="291"/>
      <c r="E829" s="291"/>
      <c r="F829" s="291"/>
      <c r="G829" s="291"/>
      <c r="J829" s="291"/>
      <c r="K829" s="291"/>
      <c r="L829" s="291"/>
      <c r="M829" s="292"/>
    </row>
    <row r="830">
      <c r="A830" s="291"/>
      <c r="B830" s="291"/>
      <c r="C830" s="291"/>
      <c r="D830" s="291"/>
      <c r="E830" s="291"/>
      <c r="F830" s="291"/>
      <c r="G830" s="291"/>
      <c r="J830" s="291"/>
      <c r="K830" s="291"/>
      <c r="L830" s="291"/>
      <c r="M830" s="292"/>
    </row>
    <row r="831">
      <c r="A831" s="291"/>
      <c r="B831" s="291"/>
      <c r="C831" s="291"/>
      <c r="D831" s="291"/>
      <c r="E831" s="291"/>
      <c r="F831" s="291"/>
      <c r="G831" s="291"/>
      <c r="J831" s="291"/>
      <c r="K831" s="291"/>
      <c r="L831" s="291"/>
      <c r="M831" s="292"/>
    </row>
    <row r="832">
      <c r="A832" s="291"/>
      <c r="B832" s="291"/>
      <c r="C832" s="291"/>
      <c r="D832" s="291"/>
      <c r="E832" s="291"/>
      <c r="F832" s="291"/>
      <c r="G832" s="291"/>
      <c r="J832" s="291"/>
      <c r="K832" s="291"/>
      <c r="L832" s="291"/>
      <c r="M832" s="292"/>
    </row>
    <row r="833">
      <c r="A833" s="291"/>
      <c r="B833" s="291"/>
      <c r="C833" s="291"/>
      <c r="D833" s="291"/>
      <c r="E833" s="291"/>
      <c r="F833" s="291"/>
      <c r="G833" s="291"/>
      <c r="J833" s="291"/>
      <c r="K833" s="291"/>
      <c r="L833" s="291"/>
      <c r="M833" s="292"/>
    </row>
    <row r="834">
      <c r="A834" s="291"/>
      <c r="B834" s="291"/>
      <c r="C834" s="291"/>
      <c r="D834" s="291"/>
      <c r="E834" s="291"/>
      <c r="F834" s="291"/>
      <c r="G834" s="291"/>
      <c r="J834" s="291"/>
      <c r="K834" s="291"/>
      <c r="L834" s="291"/>
      <c r="M834" s="292"/>
    </row>
    <row r="835">
      <c r="A835" s="291"/>
      <c r="B835" s="291"/>
      <c r="C835" s="291"/>
      <c r="D835" s="291"/>
      <c r="E835" s="291"/>
      <c r="F835" s="291"/>
      <c r="G835" s="291"/>
      <c r="J835" s="291"/>
      <c r="K835" s="291"/>
      <c r="L835" s="291"/>
      <c r="M835" s="292"/>
    </row>
    <row r="836">
      <c r="A836" s="291"/>
      <c r="B836" s="291"/>
      <c r="C836" s="291"/>
      <c r="D836" s="291"/>
      <c r="E836" s="291"/>
      <c r="F836" s="291"/>
      <c r="G836" s="291"/>
      <c r="J836" s="291"/>
      <c r="K836" s="291"/>
      <c r="L836" s="291"/>
      <c r="M836" s="292"/>
    </row>
    <row r="837">
      <c r="A837" s="291"/>
      <c r="B837" s="291"/>
      <c r="C837" s="291"/>
      <c r="D837" s="291"/>
      <c r="E837" s="291"/>
      <c r="F837" s="291"/>
      <c r="G837" s="291"/>
      <c r="J837" s="291"/>
      <c r="K837" s="291"/>
      <c r="L837" s="291"/>
      <c r="M837" s="292"/>
    </row>
    <row r="838">
      <c r="A838" s="291"/>
      <c r="B838" s="291"/>
      <c r="C838" s="291"/>
      <c r="D838" s="291"/>
      <c r="E838" s="291"/>
      <c r="F838" s="291"/>
      <c r="G838" s="291"/>
      <c r="J838" s="291"/>
      <c r="K838" s="291"/>
      <c r="L838" s="291"/>
      <c r="M838" s="292"/>
    </row>
    <row r="839">
      <c r="A839" s="291"/>
      <c r="B839" s="291"/>
      <c r="C839" s="291"/>
      <c r="D839" s="291"/>
      <c r="E839" s="291"/>
      <c r="F839" s="291"/>
      <c r="G839" s="291"/>
      <c r="J839" s="291"/>
      <c r="K839" s="291"/>
      <c r="L839" s="291"/>
      <c r="M839" s="292"/>
    </row>
    <row r="840">
      <c r="A840" s="291"/>
      <c r="B840" s="291"/>
      <c r="C840" s="291"/>
      <c r="D840" s="291"/>
      <c r="E840" s="291"/>
      <c r="F840" s="291"/>
      <c r="G840" s="291"/>
      <c r="J840" s="291"/>
      <c r="K840" s="291"/>
      <c r="L840" s="291"/>
      <c r="M840" s="292"/>
    </row>
    <row r="841">
      <c r="A841" s="291"/>
      <c r="B841" s="291"/>
      <c r="C841" s="291"/>
      <c r="D841" s="291"/>
      <c r="E841" s="291"/>
      <c r="F841" s="291"/>
      <c r="G841" s="291"/>
      <c r="J841" s="291"/>
      <c r="K841" s="291"/>
      <c r="L841" s="291"/>
      <c r="M841" s="292"/>
    </row>
    <row r="842">
      <c r="A842" s="291"/>
      <c r="B842" s="291"/>
      <c r="C842" s="291"/>
      <c r="D842" s="291"/>
      <c r="E842" s="291"/>
      <c r="F842" s="291"/>
      <c r="G842" s="291"/>
      <c r="J842" s="291"/>
      <c r="K842" s="291"/>
      <c r="L842" s="291"/>
      <c r="M842" s="292"/>
    </row>
    <row r="843">
      <c r="A843" s="291"/>
      <c r="B843" s="291"/>
      <c r="C843" s="291"/>
      <c r="D843" s="291"/>
      <c r="E843" s="291"/>
      <c r="F843" s="291"/>
      <c r="G843" s="291"/>
      <c r="J843" s="291"/>
      <c r="K843" s="291"/>
      <c r="L843" s="291"/>
      <c r="M843" s="292"/>
    </row>
    <row r="844">
      <c r="A844" s="291"/>
      <c r="B844" s="291"/>
      <c r="C844" s="291"/>
      <c r="D844" s="291"/>
      <c r="E844" s="291"/>
      <c r="F844" s="291"/>
      <c r="G844" s="291"/>
      <c r="J844" s="291"/>
      <c r="K844" s="291"/>
      <c r="L844" s="291"/>
      <c r="M844" s="292"/>
    </row>
    <row r="845">
      <c r="A845" s="291"/>
      <c r="B845" s="291"/>
      <c r="C845" s="291"/>
      <c r="D845" s="291"/>
      <c r="E845" s="291"/>
      <c r="F845" s="291"/>
      <c r="G845" s="291"/>
      <c r="J845" s="291"/>
      <c r="K845" s="291"/>
      <c r="L845" s="291"/>
      <c r="M845" s="292"/>
    </row>
    <row r="846">
      <c r="A846" s="291"/>
      <c r="B846" s="291"/>
      <c r="C846" s="291"/>
      <c r="D846" s="291"/>
      <c r="E846" s="291"/>
      <c r="F846" s="291"/>
      <c r="G846" s="291"/>
      <c r="J846" s="291"/>
      <c r="K846" s="291"/>
      <c r="L846" s="291"/>
      <c r="M846" s="292"/>
    </row>
    <row r="847">
      <c r="A847" s="291"/>
      <c r="B847" s="291"/>
      <c r="C847" s="291"/>
      <c r="D847" s="291"/>
      <c r="E847" s="291"/>
      <c r="F847" s="291"/>
      <c r="G847" s="291"/>
      <c r="J847" s="291"/>
      <c r="K847" s="291"/>
      <c r="L847" s="291"/>
      <c r="M847" s="292"/>
    </row>
    <row r="848">
      <c r="A848" s="291"/>
      <c r="B848" s="291"/>
      <c r="C848" s="291"/>
      <c r="D848" s="291"/>
      <c r="E848" s="291"/>
      <c r="F848" s="291"/>
      <c r="G848" s="291"/>
      <c r="J848" s="291"/>
      <c r="K848" s="291"/>
      <c r="L848" s="291"/>
      <c r="M848" s="292"/>
    </row>
    <row r="849">
      <c r="A849" s="291"/>
      <c r="B849" s="291"/>
      <c r="C849" s="291"/>
      <c r="D849" s="291"/>
      <c r="E849" s="291"/>
      <c r="F849" s="291"/>
      <c r="G849" s="291"/>
      <c r="J849" s="291"/>
      <c r="K849" s="291"/>
      <c r="L849" s="291"/>
      <c r="M849" s="292"/>
    </row>
    <row r="850">
      <c r="A850" s="291"/>
      <c r="B850" s="291"/>
      <c r="C850" s="291"/>
      <c r="D850" s="291"/>
      <c r="E850" s="291"/>
      <c r="F850" s="291"/>
      <c r="G850" s="291"/>
      <c r="J850" s="291"/>
      <c r="K850" s="291"/>
      <c r="L850" s="291"/>
      <c r="M850" s="292"/>
    </row>
    <row r="851">
      <c r="A851" s="291"/>
      <c r="B851" s="291"/>
      <c r="C851" s="291"/>
      <c r="D851" s="291"/>
      <c r="E851" s="291"/>
      <c r="F851" s="291"/>
      <c r="G851" s="291"/>
      <c r="J851" s="291"/>
      <c r="K851" s="291"/>
      <c r="L851" s="291"/>
      <c r="M851" s="292"/>
    </row>
    <row r="852">
      <c r="A852" s="291"/>
      <c r="B852" s="291"/>
      <c r="C852" s="291"/>
      <c r="D852" s="291"/>
      <c r="E852" s="291"/>
      <c r="F852" s="291"/>
      <c r="G852" s="291"/>
      <c r="J852" s="291"/>
      <c r="K852" s="291"/>
      <c r="L852" s="291"/>
      <c r="M852" s="292"/>
    </row>
    <row r="853">
      <c r="A853" s="291"/>
      <c r="B853" s="291"/>
      <c r="C853" s="291"/>
      <c r="D853" s="291"/>
      <c r="E853" s="291"/>
      <c r="F853" s="291"/>
      <c r="G853" s="291"/>
      <c r="J853" s="291"/>
      <c r="K853" s="291"/>
      <c r="L853" s="291"/>
      <c r="M853" s="292"/>
    </row>
    <row r="854">
      <c r="A854" s="291"/>
      <c r="B854" s="291"/>
      <c r="C854" s="291"/>
      <c r="D854" s="291"/>
      <c r="E854" s="291"/>
      <c r="F854" s="291"/>
      <c r="G854" s="291"/>
      <c r="J854" s="291"/>
      <c r="K854" s="291"/>
      <c r="L854" s="291"/>
      <c r="M854" s="292"/>
    </row>
    <row r="855">
      <c r="A855" s="291"/>
      <c r="B855" s="291"/>
      <c r="C855" s="291"/>
      <c r="D855" s="291"/>
      <c r="E855" s="291"/>
      <c r="F855" s="291"/>
      <c r="G855" s="291"/>
      <c r="J855" s="291"/>
      <c r="K855" s="291"/>
      <c r="L855" s="291"/>
      <c r="M855" s="292"/>
    </row>
    <row r="856">
      <c r="A856" s="291"/>
      <c r="B856" s="291"/>
      <c r="C856" s="291"/>
      <c r="D856" s="291"/>
      <c r="E856" s="291"/>
      <c r="F856" s="291"/>
      <c r="G856" s="291"/>
      <c r="J856" s="291"/>
      <c r="K856" s="291"/>
      <c r="L856" s="291"/>
      <c r="M856" s="292"/>
    </row>
    <row r="857">
      <c r="A857" s="291"/>
      <c r="B857" s="291"/>
      <c r="C857" s="291"/>
      <c r="D857" s="291"/>
      <c r="E857" s="291"/>
      <c r="F857" s="291"/>
      <c r="G857" s="291"/>
      <c r="J857" s="291"/>
      <c r="K857" s="291"/>
      <c r="L857" s="291"/>
      <c r="M857" s="292"/>
    </row>
    <row r="858">
      <c r="A858" s="291"/>
      <c r="B858" s="291"/>
      <c r="C858" s="291"/>
      <c r="D858" s="291"/>
      <c r="E858" s="291"/>
      <c r="F858" s="291"/>
      <c r="G858" s="291"/>
      <c r="J858" s="291"/>
      <c r="K858" s="291"/>
      <c r="L858" s="291"/>
      <c r="M858" s="292"/>
    </row>
    <row r="859">
      <c r="A859" s="291"/>
      <c r="B859" s="291"/>
      <c r="C859" s="291"/>
      <c r="D859" s="291"/>
      <c r="E859" s="291"/>
      <c r="F859" s="291"/>
      <c r="G859" s="291"/>
      <c r="J859" s="291"/>
      <c r="K859" s="291"/>
      <c r="L859" s="291"/>
      <c r="M859" s="292"/>
    </row>
    <row r="860">
      <c r="A860" s="291"/>
      <c r="B860" s="291"/>
      <c r="C860" s="291"/>
      <c r="D860" s="291"/>
      <c r="E860" s="291"/>
      <c r="F860" s="291"/>
      <c r="G860" s="291"/>
      <c r="J860" s="291"/>
      <c r="K860" s="291"/>
      <c r="L860" s="291"/>
      <c r="M860" s="292"/>
    </row>
    <row r="861">
      <c r="A861" s="291"/>
      <c r="B861" s="291"/>
      <c r="C861" s="291"/>
      <c r="D861" s="291"/>
      <c r="E861" s="291"/>
      <c r="F861" s="291"/>
      <c r="G861" s="291"/>
      <c r="J861" s="291"/>
      <c r="K861" s="291"/>
      <c r="L861" s="291"/>
      <c r="M861" s="292"/>
    </row>
    <row r="862">
      <c r="A862" s="291"/>
      <c r="B862" s="291"/>
      <c r="C862" s="291"/>
      <c r="D862" s="291"/>
      <c r="E862" s="291"/>
      <c r="F862" s="291"/>
      <c r="G862" s="291"/>
      <c r="J862" s="291"/>
      <c r="K862" s="291"/>
      <c r="L862" s="291"/>
      <c r="M862" s="292"/>
    </row>
    <row r="863">
      <c r="A863" s="291"/>
      <c r="B863" s="291"/>
      <c r="C863" s="291"/>
      <c r="D863" s="291"/>
      <c r="E863" s="291"/>
      <c r="F863" s="291"/>
      <c r="G863" s="291"/>
      <c r="J863" s="291"/>
      <c r="K863" s="291"/>
      <c r="L863" s="291"/>
      <c r="M863" s="292"/>
    </row>
    <row r="864">
      <c r="A864" s="291"/>
      <c r="B864" s="291"/>
      <c r="C864" s="291"/>
      <c r="D864" s="291"/>
      <c r="E864" s="291"/>
      <c r="F864" s="291"/>
      <c r="G864" s="291"/>
      <c r="J864" s="291"/>
      <c r="K864" s="291"/>
      <c r="L864" s="291"/>
      <c r="M864" s="292"/>
    </row>
    <row r="865">
      <c r="A865" s="291"/>
      <c r="B865" s="291"/>
      <c r="C865" s="291"/>
      <c r="D865" s="291"/>
      <c r="E865" s="291"/>
      <c r="F865" s="291"/>
      <c r="G865" s="291"/>
      <c r="J865" s="291"/>
      <c r="K865" s="291"/>
      <c r="L865" s="291"/>
      <c r="M865" s="292"/>
    </row>
    <row r="866">
      <c r="A866" s="291"/>
      <c r="B866" s="291"/>
      <c r="C866" s="291"/>
      <c r="D866" s="291"/>
      <c r="E866" s="291"/>
      <c r="F866" s="291"/>
      <c r="G866" s="291"/>
      <c r="J866" s="291"/>
      <c r="K866" s="291"/>
      <c r="L866" s="291"/>
      <c r="M866" s="292"/>
    </row>
    <row r="867">
      <c r="A867" s="291"/>
      <c r="B867" s="291"/>
      <c r="C867" s="291"/>
      <c r="D867" s="291"/>
      <c r="E867" s="291"/>
      <c r="F867" s="291"/>
      <c r="G867" s="291"/>
      <c r="J867" s="291"/>
      <c r="K867" s="291"/>
      <c r="L867" s="291"/>
      <c r="M867" s="292"/>
    </row>
    <row r="868">
      <c r="A868" s="291"/>
      <c r="B868" s="291"/>
      <c r="C868" s="291"/>
      <c r="D868" s="291"/>
      <c r="E868" s="291"/>
      <c r="F868" s="291"/>
      <c r="G868" s="291"/>
      <c r="J868" s="291"/>
      <c r="K868" s="291"/>
      <c r="L868" s="291"/>
      <c r="M868" s="292"/>
    </row>
    <row r="869">
      <c r="A869" s="291"/>
      <c r="B869" s="291"/>
      <c r="C869" s="291"/>
      <c r="D869" s="291"/>
      <c r="E869" s="291"/>
      <c r="F869" s="291"/>
      <c r="G869" s="291"/>
      <c r="J869" s="291"/>
      <c r="K869" s="291"/>
      <c r="L869" s="291"/>
      <c r="M869" s="292"/>
    </row>
    <row r="870">
      <c r="A870" s="291"/>
      <c r="B870" s="291"/>
      <c r="C870" s="291"/>
      <c r="D870" s="291"/>
      <c r="E870" s="291"/>
      <c r="F870" s="291"/>
      <c r="G870" s="291"/>
      <c r="J870" s="291"/>
      <c r="K870" s="291"/>
      <c r="L870" s="291"/>
      <c r="M870" s="292"/>
    </row>
    <row r="871">
      <c r="A871" s="291"/>
      <c r="B871" s="291"/>
      <c r="C871" s="291"/>
      <c r="D871" s="291"/>
      <c r="E871" s="291"/>
      <c r="F871" s="291"/>
      <c r="G871" s="291"/>
      <c r="J871" s="291"/>
      <c r="K871" s="291"/>
      <c r="L871" s="291"/>
      <c r="M871" s="292"/>
    </row>
    <row r="872">
      <c r="A872" s="291"/>
      <c r="B872" s="291"/>
      <c r="C872" s="291"/>
      <c r="D872" s="291"/>
      <c r="E872" s="291"/>
      <c r="F872" s="291"/>
      <c r="G872" s="291"/>
      <c r="J872" s="291"/>
      <c r="K872" s="291"/>
      <c r="L872" s="291"/>
      <c r="M872" s="292"/>
    </row>
    <row r="873">
      <c r="A873" s="291"/>
      <c r="B873" s="291"/>
      <c r="C873" s="291"/>
      <c r="D873" s="291"/>
      <c r="E873" s="291"/>
      <c r="F873" s="291"/>
      <c r="G873" s="291"/>
      <c r="J873" s="291"/>
      <c r="K873" s="291"/>
      <c r="L873" s="291"/>
      <c r="M873" s="292"/>
    </row>
    <row r="874">
      <c r="A874" s="291"/>
      <c r="B874" s="291"/>
      <c r="C874" s="291"/>
      <c r="D874" s="291"/>
      <c r="E874" s="291"/>
      <c r="F874" s="291"/>
      <c r="G874" s="291"/>
      <c r="J874" s="291"/>
      <c r="K874" s="291"/>
      <c r="L874" s="291"/>
      <c r="M874" s="292"/>
    </row>
    <row r="875">
      <c r="A875" s="291"/>
      <c r="B875" s="291"/>
      <c r="C875" s="291"/>
      <c r="D875" s="291"/>
      <c r="E875" s="291"/>
      <c r="F875" s="291"/>
      <c r="G875" s="291"/>
      <c r="J875" s="291"/>
      <c r="K875" s="291"/>
      <c r="L875" s="291"/>
      <c r="M875" s="292"/>
    </row>
    <row r="876">
      <c r="A876" s="291"/>
      <c r="B876" s="291"/>
      <c r="C876" s="291"/>
      <c r="D876" s="291"/>
      <c r="E876" s="291"/>
      <c r="F876" s="291"/>
      <c r="G876" s="291"/>
      <c r="J876" s="291"/>
      <c r="K876" s="291"/>
      <c r="L876" s="291"/>
      <c r="M876" s="292"/>
    </row>
    <row r="877">
      <c r="A877" s="291"/>
      <c r="B877" s="291"/>
      <c r="C877" s="291"/>
      <c r="D877" s="291"/>
      <c r="E877" s="291"/>
      <c r="F877" s="291"/>
      <c r="G877" s="291"/>
      <c r="J877" s="291"/>
      <c r="K877" s="291"/>
      <c r="L877" s="291"/>
      <c r="M877" s="292"/>
    </row>
    <row r="878">
      <c r="A878" s="291"/>
      <c r="B878" s="291"/>
      <c r="C878" s="291"/>
      <c r="D878" s="291"/>
      <c r="E878" s="291"/>
      <c r="F878" s="291"/>
      <c r="G878" s="291"/>
      <c r="J878" s="291"/>
      <c r="K878" s="291"/>
      <c r="L878" s="291"/>
      <c r="M878" s="292"/>
    </row>
    <row r="879">
      <c r="A879" s="291"/>
      <c r="B879" s="291"/>
      <c r="C879" s="291"/>
      <c r="D879" s="291"/>
      <c r="E879" s="291"/>
      <c r="F879" s="291"/>
      <c r="G879" s="291"/>
      <c r="J879" s="291"/>
      <c r="K879" s="291"/>
      <c r="L879" s="291"/>
      <c r="M879" s="292"/>
    </row>
    <row r="880">
      <c r="A880" s="291"/>
      <c r="B880" s="291"/>
      <c r="C880" s="291"/>
      <c r="D880" s="291"/>
      <c r="E880" s="291"/>
      <c r="F880" s="291"/>
      <c r="G880" s="291"/>
      <c r="J880" s="291"/>
      <c r="K880" s="291"/>
      <c r="L880" s="291"/>
      <c r="M880" s="292"/>
    </row>
    <row r="881">
      <c r="A881" s="291"/>
      <c r="B881" s="291"/>
      <c r="C881" s="291"/>
      <c r="D881" s="291"/>
      <c r="E881" s="291"/>
      <c r="F881" s="291"/>
      <c r="G881" s="291"/>
      <c r="J881" s="291"/>
      <c r="K881" s="291"/>
      <c r="L881" s="291"/>
      <c r="M881" s="292"/>
    </row>
    <row r="882">
      <c r="A882" s="291"/>
      <c r="B882" s="291"/>
      <c r="C882" s="291"/>
      <c r="D882" s="291"/>
      <c r="E882" s="291"/>
      <c r="F882" s="291"/>
      <c r="G882" s="291"/>
      <c r="J882" s="291"/>
      <c r="K882" s="291"/>
      <c r="L882" s="291"/>
      <c r="M882" s="292"/>
    </row>
    <row r="883">
      <c r="A883" s="291"/>
      <c r="B883" s="291"/>
      <c r="C883" s="291"/>
      <c r="D883" s="291"/>
      <c r="E883" s="291"/>
      <c r="F883" s="291"/>
      <c r="G883" s="291"/>
      <c r="J883" s="291"/>
      <c r="K883" s="291"/>
      <c r="L883" s="291"/>
      <c r="M883" s="292"/>
    </row>
    <row r="884">
      <c r="A884" s="291"/>
      <c r="B884" s="291"/>
      <c r="C884" s="291"/>
      <c r="D884" s="291"/>
      <c r="E884" s="291"/>
      <c r="F884" s="291"/>
      <c r="G884" s="291"/>
      <c r="J884" s="291"/>
      <c r="K884" s="291"/>
      <c r="L884" s="291"/>
      <c r="M884" s="292"/>
    </row>
    <row r="885">
      <c r="A885" s="291"/>
      <c r="B885" s="291"/>
      <c r="C885" s="291"/>
      <c r="D885" s="291"/>
      <c r="E885" s="291"/>
      <c r="F885" s="291"/>
      <c r="G885" s="291"/>
      <c r="J885" s="291"/>
      <c r="K885" s="291"/>
      <c r="L885" s="291"/>
      <c r="M885" s="292"/>
    </row>
    <row r="886">
      <c r="A886" s="291"/>
      <c r="B886" s="291"/>
      <c r="C886" s="291"/>
      <c r="D886" s="291"/>
      <c r="E886" s="291"/>
      <c r="F886" s="291"/>
      <c r="G886" s="291"/>
      <c r="J886" s="291"/>
      <c r="K886" s="291"/>
      <c r="L886" s="291"/>
      <c r="M886" s="292"/>
    </row>
    <row r="887">
      <c r="A887" s="291"/>
      <c r="B887" s="291"/>
      <c r="C887" s="291"/>
      <c r="D887" s="291"/>
      <c r="E887" s="291"/>
      <c r="F887" s="291"/>
      <c r="G887" s="291"/>
      <c r="J887" s="291"/>
      <c r="K887" s="291"/>
      <c r="L887" s="291"/>
      <c r="M887" s="292"/>
    </row>
    <row r="888">
      <c r="A888" s="291"/>
      <c r="B888" s="291"/>
      <c r="C888" s="291"/>
      <c r="D888" s="291"/>
      <c r="E888" s="291"/>
      <c r="F888" s="291"/>
      <c r="G888" s="291"/>
      <c r="J888" s="291"/>
      <c r="K888" s="291"/>
      <c r="L888" s="291"/>
      <c r="M888" s="292"/>
    </row>
    <row r="889">
      <c r="A889" s="291"/>
      <c r="B889" s="291"/>
      <c r="C889" s="291"/>
      <c r="D889" s="291"/>
      <c r="E889" s="291"/>
      <c r="F889" s="291"/>
      <c r="G889" s="291"/>
      <c r="J889" s="291"/>
      <c r="K889" s="291"/>
      <c r="L889" s="291"/>
      <c r="M889" s="292"/>
    </row>
    <row r="890">
      <c r="A890" s="291"/>
      <c r="B890" s="291"/>
      <c r="C890" s="291"/>
      <c r="D890" s="291"/>
      <c r="E890" s="291"/>
      <c r="F890" s="291"/>
      <c r="G890" s="291"/>
      <c r="J890" s="291"/>
      <c r="K890" s="291"/>
      <c r="L890" s="291"/>
      <c r="M890" s="292"/>
    </row>
    <row r="891">
      <c r="A891" s="291"/>
      <c r="B891" s="291"/>
      <c r="C891" s="291"/>
      <c r="D891" s="291"/>
      <c r="E891" s="291"/>
      <c r="F891" s="291"/>
      <c r="G891" s="291"/>
      <c r="J891" s="291"/>
      <c r="K891" s="291"/>
      <c r="L891" s="291"/>
      <c r="M891" s="292"/>
    </row>
    <row r="892">
      <c r="A892" s="291"/>
      <c r="B892" s="291"/>
      <c r="C892" s="291"/>
      <c r="D892" s="291"/>
      <c r="E892" s="291"/>
      <c r="F892" s="291"/>
      <c r="G892" s="291"/>
      <c r="J892" s="291"/>
      <c r="K892" s="291"/>
      <c r="L892" s="291"/>
      <c r="M892" s="292"/>
    </row>
    <row r="893">
      <c r="A893" s="291"/>
      <c r="B893" s="291"/>
      <c r="C893" s="291"/>
      <c r="D893" s="291"/>
      <c r="E893" s="291"/>
      <c r="F893" s="291"/>
      <c r="G893" s="291"/>
      <c r="J893" s="291"/>
      <c r="K893" s="291"/>
      <c r="L893" s="291"/>
      <c r="M893" s="292"/>
    </row>
    <row r="894">
      <c r="A894" s="291"/>
      <c r="B894" s="291"/>
      <c r="C894" s="291"/>
      <c r="D894" s="291"/>
      <c r="E894" s="291"/>
      <c r="F894" s="291"/>
      <c r="G894" s="291"/>
      <c r="J894" s="291"/>
      <c r="K894" s="291"/>
      <c r="L894" s="291"/>
      <c r="M894" s="292"/>
    </row>
    <row r="895">
      <c r="A895" s="291"/>
      <c r="B895" s="291"/>
      <c r="C895" s="291"/>
      <c r="D895" s="291"/>
      <c r="E895" s="291"/>
      <c r="F895" s="291"/>
      <c r="G895" s="291"/>
      <c r="J895" s="291"/>
      <c r="K895" s="291"/>
      <c r="L895" s="291"/>
      <c r="M895" s="292"/>
    </row>
    <row r="896">
      <c r="A896" s="291"/>
      <c r="B896" s="291"/>
      <c r="C896" s="291"/>
      <c r="D896" s="291"/>
      <c r="E896" s="291"/>
      <c r="F896" s="291"/>
      <c r="G896" s="291"/>
      <c r="J896" s="291"/>
      <c r="K896" s="291"/>
      <c r="L896" s="291"/>
      <c r="M896" s="292"/>
    </row>
    <row r="897">
      <c r="A897" s="291"/>
      <c r="B897" s="291"/>
      <c r="C897" s="291"/>
      <c r="D897" s="291"/>
      <c r="E897" s="291"/>
      <c r="F897" s="291"/>
      <c r="G897" s="291"/>
      <c r="J897" s="291"/>
      <c r="K897" s="291"/>
      <c r="L897" s="291"/>
      <c r="M897" s="292"/>
    </row>
    <row r="898">
      <c r="A898" s="291"/>
      <c r="B898" s="291"/>
      <c r="C898" s="291"/>
      <c r="D898" s="291"/>
      <c r="E898" s="291"/>
      <c r="F898" s="291"/>
      <c r="G898" s="291"/>
      <c r="J898" s="291"/>
      <c r="K898" s="291"/>
      <c r="L898" s="291"/>
      <c r="M898" s="292"/>
    </row>
    <row r="899">
      <c r="A899" s="291"/>
      <c r="B899" s="291"/>
      <c r="C899" s="291"/>
      <c r="D899" s="291"/>
      <c r="E899" s="291"/>
      <c r="F899" s="291"/>
      <c r="G899" s="291"/>
      <c r="J899" s="291"/>
      <c r="K899" s="291"/>
      <c r="L899" s="291"/>
      <c r="M899" s="292"/>
    </row>
    <row r="900">
      <c r="A900" s="291"/>
      <c r="B900" s="291"/>
      <c r="C900" s="291"/>
      <c r="D900" s="291"/>
      <c r="E900" s="291"/>
      <c r="F900" s="291"/>
      <c r="G900" s="291"/>
      <c r="J900" s="291"/>
      <c r="K900" s="291"/>
      <c r="L900" s="291"/>
      <c r="M900" s="292"/>
    </row>
    <row r="901">
      <c r="A901" s="291"/>
      <c r="B901" s="291"/>
      <c r="C901" s="291"/>
      <c r="D901" s="291"/>
      <c r="E901" s="291"/>
      <c r="F901" s="291"/>
      <c r="G901" s="291"/>
      <c r="J901" s="291"/>
      <c r="K901" s="291"/>
      <c r="L901" s="291"/>
      <c r="M901" s="292"/>
    </row>
    <row r="902">
      <c r="A902" s="291"/>
      <c r="B902" s="291"/>
      <c r="C902" s="291"/>
      <c r="D902" s="291"/>
      <c r="E902" s="291"/>
      <c r="F902" s="291"/>
      <c r="G902" s="291"/>
      <c r="J902" s="291"/>
      <c r="K902" s="291"/>
      <c r="L902" s="291"/>
      <c r="M902" s="292"/>
    </row>
    <row r="903">
      <c r="A903" s="291"/>
      <c r="B903" s="291"/>
      <c r="C903" s="291"/>
      <c r="D903" s="291"/>
      <c r="E903" s="291"/>
      <c r="F903" s="291"/>
      <c r="G903" s="291"/>
      <c r="J903" s="291"/>
      <c r="K903" s="291"/>
      <c r="L903" s="291"/>
      <c r="M903" s="292"/>
    </row>
    <row r="904">
      <c r="A904" s="291"/>
      <c r="B904" s="291"/>
      <c r="C904" s="291"/>
      <c r="D904" s="291"/>
      <c r="E904" s="291"/>
      <c r="F904" s="291"/>
      <c r="G904" s="291"/>
      <c r="J904" s="291"/>
      <c r="K904" s="291"/>
      <c r="L904" s="291"/>
      <c r="M904" s="292"/>
    </row>
    <row r="905">
      <c r="A905" s="291"/>
      <c r="B905" s="291"/>
      <c r="C905" s="291"/>
      <c r="D905" s="291"/>
      <c r="E905" s="291"/>
      <c r="F905" s="291"/>
      <c r="G905" s="291"/>
      <c r="J905" s="291"/>
      <c r="K905" s="291"/>
      <c r="L905" s="291"/>
      <c r="M905" s="292"/>
    </row>
    <row r="906">
      <c r="A906" s="291"/>
      <c r="B906" s="291"/>
      <c r="C906" s="291"/>
      <c r="D906" s="291"/>
      <c r="E906" s="291"/>
      <c r="F906" s="291"/>
      <c r="G906" s="291"/>
      <c r="J906" s="291"/>
      <c r="K906" s="291"/>
      <c r="L906" s="291"/>
      <c r="M906" s="292"/>
    </row>
    <row r="907">
      <c r="A907" s="291"/>
      <c r="B907" s="291"/>
      <c r="C907" s="291"/>
      <c r="D907" s="291"/>
      <c r="E907" s="291"/>
      <c r="F907" s="291"/>
      <c r="G907" s="291"/>
      <c r="J907" s="291"/>
      <c r="K907" s="291"/>
      <c r="L907" s="291"/>
      <c r="M907" s="292"/>
    </row>
    <row r="908">
      <c r="A908" s="291"/>
      <c r="B908" s="291"/>
      <c r="C908" s="291"/>
      <c r="D908" s="291"/>
      <c r="E908" s="291"/>
      <c r="F908" s="291"/>
      <c r="G908" s="291"/>
      <c r="J908" s="291"/>
      <c r="K908" s="291"/>
      <c r="L908" s="291"/>
      <c r="M908" s="292"/>
    </row>
    <row r="909">
      <c r="A909" s="291"/>
      <c r="B909" s="291"/>
      <c r="C909" s="291"/>
      <c r="D909" s="291"/>
      <c r="E909" s="291"/>
      <c r="F909" s="291"/>
      <c r="G909" s="291"/>
      <c r="J909" s="291"/>
      <c r="K909" s="291"/>
      <c r="L909" s="291"/>
      <c r="M909" s="292"/>
    </row>
    <row r="910">
      <c r="A910" s="291"/>
      <c r="B910" s="291"/>
      <c r="C910" s="291"/>
      <c r="D910" s="291"/>
      <c r="E910" s="291"/>
      <c r="F910" s="291"/>
      <c r="G910" s="291"/>
      <c r="J910" s="291"/>
      <c r="K910" s="291"/>
      <c r="L910" s="291"/>
      <c r="M910" s="292"/>
    </row>
    <row r="911">
      <c r="A911" s="291"/>
      <c r="B911" s="291"/>
      <c r="C911" s="291"/>
      <c r="D911" s="291"/>
      <c r="E911" s="291"/>
      <c r="F911" s="291"/>
      <c r="G911" s="291"/>
      <c r="J911" s="291"/>
      <c r="K911" s="291"/>
      <c r="L911" s="291"/>
      <c r="M911" s="292"/>
    </row>
    <row r="912">
      <c r="A912" s="291"/>
      <c r="B912" s="291"/>
      <c r="C912" s="291"/>
      <c r="D912" s="291"/>
      <c r="E912" s="291"/>
      <c r="F912" s="291"/>
      <c r="G912" s="291"/>
      <c r="J912" s="291"/>
      <c r="K912" s="291"/>
      <c r="L912" s="291"/>
      <c r="M912" s="292"/>
    </row>
    <row r="913">
      <c r="A913" s="291"/>
      <c r="B913" s="291"/>
      <c r="C913" s="291"/>
      <c r="D913" s="291"/>
      <c r="E913" s="291"/>
      <c r="F913" s="291"/>
      <c r="G913" s="291"/>
      <c r="J913" s="291"/>
      <c r="K913" s="291"/>
      <c r="L913" s="291"/>
      <c r="M913" s="292"/>
    </row>
    <row r="914">
      <c r="A914" s="291"/>
      <c r="B914" s="291"/>
      <c r="C914" s="291"/>
      <c r="D914" s="291"/>
      <c r="E914" s="291"/>
      <c r="F914" s="291"/>
      <c r="G914" s="291"/>
      <c r="J914" s="291"/>
      <c r="K914" s="291"/>
      <c r="L914" s="291"/>
      <c r="M914" s="292"/>
    </row>
    <row r="915">
      <c r="A915" s="291"/>
      <c r="B915" s="291"/>
      <c r="C915" s="291"/>
      <c r="D915" s="291"/>
      <c r="E915" s="291"/>
      <c r="F915" s="291"/>
      <c r="G915" s="291"/>
      <c r="J915" s="291"/>
      <c r="K915" s="291"/>
      <c r="L915" s="291"/>
      <c r="M915" s="292"/>
    </row>
    <row r="916">
      <c r="A916" s="291"/>
      <c r="B916" s="291"/>
      <c r="C916" s="291"/>
      <c r="D916" s="291"/>
      <c r="E916" s="291"/>
      <c r="F916" s="291"/>
      <c r="G916" s="291"/>
      <c r="J916" s="291"/>
      <c r="K916" s="291"/>
      <c r="L916" s="291"/>
      <c r="M916" s="292"/>
    </row>
    <row r="917">
      <c r="A917" s="291"/>
      <c r="B917" s="291"/>
      <c r="C917" s="291"/>
      <c r="D917" s="291"/>
      <c r="E917" s="291"/>
      <c r="F917" s="291"/>
      <c r="G917" s="291"/>
      <c r="J917" s="291"/>
      <c r="K917" s="291"/>
      <c r="L917" s="291"/>
      <c r="M917" s="292"/>
    </row>
    <row r="918">
      <c r="A918" s="291"/>
      <c r="B918" s="291"/>
      <c r="C918" s="291"/>
      <c r="D918" s="291"/>
      <c r="E918" s="291"/>
      <c r="F918" s="291"/>
      <c r="G918" s="291"/>
      <c r="J918" s="291"/>
      <c r="K918" s="291"/>
      <c r="L918" s="291"/>
      <c r="M918" s="292"/>
    </row>
    <row r="919">
      <c r="A919" s="291"/>
      <c r="B919" s="291"/>
      <c r="C919" s="291"/>
      <c r="D919" s="291"/>
      <c r="E919" s="291"/>
      <c r="F919" s="291"/>
      <c r="G919" s="291"/>
      <c r="J919" s="291"/>
      <c r="K919" s="291"/>
      <c r="L919" s="291"/>
      <c r="M919" s="292"/>
    </row>
    <row r="920">
      <c r="A920" s="291"/>
      <c r="B920" s="291"/>
      <c r="C920" s="291"/>
      <c r="D920" s="291"/>
      <c r="E920" s="291"/>
      <c r="F920" s="291"/>
      <c r="G920" s="291"/>
      <c r="J920" s="291"/>
      <c r="K920" s="291"/>
      <c r="L920" s="291"/>
      <c r="M920" s="292"/>
    </row>
    <row r="921">
      <c r="A921" s="291"/>
      <c r="B921" s="291"/>
      <c r="C921" s="291"/>
      <c r="D921" s="291"/>
      <c r="E921" s="291"/>
      <c r="F921" s="291"/>
      <c r="G921" s="291"/>
      <c r="J921" s="291"/>
      <c r="K921" s="291"/>
      <c r="L921" s="291"/>
      <c r="M921" s="292"/>
    </row>
    <row r="922">
      <c r="A922" s="291"/>
      <c r="B922" s="291"/>
      <c r="C922" s="291"/>
      <c r="D922" s="291"/>
      <c r="E922" s="291"/>
      <c r="F922" s="291"/>
      <c r="G922" s="291"/>
      <c r="J922" s="291"/>
      <c r="K922" s="291"/>
      <c r="L922" s="291"/>
      <c r="M922" s="292"/>
    </row>
    <row r="923">
      <c r="A923" s="291"/>
      <c r="B923" s="291"/>
      <c r="C923" s="291"/>
      <c r="D923" s="291"/>
      <c r="E923" s="291"/>
      <c r="F923" s="291"/>
      <c r="G923" s="291"/>
      <c r="J923" s="291"/>
      <c r="K923" s="291"/>
      <c r="L923" s="291"/>
      <c r="M923" s="292"/>
    </row>
    <row r="924">
      <c r="A924" s="291"/>
      <c r="B924" s="291"/>
      <c r="C924" s="291"/>
      <c r="D924" s="291"/>
      <c r="E924" s="291"/>
      <c r="F924" s="291"/>
      <c r="G924" s="291"/>
      <c r="J924" s="291"/>
      <c r="K924" s="291"/>
      <c r="L924" s="291"/>
      <c r="M924" s="292"/>
    </row>
    <row r="925">
      <c r="A925" s="291"/>
      <c r="B925" s="291"/>
      <c r="C925" s="291"/>
      <c r="D925" s="291"/>
      <c r="E925" s="291"/>
      <c r="F925" s="291"/>
      <c r="G925" s="291"/>
      <c r="J925" s="291"/>
      <c r="K925" s="291"/>
      <c r="L925" s="291"/>
      <c r="M925" s="292"/>
    </row>
    <row r="926">
      <c r="A926" s="291"/>
      <c r="B926" s="291"/>
      <c r="C926" s="291"/>
      <c r="D926" s="291"/>
      <c r="E926" s="291"/>
      <c r="F926" s="291"/>
      <c r="G926" s="291"/>
      <c r="J926" s="291"/>
      <c r="K926" s="291"/>
      <c r="L926" s="291"/>
      <c r="M926" s="292"/>
    </row>
    <row r="927">
      <c r="A927" s="291"/>
      <c r="B927" s="291"/>
      <c r="C927" s="291"/>
      <c r="D927" s="291"/>
      <c r="E927" s="291"/>
      <c r="F927" s="291"/>
      <c r="G927" s="291"/>
      <c r="J927" s="291"/>
      <c r="K927" s="291"/>
      <c r="L927" s="291"/>
      <c r="M927" s="292"/>
    </row>
    <row r="928">
      <c r="A928" s="291"/>
      <c r="B928" s="291"/>
      <c r="C928" s="291"/>
      <c r="D928" s="291"/>
      <c r="E928" s="291"/>
      <c r="F928" s="291"/>
      <c r="G928" s="291"/>
      <c r="J928" s="291"/>
      <c r="K928" s="291"/>
      <c r="L928" s="291"/>
      <c r="M928" s="292"/>
    </row>
    <row r="929">
      <c r="A929" s="291"/>
      <c r="B929" s="291"/>
      <c r="C929" s="291"/>
      <c r="D929" s="291"/>
      <c r="E929" s="291"/>
      <c r="F929" s="291"/>
      <c r="G929" s="291"/>
      <c r="J929" s="291"/>
      <c r="K929" s="291"/>
      <c r="L929" s="291"/>
      <c r="M929" s="292"/>
    </row>
    <row r="930">
      <c r="A930" s="291"/>
      <c r="B930" s="291"/>
      <c r="C930" s="291"/>
      <c r="D930" s="291"/>
      <c r="E930" s="291"/>
      <c r="F930" s="291"/>
      <c r="G930" s="291"/>
      <c r="J930" s="291"/>
      <c r="K930" s="291"/>
      <c r="L930" s="291"/>
      <c r="M930" s="292"/>
    </row>
    <row r="931">
      <c r="A931" s="291"/>
      <c r="B931" s="291"/>
      <c r="C931" s="291"/>
      <c r="D931" s="291"/>
      <c r="E931" s="291"/>
      <c r="F931" s="291"/>
      <c r="G931" s="291"/>
      <c r="J931" s="291"/>
      <c r="K931" s="291"/>
      <c r="L931" s="291"/>
      <c r="M931" s="292"/>
    </row>
    <row r="932">
      <c r="A932" s="291"/>
      <c r="B932" s="291"/>
      <c r="C932" s="291"/>
      <c r="D932" s="291"/>
      <c r="E932" s="291"/>
      <c r="F932" s="291"/>
      <c r="G932" s="291"/>
      <c r="J932" s="291"/>
      <c r="K932" s="291"/>
      <c r="L932" s="291"/>
      <c r="M932" s="292"/>
    </row>
    <row r="933">
      <c r="A933" s="291"/>
      <c r="B933" s="291"/>
      <c r="C933" s="291"/>
      <c r="D933" s="291"/>
      <c r="E933" s="291"/>
      <c r="F933" s="291"/>
      <c r="G933" s="291"/>
      <c r="J933" s="291"/>
      <c r="K933" s="291"/>
      <c r="L933" s="291"/>
      <c r="M933" s="292"/>
    </row>
    <row r="934">
      <c r="A934" s="291"/>
      <c r="B934" s="291"/>
      <c r="C934" s="291"/>
      <c r="D934" s="291"/>
      <c r="E934" s="291"/>
      <c r="F934" s="291"/>
      <c r="G934" s="291"/>
      <c r="J934" s="291"/>
      <c r="K934" s="291"/>
      <c r="L934" s="291"/>
      <c r="M934" s="292"/>
    </row>
    <row r="935">
      <c r="A935" s="291"/>
      <c r="B935" s="291"/>
      <c r="C935" s="291"/>
      <c r="D935" s="291"/>
      <c r="E935" s="291"/>
      <c r="F935" s="291"/>
      <c r="G935" s="291"/>
      <c r="J935" s="291"/>
      <c r="K935" s="291"/>
      <c r="L935" s="291"/>
      <c r="M935" s="292"/>
    </row>
    <row r="936">
      <c r="A936" s="291"/>
      <c r="B936" s="291"/>
      <c r="C936" s="291"/>
      <c r="D936" s="291"/>
      <c r="E936" s="291"/>
      <c r="F936" s="291"/>
      <c r="G936" s="291"/>
      <c r="J936" s="291"/>
      <c r="K936" s="291"/>
      <c r="L936" s="291"/>
      <c r="M936" s="292"/>
    </row>
    <row r="937">
      <c r="A937" s="291"/>
      <c r="B937" s="291"/>
      <c r="C937" s="291"/>
      <c r="D937" s="291"/>
      <c r="E937" s="291"/>
      <c r="F937" s="291"/>
      <c r="G937" s="291"/>
      <c r="J937" s="291"/>
      <c r="K937" s="291"/>
      <c r="L937" s="291"/>
      <c r="M937" s="292"/>
    </row>
    <row r="938">
      <c r="A938" s="291"/>
      <c r="B938" s="291"/>
      <c r="C938" s="291"/>
      <c r="D938" s="291"/>
      <c r="E938" s="291"/>
      <c r="F938" s="291"/>
      <c r="G938" s="291"/>
      <c r="J938" s="291"/>
      <c r="K938" s="291"/>
      <c r="L938" s="291"/>
      <c r="M938" s="292"/>
    </row>
    <row r="939">
      <c r="A939" s="291"/>
      <c r="B939" s="291"/>
      <c r="C939" s="291"/>
      <c r="D939" s="291"/>
      <c r="E939" s="291"/>
      <c r="F939" s="291"/>
      <c r="G939" s="291"/>
      <c r="J939" s="291"/>
      <c r="K939" s="291"/>
      <c r="L939" s="291"/>
      <c r="M939" s="292"/>
    </row>
    <row r="940">
      <c r="A940" s="291"/>
      <c r="B940" s="291"/>
      <c r="C940" s="291"/>
      <c r="D940" s="291"/>
      <c r="E940" s="291"/>
      <c r="F940" s="291"/>
      <c r="G940" s="291"/>
      <c r="J940" s="291"/>
      <c r="K940" s="291"/>
      <c r="L940" s="291"/>
      <c r="M940" s="292"/>
    </row>
    <row r="941">
      <c r="A941" s="291"/>
      <c r="B941" s="291"/>
      <c r="C941" s="291"/>
      <c r="D941" s="291"/>
      <c r="E941" s="291"/>
      <c r="F941" s="291"/>
      <c r="G941" s="291"/>
      <c r="J941" s="291"/>
      <c r="K941" s="291"/>
      <c r="L941" s="291"/>
      <c r="M941" s="292"/>
    </row>
    <row r="942">
      <c r="A942" s="291"/>
      <c r="B942" s="291"/>
      <c r="C942" s="291"/>
      <c r="D942" s="291"/>
      <c r="E942" s="291"/>
      <c r="F942" s="291"/>
      <c r="G942" s="291"/>
      <c r="J942" s="291"/>
      <c r="K942" s="291"/>
      <c r="L942" s="291"/>
      <c r="M942" s="292"/>
    </row>
    <row r="943">
      <c r="A943" s="291"/>
      <c r="B943" s="291"/>
      <c r="C943" s="291"/>
      <c r="D943" s="291"/>
      <c r="E943" s="291"/>
      <c r="F943" s="291"/>
      <c r="G943" s="291"/>
      <c r="J943" s="291"/>
      <c r="K943" s="291"/>
      <c r="L943" s="291"/>
      <c r="M943" s="292"/>
    </row>
    <row r="944">
      <c r="A944" s="291"/>
      <c r="B944" s="291"/>
      <c r="C944" s="291"/>
      <c r="D944" s="291"/>
      <c r="E944" s="291"/>
      <c r="F944" s="291"/>
      <c r="G944" s="291"/>
      <c r="J944" s="291"/>
      <c r="K944" s="291"/>
      <c r="L944" s="291"/>
      <c r="M944" s="292"/>
    </row>
    <row r="945">
      <c r="A945" s="291"/>
      <c r="B945" s="291"/>
      <c r="C945" s="291"/>
      <c r="D945" s="291"/>
      <c r="E945" s="291"/>
      <c r="F945" s="291"/>
      <c r="G945" s="291"/>
      <c r="J945" s="291"/>
      <c r="K945" s="291"/>
      <c r="L945" s="291"/>
      <c r="M945" s="292"/>
    </row>
    <row r="946">
      <c r="A946" s="291"/>
      <c r="B946" s="291"/>
      <c r="C946" s="291"/>
      <c r="D946" s="291"/>
      <c r="E946" s="291"/>
      <c r="F946" s="291"/>
      <c r="G946" s="291"/>
      <c r="J946" s="291"/>
      <c r="K946" s="291"/>
      <c r="L946" s="291"/>
      <c r="M946" s="292"/>
    </row>
    <row r="947">
      <c r="A947" s="291"/>
      <c r="B947" s="291"/>
      <c r="C947" s="291"/>
      <c r="D947" s="291"/>
      <c r="E947" s="291"/>
      <c r="F947" s="291"/>
      <c r="G947" s="291"/>
      <c r="J947" s="291"/>
      <c r="K947" s="291"/>
      <c r="L947" s="291"/>
      <c r="M947" s="292"/>
    </row>
    <row r="948">
      <c r="A948" s="291"/>
      <c r="B948" s="291"/>
      <c r="C948" s="291"/>
      <c r="D948" s="291"/>
      <c r="E948" s="291"/>
      <c r="F948" s="291"/>
      <c r="G948" s="291"/>
      <c r="J948" s="291"/>
      <c r="K948" s="291"/>
      <c r="L948" s="291"/>
      <c r="M948" s="292"/>
    </row>
    <row r="949">
      <c r="A949" s="291"/>
      <c r="B949" s="291"/>
      <c r="C949" s="291"/>
      <c r="D949" s="291"/>
      <c r="E949" s="291"/>
      <c r="F949" s="291"/>
      <c r="G949" s="291"/>
      <c r="J949" s="291"/>
      <c r="K949" s="291"/>
      <c r="L949" s="291"/>
      <c r="M949" s="292"/>
    </row>
    <row r="950">
      <c r="A950" s="291"/>
      <c r="B950" s="291"/>
      <c r="C950" s="291"/>
      <c r="D950" s="291"/>
      <c r="E950" s="291"/>
      <c r="F950" s="291"/>
      <c r="G950" s="291"/>
      <c r="J950" s="291"/>
      <c r="K950" s="291"/>
      <c r="L950" s="291"/>
      <c r="M950" s="292"/>
    </row>
    <row r="951">
      <c r="A951" s="291"/>
      <c r="B951" s="291"/>
      <c r="C951" s="291"/>
      <c r="D951" s="291"/>
      <c r="E951" s="291"/>
      <c r="F951" s="291"/>
      <c r="G951" s="291"/>
      <c r="J951" s="291"/>
      <c r="K951" s="291"/>
      <c r="L951" s="291"/>
      <c r="M951" s="292"/>
    </row>
    <row r="952">
      <c r="A952" s="291"/>
      <c r="B952" s="291"/>
      <c r="C952" s="291"/>
      <c r="D952" s="291"/>
      <c r="E952" s="291"/>
      <c r="F952" s="291"/>
      <c r="G952" s="291"/>
      <c r="J952" s="291"/>
      <c r="K952" s="291"/>
      <c r="L952" s="291"/>
      <c r="M952" s="292"/>
    </row>
    <row r="953">
      <c r="A953" s="291"/>
      <c r="B953" s="291"/>
      <c r="C953" s="291"/>
      <c r="D953" s="291"/>
      <c r="E953" s="291"/>
      <c r="F953" s="291"/>
      <c r="G953" s="291"/>
      <c r="J953" s="291"/>
      <c r="K953" s="291"/>
      <c r="L953" s="291"/>
      <c r="M953" s="292"/>
    </row>
    <row r="954">
      <c r="A954" s="291"/>
      <c r="B954" s="291"/>
      <c r="C954" s="291"/>
      <c r="D954" s="291"/>
      <c r="E954" s="291"/>
      <c r="F954" s="291"/>
      <c r="G954" s="291"/>
      <c r="J954" s="291"/>
      <c r="K954" s="291"/>
      <c r="L954" s="291"/>
      <c r="M954" s="292"/>
    </row>
    <row r="955">
      <c r="A955" s="291"/>
      <c r="B955" s="291"/>
      <c r="C955" s="291"/>
      <c r="D955" s="291"/>
      <c r="E955" s="291"/>
      <c r="F955" s="291"/>
      <c r="G955" s="291"/>
      <c r="J955" s="291"/>
      <c r="K955" s="291"/>
      <c r="L955" s="291"/>
      <c r="M955" s="292"/>
    </row>
    <row r="956">
      <c r="A956" s="291"/>
      <c r="B956" s="291"/>
      <c r="C956" s="291"/>
      <c r="D956" s="291"/>
      <c r="E956" s="291"/>
      <c r="F956" s="291"/>
      <c r="G956" s="291"/>
      <c r="J956" s="291"/>
      <c r="K956" s="291"/>
      <c r="L956" s="291"/>
      <c r="M956" s="292"/>
    </row>
    <row r="957">
      <c r="A957" s="291"/>
      <c r="B957" s="291"/>
      <c r="C957" s="291"/>
      <c r="D957" s="291"/>
      <c r="E957" s="291"/>
      <c r="F957" s="291"/>
      <c r="G957" s="291"/>
      <c r="J957" s="291"/>
      <c r="K957" s="291"/>
      <c r="L957" s="291"/>
      <c r="M957" s="292"/>
    </row>
    <row r="958">
      <c r="A958" s="291"/>
      <c r="B958" s="291"/>
      <c r="C958" s="291"/>
      <c r="D958" s="291"/>
      <c r="E958" s="291"/>
      <c r="F958" s="291"/>
      <c r="G958" s="291"/>
      <c r="J958" s="291"/>
      <c r="K958" s="291"/>
      <c r="L958" s="291"/>
      <c r="M958" s="292"/>
    </row>
    <row r="959">
      <c r="A959" s="291"/>
      <c r="B959" s="291"/>
      <c r="C959" s="291"/>
      <c r="D959" s="291"/>
      <c r="E959" s="291"/>
      <c r="F959" s="291"/>
      <c r="G959" s="291"/>
      <c r="J959" s="291"/>
      <c r="K959" s="291"/>
      <c r="L959" s="291"/>
      <c r="M959" s="292"/>
    </row>
    <row r="960">
      <c r="A960" s="291"/>
      <c r="B960" s="291"/>
      <c r="C960" s="291"/>
      <c r="D960" s="291"/>
      <c r="E960" s="291"/>
      <c r="F960" s="291"/>
      <c r="G960" s="291"/>
      <c r="J960" s="291"/>
      <c r="K960" s="291"/>
      <c r="L960" s="291"/>
      <c r="M960" s="292"/>
    </row>
    <row r="961">
      <c r="A961" s="291"/>
      <c r="B961" s="291"/>
      <c r="C961" s="291"/>
      <c r="D961" s="291"/>
      <c r="E961" s="291"/>
      <c r="F961" s="291"/>
      <c r="G961" s="291"/>
      <c r="J961" s="291"/>
      <c r="K961" s="291"/>
      <c r="L961" s="291"/>
      <c r="M961" s="292"/>
    </row>
    <row r="962">
      <c r="A962" s="291"/>
      <c r="B962" s="291"/>
      <c r="C962" s="291"/>
      <c r="D962" s="291"/>
      <c r="E962" s="291"/>
      <c r="F962" s="291"/>
      <c r="G962" s="291"/>
      <c r="J962" s="291"/>
      <c r="K962" s="291"/>
      <c r="L962" s="291"/>
      <c r="M962" s="292"/>
    </row>
    <row r="963">
      <c r="A963" s="291"/>
      <c r="B963" s="291"/>
      <c r="C963" s="291"/>
      <c r="D963" s="291"/>
      <c r="E963" s="291"/>
      <c r="F963" s="291"/>
      <c r="G963" s="291"/>
      <c r="J963" s="291"/>
      <c r="K963" s="291"/>
      <c r="L963" s="291"/>
      <c r="M963" s="292"/>
    </row>
    <row r="964">
      <c r="A964" s="291"/>
      <c r="B964" s="291"/>
      <c r="C964" s="291"/>
      <c r="D964" s="291"/>
      <c r="E964" s="291"/>
      <c r="F964" s="291"/>
      <c r="G964" s="291"/>
      <c r="J964" s="291"/>
      <c r="K964" s="291"/>
      <c r="L964" s="291"/>
      <c r="M964" s="292"/>
    </row>
    <row r="965">
      <c r="A965" s="291"/>
      <c r="B965" s="291"/>
      <c r="C965" s="291"/>
      <c r="D965" s="291"/>
      <c r="E965" s="291"/>
      <c r="F965" s="291"/>
      <c r="G965" s="291"/>
      <c r="J965" s="291"/>
      <c r="K965" s="291"/>
      <c r="L965" s="291"/>
      <c r="M965" s="292"/>
    </row>
    <row r="966">
      <c r="A966" s="291"/>
      <c r="B966" s="291"/>
      <c r="C966" s="291"/>
      <c r="D966" s="291"/>
      <c r="E966" s="291"/>
      <c r="F966" s="291"/>
      <c r="G966" s="291"/>
      <c r="J966" s="291"/>
      <c r="K966" s="291"/>
      <c r="L966" s="291"/>
      <c r="M966" s="292"/>
    </row>
    <row r="967">
      <c r="A967" s="291"/>
      <c r="B967" s="291"/>
      <c r="C967" s="291"/>
      <c r="D967" s="291"/>
      <c r="E967" s="291"/>
      <c r="F967" s="291"/>
      <c r="G967" s="291"/>
      <c r="J967" s="291"/>
      <c r="K967" s="291"/>
      <c r="L967" s="291"/>
      <c r="M967" s="292"/>
    </row>
    <row r="968">
      <c r="A968" s="291"/>
      <c r="B968" s="291"/>
      <c r="C968" s="291"/>
      <c r="D968" s="291"/>
      <c r="E968" s="291"/>
      <c r="F968" s="291"/>
      <c r="G968" s="291"/>
      <c r="J968" s="291"/>
      <c r="K968" s="291"/>
      <c r="L968" s="291"/>
      <c r="M968" s="292"/>
    </row>
    <row r="969">
      <c r="A969" s="291"/>
      <c r="B969" s="291"/>
      <c r="C969" s="291"/>
      <c r="D969" s="291"/>
      <c r="E969" s="291"/>
      <c r="F969" s="291"/>
      <c r="G969" s="291"/>
      <c r="J969" s="291"/>
      <c r="K969" s="291"/>
      <c r="L969" s="291"/>
      <c r="M969" s="292"/>
    </row>
    <row r="970">
      <c r="A970" s="291"/>
      <c r="B970" s="291"/>
      <c r="C970" s="291"/>
      <c r="D970" s="291"/>
      <c r="E970" s="291"/>
      <c r="F970" s="291"/>
      <c r="G970" s="291"/>
      <c r="J970" s="291"/>
      <c r="K970" s="291"/>
      <c r="L970" s="291"/>
      <c r="M970" s="292"/>
    </row>
    <row r="971">
      <c r="A971" s="291"/>
      <c r="B971" s="291"/>
      <c r="C971" s="291"/>
      <c r="D971" s="291"/>
      <c r="E971" s="291"/>
      <c r="F971" s="291"/>
      <c r="G971" s="291"/>
      <c r="J971" s="291"/>
      <c r="K971" s="291"/>
      <c r="L971" s="291"/>
      <c r="M971" s="292"/>
    </row>
    <row r="972">
      <c r="A972" s="291"/>
      <c r="B972" s="291"/>
      <c r="C972" s="291"/>
      <c r="D972" s="291"/>
      <c r="E972" s="291"/>
      <c r="F972" s="291"/>
      <c r="G972" s="291"/>
      <c r="J972" s="291"/>
      <c r="K972" s="291"/>
      <c r="L972" s="291"/>
      <c r="M972" s="292"/>
    </row>
    <row r="973">
      <c r="A973" s="291"/>
      <c r="B973" s="291"/>
      <c r="C973" s="291"/>
      <c r="D973" s="291"/>
      <c r="E973" s="291"/>
      <c r="F973" s="291"/>
      <c r="G973" s="291"/>
      <c r="J973" s="291"/>
      <c r="K973" s="291"/>
      <c r="L973" s="291"/>
      <c r="M973" s="292"/>
    </row>
    <row r="974">
      <c r="A974" s="291"/>
      <c r="B974" s="291"/>
      <c r="C974" s="291"/>
      <c r="D974" s="291"/>
      <c r="E974" s="291"/>
      <c r="F974" s="291"/>
      <c r="G974" s="291"/>
      <c r="J974" s="291"/>
      <c r="K974" s="291"/>
      <c r="L974" s="291"/>
      <c r="M974" s="292"/>
    </row>
    <row r="975">
      <c r="A975" s="291"/>
      <c r="B975" s="291"/>
      <c r="C975" s="291"/>
      <c r="D975" s="291"/>
      <c r="E975" s="291"/>
      <c r="F975" s="291"/>
      <c r="G975" s="291"/>
      <c r="J975" s="291"/>
      <c r="K975" s="291"/>
      <c r="L975" s="291"/>
      <c r="M975" s="292"/>
    </row>
    <row r="976">
      <c r="A976" s="291"/>
      <c r="B976" s="291"/>
      <c r="C976" s="291"/>
      <c r="D976" s="291"/>
      <c r="E976" s="291"/>
      <c r="F976" s="291"/>
      <c r="G976" s="291"/>
      <c r="J976" s="291"/>
      <c r="K976" s="291"/>
      <c r="L976" s="291"/>
      <c r="M976" s="292"/>
    </row>
    <row r="977">
      <c r="A977" s="291"/>
      <c r="B977" s="291"/>
      <c r="C977" s="291"/>
      <c r="D977" s="291"/>
      <c r="E977" s="291"/>
      <c r="F977" s="291"/>
      <c r="G977" s="291"/>
      <c r="J977" s="291"/>
      <c r="K977" s="291"/>
      <c r="L977" s="291"/>
      <c r="M977" s="292"/>
    </row>
    <row r="978">
      <c r="A978" s="291"/>
      <c r="B978" s="291"/>
      <c r="C978" s="291"/>
      <c r="D978" s="291"/>
      <c r="E978" s="291"/>
      <c r="F978" s="291"/>
      <c r="G978" s="291"/>
      <c r="J978" s="291"/>
      <c r="K978" s="291"/>
      <c r="L978" s="291"/>
      <c r="M978" s="292"/>
    </row>
    <row r="979">
      <c r="A979" s="291"/>
      <c r="B979" s="291"/>
      <c r="C979" s="291"/>
      <c r="D979" s="291"/>
      <c r="E979" s="291"/>
      <c r="F979" s="291"/>
      <c r="G979" s="291"/>
      <c r="J979" s="291"/>
      <c r="K979" s="291"/>
      <c r="L979" s="291"/>
      <c r="M979" s="292"/>
    </row>
    <row r="980">
      <c r="A980" s="291"/>
      <c r="B980" s="291"/>
      <c r="C980" s="291"/>
      <c r="D980" s="291"/>
      <c r="E980" s="291"/>
      <c r="F980" s="291"/>
      <c r="G980" s="291"/>
      <c r="J980" s="291"/>
      <c r="K980" s="291"/>
      <c r="L980" s="291"/>
      <c r="M980" s="292"/>
    </row>
    <row r="981">
      <c r="A981" s="291"/>
      <c r="B981" s="291"/>
      <c r="C981" s="291"/>
      <c r="D981" s="291"/>
      <c r="E981" s="291"/>
      <c r="F981" s="291"/>
      <c r="G981" s="291"/>
      <c r="J981" s="291"/>
      <c r="K981" s="291"/>
      <c r="L981" s="291"/>
      <c r="M981" s="292"/>
    </row>
    <row r="982">
      <c r="A982" s="291"/>
      <c r="B982" s="291"/>
      <c r="C982" s="291"/>
      <c r="D982" s="291"/>
      <c r="E982" s="291"/>
      <c r="F982" s="291"/>
      <c r="G982" s="291"/>
      <c r="J982" s="291"/>
      <c r="K982" s="291"/>
      <c r="L982" s="291"/>
      <c r="M982" s="292"/>
    </row>
    <row r="983">
      <c r="A983" s="291"/>
      <c r="B983" s="291"/>
      <c r="C983" s="291"/>
      <c r="D983" s="291"/>
      <c r="E983" s="291"/>
      <c r="F983" s="291"/>
      <c r="G983" s="291"/>
      <c r="J983" s="291"/>
      <c r="K983" s="291"/>
      <c r="L983" s="291"/>
      <c r="M983" s="292"/>
    </row>
    <row r="984">
      <c r="A984" s="291"/>
      <c r="B984" s="291"/>
      <c r="C984" s="291"/>
      <c r="D984" s="291"/>
      <c r="E984" s="291"/>
      <c r="F984" s="291"/>
      <c r="G984" s="291"/>
      <c r="J984" s="291"/>
      <c r="K984" s="291"/>
      <c r="L984" s="291"/>
      <c r="M984" s="292"/>
    </row>
    <row r="985">
      <c r="A985" s="291"/>
      <c r="B985" s="291"/>
      <c r="C985" s="291"/>
      <c r="D985" s="291"/>
      <c r="E985" s="291"/>
      <c r="F985" s="291"/>
      <c r="G985" s="291"/>
      <c r="J985" s="291"/>
      <c r="K985" s="291"/>
      <c r="L985" s="291"/>
      <c r="M985" s="292"/>
    </row>
    <row r="986">
      <c r="A986" s="291"/>
      <c r="B986" s="291"/>
      <c r="C986" s="291"/>
      <c r="D986" s="291"/>
      <c r="E986" s="291"/>
      <c r="F986" s="291"/>
      <c r="G986" s="291"/>
      <c r="J986" s="291"/>
      <c r="K986" s="291"/>
      <c r="L986" s="291"/>
      <c r="M986" s="292"/>
    </row>
    <row r="987">
      <c r="A987" s="291"/>
      <c r="B987" s="291"/>
      <c r="C987" s="291"/>
      <c r="D987" s="291"/>
      <c r="E987" s="291"/>
      <c r="F987" s="291"/>
      <c r="G987" s="291"/>
      <c r="J987" s="291"/>
      <c r="K987" s="291"/>
      <c r="L987" s="291"/>
      <c r="M987" s="292"/>
    </row>
    <row r="988">
      <c r="A988" s="291"/>
      <c r="B988" s="291"/>
      <c r="C988" s="291"/>
      <c r="D988" s="291"/>
      <c r="E988" s="291"/>
      <c r="F988" s="291"/>
      <c r="G988" s="291"/>
      <c r="J988" s="291"/>
      <c r="K988" s="291"/>
      <c r="L988" s="291"/>
      <c r="M988" s="292"/>
    </row>
    <row r="989">
      <c r="A989" s="291"/>
      <c r="B989" s="291"/>
      <c r="C989" s="291"/>
      <c r="D989" s="291"/>
      <c r="E989" s="291"/>
      <c r="F989" s="291"/>
      <c r="G989" s="291"/>
      <c r="J989" s="291"/>
      <c r="K989" s="291"/>
      <c r="L989" s="291"/>
      <c r="M989" s="292"/>
    </row>
    <row r="990">
      <c r="A990" s="291"/>
      <c r="B990" s="291"/>
      <c r="C990" s="291"/>
      <c r="D990" s="291"/>
      <c r="E990" s="291"/>
      <c r="F990" s="291"/>
      <c r="G990" s="291"/>
      <c r="J990" s="291"/>
      <c r="K990" s="291"/>
      <c r="L990" s="291"/>
      <c r="M990" s="292"/>
    </row>
    <row r="991">
      <c r="A991" s="291"/>
      <c r="B991" s="291"/>
      <c r="C991" s="291"/>
      <c r="D991" s="291"/>
      <c r="E991" s="291"/>
      <c r="F991" s="291"/>
      <c r="G991" s="291"/>
      <c r="J991" s="291"/>
      <c r="K991" s="291"/>
      <c r="L991" s="291"/>
      <c r="M991" s="292"/>
    </row>
    <row r="992">
      <c r="A992" s="291"/>
      <c r="B992" s="291"/>
      <c r="C992" s="291"/>
      <c r="D992" s="291"/>
      <c r="E992" s="291"/>
      <c r="F992" s="291"/>
      <c r="G992" s="291"/>
      <c r="J992" s="291"/>
      <c r="K992" s="291"/>
      <c r="L992" s="291"/>
      <c r="M992" s="292"/>
    </row>
    <row r="993">
      <c r="A993" s="291"/>
      <c r="B993" s="291"/>
      <c r="C993" s="291"/>
      <c r="D993" s="291"/>
      <c r="E993" s="291"/>
      <c r="F993" s="291"/>
      <c r="G993" s="291"/>
      <c r="J993" s="291"/>
      <c r="K993" s="291"/>
      <c r="L993" s="291"/>
      <c r="M993" s="292"/>
    </row>
    <row r="994">
      <c r="A994" s="291"/>
      <c r="B994" s="291"/>
      <c r="C994" s="291"/>
      <c r="D994" s="291"/>
      <c r="E994" s="291"/>
      <c r="F994" s="291"/>
      <c r="G994" s="291"/>
      <c r="J994" s="291"/>
      <c r="K994" s="291"/>
      <c r="L994" s="291"/>
      <c r="M994" s="292"/>
    </row>
    <row r="995">
      <c r="A995" s="291"/>
      <c r="B995" s="291"/>
      <c r="C995" s="291"/>
      <c r="D995" s="291"/>
      <c r="E995" s="291"/>
      <c r="F995" s="291"/>
      <c r="G995" s="291"/>
      <c r="J995" s="291"/>
      <c r="K995" s="291"/>
      <c r="L995" s="291"/>
      <c r="M995" s="292"/>
    </row>
    <row r="996">
      <c r="A996" s="291"/>
      <c r="B996" s="291"/>
      <c r="C996" s="291"/>
      <c r="D996" s="291"/>
      <c r="E996" s="291"/>
      <c r="F996" s="291"/>
      <c r="G996" s="291"/>
      <c r="J996" s="291"/>
      <c r="K996" s="291"/>
      <c r="L996" s="291"/>
      <c r="M996" s="292"/>
    </row>
    <row r="997">
      <c r="A997" s="291"/>
      <c r="B997" s="291"/>
      <c r="C997" s="291"/>
      <c r="D997" s="291"/>
      <c r="E997" s="291"/>
      <c r="F997" s="291"/>
      <c r="G997" s="291"/>
      <c r="J997" s="291"/>
      <c r="K997" s="291"/>
      <c r="L997" s="291"/>
      <c r="M997" s="292"/>
    </row>
    <row r="998">
      <c r="A998" s="291"/>
      <c r="B998" s="291"/>
      <c r="C998" s="291"/>
      <c r="D998" s="291"/>
      <c r="E998" s="291"/>
      <c r="F998" s="291"/>
      <c r="G998" s="291"/>
      <c r="J998" s="291"/>
      <c r="K998" s="291"/>
      <c r="L998" s="291"/>
      <c r="M998" s="292"/>
    </row>
    <row r="999">
      <c r="A999" s="291"/>
      <c r="B999" s="291"/>
      <c r="C999" s="291"/>
      <c r="D999" s="291"/>
      <c r="E999" s="291"/>
      <c r="F999" s="291"/>
      <c r="G999" s="291"/>
      <c r="J999" s="291"/>
      <c r="K999" s="291"/>
      <c r="L999" s="291"/>
      <c r="M999" s="292"/>
    </row>
    <row r="1000">
      <c r="A1000" s="291"/>
      <c r="B1000" s="291"/>
      <c r="C1000" s="291"/>
      <c r="D1000" s="291"/>
      <c r="E1000" s="291"/>
      <c r="F1000" s="291"/>
      <c r="G1000" s="291"/>
      <c r="J1000" s="291"/>
      <c r="K1000" s="291"/>
      <c r="L1000" s="291"/>
      <c r="M1000" s="292"/>
    </row>
    <row r="1001">
      <c r="A1001" s="291"/>
      <c r="B1001" s="291"/>
      <c r="C1001" s="291"/>
      <c r="D1001" s="291"/>
      <c r="E1001" s="291"/>
      <c r="F1001" s="291"/>
      <c r="G1001" s="291"/>
      <c r="J1001" s="291"/>
      <c r="K1001" s="291"/>
      <c r="L1001" s="291"/>
      <c r="M1001" s="292"/>
    </row>
    <row r="1002">
      <c r="A1002" s="291"/>
      <c r="B1002" s="291"/>
      <c r="C1002" s="291"/>
      <c r="D1002" s="291"/>
      <c r="E1002" s="291"/>
      <c r="F1002" s="291"/>
      <c r="G1002" s="291"/>
      <c r="J1002" s="291"/>
      <c r="K1002" s="291"/>
      <c r="L1002" s="291"/>
      <c r="M1002" s="292"/>
    </row>
    <row r="1003">
      <c r="A1003" s="291"/>
      <c r="B1003" s="291"/>
      <c r="C1003" s="291"/>
      <c r="D1003" s="291"/>
      <c r="E1003" s="291"/>
      <c r="F1003" s="291"/>
      <c r="G1003" s="291"/>
      <c r="J1003" s="291"/>
      <c r="K1003" s="291"/>
      <c r="L1003" s="291"/>
      <c r="M1003" s="292"/>
    </row>
    <row r="1004">
      <c r="A1004" s="291"/>
      <c r="B1004" s="291"/>
      <c r="C1004" s="291"/>
      <c r="D1004" s="291"/>
      <c r="E1004" s="291"/>
      <c r="F1004" s="291"/>
      <c r="G1004" s="291"/>
      <c r="J1004" s="291"/>
      <c r="K1004" s="291"/>
      <c r="L1004" s="291"/>
      <c r="M1004" s="292"/>
    </row>
    <row r="1005">
      <c r="A1005" s="291"/>
      <c r="B1005" s="291"/>
      <c r="C1005" s="291"/>
      <c r="D1005" s="291"/>
      <c r="E1005" s="291"/>
      <c r="F1005" s="291"/>
      <c r="G1005" s="291"/>
      <c r="J1005" s="291"/>
      <c r="K1005" s="291"/>
      <c r="L1005" s="291"/>
      <c r="M1005" s="292"/>
    </row>
    <row r="1006">
      <c r="A1006" s="291"/>
      <c r="B1006" s="291"/>
      <c r="C1006" s="291"/>
      <c r="D1006" s="291"/>
      <c r="E1006" s="291"/>
      <c r="F1006" s="291"/>
      <c r="G1006" s="291"/>
      <c r="J1006" s="291"/>
      <c r="K1006" s="291"/>
      <c r="L1006" s="291"/>
      <c r="M1006" s="292"/>
    </row>
    <row r="1007">
      <c r="A1007" s="291"/>
      <c r="B1007" s="291"/>
      <c r="C1007" s="291"/>
      <c r="D1007" s="291"/>
      <c r="E1007" s="291"/>
      <c r="F1007" s="291"/>
      <c r="G1007" s="291"/>
      <c r="J1007" s="291"/>
      <c r="K1007" s="291"/>
      <c r="L1007" s="291"/>
      <c r="M1007" s="292"/>
    </row>
    <row r="1008">
      <c r="A1008" s="291"/>
      <c r="B1008" s="291"/>
      <c r="C1008" s="291"/>
      <c r="D1008" s="291"/>
      <c r="E1008" s="291"/>
      <c r="F1008" s="291"/>
      <c r="G1008" s="291"/>
      <c r="J1008" s="291"/>
      <c r="K1008" s="291"/>
      <c r="L1008" s="291"/>
      <c r="M1008" s="292"/>
    </row>
    <row r="1009">
      <c r="A1009" s="291"/>
      <c r="B1009" s="291"/>
      <c r="C1009" s="291"/>
      <c r="D1009" s="291"/>
      <c r="E1009" s="291"/>
      <c r="F1009" s="291"/>
      <c r="G1009" s="291"/>
      <c r="J1009" s="291"/>
      <c r="K1009" s="291"/>
      <c r="L1009" s="291"/>
      <c r="M1009" s="292"/>
    </row>
    <row r="1010">
      <c r="A1010" s="291"/>
      <c r="B1010" s="291"/>
      <c r="C1010" s="291"/>
      <c r="D1010" s="291"/>
      <c r="E1010" s="291"/>
      <c r="F1010" s="291"/>
      <c r="G1010" s="291"/>
      <c r="J1010" s="291"/>
      <c r="K1010" s="291"/>
      <c r="L1010" s="291"/>
      <c r="M1010" s="292"/>
    </row>
    <row r="1011">
      <c r="A1011" s="291"/>
      <c r="B1011" s="291"/>
      <c r="C1011" s="291"/>
      <c r="D1011" s="291"/>
      <c r="E1011" s="291"/>
      <c r="F1011" s="291"/>
      <c r="G1011" s="291"/>
      <c r="J1011" s="291"/>
      <c r="K1011" s="291"/>
      <c r="L1011" s="291"/>
      <c r="M1011" s="292"/>
    </row>
    <row r="1012">
      <c r="A1012" s="291"/>
      <c r="B1012" s="291"/>
      <c r="C1012" s="291"/>
      <c r="D1012" s="291"/>
      <c r="E1012" s="291"/>
      <c r="F1012" s="291"/>
      <c r="G1012" s="291"/>
      <c r="J1012" s="291"/>
      <c r="K1012" s="291"/>
      <c r="L1012" s="291"/>
      <c r="M1012" s="292"/>
    </row>
    <row r="1013">
      <c r="A1013" s="291"/>
      <c r="B1013" s="291"/>
      <c r="C1013" s="291"/>
      <c r="D1013" s="291"/>
      <c r="E1013" s="291"/>
      <c r="F1013" s="291"/>
      <c r="G1013" s="291"/>
      <c r="J1013" s="291"/>
      <c r="K1013" s="291"/>
      <c r="L1013" s="291"/>
      <c r="M1013" s="292"/>
    </row>
    <row r="1014">
      <c r="A1014" s="291"/>
      <c r="B1014" s="291"/>
      <c r="C1014" s="291"/>
      <c r="D1014" s="291"/>
      <c r="E1014" s="291"/>
      <c r="F1014" s="291"/>
      <c r="G1014" s="291"/>
      <c r="J1014" s="291"/>
      <c r="K1014" s="291"/>
      <c r="L1014" s="291"/>
      <c r="M1014" s="292"/>
    </row>
    <row r="1015">
      <c r="A1015" s="291"/>
      <c r="B1015" s="291"/>
      <c r="C1015" s="291"/>
      <c r="D1015" s="291"/>
      <c r="E1015" s="291"/>
      <c r="F1015" s="291"/>
      <c r="G1015" s="291"/>
      <c r="J1015" s="291"/>
      <c r="K1015" s="291"/>
      <c r="L1015" s="291"/>
      <c r="M1015" s="292"/>
    </row>
    <row r="1016">
      <c r="A1016" s="291"/>
      <c r="B1016" s="291"/>
      <c r="C1016" s="291"/>
      <c r="D1016" s="291"/>
      <c r="E1016" s="291"/>
      <c r="F1016" s="291"/>
      <c r="G1016" s="291"/>
      <c r="J1016" s="291"/>
      <c r="K1016" s="291"/>
      <c r="L1016" s="291"/>
      <c r="M1016" s="292"/>
    </row>
    <row r="1017">
      <c r="A1017" s="291"/>
      <c r="B1017" s="291"/>
      <c r="C1017" s="291"/>
      <c r="D1017" s="291"/>
      <c r="E1017" s="291"/>
      <c r="F1017" s="291"/>
      <c r="G1017" s="291"/>
      <c r="J1017" s="291"/>
      <c r="K1017" s="291"/>
      <c r="L1017" s="291"/>
      <c r="M1017" s="292"/>
    </row>
    <row r="1018">
      <c r="A1018" s="291"/>
      <c r="B1018" s="291"/>
      <c r="C1018" s="291"/>
      <c r="D1018" s="291"/>
      <c r="E1018" s="291"/>
      <c r="F1018" s="291"/>
      <c r="G1018" s="291"/>
      <c r="J1018" s="291"/>
      <c r="K1018" s="291"/>
      <c r="L1018" s="291"/>
      <c r="M1018" s="292"/>
    </row>
    <row r="1019">
      <c r="A1019" s="291"/>
      <c r="B1019" s="291"/>
      <c r="C1019" s="291"/>
      <c r="D1019" s="291"/>
      <c r="E1019" s="291"/>
      <c r="F1019" s="291"/>
      <c r="G1019" s="291"/>
      <c r="J1019" s="291"/>
      <c r="K1019" s="291"/>
      <c r="L1019" s="291"/>
      <c r="M1019" s="292"/>
    </row>
    <row r="1020">
      <c r="A1020" s="291"/>
      <c r="B1020" s="291"/>
      <c r="C1020" s="291"/>
      <c r="D1020" s="291"/>
      <c r="E1020" s="291"/>
      <c r="F1020" s="291"/>
      <c r="G1020" s="291"/>
      <c r="J1020" s="291"/>
      <c r="K1020" s="291"/>
      <c r="L1020" s="291"/>
      <c r="M1020" s="292"/>
    </row>
    <row r="1021">
      <c r="A1021" s="291"/>
      <c r="B1021" s="291"/>
      <c r="C1021" s="291"/>
      <c r="D1021" s="291"/>
      <c r="E1021" s="291"/>
      <c r="F1021" s="291"/>
      <c r="G1021" s="291"/>
      <c r="J1021" s="291"/>
      <c r="K1021" s="291"/>
      <c r="L1021" s="291"/>
      <c r="M1021" s="292"/>
    </row>
    <row r="1022">
      <c r="A1022" s="291"/>
      <c r="B1022" s="291"/>
      <c r="C1022" s="291"/>
      <c r="D1022" s="291"/>
      <c r="E1022" s="291"/>
      <c r="F1022" s="291"/>
      <c r="G1022" s="291"/>
      <c r="J1022" s="291"/>
      <c r="K1022" s="291"/>
      <c r="L1022" s="291"/>
      <c r="M1022" s="292"/>
    </row>
    <row r="1023">
      <c r="A1023" s="291"/>
      <c r="B1023" s="291"/>
      <c r="C1023" s="291"/>
      <c r="D1023" s="291"/>
      <c r="E1023" s="291"/>
      <c r="F1023" s="291"/>
      <c r="G1023" s="291"/>
      <c r="J1023" s="291"/>
      <c r="K1023" s="291"/>
      <c r="L1023" s="291"/>
      <c r="M1023" s="292"/>
    </row>
    <row r="1024">
      <c r="A1024" s="291"/>
      <c r="B1024" s="291"/>
      <c r="C1024" s="291"/>
      <c r="D1024" s="291"/>
      <c r="E1024" s="291"/>
      <c r="F1024" s="291"/>
      <c r="G1024" s="291"/>
      <c r="J1024" s="291"/>
      <c r="K1024" s="291"/>
      <c r="L1024" s="291"/>
      <c r="M1024" s="292"/>
    </row>
    <row r="1025">
      <c r="A1025" s="291"/>
      <c r="B1025" s="291"/>
      <c r="C1025" s="291"/>
      <c r="D1025" s="291"/>
      <c r="E1025" s="291"/>
      <c r="F1025" s="291"/>
      <c r="G1025" s="291"/>
      <c r="J1025" s="291"/>
      <c r="K1025" s="291"/>
      <c r="L1025" s="291"/>
      <c r="M1025" s="292"/>
    </row>
    <row r="1026">
      <c r="A1026" s="291"/>
      <c r="B1026" s="291"/>
      <c r="C1026" s="291"/>
      <c r="D1026" s="291"/>
      <c r="E1026" s="291"/>
      <c r="F1026" s="291"/>
      <c r="G1026" s="291"/>
      <c r="J1026" s="291"/>
      <c r="K1026" s="291"/>
      <c r="L1026" s="291"/>
      <c r="M1026" s="292"/>
    </row>
    <row r="1027">
      <c r="A1027" s="291"/>
      <c r="B1027" s="291"/>
      <c r="C1027" s="291"/>
      <c r="D1027" s="291"/>
      <c r="E1027" s="291"/>
      <c r="F1027" s="291"/>
      <c r="G1027" s="291"/>
      <c r="J1027" s="291"/>
      <c r="K1027" s="291"/>
      <c r="L1027" s="291"/>
      <c r="M1027" s="292"/>
    </row>
    <row r="1028">
      <c r="A1028" s="291"/>
      <c r="B1028" s="291"/>
      <c r="C1028" s="291"/>
      <c r="D1028" s="291"/>
      <c r="E1028" s="291"/>
      <c r="F1028" s="291"/>
      <c r="G1028" s="291"/>
      <c r="J1028" s="291"/>
      <c r="K1028" s="291"/>
      <c r="L1028" s="291"/>
      <c r="M1028" s="292"/>
    </row>
    <row r="1029">
      <c r="A1029" s="291"/>
      <c r="B1029" s="291"/>
      <c r="C1029" s="291"/>
      <c r="D1029" s="291"/>
      <c r="E1029" s="291"/>
      <c r="F1029" s="291"/>
      <c r="G1029" s="291"/>
      <c r="J1029" s="291"/>
      <c r="K1029" s="291"/>
      <c r="L1029" s="291"/>
      <c r="M1029" s="292"/>
    </row>
    <row r="1030">
      <c r="A1030" s="291"/>
      <c r="B1030" s="291"/>
      <c r="C1030" s="291"/>
      <c r="D1030" s="291"/>
      <c r="E1030" s="291"/>
      <c r="F1030" s="291"/>
      <c r="G1030" s="291"/>
      <c r="J1030" s="291"/>
      <c r="K1030" s="291"/>
      <c r="L1030" s="291"/>
      <c r="M1030" s="292"/>
    </row>
    <row r="1031">
      <c r="A1031" s="291"/>
      <c r="B1031" s="291"/>
      <c r="C1031" s="291"/>
      <c r="D1031" s="291"/>
      <c r="E1031" s="291"/>
      <c r="F1031" s="291"/>
      <c r="G1031" s="291"/>
      <c r="J1031" s="291"/>
      <c r="K1031" s="291"/>
      <c r="L1031" s="291"/>
      <c r="M1031" s="292"/>
    </row>
    <row r="1032">
      <c r="A1032" s="291"/>
      <c r="B1032" s="291"/>
      <c r="C1032" s="291"/>
      <c r="D1032" s="291"/>
      <c r="E1032" s="291"/>
      <c r="F1032" s="291"/>
      <c r="G1032" s="291"/>
      <c r="J1032" s="291"/>
      <c r="K1032" s="291"/>
      <c r="L1032" s="291"/>
      <c r="M1032" s="292"/>
    </row>
    <row r="1033">
      <c r="A1033" s="291"/>
      <c r="B1033" s="291"/>
      <c r="C1033" s="291"/>
      <c r="D1033" s="291"/>
      <c r="E1033" s="291"/>
      <c r="F1033" s="291"/>
      <c r="G1033" s="291"/>
      <c r="J1033" s="291"/>
      <c r="K1033" s="291"/>
      <c r="L1033" s="291"/>
      <c r="M1033" s="292"/>
    </row>
    <row r="1034">
      <c r="A1034" s="291"/>
      <c r="B1034" s="291"/>
      <c r="C1034" s="291"/>
      <c r="D1034" s="291"/>
      <c r="E1034" s="291"/>
      <c r="F1034" s="291"/>
      <c r="G1034" s="291"/>
      <c r="J1034" s="291"/>
      <c r="K1034" s="291"/>
      <c r="L1034" s="291"/>
      <c r="M1034" s="292"/>
    </row>
    <row r="1035">
      <c r="A1035" s="291"/>
      <c r="B1035" s="291"/>
      <c r="C1035" s="291"/>
      <c r="D1035" s="291"/>
      <c r="E1035" s="291"/>
      <c r="F1035" s="291"/>
      <c r="G1035" s="291"/>
      <c r="J1035" s="291"/>
      <c r="K1035" s="291"/>
      <c r="L1035" s="291"/>
      <c r="M1035" s="292"/>
    </row>
    <row r="1036">
      <c r="A1036" s="291"/>
      <c r="B1036" s="291"/>
      <c r="C1036" s="291"/>
      <c r="D1036" s="291"/>
      <c r="E1036" s="291"/>
      <c r="F1036" s="291"/>
      <c r="G1036" s="291"/>
      <c r="J1036" s="291"/>
      <c r="K1036" s="291"/>
      <c r="L1036" s="291"/>
      <c r="M1036" s="292"/>
    </row>
    <row r="1037">
      <c r="A1037" s="291"/>
      <c r="B1037" s="291"/>
      <c r="C1037" s="291"/>
      <c r="D1037" s="291"/>
      <c r="E1037" s="291"/>
      <c r="F1037" s="291"/>
      <c r="G1037" s="291"/>
      <c r="J1037" s="291"/>
      <c r="K1037" s="291"/>
      <c r="L1037" s="291"/>
      <c r="M1037" s="292"/>
    </row>
    <row r="1038">
      <c r="A1038" s="291"/>
      <c r="B1038" s="291"/>
      <c r="C1038" s="291"/>
      <c r="D1038" s="291"/>
      <c r="E1038" s="291"/>
      <c r="F1038" s="291"/>
      <c r="G1038" s="291"/>
      <c r="J1038" s="291"/>
      <c r="K1038" s="291"/>
      <c r="L1038" s="291"/>
      <c r="M1038" s="292"/>
    </row>
    <row r="1039">
      <c r="A1039" s="291"/>
      <c r="B1039" s="291"/>
      <c r="C1039" s="291"/>
      <c r="D1039" s="291"/>
      <c r="E1039" s="291"/>
      <c r="F1039" s="291"/>
      <c r="G1039" s="291"/>
      <c r="J1039" s="291"/>
      <c r="K1039" s="291"/>
      <c r="L1039" s="291"/>
      <c r="M1039" s="292"/>
    </row>
    <row r="1040">
      <c r="A1040" s="291"/>
      <c r="B1040" s="291"/>
      <c r="C1040" s="291"/>
      <c r="D1040" s="291"/>
      <c r="E1040" s="291"/>
      <c r="F1040" s="291"/>
      <c r="G1040" s="291"/>
      <c r="J1040" s="291"/>
      <c r="K1040" s="291"/>
      <c r="L1040" s="291"/>
      <c r="M1040" s="292"/>
    </row>
    <row r="1041">
      <c r="A1041" s="291"/>
      <c r="B1041" s="291"/>
      <c r="C1041" s="291"/>
      <c r="D1041" s="291"/>
      <c r="E1041" s="291"/>
      <c r="F1041" s="291"/>
      <c r="G1041" s="291"/>
      <c r="J1041" s="291"/>
      <c r="K1041" s="291"/>
      <c r="L1041" s="291"/>
      <c r="M1041" s="292"/>
    </row>
    <row r="1042">
      <c r="A1042" s="291"/>
      <c r="B1042" s="291"/>
      <c r="C1042" s="291"/>
      <c r="D1042" s="291"/>
      <c r="E1042" s="291"/>
      <c r="F1042" s="291"/>
      <c r="G1042" s="291"/>
      <c r="J1042" s="291"/>
      <c r="K1042" s="291"/>
      <c r="L1042" s="291"/>
      <c r="M1042" s="292"/>
    </row>
    <row r="1043">
      <c r="A1043" s="291"/>
      <c r="B1043" s="291"/>
      <c r="C1043" s="291"/>
      <c r="D1043" s="291"/>
      <c r="E1043" s="291"/>
      <c r="F1043" s="291"/>
      <c r="G1043" s="291"/>
      <c r="J1043" s="291"/>
      <c r="K1043" s="291"/>
      <c r="L1043" s="291"/>
      <c r="M1043" s="292"/>
    </row>
    <row r="1044">
      <c r="A1044" s="291"/>
      <c r="B1044" s="291"/>
      <c r="C1044" s="291"/>
      <c r="D1044" s="291"/>
      <c r="E1044" s="291"/>
      <c r="F1044" s="291"/>
      <c r="G1044" s="291"/>
      <c r="J1044" s="291"/>
      <c r="K1044" s="291"/>
      <c r="L1044" s="291"/>
      <c r="M1044" s="292"/>
    </row>
    <row r="1045">
      <c r="A1045" s="291"/>
      <c r="B1045" s="291"/>
      <c r="C1045" s="291"/>
      <c r="D1045" s="291"/>
      <c r="E1045" s="291"/>
      <c r="F1045" s="291"/>
      <c r="G1045" s="291"/>
      <c r="J1045" s="291"/>
      <c r="K1045" s="291"/>
      <c r="L1045" s="291"/>
      <c r="M1045" s="292"/>
    </row>
    <row r="1046">
      <c r="A1046" s="291"/>
      <c r="B1046" s="291"/>
      <c r="C1046" s="291"/>
      <c r="D1046" s="291"/>
      <c r="E1046" s="291"/>
      <c r="F1046" s="291"/>
      <c r="G1046" s="291"/>
      <c r="J1046" s="291"/>
      <c r="K1046" s="291"/>
      <c r="L1046" s="291"/>
      <c r="M1046" s="292"/>
    </row>
    <row r="1047">
      <c r="A1047" s="291"/>
      <c r="B1047" s="291"/>
      <c r="C1047" s="291"/>
      <c r="D1047" s="291"/>
      <c r="E1047" s="291"/>
      <c r="F1047" s="291"/>
      <c r="G1047" s="291"/>
      <c r="J1047" s="291"/>
      <c r="K1047" s="291"/>
      <c r="L1047" s="291"/>
      <c r="M1047" s="292"/>
    </row>
    <row r="1048">
      <c r="A1048" s="291"/>
      <c r="B1048" s="291"/>
      <c r="C1048" s="291"/>
      <c r="D1048" s="291"/>
      <c r="E1048" s="291"/>
      <c r="F1048" s="291"/>
      <c r="G1048" s="291"/>
      <c r="J1048" s="291"/>
      <c r="K1048" s="291"/>
      <c r="L1048" s="291"/>
      <c r="M1048" s="292"/>
    </row>
    <row r="1049">
      <c r="A1049" s="291"/>
      <c r="B1049" s="291"/>
      <c r="C1049" s="291"/>
      <c r="D1049" s="291"/>
      <c r="E1049" s="291"/>
      <c r="F1049" s="291"/>
      <c r="G1049" s="291"/>
      <c r="J1049" s="291"/>
      <c r="K1049" s="291"/>
      <c r="L1049" s="291"/>
      <c r="M1049" s="292"/>
    </row>
    <row r="1050">
      <c r="A1050" s="291"/>
      <c r="B1050" s="291"/>
      <c r="C1050" s="291"/>
      <c r="D1050" s="291"/>
      <c r="E1050" s="291"/>
      <c r="F1050" s="291"/>
      <c r="G1050" s="291"/>
      <c r="J1050" s="291"/>
      <c r="K1050" s="291"/>
      <c r="L1050" s="291"/>
      <c r="M1050" s="292"/>
    </row>
    <row r="1051">
      <c r="A1051" s="291"/>
      <c r="B1051" s="291"/>
      <c r="C1051" s="291"/>
      <c r="D1051" s="291"/>
      <c r="E1051" s="291"/>
      <c r="F1051" s="291"/>
      <c r="G1051" s="291"/>
      <c r="J1051" s="291"/>
      <c r="K1051" s="291"/>
      <c r="L1051" s="291"/>
      <c r="M1051" s="292"/>
    </row>
    <row r="1052">
      <c r="A1052" s="291"/>
      <c r="B1052" s="291"/>
      <c r="C1052" s="291"/>
      <c r="D1052" s="291"/>
      <c r="E1052" s="291"/>
      <c r="F1052" s="291"/>
      <c r="G1052" s="291"/>
      <c r="J1052" s="291"/>
      <c r="K1052" s="291"/>
      <c r="L1052" s="291"/>
      <c r="M1052" s="292"/>
    </row>
    <row r="1053">
      <c r="A1053" s="291"/>
      <c r="B1053" s="291"/>
      <c r="C1053" s="291"/>
      <c r="D1053" s="291"/>
      <c r="E1053" s="291"/>
      <c r="F1053" s="291"/>
      <c r="G1053" s="291"/>
      <c r="J1053" s="291"/>
      <c r="K1053" s="291"/>
      <c r="L1053" s="291"/>
      <c r="M1053" s="292"/>
    </row>
    <row r="1054">
      <c r="A1054" s="291"/>
      <c r="B1054" s="291"/>
      <c r="C1054" s="291"/>
      <c r="D1054" s="291"/>
      <c r="E1054" s="291"/>
      <c r="F1054" s="291"/>
      <c r="G1054" s="291"/>
      <c r="J1054" s="291"/>
      <c r="K1054" s="291"/>
      <c r="L1054" s="291"/>
      <c r="M1054" s="292"/>
    </row>
    <row r="1055">
      <c r="A1055" s="291"/>
      <c r="B1055" s="291"/>
      <c r="C1055" s="291"/>
      <c r="D1055" s="291"/>
      <c r="E1055" s="291"/>
      <c r="F1055" s="291"/>
      <c r="G1055" s="291"/>
      <c r="J1055" s="291"/>
      <c r="K1055" s="291"/>
      <c r="L1055" s="291"/>
      <c r="M1055" s="292"/>
    </row>
    <row r="1056">
      <c r="A1056" s="291"/>
      <c r="B1056" s="291"/>
      <c r="C1056" s="291"/>
      <c r="D1056" s="291"/>
      <c r="E1056" s="291"/>
      <c r="F1056" s="291"/>
      <c r="G1056" s="291"/>
      <c r="J1056" s="291"/>
      <c r="K1056" s="291"/>
      <c r="L1056" s="291"/>
      <c r="M1056" s="292"/>
    </row>
    <row r="1057">
      <c r="A1057" s="291"/>
      <c r="B1057" s="291"/>
      <c r="C1057" s="291"/>
      <c r="D1057" s="291"/>
      <c r="E1057" s="291"/>
      <c r="F1057" s="291"/>
      <c r="G1057" s="291"/>
      <c r="J1057" s="291"/>
      <c r="K1057" s="291"/>
      <c r="L1057" s="291"/>
      <c r="M1057" s="292"/>
    </row>
    <row r="1058">
      <c r="A1058" s="291"/>
      <c r="B1058" s="291"/>
      <c r="C1058" s="291"/>
      <c r="D1058" s="291"/>
      <c r="E1058" s="291"/>
      <c r="F1058" s="291"/>
      <c r="G1058" s="291"/>
      <c r="J1058" s="291"/>
      <c r="K1058" s="291"/>
      <c r="L1058" s="291"/>
      <c r="M1058" s="292"/>
    </row>
    <row r="1059">
      <c r="A1059" s="291"/>
      <c r="B1059" s="291"/>
      <c r="C1059" s="291"/>
      <c r="D1059" s="291"/>
      <c r="E1059" s="291"/>
      <c r="F1059" s="291"/>
      <c r="G1059" s="291"/>
      <c r="J1059" s="291"/>
      <c r="K1059" s="291"/>
      <c r="L1059" s="291"/>
      <c r="M1059" s="292"/>
    </row>
    <row r="1060">
      <c r="A1060" s="291"/>
      <c r="B1060" s="291"/>
      <c r="C1060" s="291"/>
      <c r="D1060" s="291"/>
      <c r="E1060" s="291"/>
      <c r="F1060" s="291"/>
      <c r="G1060" s="291"/>
      <c r="J1060" s="291"/>
      <c r="K1060" s="291"/>
      <c r="L1060" s="291"/>
      <c r="M1060" s="292"/>
    </row>
    <row r="1061">
      <c r="A1061" s="291"/>
      <c r="B1061" s="291"/>
      <c r="C1061" s="291"/>
      <c r="D1061" s="291"/>
      <c r="E1061" s="291"/>
      <c r="F1061" s="291"/>
      <c r="G1061" s="291"/>
      <c r="J1061" s="291"/>
      <c r="K1061" s="291"/>
      <c r="L1061" s="291"/>
      <c r="M1061" s="292"/>
    </row>
    <row r="1062">
      <c r="A1062" s="291"/>
      <c r="B1062" s="291"/>
      <c r="C1062" s="291"/>
      <c r="D1062" s="291"/>
      <c r="E1062" s="291"/>
      <c r="F1062" s="291"/>
      <c r="G1062" s="291"/>
      <c r="J1062" s="291"/>
      <c r="K1062" s="291"/>
      <c r="L1062" s="291"/>
      <c r="M1062" s="292"/>
    </row>
    <row r="1063">
      <c r="A1063" s="291"/>
      <c r="B1063" s="291"/>
      <c r="C1063" s="291"/>
      <c r="D1063" s="291"/>
      <c r="E1063" s="291"/>
      <c r="F1063" s="291"/>
      <c r="G1063" s="291"/>
      <c r="J1063" s="291"/>
      <c r="K1063" s="291"/>
      <c r="L1063" s="291"/>
      <c r="M1063" s="292"/>
    </row>
    <row r="1064">
      <c r="A1064" s="291"/>
      <c r="B1064" s="291"/>
      <c r="C1064" s="291"/>
      <c r="D1064" s="291"/>
      <c r="E1064" s="291"/>
      <c r="F1064" s="291"/>
      <c r="G1064" s="291"/>
      <c r="J1064" s="291"/>
      <c r="K1064" s="291"/>
      <c r="L1064" s="291"/>
      <c r="M1064" s="292"/>
    </row>
  </sheetData>
  <mergeCells count="90">
    <mergeCell ref="E37:E39"/>
    <mergeCell ref="F37:F39"/>
    <mergeCell ref="E40:E41"/>
    <mergeCell ref="F40:F41"/>
    <mergeCell ref="G40:G41"/>
    <mergeCell ref="E42:E43"/>
    <mergeCell ref="F42:F43"/>
    <mergeCell ref="G42:G43"/>
    <mergeCell ref="C37:C39"/>
    <mergeCell ref="D37:D39"/>
    <mergeCell ref="B40:B41"/>
    <mergeCell ref="C40:C41"/>
    <mergeCell ref="D40:D41"/>
    <mergeCell ref="C42:C43"/>
    <mergeCell ref="D42:D43"/>
    <mergeCell ref="E48:E49"/>
    <mergeCell ref="F48:F49"/>
    <mergeCell ref="B46:B47"/>
    <mergeCell ref="C46:C47"/>
    <mergeCell ref="D46:D47"/>
    <mergeCell ref="E46:E47"/>
    <mergeCell ref="F46:F47"/>
    <mergeCell ref="G46:G47"/>
    <mergeCell ref="G48:G49"/>
    <mergeCell ref="B48:B49"/>
    <mergeCell ref="B50:B51"/>
    <mergeCell ref="C50:C51"/>
    <mergeCell ref="D50:D51"/>
    <mergeCell ref="E50:E51"/>
    <mergeCell ref="F50:F51"/>
    <mergeCell ref="G50:G51"/>
    <mergeCell ref="C54:C55"/>
    <mergeCell ref="D54:D55"/>
    <mergeCell ref="B56:B57"/>
    <mergeCell ref="C56:C57"/>
    <mergeCell ref="D56:D57"/>
    <mergeCell ref="E54:E55"/>
    <mergeCell ref="F54:F55"/>
    <mergeCell ref="E56:E57"/>
    <mergeCell ref="F56:F57"/>
    <mergeCell ref="G56:G57"/>
    <mergeCell ref="B52:B53"/>
    <mergeCell ref="C52:C53"/>
    <mergeCell ref="D52:D53"/>
    <mergeCell ref="E52:E53"/>
    <mergeCell ref="F52:F53"/>
    <mergeCell ref="G52:G53"/>
    <mergeCell ref="B54:B55"/>
    <mergeCell ref="G54:G55"/>
    <mergeCell ref="E6:E11"/>
    <mergeCell ref="F6:F11"/>
    <mergeCell ref="A1:B3"/>
    <mergeCell ref="C1:F3"/>
    <mergeCell ref="H1:M1"/>
    <mergeCell ref="K2:M2"/>
    <mergeCell ref="K3:M3"/>
    <mergeCell ref="A6:A11"/>
    <mergeCell ref="B6:B11"/>
    <mergeCell ref="G6:G11"/>
    <mergeCell ref="C6:C11"/>
    <mergeCell ref="D6:D11"/>
    <mergeCell ref="C31:C32"/>
    <mergeCell ref="D31:D32"/>
    <mergeCell ref="E31:E32"/>
    <mergeCell ref="F31:F32"/>
    <mergeCell ref="G31:G32"/>
    <mergeCell ref="B31:B32"/>
    <mergeCell ref="B33:B34"/>
    <mergeCell ref="C33:C34"/>
    <mergeCell ref="D33:D34"/>
    <mergeCell ref="E33:E34"/>
    <mergeCell ref="F33:F34"/>
    <mergeCell ref="G33:G34"/>
    <mergeCell ref="B35:B36"/>
    <mergeCell ref="C35:C36"/>
    <mergeCell ref="D35:D36"/>
    <mergeCell ref="E35:E36"/>
    <mergeCell ref="F35:F36"/>
    <mergeCell ref="G35:G36"/>
    <mergeCell ref="B37:B39"/>
    <mergeCell ref="G37:G39"/>
    <mergeCell ref="B42:B43"/>
    <mergeCell ref="B44:B45"/>
    <mergeCell ref="C44:C45"/>
    <mergeCell ref="D44:D45"/>
    <mergeCell ref="E44:E45"/>
    <mergeCell ref="F44:F45"/>
    <mergeCell ref="G44:G45"/>
    <mergeCell ref="C48:C49"/>
    <mergeCell ref="D48:D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1.22" defaultRowHeight="15.0"/>
  <cols>
    <col customWidth="1" min="4" max="4" width="16.0"/>
    <col customWidth="1" min="6" max="6" width="13.78"/>
    <col customWidth="1" min="7" max="7" width="20.56"/>
  </cols>
  <sheetData>
    <row r="1">
      <c r="A1" s="432" t="s">
        <v>2786</v>
      </c>
      <c r="B1" s="433" t="s">
        <v>2787</v>
      </c>
      <c r="C1" s="434" t="s">
        <v>2788</v>
      </c>
      <c r="D1" s="433" t="s">
        <v>2789</v>
      </c>
      <c r="E1" s="435" t="s">
        <v>2790</v>
      </c>
      <c r="F1" s="436" t="s">
        <v>16</v>
      </c>
      <c r="G1" s="437" t="s">
        <v>2791</v>
      </c>
    </row>
    <row r="2">
      <c r="A2" s="438">
        <v>45571.0</v>
      </c>
      <c r="B2" s="439" t="s">
        <v>2792</v>
      </c>
      <c r="C2" s="440">
        <v>246.0</v>
      </c>
      <c r="D2" s="441" t="s">
        <v>36</v>
      </c>
      <c r="E2" s="442">
        <v>50.0</v>
      </c>
      <c r="F2" s="443" t="s">
        <v>25</v>
      </c>
      <c r="G2" s="444"/>
    </row>
    <row r="3">
      <c r="A3" s="445">
        <v>45571.0</v>
      </c>
      <c r="B3" s="439" t="s">
        <v>2792</v>
      </c>
      <c r="C3" s="446">
        <v>246.0</v>
      </c>
      <c r="D3" s="447" t="s">
        <v>37</v>
      </c>
      <c r="E3" s="448">
        <v>5.0</v>
      </c>
      <c r="F3" s="443" t="s">
        <v>25</v>
      </c>
      <c r="G3" s="444"/>
    </row>
    <row r="4">
      <c r="A4" s="445">
        <v>45571.0</v>
      </c>
      <c r="B4" s="439" t="s">
        <v>2792</v>
      </c>
      <c r="C4" s="446">
        <v>246.0</v>
      </c>
      <c r="D4" s="447" t="s">
        <v>38</v>
      </c>
      <c r="E4" s="448">
        <v>20.0</v>
      </c>
      <c r="F4" s="443" t="s">
        <v>1622</v>
      </c>
      <c r="G4" s="444"/>
    </row>
    <row r="5">
      <c r="A5" s="445">
        <v>45584.0</v>
      </c>
      <c r="B5" s="439" t="s">
        <v>2792</v>
      </c>
      <c r="C5" s="446">
        <v>250.0</v>
      </c>
      <c r="D5" s="447" t="s">
        <v>36</v>
      </c>
      <c r="E5" s="448">
        <v>226.0</v>
      </c>
      <c r="F5" s="443" t="s">
        <v>25</v>
      </c>
      <c r="G5" s="444"/>
    </row>
    <row r="6">
      <c r="A6" s="445">
        <v>45584.0</v>
      </c>
      <c r="B6" s="439" t="s">
        <v>2792</v>
      </c>
      <c r="C6" s="446">
        <v>250.0</v>
      </c>
      <c r="D6" s="447" t="s">
        <v>37</v>
      </c>
      <c r="E6" s="448">
        <v>54.0</v>
      </c>
      <c r="F6" s="443" t="s">
        <v>25</v>
      </c>
      <c r="G6" s="444"/>
    </row>
    <row r="7">
      <c r="A7" s="445">
        <v>45584.0</v>
      </c>
      <c r="B7" s="439" t="s">
        <v>2792</v>
      </c>
      <c r="C7" s="446">
        <v>250.0</v>
      </c>
      <c r="D7" s="447" t="s">
        <v>38</v>
      </c>
      <c r="E7" s="448">
        <v>50.0</v>
      </c>
      <c r="F7" s="443" t="s">
        <v>1622</v>
      </c>
      <c r="G7" s="444"/>
    </row>
    <row r="8">
      <c r="A8" s="445">
        <v>45609.0</v>
      </c>
      <c r="B8" s="439" t="s">
        <v>2792</v>
      </c>
      <c r="C8" s="446">
        <v>254.0</v>
      </c>
      <c r="D8" s="447" t="s">
        <v>36</v>
      </c>
      <c r="E8" s="448">
        <v>220.0</v>
      </c>
      <c r="F8" s="443" t="s">
        <v>25</v>
      </c>
      <c r="G8" s="444"/>
    </row>
    <row r="9">
      <c r="A9" s="445">
        <v>45609.0</v>
      </c>
      <c r="B9" s="439" t="s">
        <v>2792</v>
      </c>
      <c r="C9" s="446">
        <v>254.0</v>
      </c>
      <c r="D9" s="447" t="s">
        <v>37</v>
      </c>
      <c r="E9" s="448">
        <v>40.0</v>
      </c>
      <c r="F9" s="443" t="s">
        <v>25</v>
      </c>
      <c r="G9" s="444"/>
      <c r="I9" s="448"/>
    </row>
    <row r="10">
      <c r="A10" s="445">
        <v>45609.0</v>
      </c>
      <c r="B10" s="439" t="s">
        <v>2792</v>
      </c>
      <c r="C10" s="446">
        <v>254.0</v>
      </c>
      <c r="D10" s="447" t="s">
        <v>38</v>
      </c>
      <c r="E10" s="448">
        <v>125.0</v>
      </c>
      <c r="F10" s="443" t="s">
        <v>1622</v>
      </c>
      <c r="G10" s="444"/>
    </row>
    <row r="11">
      <c r="A11" s="445">
        <v>45609.0</v>
      </c>
      <c r="B11" s="439" t="s">
        <v>2792</v>
      </c>
      <c r="C11" s="446">
        <v>254.0</v>
      </c>
      <c r="D11" s="447" t="s">
        <v>23</v>
      </c>
      <c r="E11" s="448">
        <v>220.0</v>
      </c>
      <c r="F11" s="443" t="s">
        <v>25</v>
      </c>
      <c r="G11" s="444"/>
    </row>
    <row r="12">
      <c r="A12" s="445">
        <v>45610.0</v>
      </c>
      <c r="B12" s="439" t="s">
        <v>2792</v>
      </c>
      <c r="C12" s="446">
        <v>259.0</v>
      </c>
      <c r="D12" s="447" t="s">
        <v>23</v>
      </c>
      <c r="E12" s="448">
        <v>645.0</v>
      </c>
      <c r="F12" s="443" t="s">
        <v>25</v>
      </c>
      <c r="G12" s="444"/>
    </row>
    <row r="13">
      <c r="A13" s="445">
        <v>45622.0</v>
      </c>
      <c r="B13" s="439" t="s">
        <v>2792</v>
      </c>
      <c r="C13" s="446">
        <v>261.0</v>
      </c>
      <c r="D13" s="447" t="s">
        <v>37</v>
      </c>
      <c r="E13" s="448">
        <v>10.0</v>
      </c>
      <c r="F13" s="443" t="s">
        <v>25</v>
      </c>
      <c r="G13" s="444"/>
    </row>
    <row r="14">
      <c r="A14" s="445">
        <v>45622.0</v>
      </c>
      <c r="B14" s="439" t="s">
        <v>2792</v>
      </c>
      <c r="C14" s="446">
        <v>261.0</v>
      </c>
      <c r="D14" s="447" t="s">
        <v>38</v>
      </c>
      <c r="E14" s="448">
        <v>40.0</v>
      </c>
      <c r="F14" s="443" t="s">
        <v>1622</v>
      </c>
      <c r="G14" s="444"/>
    </row>
    <row r="15">
      <c r="A15" s="445">
        <v>45622.0</v>
      </c>
      <c r="B15" s="439" t="s">
        <v>2792</v>
      </c>
      <c r="C15" s="446">
        <v>261.0</v>
      </c>
      <c r="D15" s="447" t="s">
        <v>23</v>
      </c>
      <c r="F15" s="443" t="s">
        <v>25</v>
      </c>
      <c r="G15" s="444"/>
    </row>
    <row r="16">
      <c r="A16" s="445">
        <v>45626.0</v>
      </c>
      <c r="B16" s="439" t="s">
        <v>2792</v>
      </c>
      <c r="C16" s="446">
        <v>263.0</v>
      </c>
      <c r="D16" s="447" t="s">
        <v>23</v>
      </c>
      <c r="E16" s="448">
        <v>645.0</v>
      </c>
      <c r="F16" s="443" t="s">
        <v>25</v>
      </c>
      <c r="G16" s="444"/>
    </row>
    <row r="17">
      <c r="A17" s="445">
        <v>45632.0</v>
      </c>
      <c r="B17" s="439" t="s">
        <v>2792</v>
      </c>
      <c r="C17" s="446">
        <v>265.0</v>
      </c>
      <c r="D17" s="447" t="s">
        <v>37</v>
      </c>
      <c r="E17" s="448">
        <v>15.0</v>
      </c>
      <c r="F17" s="443" t="s">
        <v>25</v>
      </c>
      <c r="G17" s="444"/>
    </row>
    <row r="18">
      <c r="A18" s="445">
        <v>45632.0</v>
      </c>
      <c r="B18" s="439" t="s">
        <v>2792</v>
      </c>
      <c r="C18" s="446">
        <v>265.0</v>
      </c>
      <c r="D18" s="447" t="s">
        <v>23</v>
      </c>
      <c r="E18" s="448">
        <v>430.0</v>
      </c>
      <c r="F18" s="443" t="s">
        <v>25</v>
      </c>
      <c r="G18" s="444"/>
    </row>
    <row r="19">
      <c r="A19" s="445">
        <v>45638.0</v>
      </c>
      <c r="B19" s="439" t="s">
        <v>2792</v>
      </c>
      <c r="C19" s="446">
        <v>269.0</v>
      </c>
      <c r="D19" s="447" t="s">
        <v>36</v>
      </c>
      <c r="E19" s="448">
        <v>220.0</v>
      </c>
      <c r="F19" s="443" t="s">
        <v>25</v>
      </c>
      <c r="G19" s="444"/>
    </row>
    <row r="20">
      <c r="A20" s="445">
        <v>45638.0</v>
      </c>
      <c r="B20" s="439" t="s">
        <v>2792</v>
      </c>
      <c r="C20" s="446">
        <v>269.0</v>
      </c>
      <c r="D20" s="447" t="s">
        <v>37</v>
      </c>
      <c r="E20" s="448">
        <v>100.0</v>
      </c>
      <c r="F20" s="443" t="s">
        <v>25</v>
      </c>
      <c r="G20" s="444"/>
    </row>
    <row r="21">
      <c r="A21" s="445">
        <v>45638.0</v>
      </c>
      <c r="B21" s="439" t="s">
        <v>2792</v>
      </c>
      <c r="C21" s="446">
        <v>269.0</v>
      </c>
      <c r="D21" s="447" t="s">
        <v>38</v>
      </c>
      <c r="E21" s="448">
        <v>150.0</v>
      </c>
      <c r="F21" s="443" t="s">
        <v>1622</v>
      </c>
      <c r="G21" s="444"/>
    </row>
    <row r="22">
      <c r="A22" s="445">
        <v>45638.0</v>
      </c>
      <c r="B22" s="439" t="s">
        <v>2792</v>
      </c>
      <c r="C22" s="446">
        <v>269.0</v>
      </c>
      <c r="D22" s="447" t="s">
        <v>23</v>
      </c>
      <c r="E22" s="448">
        <v>645.0</v>
      </c>
      <c r="F22" s="443" t="s">
        <v>25</v>
      </c>
      <c r="G22" s="444"/>
    </row>
    <row r="23">
      <c r="A23" s="445">
        <v>45644.0</v>
      </c>
      <c r="B23" s="439" t="s">
        <v>2792</v>
      </c>
      <c r="C23" s="446">
        <v>272.0</v>
      </c>
      <c r="D23" s="447" t="s">
        <v>23</v>
      </c>
      <c r="E23" s="448">
        <v>860.0</v>
      </c>
      <c r="F23" s="443" t="s">
        <v>25</v>
      </c>
      <c r="G23" s="444"/>
    </row>
    <row r="24">
      <c r="A24" s="445">
        <v>45650.0</v>
      </c>
      <c r="B24" s="439" t="s">
        <v>2792</v>
      </c>
      <c r="C24" s="446">
        <v>274.0</v>
      </c>
      <c r="D24" s="447" t="s">
        <v>36</v>
      </c>
      <c r="E24" s="448">
        <v>220.0</v>
      </c>
      <c r="F24" s="443" t="s">
        <v>25</v>
      </c>
      <c r="G24" s="444"/>
    </row>
    <row r="25">
      <c r="A25" s="445">
        <v>45650.0</v>
      </c>
      <c r="B25" s="439" t="s">
        <v>2792</v>
      </c>
      <c r="C25" s="446">
        <v>274.0</v>
      </c>
      <c r="D25" s="447" t="s">
        <v>37</v>
      </c>
      <c r="E25" s="448">
        <v>100.0</v>
      </c>
      <c r="F25" s="443" t="s">
        <v>25</v>
      </c>
      <c r="G25" s="444"/>
    </row>
    <row r="26">
      <c r="A26" s="445">
        <v>45650.0</v>
      </c>
      <c r="B26" s="439" t="s">
        <v>2792</v>
      </c>
      <c r="C26" s="446">
        <v>274.0</v>
      </c>
      <c r="D26" s="447" t="s">
        <v>38</v>
      </c>
      <c r="E26" s="448">
        <v>50.0</v>
      </c>
      <c r="F26" s="443" t="s">
        <v>1622</v>
      </c>
      <c r="G26" s="444"/>
    </row>
    <row r="27">
      <c r="A27" s="445">
        <v>45650.0</v>
      </c>
      <c r="B27" s="439" t="s">
        <v>2792</v>
      </c>
      <c r="C27" s="446">
        <v>274.0</v>
      </c>
      <c r="D27" s="447" t="s">
        <v>23</v>
      </c>
      <c r="E27" s="448">
        <v>860.0</v>
      </c>
      <c r="F27" s="443" t="s">
        <v>25</v>
      </c>
      <c r="G27" s="444"/>
    </row>
    <row r="28">
      <c r="A28" s="445">
        <v>45654.0</v>
      </c>
      <c r="B28" s="439" t="s">
        <v>2792</v>
      </c>
      <c r="C28" s="446">
        <v>276.0</v>
      </c>
      <c r="D28" s="447" t="s">
        <v>23</v>
      </c>
      <c r="E28" s="448">
        <v>1290.0</v>
      </c>
      <c r="F28" s="443" t="s">
        <v>25</v>
      </c>
      <c r="G28" s="444"/>
    </row>
    <row r="29">
      <c r="A29" s="445">
        <v>45663.0</v>
      </c>
      <c r="B29" s="439" t="s">
        <v>2792</v>
      </c>
      <c r="C29" s="446">
        <v>280.0</v>
      </c>
      <c r="D29" s="447" t="s">
        <v>36</v>
      </c>
      <c r="E29" s="448">
        <v>220.0</v>
      </c>
      <c r="F29" s="443" t="s">
        <v>25</v>
      </c>
      <c r="G29" s="444"/>
    </row>
    <row r="30">
      <c r="A30" s="445">
        <v>45663.0</v>
      </c>
      <c r="B30" s="439" t="s">
        <v>2792</v>
      </c>
      <c r="C30" s="446">
        <v>280.0</v>
      </c>
      <c r="D30" s="447" t="s">
        <v>23</v>
      </c>
      <c r="E30" s="448">
        <v>1075.0</v>
      </c>
      <c r="F30" s="443" t="s">
        <v>25</v>
      </c>
      <c r="G30" s="444"/>
    </row>
    <row r="31">
      <c r="A31" s="445">
        <v>45669.0</v>
      </c>
      <c r="B31" s="439" t="s">
        <v>2792</v>
      </c>
      <c r="C31" s="446">
        <v>285.0</v>
      </c>
      <c r="D31" s="447" t="s">
        <v>38</v>
      </c>
      <c r="E31" s="448">
        <v>100.0</v>
      </c>
      <c r="F31" s="443" t="s">
        <v>1622</v>
      </c>
      <c r="G31" s="444"/>
    </row>
    <row r="32">
      <c r="A32" s="445">
        <v>45669.0</v>
      </c>
      <c r="B32" s="439" t="s">
        <v>2792</v>
      </c>
      <c r="C32" s="446">
        <v>285.0</v>
      </c>
      <c r="D32" s="447" t="s">
        <v>23</v>
      </c>
      <c r="E32" s="448">
        <v>1075.0</v>
      </c>
      <c r="F32" s="443" t="s">
        <v>25</v>
      </c>
      <c r="G32" s="444"/>
    </row>
    <row r="33">
      <c r="A33" s="445">
        <v>45677.0</v>
      </c>
      <c r="B33" s="439" t="s">
        <v>2792</v>
      </c>
      <c r="C33" s="446">
        <v>294.0</v>
      </c>
      <c r="D33" s="447" t="s">
        <v>36</v>
      </c>
      <c r="E33" s="448">
        <v>218.0</v>
      </c>
      <c r="F33" s="443" t="s">
        <v>25</v>
      </c>
      <c r="G33" s="444"/>
    </row>
    <row r="34">
      <c r="A34" s="445">
        <v>45677.0</v>
      </c>
      <c r="B34" s="439" t="s">
        <v>2792</v>
      </c>
      <c r="C34" s="446">
        <v>294.0</v>
      </c>
      <c r="D34" s="447" t="s">
        <v>37</v>
      </c>
      <c r="E34" s="448">
        <v>100.0</v>
      </c>
      <c r="F34" s="443" t="s">
        <v>25</v>
      </c>
      <c r="G34" s="444"/>
    </row>
    <row r="35">
      <c r="A35" s="445">
        <v>45677.0</v>
      </c>
      <c r="B35" s="439" t="s">
        <v>2792</v>
      </c>
      <c r="C35" s="446">
        <v>294.0</v>
      </c>
      <c r="D35" s="447" t="s">
        <v>38</v>
      </c>
      <c r="E35" s="448">
        <v>150.0</v>
      </c>
      <c r="F35" s="443" t="s">
        <v>1622</v>
      </c>
      <c r="G35" s="444"/>
    </row>
    <row r="36">
      <c r="A36" s="445">
        <v>45677.0</v>
      </c>
      <c r="B36" s="439" t="s">
        <v>2792</v>
      </c>
      <c r="C36" s="446">
        <v>294.0</v>
      </c>
      <c r="D36" s="447" t="s">
        <v>23</v>
      </c>
      <c r="E36" s="448">
        <v>1075.0</v>
      </c>
      <c r="F36" s="443" t="s">
        <v>25</v>
      </c>
      <c r="G36" s="444"/>
    </row>
    <row r="37">
      <c r="A37" s="445">
        <v>45680.0</v>
      </c>
      <c r="B37" s="439" t="s">
        <v>2792</v>
      </c>
      <c r="C37" s="446">
        <v>295.0</v>
      </c>
      <c r="D37" s="447" t="s">
        <v>36</v>
      </c>
      <c r="E37" s="448">
        <v>220.0</v>
      </c>
      <c r="F37" s="443" t="s">
        <v>25</v>
      </c>
      <c r="G37" s="444"/>
    </row>
    <row r="38">
      <c r="A38" s="445">
        <v>45680.0</v>
      </c>
      <c r="B38" s="439" t="s">
        <v>2792</v>
      </c>
      <c r="C38" s="446">
        <v>295.0</v>
      </c>
      <c r="D38" s="447" t="s">
        <v>23</v>
      </c>
      <c r="E38" s="448">
        <v>500.0</v>
      </c>
      <c r="F38" s="443" t="s">
        <v>25</v>
      </c>
      <c r="G38" s="444"/>
    </row>
    <row r="39">
      <c r="A39" s="445">
        <v>45685.0</v>
      </c>
      <c r="B39" s="439" t="s">
        <v>2792</v>
      </c>
      <c r="C39" s="446">
        <v>601.0</v>
      </c>
      <c r="D39" s="447" t="s">
        <v>38</v>
      </c>
      <c r="E39" s="448">
        <v>200.0</v>
      </c>
      <c r="F39" s="443" t="s">
        <v>1622</v>
      </c>
      <c r="G39" s="444"/>
    </row>
    <row r="40">
      <c r="A40" s="445">
        <v>45685.0</v>
      </c>
      <c r="B40" s="439" t="s">
        <v>2792</v>
      </c>
      <c r="C40" s="446">
        <v>601.0</v>
      </c>
      <c r="D40" s="447" t="s">
        <v>23</v>
      </c>
      <c r="E40" s="448">
        <v>860.0</v>
      </c>
      <c r="F40" s="443" t="s">
        <v>25</v>
      </c>
      <c r="G40" s="444"/>
    </row>
    <row r="41">
      <c r="A41" s="445">
        <v>45687.0</v>
      </c>
      <c r="B41" s="439" t="s">
        <v>2792</v>
      </c>
      <c r="C41" s="446">
        <v>612.0</v>
      </c>
      <c r="D41" s="447" t="s">
        <v>23</v>
      </c>
      <c r="E41" s="448">
        <v>860.0</v>
      </c>
      <c r="F41" s="443" t="s">
        <v>25</v>
      </c>
      <c r="G41" s="444"/>
    </row>
    <row r="42">
      <c r="A42" s="445">
        <v>45692.0</v>
      </c>
      <c r="B42" s="439" t="s">
        <v>2792</v>
      </c>
      <c r="C42" s="446">
        <v>612.0</v>
      </c>
      <c r="D42" s="447" t="s">
        <v>37</v>
      </c>
      <c r="E42" s="448">
        <v>100.0</v>
      </c>
      <c r="F42" s="443" t="s">
        <v>25</v>
      </c>
      <c r="G42" s="444"/>
    </row>
    <row r="43">
      <c r="A43" s="445">
        <v>45692.0</v>
      </c>
      <c r="B43" s="439" t="s">
        <v>2792</v>
      </c>
      <c r="C43" s="446">
        <v>612.0</v>
      </c>
      <c r="D43" s="447" t="s">
        <v>38</v>
      </c>
      <c r="E43" s="448">
        <v>100.0</v>
      </c>
      <c r="F43" s="443" t="s">
        <v>1622</v>
      </c>
      <c r="G43" s="444"/>
    </row>
    <row r="44">
      <c r="A44" s="445">
        <v>45695.0</v>
      </c>
      <c r="B44" s="439" t="s">
        <v>2792</v>
      </c>
      <c r="C44" s="446">
        <v>614.0</v>
      </c>
      <c r="D44" s="447" t="s">
        <v>23</v>
      </c>
      <c r="E44" s="448">
        <v>1290.0</v>
      </c>
      <c r="F44" s="443" t="s">
        <v>25</v>
      </c>
      <c r="G44" s="444"/>
    </row>
    <row r="45">
      <c r="A45" s="445">
        <v>45698.0</v>
      </c>
      <c r="B45" s="439" t="s">
        <v>2792</v>
      </c>
      <c r="C45" s="446">
        <v>614.0</v>
      </c>
      <c r="D45" s="447" t="s">
        <v>36</v>
      </c>
      <c r="E45" s="448">
        <v>220.0</v>
      </c>
      <c r="F45" s="443" t="s">
        <v>25</v>
      </c>
      <c r="G45" s="444"/>
    </row>
    <row r="46">
      <c r="A46" s="445">
        <v>45703.0</v>
      </c>
      <c r="B46" s="439" t="s">
        <v>2792</v>
      </c>
      <c r="C46" s="446">
        <v>616.0</v>
      </c>
      <c r="D46" s="447" t="s">
        <v>37</v>
      </c>
      <c r="E46" s="448">
        <v>100.0</v>
      </c>
      <c r="F46" s="443" t="s">
        <v>25</v>
      </c>
      <c r="G46" s="444"/>
    </row>
    <row r="47">
      <c r="A47" s="445">
        <v>45703.0</v>
      </c>
      <c r="B47" s="439" t="s">
        <v>2792</v>
      </c>
      <c r="C47" s="446">
        <v>616.0</v>
      </c>
      <c r="D47" s="447" t="s">
        <v>38</v>
      </c>
      <c r="E47" s="448">
        <v>200.0</v>
      </c>
      <c r="F47" s="443" t="s">
        <v>1622</v>
      </c>
      <c r="G47" s="444"/>
    </row>
    <row r="48">
      <c r="A48" s="445">
        <v>45703.0</v>
      </c>
      <c r="B48" s="439" t="s">
        <v>2792</v>
      </c>
      <c r="C48" s="446">
        <v>617.0</v>
      </c>
      <c r="D48" s="447" t="s">
        <v>36</v>
      </c>
      <c r="E48" s="448">
        <v>220.0</v>
      </c>
      <c r="F48" s="443" t="s">
        <v>25</v>
      </c>
      <c r="G48" s="444"/>
    </row>
    <row r="49">
      <c r="A49" s="445">
        <v>45703.0</v>
      </c>
      <c r="B49" s="439" t="s">
        <v>2792</v>
      </c>
      <c r="C49" s="446">
        <v>617.0</v>
      </c>
      <c r="D49" s="447" t="s">
        <v>23</v>
      </c>
      <c r="E49" s="448">
        <v>860.0</v>
      </c>
      <c r="F49" s="443" t="s">
        <v>25</v>
      </c>
      <c r="G49" s="444"/>
    </row>
    <row r="50">
      <c r="A50" s="445">
        <v>45708.0</v>
      </c>
      <c r="B50" s="439" t="s">
        <v>2792</v>
      </c>
      <c r="C50" s="446">
        <v>624.0</v>
      </c>
      <c r="D50" s="447" t="s">
        <v>37</v>
      </c>
      <c r="E50" s="448">
        <v>100.0</v>
      </c>
      <c r="F50" s="443" t="s">
        <v>25</v>
      </c>
      <c r="G50" s="444"/>
    </row>
    <row r="51">
      <c r="A51" s="445">
        <v>45708.0</v>
      </c>
      <c r="B51" s="439" t="s">
        <v>2792</v>
      </c>
      <c r="C51" s="446">
        <v>624.0</v>
      </c>
      <c r="D51" s="447" t="s">
        <v>38</v>
      </c>
      <c r="E51" s="448">
        <v>200.0</v>
      </c>
      <c r="F51" s="443" t="s">
        <v>1622</v>
      </c>
      <c r="G51" s="444"/>
    </row>
    <row r="52">
      <c r="A52" s="445">
        <v>45708.0</v>
      </c>
      <c r="B52" s="439" t="s">
        <v>2792</v>
      </c>
      <c r="C52" s="446">
        <v>624.0</v>
      </c>
      <c r="D52" s="447" t="s">
        <v>23</v>
      </c>
      <c r="E52" s="448">
        <v>1290.0</v>
      </c>
      <c r="F52" s="443" t="s">
        <v>25</v>
      </c>
      <c r="G52" s="444"/>
    </row>
    <row r="53">
      <c r="A53" s="445">
        <v>45715.0</v>
      </c>
      <c r="B53" s="439" t="s">
        <v>2792</v>
      </c>
      <c r="C53" s="446">
        <v>629.0</v>
      </c>
      <c r="D53" s="447" t="s">
        <v>36</v>
      </c>
      <c r="E53" s="448">
        <v>220.0</v>
      </c>
      <c r="F53" s="443" t="s">
        <v>25</v>
      </c>
      <c r="G53" s="444"/>
    </row>
    <row r="54">
      <c r="A54" s="445">
        <v>45715.0</v>
      </c>
      <c r="B54" s="439" t="s">
        <v>2792</v>
      </c>
      <c r="C54" s="446">
        <v>629.0</v>
      </c>
      <c r="D54" s="447" t="s">
        <v>37</v>
      </c>
      <c r="E54" s="448">
        <v>100.0</v>
      </c>
      <c r="F54" s="443" t="s">
        <v>25</v>
      </c>
      <c r="G54" s="444"/>
    </row>
    <row r="55">
      <c r="A55" s="445">
        <v>45715.0</v>
      </c>
      <c r="B55" s="439" t="s">
        <v>2792</v>
      </c>
      <c r="C55" s="446">
        <v>629.0</v>
      </c>
      <c r="D55" s="447" t="s">
        <v>38</v>
      </c>
      <c r="E55" s="448">
        <v>400.0</v>
      </c>
      <c r="F55" s="443" t="s">
        <v>1622</v>
      </c>
      <c r="G55" s="444"/>
    </row>
    <row r="56">
      <c r="A56" s="445">
        <v>45715.0</v>
      </c>
      <c r="B56" s="439" t="s">
        <v>2792</v>
      </c>
      <c r="C56" s="446">
        <v>629.0</v>
      </c>
      <c r="D56" s="447" t="s">
        <v>23</v>
      </c>
      <c r="E56" s="448">
        <v>1720.0</v>
      </c>
      <c r="F56" s="443" t="s">
        <v>25</v>
      </c>
      <c r="G56" s="444"/>
    </row>
    <row r="57">
      <c r="A57" s="445">
        <v>45719.0</v>
      </c>
      <c r="B57" s="439" t="s">
        <v>2792</v>
      </c>
      <c r="C57" s="446">
        <v>630.0</v>
      </c>
      <c r="D57" s="447" t="s">
        <v>36</v>
      </c>
      <c r="E57" s="448">
        <v>220.0</v>
      </c>
      <c r="F57" s="443" t="s">
        <v>25</v>
      </c>
      <c r="G57" s="444"/>
    </row>
    <row r="58">
      <c r="A58" s="445">
        <v>45724.0</v>
      </c>
      <c r="B58" s="439" t="s">
        <v>2792</v>
      </c>
      <c r="C58" s="446">
        <v>631.0</v>
      </c>
      <c r="D58" s="447" t="s">
        <v>37</v>
      </c>
      <c r="E58" s="448">
        <v>100.0</v>
      </c>
      <c r="F58" s="443" t="s">
        <v>25</v>
      </c>
      <c r="G58" s="444"/>
    </row>
    <row r="59">
      <c r="A59" s="445">
        <v>45724.0</v>
      </c>
      <c r="B59" s="439" t="s">
        <v>2792</v>
      </c>
      <c r="C59" s="446">
        <v>631.0</v>
      </c>
      <c r="D59" s="447" t="s">
        <v>23</v>
      </c>
      <c r="E59" s="448">
        <v>1370.0</v>
      </c>
      <c r="F59" s="443" t="s">
        <v>25</v>
      </c>
      <c r="G59" s="444"/>
    </row>
    <row r="60">
      <c r="A60" s="445">
        <v>45729.0</v>
      </c>
      <c r="B60" s="439" t="s">
        <v>2792</v>
      </c>
      <c r="C60" s="446">
        <v>635.0</v>
      </c>
      <c r="D60" s="447" t="s">
        <v>36</v>
      </c>
      <c r="E60" s="448">
        <v>219.0</v>
      </c>
      <c r="F60" s="443" t="s">
        <v>25</v>
      </c>
      <c r="G60" s="444"/>
    </row>
    <row r="61">
      <c r="A61" s="445">
        <v>45729.0</v>
      </c>
      <c r="B61" s="439" t="s">
        <v>2792</v>
      </c>
      <c r="C61" s="446">
        <v>635.0</v>
      </c>
      <c r="D61" s="447" t="s">
        <v>37</v>
      </c>
      <c r="E61" s="448">
        <v>100.0</v>
      </c>
      <c r="F61" s="443" t="s">
        <v>25</v>
      </c>
      <c r="G61" s="444"/>
    </row>
    <row r="62">
      <c r="A62" s="445">
        <v>45729.0</v>
      </c>
      <c r="B62" s="439" t="s">
        <v>2792</v>
      </c>
      <c r="C62" s="446">
        <v>635.0</v>
      </c>
      <c r="D62" s="447" t="s">
        <v>38</v>
      </c>
      <c r="E62" s="448">
        <v>150.0</v>
      </c>
      <c r="F62" s="443" t="s">
        <v>1622</v>
      </c>
      <c r="G62" s="444"/>
    </row>
    <row r="63">
      <c r="A63" s="445">
        <v>45729.0</v>
      </c>
      <c r="B63" s="439" t="s">
        <v>2792</v>
      </c>
      <c r="C63" s="446">
        <v>635.0</v>
      </c>
      <c r="D63" s="447" t="s">
        <v>23</v>
      </c>
      <c r="E63" s="448">
        <v>1370.0</v>
      </c>
      <c r="F63" s="443" t="s">
        <v>25</v>
      </c>
      <c r="G63" s="444"/>
    </row>
    <row r="64">
      <c r="A64" s="445">
        <v>45737.0</v>
      </c>
      <c r="B64" s="439" t="s">
        <v>2792</v>
      </c>
      <c r="C64" s="446">
        <v>640.0</v>
      </c>
      <c r="D64" s="447" t="s">
        <v>36</v>
      </c>
      <c r="E64" s="448">
        <v>238.0</v>
      </c>
      <c r="F64" s="443" t="s">
        <v>25</v>
      </c>
      <c r="G64" s="444"/>
    </row>
    <row r="65">
      <c r="A65" s="445">
        <v>45737.0</v>
      </c>
      <c r="B65" s="439" t="s">
        <v>2792</v>
      </c>
      <c r="C65" s="446">
        <v>640.0</v>
      </c>
      <c r="D65" s="447" t="s">
        <v>36</v>
      </c>
      <c r="E65" s="448">
        <v>50.0</v>
      </c>
      <c r="F65" s="443" t="s">
        <v>25</v>
      </c>
      <c r="G65" s="444"/>
    </row>
    <row r="66">
      <c r="A66" s="445">
        <v>45737.0</v>
      </c>
      <c r="B66" s="439" t="s">
        <v>2792</v>
      </c>
      <c r="C66" s="446">
        <v>640.0</v>
      </c>
      <c r="D66" s="447" t="s">
        <v>37</v>
      </c>
      <c r="E66" s="448">
        <v>100.0</v>
      </c>
      <c r="F66" s="443" t="s">
        <v>25</v>
      </c>
      <c r="G66" s="444"/>
    </row>
    <row r="67">
      <c r="A67" s="445">
        <v>45737.0</v>
      </c>
      <c r="B67" s="439" t="s">
        <v>2792</v>
      </c>
      <c r="C67" s="446">
        <v>640.0</v>
      </c>
      <c r="D67" s="447" t="s">
        <v>38</v>
      </c>
      <c r="E67" s="448">
        <v>200.0</v>
      </c>
      <c r="F67" s="443" t="s">
        <v>1622</v>
      </c>
      <c r="G67" s="444"/>
    </row>
    <row r="68">
      <c r="A68" s="438">
        <v>45737.0</v>
      </c>
      <c r="B68" s="439" t="s">
        <v>2792</v>
      </c>
      <c r="C68" s="446">
        <v>640.0</v>
      </c>
      <c r="D68" s="447" t="s">
        <v>38</v>
      </c>
      <c r="E68" s="448">
        <v>50.0</v>
      </c>
      <c r="F68" s="443" t="s">
        <v>1622</v>
      </c>
      <c r="G68" s="444"/>
    </row>
    <row r="69">
      <c r="A69" s="445">
        <v>45737.0</v>
      </c>
      <c r="B69" s="439" t="s">
        <v>2792</v>
      </c>
      <c r="C69" s="446">
        <v>640.0</v>
      </c>
      <c r="D69" s="447" t="s">
        <v>23</v>
      </c>
      <c r="E69" s="448">
        <v>1146.0</v>
      </c>
      <c r="F69" s="443" t="s">
        <v>25</v>
      </c>
      <c r="G69" s="444"/>
    </row>
    <row r="70">
      <c r="A70" s="445">
        <v>45741.0</v>
      </c>
      <c r="B70" s="439" t="s">
        <v>2792</v>
      </c>
      <c r="C70" s="446">
        <v>647.0</v>
      </c>
      <c r="D70" s="447" t="s">
        <v>36</v>
      </c>
      <c r="E70" s="448">
        <v>237.0</v>
      </c>
      <c r="F70" s="443" t="s">
        <v>25</v>
      </c>
      <c r="G70" s="444"/>
    </row>
    <row r="71">
      <c r="A71" s="445">
        <v>45741.0</v>
      </c>
      <c r="B71" s="439" t="s">
        <v>2792</v>
      </c>
      <c r="C71" s="446">
        <v>647.0</v>
      </c>
      <c r="D71" s="447" t="s">
        <v>37</v>
      </c>
      <c r="E71" s="448">
        <v>85.0</v>
      </c>
      <c r="F71" s="443" t="s">
        <v>25</v>
      </c>
      <c r="G71" s="444"/>
    </row>
    <row r="72">
      <c r="A72" s="445">
        <v>45741.0</v>
      </c>
      <c r="B72" s="439" t="s">
        <v>2792</v>
      </c>
      <c r="C72" s="446">
        <v>647.0</v>
      </c>
      <c r="D72" s="447" t="s">
        <v>38</v>
      </c>
      <c r="E72" s="448">
        <v>240.0</v>
      </c>
      <c r="F72" s="443" t="s">
        <v>1622</v>
      </c>
      <c r="G72" s="444"/>
    </row>
    <row r="73">
      <c r="A73" s="445">
        <v>45744.0</v>
      </c>
      <c r="B73" s="439" t="s">
        <v>2792</v>
      </c>
      <c r="C73" s="446">
        <v>648.0</v>
      </c>
      <c r="D73" s="447" t="s">
        <v>36</v>
      </c>
      <c r="E73" s="448">
        <v>447.0</v>
      </c>
      <c r="F73" s="443" t="s">
        <v>25</v>
      </c>
      <c r="G73" s="444"/>
    </row>
    <row r="74">
      <c r="A74" s="445">
        <v>45744.0</v>
      </c>
      <c r="B74" s="439" t="s">
        <v>2792</v>
      </c>
      <c r="C74" s="446">
        <v>648.0</v>
      </c>
      <c r="D74" s="447" t="s">
        <v>37</v>
      </c>
      <c r="E74" s="448">
        <v>80.0</v>
      </c>
      <c r="F74" s="443" t="s">
        <v>25</v>
      </c>
      <c r="G74" s="444"/>
    </row>
    <row r="75">
      <c r="A75" s="445">
        <v>45744.0</v>
      </c>
      <c r="B75" s="439" t="s">
        <v>2792</v>
      </c>
      <c r="C75" s="446">
        <v>648.0</v>
      </c>
      <c r="D75" s="447" t="s">
        <v>38</v>
      </c>
      <c r="E75" s="448">
        <v>480.0</v>
      </c>
      <c r="F75" s="443" t="s">
        <v>1622</v>
      </c>
      <c r="G75" s="444"/>
    </row>
    <row r="76">
      <c r="A76" s="445">
        <v>45744.0</v>
      </c>
      <c r="B76" s="439" t="s">
        <v>2792</v>
      </c>
      <c r="C76" s="446">
        <v>648.0</v>
      </c>
      <c r="D76" s="447" t="s">
        <v>23</v>
      </c>
      <c r="E76" s="448">
        <v>1585.0</v>
      </c>
      <c r="F76" s="443" t="s">
        <v>25</v>
      </c>
      <c r="G76" s="444"/>
    </row>
    <row r="77">
      <c r="A77" s="445">
        <v>45749.0</v>
      </c>
      <c r="B77" s="439" t="s">
        <v>2792</v>
      </c>
      <c r="C77" s="446">
        <v>652.0</v>
      </c>
      <c r="D77" s="447" t="s">
        <v>37</v>
      </c>
      <c r="E77" s="448">
        <v>150.0</v>
      </c>
      <c r="F77" s="443" t="s">
        <v>25</v>
      </c>
      <c r="G77" s="444"/>
    </row>
    <row r="78">
      <c r="A78" s="445">
        <v>45754.0</v>
      </c>
      <c r="B78" s="439" t="s">
        <v>2792</v>
      </c>
      <c r="C78" s="446">
        <v>657.0</v>
      </c>
      <c r="D78" s="447" t="s">
        <v>36</v>
      </c>
      <c r="E78" s="448">
        <v>465.0</v>
      </c>
      <c r="F78" s="443" t="s">
        <v>25</v>
      </c>
      <c r="G78" s="444"/>
    </row>
    <row r="79">
      <c r="A79" s="445">
        <v>45754.0</v>
      </c>
      <c r="B79" s="439" t="s">
        <v>2792</v>
      </c>
      <c r="C79" s="446">
        <v>657.0</v>
      </c>
      <c r="D79" s="447" t="s">
        <v>37</v>
      </c>
      <c r="E79" s="448">
        <v>660.0</v>
      </c>
      <c r="F79" s="443" t="s">
        <v>25</v>
      </c>
      <c r="G79" s="444"/>
    </row>
    <row r="80">
      <c r="A80" s="445">
        <v>45754.0</v>
      </c>
      <c r="B80" s="439" t="s">
        <v>2792</v>
      </c>
      <c r="C80" s="446">
        <v>657.0</v>
      </c>
      <c r="D80" s="447" t="s">
        <v>38</v>
      </c>
      <c r="E80" s="448">
        <v>480.0</v>
      </c>
      <c r="F80" s="443" t="s">
        <v>1622</v>
      </c>
      <c r="G80" s="444"/>
    </row>
    <row r="81">
      <c r="A81" s="445">
        <v>45754.0</v>
      </c>
      <c r="B81" s="439" t="s">
        <v>2792</v>
      </c>
      <c r="C81" s="446">
        <v>657.0</v>
      </c>
      <c r="D81" s="447" t="s">
        <v>23</v>
      </c>
      <c r="E81" s="448">
        <v>460.92</v>
      </c>
      <c r="F81" s="443" t="s">
        <v>25</v>
      </c>
      <c r="G81" s="444"/>
    </row>
    <row r="82">
      <c r="A82" s="445">
        <v>45758.0</v>
      </c>
      <c r="B82" s="439" t="s">
        <v>2792</v>
      </c>
      <c r="C82" s="446">
        <v>659.0</v>
      </c>
      <c r="D82" s="447" t="s">
        <v>23</v>
      </c>
      <c r="E82" s="448">
        <v>1125.0</v>
      </c>
      <c r="F82" s="443" t="s">
        <v>25</v>
      </c>
      <c r="G82" s="444"/>
    </row>
    <row r="83">
      <c r="A83" s="445">
        <v>45764.0</v>
      </c>
      <c r="B83" s="439" t="s">
        <v>2792</v>
      </c>
      <c r="C83" s="446">
        <v>662.0</v>
      </c>
      <c r="D83" s="447" t="s">
        <v>36</v>
      </c>
      <c r="E83" s="448">
        <v>236.0</v>
      </c>
      <c r="F83" s="443" t="s">
        <v>25</v>
      </c>
      <c r="G83" s="444"/>
    </row>
    <row r="84">
      <c r="A84" s="445">
        <v>45764.0</v>
      </c>
      <c r="B84" s="439" t="s">
        <v>2792</v>
      </c>
      <c r="C84" s="446">
        <v>662.0</v>
      </c>
      <c r="D84" s="447" t="s">
        <v>38</v>
      </c>
      <c r="E84" s="448">
        <v>240.0</v>
      </c>
      <c r="F84" s="443" t="s">
        <v>1622</v>
      </c>
      <c r="G84" s="444"/>
    </row>
    <row r="85">
      <c r="A85" s="445">
        <v>45764.0</v>
      </c>
      <c r="B85" s="439" t="s">
        <v>2792</v>
      </c>
      <c r="C85" s="446">
        <v>662.0</v>
      </c>
      <c r="D85" s="447" t="s">
        <v>23</v>
      </c>
      <c r="E85" s="448">
        <v>489.99</v>
      </c>
      <c r="F85" s="443" t="s">
        <v>25</v>
      </c>
      <c r="G85" s="444"/>
    </row>
    <row r="86">
      <c r="A86" s="445">
        <v>45767.0</v>
      </c>
      <c r="B86" s="439" t="s">
        <v>2792</v>
      </c>
      <c r="C86" s="446">
        <v>663.0</v>
      </c>
      <c r="D86" s="447" t="s">
        <v>23</v>
      </c>
      <c r="E86" s="448">
        <v>449.99</v>
      </c>
      <c r="F86" s="443" t="s">
        <v>25</v>
      </c>
      <c r="G86" s="444"/>
    </row>
    <row r="87">
      <c r="A87" s="445">
        <v>45768.0</v>
      </c>
      <c r="B87" s="439" t="s">
        <v>2792</v>
      </c>
      <c r="C87" s="446">
        <v>663.0</v>
      </c>
      <c r="D87" s="447" t="s">
        <v>36</v>
      </c>
      <c r="E87" s="448">
        <v>448.0</v>
      </c>
      <c r="F87" s="443" t="s">
        <v>25</v>
      </c>
      <c r="G87" s="444"/>
    </row>
    <row r="88">
      <c r="A88" s="445">
        <v>45768.0</v>
      </c>
      <c r="B88" s="439" t="s">
        <v>2792</v>
      </c>
      <c r="C88" s="446">
        <v>663.0</v>
      </c>
      <c r="D88" s="447" t="s">
        <v>38</v>
      </c>
      <c r="E88" s="448">
        <v>480.0</v>
      </c>
      <c r="F88" s="443" t="s">
        <v>1622</v>
      </c>
      <c r="G88" s="444"/>
    </row>
    <row r="89">
      <c r="A89" s="445">
        <v>45769.0</v>
      </c>
      <c r="B89" s="439" t="s">
        <v>2792</v>
      </c>
      <c r="C89" s="446">
        <v>668.0</v>
      </c>
      <c r="D89" s="447" t="s">
        <v>36</v>
      </c>
      <c r="E89" s="448">
        <v>220.0</v>
      </c>
      <c r="F89" s="443" t="s">
        <v>25</v>
      </c>
      <c r="G89" s="444"/>
    </row>
    <row r="90">
      <c r="A90" s="445">
        <v>45769.0</v>
      </c>
      <c r="B90" s="439" t="s">
        <v>2792</v>
      </c>
      <c r="C90" s="446">
        <v>668.0</v>
      </c>
      <c r="D90" s="447" t="s">
        <v>23</v>
      </c>
      <c r="E90" s="448">
        <v>250.0</v>
      </c>
      <c r="F90" s="443" t="s">
        <v>25</v>
      </c>
      <c r="G90" s="444"/>
    </row>
    <row r="91">
      <c r="A91" s="445">
        <v>45772.0</v>
      </c>
      <c r="B91" s="439" t="s">
        <v>2792</v>
      </c>
      <c r="C91" s="446">
        <v>673.0</v>
      </c>
      <c r="D91" s="447" t="s">
        <v>36</v>
      </c>
      <c r="E91" s="448">
        <v>454.0</v>
      </c>
      <c r="F91" s="443" t="s">
        <v>25</v>
      </c>
      <c r="G91" s="444"/>
    </row>
    <row r="92">
      <c r="A92" s="445">
        <v>45772.0</v>
      </c>
      <c r="B92" s="439" t="s">
        <v>2792</v>
      </c>
      <c r="C92" s="446">
        <v>673.0</v>
      </c>
      <c r="D92" s="447" t="s">
        <v>38</v>
      </c>
      <c r="E92" s="448">
        <v>480.0</v>
      </c>
      <c r="F92" s="443" t="s">
        <v>1622</v>
      </c>
      <c r="G92" s="444"/>
    </row>
    <row r="93">
      <c r="A93" s="445">
        <v>45772.0</v>
      </c>
      <c r="B93" s="439" t="s">
        <v>2792</v>
      </c>
      <c r="C93" s="446">
        <v>673.0</v>
      </c>
      <c r="D93" s="447" t="s">
        <v>23</v>
      </c>
      <c r="E93" s="448">
        <v>1148.0</v>
      </c>
      <c r="F93" s="443" t="s">
        <v>25</v>
      </c>
      <c r="G93" s="444"/>
    </row>
    <row r="94">
      <c r="A94" s="445">
        <v>45776.0</v>
      </c>
      <c r="B94" s="439" t="s">
        <v>2792</v>
      </c>
      <c r="C94" s="446">
        <v>676.0</v>
      </c>
      <c r="D94" s="447" t="s">
        <v>37</v>
      </c>
      <c r="E94" s="448">
        <v>100.0</v>
      </c>
      <c r="F94" s="443" t="s">
        <v>25</v>
      </c>
      <c r="G94" s="444"/>
    </row>
    <row r="95">
      <c r="A95" s="445">
        <v>45776.0</v>
      </c>
      <c r="B95" s="439" t="s">
        <v>2792</v>
      </c>
      <c r="C95" s="446">
        <v>677.0</v>
      </c>
      <c r="D95" s="447" t="s">
        <v>23</v>
      </c>
      <c r="E95" s="448">
        <v>450.0</v>
      </c>
      <c r="F95" s="443" t="s">
        <v>25</v>
      </c>
      <c r="G95" s="444"/>
    </row>
    <row r="96">
      <c r="A96" s="445">
        <v>45778.0</v>
      </c>
      <c r="B96" s="439" t="s">
        <v>2792</v>
      </c>
      <c r="C96" s="446">
        <v>678.0</v>
      </c>
      <c r="D96" s="447" t="s">
        <v>36</v>
      </c>
      <c r="E96" s="448">
        <v>472.0</v>
      </c>
      <c r="F96" s="443" t="s">
        <v>25</v>
      </c>
      <c r="G96" s="444"/>
    </row>
    <row r="97">
      <c r="A97" s="445">
        <v>45778.0</v>
      </c>
      <c r="B97" s="439" t="s">
        <v>2792</v>
      </c>
      <c r="C97" s="446">
        <v>678.0</v>
      </c>
      <c r="D97" s="447" t="s">
        <v>37</v>
      </c>
      <c r="E97" s="448">
        <v>220.0</v>
      </c>
      <c r="F97" s="443" t="s">
        <v>25</v>
      </c>
      <c r="G97" s="444"/>
    </row>
    <row r="98">
      <c r="A98" s="445">
        <v>45778.0</v>
      </c>
      <c r="B98" s="439" t="s">
        <v>2792</v>
      </c>
      <c r="C98" s="446">
        <v>678.0</v>
      </c>
      <c r="D98" s="447" t="s">
        <v>38</v>
      </c>
      <c r="E98" s="448">
        <v>480.0</v>
      </c>
      <c r="F98" s="443" t="s">
        <v>1622</v>
      </c>
      <c r="G98" s="444"/>
    </row>
    <row r="99">
      <c r="A99" s="445">
        <v>45778.0</v>
      </c>
      <c r="B99" s="439" t="s">
        <v>2792</v>
      </c>
      <c r="C99" s="446">
        <v>678.0</v>
      </c>
      <c r="D99" s="447" t="s">
        <v>23</v>
      </c>
      <c r="E99" s="448">
        <v>1365.0</v>
      </c>
      <c r="F99" s="443" t="s">
        <v>25</v>
      </c>
      <c r="G99" s="444"/>
    </row>
    <row r="100">
      <c r="A100" s="445">
        <v>45786.0</v>
      </c>
      <c r="B100" s="439" t="s">
        <v>2792</v>
      </c>
      <c r="C100" s="446">
        <v>681.0</v>
      </c>
      <c r="D100" s="447" t="s">
        <v>36</v>
      </c>
      <c r="E100" s="448">
        <v>446.0</v>
      </c>
      <c r="F100" s="443" t="s">
        <v>25</v>
      </c>
      <c r="G100" s="444"/>
    </row>
    <row r="101">
      <c r="A101" s="445">
        <v>45786.0</v>
      </c>
      <c r="B101" s="439" t="s">
        <v>2792</v>
      </c>
      <c r="C101" s="446">
        <v>681.0</v>
      </c>
      <c r="D101" s="447" t="s">
        <v>37</v>
      </c>
      <c r="E101" s="448">
        <v>180.0</v>
      </c>
      <c r="F101" s="443" t="s">
        <v>25</v>
      </c>
      <c r="G101" s="444"/>
    </row>
    <row r="102">
      <c r="A102" s="445">
        <v>45786.0</v>
      </c>
      <c r="B102" s="439" t="s">
        <v>2792</v>
      </c>
      <c r="C102" s="446">
        <v>681.0</v>
      </c>
      <c r="D102" s="447" t="s">
        <v>38</v>
      </c>
      <c r="E102" s="448">
        <v>480.0</v>
      </c>
      <c r="F102" s="443" t="s">
        <v>1622</v>
      </c>
      <c r="G102" s="444"/>
    </row>
    <row r="103">
      <c r="A103" s="445">
        <v>45786.0</v>
      </c>
      <c r="B103" s="439" t="s">
        <v>2792</v>
      </c>
      <c r="C103" s="446">
        <v>681.0</v>
      </c>
      <c r="D103" s="447" t="s">
        <v>23</v>
      </c>
      <c r="E103" s="448">
        <v>454.0</v>
      </c>
      <c r="F103" s="443" t="s">
        <v>25</v>
      </c>
      <c r="G103" s="444"/>
    </row>
    <row r="104">
      <c r="A104" s="445">
        <v>45786.0</v>
      </c>
      <c r="B104" s="439" t="s">
        <v>2792</v>
      </c>
      <c r="C104" s="446">
        <v>683.0</v>
      </c>
      <c r="D104" s="447" t="s">
        <v>36</v>
      </c>
      <c r="E104" s="448">
        <v>50.0</v>
      </c>
      <c r="F104" s="443" t="s">
        <v>25</v>
      </c>
      <c r="G104" s="444"/>
    </row>
    <row r="105">
      <c r="A105" s="449">
        <v>45786.0</v>
      </c>
      <c r="B105" s="439" t="s">
        <v>2792</v>
      </c>
      <c r="C105" s="446">
        <v>683.0</v>
      </c>
      <c r="D105" s="447" t="s">
        <v>37</v>
      </c>
      <c r="E105" s="448">
        <v>10.0</v>
      </c>
      <c r="F105" s="443" t="s">
        <v>25</v>
      </c>
      <c r="G105" s="444"/>
    </row>
    <row r="106">
      <c r="A106" s="449">
        <v>45786.0</v>
      </c>
      <c r="B106" s="439" t="s">
        <v>2792</v>
      </c>
      <c r="C106" s="446">
        <v>683.0</v>
      </c>
      <c r="D106" s="447" t="s">
        <v>38</v>
      </c>
      <c r="E106" s="448">
        <v>50.0</v>
      </c>
      <c r="F106" s="443" t="s">
        <v>1622</v>
      </c>
      <c r="G106" s="444"/>
    </row>
    <row r="107">
      <c r="A107" s="449">
        <v>45789.0</v>
      </c>
      <c r="B107" s="439" t="s">
        <v>2792</v>
      </c>
      <c r="C107" s="446">
        <v>686.0</v>
      </c>
      <c r="D107" s="447" t="s">
        <v>23</v>
      </c>
      <c r="E107" s="448">
        <v>2122.0</v>
      </c>
      <c r="F107" s="443" t="s">
        <v>25</v>
      </c>
      <c r="G107" s="444"/>
    </row>
    <row r="108">
      <c r="A108" s="449">
        <v>45790.0</v>
      </c>
      <c r="B108" s="439" t="s">
        <v>2792</v>
      </c>
      <c r="C108" s="446">
        <v>686.0</v>
      </c>
      <c r="D108" s="447" t="s">
        <v>36</v>
      </c>
      <c r="E108" s="448">
        <v>444.0</v>
      </c>
      <c r="F108" s="443" t="s">
        <v>25</v>
      </c>
      <c r="G108" s="444"/>
    </row>
    <row r="109">
      <c r="A109" s="438">
        <v>45790.0</v>
      </c>
      <c r="B109" s="439" t="s">
        <v>2792</v>
      </c>
      <c r="C109" s="446">
        <v>686.0</v>
      </c>
      <c r="D109" s="447" t="s">
        <v>37</v>
      </c>
      <c r="E109" s="448">
        <v>210.0</v>
      </c>
      <c r="F109" s="443" t="s">
        <v>25</v>
      </c>
      <c r="G109" s="444"/>
    </row>
    <row r="110">
      <c r="A110" s="445">
        <v>45790.0</v>
      </c>
      <c r="B110" s="439" t="s">
        <v>2792</v>
      </c>
      <c r="C110" s="446">
        <v>686.0</v>
      </c>
      <c r="D110" s="447" t="s">
        <v>38</v>
      </c>
      <c r="E110" s="448">
        <v>480.0</v>
      </c>
      <c r="F110" s="443" t="s">
        <v>1622</v>
      </c>
      <c r="G110" s="444"/>
    </row>
    <row r="111">
      <c r="A111" s="445">
        <v>45794.0</v>
      </c>
      <c r="B111" s="439" t="s">
        <v>2792</v>
      </c>
      <c r="C111" s="446">
        <v>690.0</v>
      </c>
      <c r="D111" s="447" t="s">
        <v>23</v>
      </c>
      <c r="E111" s="448">
        <v>697.0</v>
      </c>
      <c r="F111" s="443" t="s">
        <v>25</v>
      </c>
      <c r="G111" s="444"/>
    </row>
    <row r="112">
      <c r="A112" s="445">
        <v>45798.0</v>
      </c>
      <c r="B112" s="439" t="s">
        <v>2792</v>
      </c>
      <c r="C112" s="446">
        <v>696.0</v>
      </c>
      <c r="D112" s="447" t="s">
        <v>36</v>
      </c>
      <c r="E112" s="448">
        <v>449.0</v>
      </c>
      <c r="F112" s="443" t="s">
        <v>25</v>
      </c>
      <c r="G112" s="444"/>
    </row>
    <row r="113">
      <c r="A113" s="445">
        <v>45798.0</v>
      </c>
      <c r="B113" s="439" t="s">
        <v>2792</v>
      </c>
      <c r="C113" s="446">
        <v>696.0</v>
      </c>
      <c r="D113" s="447" t="s">
        <v>23</v>
      </c>
      <c r="E113" s="448">
        <v>1362.0</v>
      </c>
      <c r="F113" s="443" t="s">
        <v>25</v>
      </c>
      <c r="G113" s="444"/>
    </row>
    <row r="114">
      <c r="A114" s="445">
        <v>45799.0</v>
      </c>
      <c r="B114" s="439" t="s">
        <v>2792</v>
      </c>
      <c r="C114" s="446">
        <v>699.0</v>
      </c>
      <c r="D114" s="447" t="s">
        <v>38</v>
      </c>
      <c r="E114" s="448">
        <v>240.0</v>
      </c>
      <c r="F114" s="443" t="s">
        <v>1622</v>
      </c>
      <c r="G114" s="444"/>
    </row>
    <row r="115">
      <c r="A115" s="445">
        <v>45805.0</v>
      </c>
      <c r="B115" s="439" t="s">
        <v>2792</v>
      </c>
      <c r="C115" s="446">
        <v>1201.0</v>
      </c>
      <c r="D115" s="447" t="s">
        <v>36</v>
      </c>
      <c r="E115" s="448">
        <v>459.0</v>
      </c>
      <c r="F115" s="443" t="s">
        <v>25</v>
      </c>
      <c r="G115" s="444"/>
    </row>
    <row r="116">
      <c r="A116" s="445">
        <v>45805.0</v>
      </c>
      <c r="B116" s="439" t="s">
        <v>2792</v>
      </c>
      <c r="C116" s="446">
        <v>1201.0</v>
      </c>
      <c r="D116" s="447" t="s">
        <v>23</v>
      </c>
      <c r="E116" s="448">
        <v>1388.0</v>
      </c>
      <c r="F116" s="443" t="s">
        <v>25</v>
      </c>
      <c r="G116" s="444"/>
    </row>
    <row r="117">
      <c r="A117" s="445">
        <v>45805.0</v>
      </c>
      <c r="B117" s="439" t="s">
        <v>2792</v>
      </c>
      <c r="C117" s="446">
        <v>2101.0</v>
      </c>
      <c r="D117" s="447" t="s">
        <v>37</v>
      </c>
      <c r="E117" s="448">
        <v>210.0</v>
      </c>
      <c r="F117" s="443" t="s">
        <v>25</v>
      </c>
      <c r="G117" s="444"/>
    </row>
    <row r="118">
      <c r="A118" s="445">
        <v>45807.0</v>
      </c>
      <c r="B118" s="439" t="s">
        <v>2792</v>
      </c>
      <c r="C118" s="446">
        <v>1204.0</v>
      </c>
      <c r="D118" s="447" t="s">
        <v>38</v>
      </c>
      <c r="E118" s="448">
        <v>240.0</v>
      </c>
      <c r="F118" s="443" t="s">
        <v>1622</v>
      </c>
      <c r="G118" s="444"/>
    </row>
    <row r="119">
      <c r="A119" s="445">
        <v>45807.0</v>
      </c>
      <c r="B119" s="439" t="s">
        <v>2792</v>
      </c>
      <c r="C119" s="446">
        <v>1204.0</v>
      </c>
      <c r="D119" s="447" t="s">
        <v>23</v>
      </c>
      <c r="E119" s="448">
        <v>2066.0</v>
      </c>
      <c r="F119" s="443" t="s">
        <v>25</v>
      </c>
      <c r="G119" s="444"/>
    </row>
    <row r="120">
      <c r="A120" s="445">
        <v>45813.0</v>
      </c>
      <c r="B120" s="439" t="s">
        <v>2792</v>
      </c>
      <c r="C120" s="446">
        <v>1211.0</v>
      </c>
      <c r="D120" s="447" t="s">
        <v>23</v>
      </c>
      <c r="E120" s="448">
        <v>1816.0</v>
      </c>
      <c r="F120" s="443" t="s">
        <v>25</v>
      </c>
      <c r="G120" s="444"/>
    </row>
    <row r="121">
      <c r="A121" s="445">
        <v>45818.0</v>
      </c>
      <c r="B121" s="439" t="s">
        <v>2792</v>
      </c>
      <c r="C121" s="446">
        <v>1217.0</v>
      </c>
      <c r="D121" s="447" t="s">
        <v>36</v>
      </c>
      <c r="E121" s="448">
        <v>449.0</v>
      </c>
      <c r="F121" s="443" t="s">
        <v>25</v>
      </c>
      <c r="G121" s="444"/>
    </row>
    <row r="122">
      <c r="A122" s="450">
        <v>45818.0</v>
      </c>
      <c r="B122" s="439" t="s">
        <v>2792</v>
      </c>
      <c r="C122" s="451">
        <v>1217.0</v>
      </c>
      <c r="D122" s="452" t="s">
        <v>37</v>
      </c>
      <c r="E122" s="453">
        <v>410.0</v>
      </c>
      <c r="F122" s="443" t="s">
        <v>25</v>
      </c>
      <c r="G122" s="444"/>
    </row>
    <row r="123">
      <c r="A123" s="445">
        <v>45818.0</v>
      </c>
      <c r="B123" s="439" t="s">
        <v>2792</v>
      </c>
      <c r="C123" s="446">
        <v>1217.0</v>
      </c>
      <c r="D123" s="447" t="s">
        <v>38</v>
      </c>
      <c r="E123" s="448">
        <v>480.0</v>
      </c>
      <c r="F123" s="443" t="s">
        <v>1622</v>
      </c>
      <c r="G123" s="444"/>
    </row>
    <row r="124">
      <c r="A124" s="445">
        <v>45818.0</v>
      </c>
      <c r="B124" s="439" t="s">
        <v>2792</v>
      </c>
      <c r="C124" s="446">
        <v>1217.0</v>
      </c>
      <c r="D124" s="447" t="s">
        <v>23</v>
      </c>
      <c r="E124" s="448">
        <v>1600.0</v>
      </c>
      <c r="F124" s="443" t="s">
        <v>25</v>
      </c>
      <c r="G124" s="444"/>
    </row>
    <row r="125">
      <c r="A125" s="445">
        <v>45823.0</v>
      </c>
      <c r="B125" s="439" t="s">
        <v>2792</v>
      </c>
      <c r="C125" s="446">
        <v>1222.0</v>
      </c>
      <c r="D125" s="447" t="s">
        <v>23</v>
      </c>
      <c r="E125" s="448">
        <v>2288.0</v>
      </c>
      <c r="F125" s="443" t="s">
        <v>25</v>
      </c>
      <c r="G125" s="444"/>
    </row>
    <row r="126">
      <c r="A126" s="445">
        <v>45830.0</v>
      </c>
      <c r="B126" s="439" t="s">
        <v>2792</v>
      </c>
      <c r="C126" s="446">
        <v>1230.0</v>
      </c>
      <c r="D126" s="447" t="s">
        <v>23</v>
      </c>
      <c r="E126" s="448">
        <v>2061.0</v>
      </c>
      <c r="F126" s="443" t="s">
        <v>25</v>
      </c>
      <c r="G126" s="444"/>
    </row>
    <row r="127">
      <c r="A127" s="445">
        <v>45830.0</v>
      </c>
      <c r="B127" s="439" t="s">
        <v>2792</v>
      </c>
      <c r="C127" s="446">
        <v>1231.0</v>
      </c>
      <c r="D127" s="447" t="s">
        <v>36</v>
      </c>
      <c r="E127" s="448">
        <v>240.0</v>
      </c>
      <c r="F127" s="443" t="s">
        <v>25</v>
      </c>
      <c r="G127" s="444"/>
    </row>
    <row r="128">
      <c r="A128" s="450">
        <v>45836.0</v>
      </c>
      <c r="B128" s="439" t="s">
        <v>2792</v>
      </c>
      <c r="C128" s="451">
        <v>1239.0</v>
      </c>
      <c r="D128" s="452" t="s">
        <v>37</v>
      </c>
      <c r="E128" s="453">
        <v>200.0</v>
      </c>
      <c r="F128" s="443" t="s">
        <v>25</v>
      </c>
      <c r="G128" s="444"/>
    </row>
    <row r="129">
      <c r="A129" s="445">
        <v>45836.0</v>
      </c>
      <c r="B129" s="439" t="s">
        <v>2792</v>
      </c>
      <c r="C129" s="446">
        <v>1239.0</v>
      </c>
      <c r="D129" s="447" t="s">
        <v>38</v>
      </c>
      <c r="E129" s="448">
        <v>240.0</v>
      </c>
      <c r="F129" s="443" t="s">
        <v>1622</v>
      </c>
      <c r="G129" s="444"/>
    </row>
    <row r="130">
      <c r="A130" s="445">
        <v>45837.0</v>
      </c>
      <c r="B130" s="439" t="s">
        <v>2792</v>
      </c>
      <c r="C130" s="446">
        <v>1240.0</v>
      </c>
      <c r="D130" s="447" t="s">
        <v>36</v>
      </c>
      <c r="E130" s="448">
        <v>238.0</v>
      </c>
      <c r="F130" s="443" t="s">
        <v>25</v>
      </c>
      <c r="G130" s="444"/>
    </row>
    <row r="131">
      <c r="A131" s="445">
        <v>45837.0</v>
      </c>
      <c r="B131" s="439" t="s">
        <v>2792</v>
      </c>
      <c r="C131" s="446">
        <v>1241.0</v>
      </c>
      <c r="D131" s="447" t="s">
        <v>23</v>
      </c>
      <c r="E131" s="448">
        <v>2059.0</v>
      </c>
      <c r="F131" s="443" t="s">
        <v>25</v>
      </c>
      <c r="G131" s="444"/>
    </row>
    <row r="132">
      <c r="A132" s="445">
        <v>45841.0</v>
      </c>
      <c r="B132" s="439" t="s">
        <v>2792</v>
      </c>
      <c r="C132" s="446">
        <v>1245.0</v>
      </c>
      <c r="D132" s="447" t="s">
        <v>23</v>
      </c>
      <c r="E132" s="448">
        <v>2072.0</v>
      </c>
      <c r="F132" s="443" t="s">
        <v>25</v>
      </c>
      <c r="G132" s="444"/>
    </row>
    <row r="133">
      <c r="A133" s="445">
        <v>45846.0</v>
      </c>
      <c r="B133" s="439" t="s">
        <v>2792</v>
      </c>
      <c r="C133" s="446">
        <v>1247.0</v>
      </c>
      <c r="D133" s="447" t="s">
        <v>36</v>
      </c>
      <c r="E133" s="448">
        <v>246.0</v>
      </c>
      <c r="F133" s="443" t="s">
        <v>25</v>
      </c>
      <c r="G133" s="444"/>
    </row>
    <row r="134">
      <c r="A134" s="445">
        <v>45846.0</v>
      </c>
      <c r="B134" s="439" t="s">
        <v>2792</v>
      </c>
      <c r="C134" s="446">
        <v>1247.0</v>
      </c>
      <c r="D134" s="447" t="s">
        <v>23</v>
      </c>
      <c r="E134" s="448">
        <v>1837.0</v>
      </c>
      <c r="F134" s="443" t="s">
        <v>25</v>
      </c>
      <c r="G134" s="444"/>
    </row>
    <row r="135">
      <c r="A135" s="445">
        <v>45851.0</v>
      </c>
      <c r="B135" s="439" t="s">
        <v>2792</v>
      </c>
      <c r="C135" s="446">
        <v>201.0</v>
      </c>
      <c r="D135" s="447" t="s">
        <v>36</v>
      </c>
      <c r="E135" s="448">
        <v>220.0</v>
      </c>
      <c r="F135" s="443" t="s">
        <v>25</v>
      </c>
      <c r="G135" s="444"/>
    </row>
    <row r="136">
      <c r="A136" s="445">
        <v>45851.0</v>
      </c>
      <c r="B136" s="439" t="s">
        <v>2792</v>
      </c>
      <c r="C136" s="451">
        <v>201.0</v>
      </c>
      <c r="D136" s="452" t="s">
        <v>37</v>
      </c>
      <c r="E136" s="453">
        <v>200.0</v>
      </c>
      <c r="F136" s="443" t="s">
        <v>25</v>
      </c>
      <c r="G136" s="444"/>
    </row>
    <row r="137">
      <c r="A137" s="445">
        <v>45851.0</v>
      </c>
      <c r="B137" s="439" t="s">
        <v>2792</v>
      </c>
      <c r="C137" s="446">
        <v>201.0</v>
      </c>
      <c r="D137" s="447" t="s">
        <v>38</v>
      </c>
      <c r="E137" s="448">
        <v>200.0</v>
      </c>
      <c r="F137" s="443" t="s">
        <v>1622</v>
      </c>
      <c r="G137" s="444"/>
    </row>
    <row r="138">
      <c r="A138" s="450">
        <v>45851.0</v>
      </c>
      <c r="B138" s="439" t="s">
        <v>2792</v>
      </c>
      <c r="C138" s="451">
        <v>803.0</v>
      </c>
      <c r="D138" s="452" t="s">
        <v>37</v>
      </c>
      <c r="E138" s="453">
        <v>220.0</v>
      </c>
      <c r="F138" s="443" t="s">
        <v>25</v>
      </c>
      <c r="G138" s="444"/>
    </row>
    <row r="139">
      <c r="A139" s="445">
        <v>45851.0</v>
      </c>
      <c r="B139" s="439" t="s">
        <v>2792</v>
      </c>
      <c r="C139" s="446">
        <v>803.0</v>
      </c>
      <c r="D139" s="447" t="s">
        <v>23</v>
      </c>
      <c r="E139" s="448">
        <v>1150.0</v>
      </c>
      <c r="F139" s="443" t="s">
        <v>25</v>
      </c>
      <c r="G139" s="444"/>
    </row>
    <row r="140">
      <c r="A140" s="445">
        <v>45859.0</v>
      </c>
      <c r="B140" s="439" t="s">
        <v>2792</v>
      </c>
      <c r="C140" s="446">
        <v>202.0</v>
      </c>
      <c r="D140" s="447" t="s">
        <v>36</v>
      </c>
      <c r="E140" s="448">
        <v>200.0</v>
      </c>
      <c r="F140" s="443" t="s">
        <v>25</v>
      </c>
      <c r="G140" s="444"/>
    </row>
    <row r="141">
      <c r="A141" s="445">
        <v>45859.0</v>
      </c>
      <c r="B141" s="439" t="s">
        <v>2792</v>
      </c>
      <c r="C141" s="446">
        <v>809.0</v>
      </c>
      <c r="D141" s="447" t="s">
        <v>23</v>
      </c>
      <c r="E141" s="448">
        <v>1380.0</v>
      </c>
      <c r="F141" s="443" t="s">
        <v>25</v>
      </c>
      <c r="G141" s="444"/>
    </row>
    <row r="142">
      <c r="A142" s="445">
        <v>45864.0</v>
      </c>
      <c r="B142" s="439" t="s">
        <v>2792</v>
      </c>
      <c r="C142" s="446">
        <v>812.0</v>
      </c>
      <c r="D142" s="447" t="s">
        <v>36</v>
      </c>
      <c r="E142" s="448">
        <v>220.0</v>
      </c>
      <c r="F142" s="443" t="s">
        <v>25</v>
      </c>
      <c r="G142" s="444"/>
    </row>
    <row r="143">
      <c r="A143" s="445">
        <v>45864.0</v>
      </c>
      <c r="B143" s="439" t="s">
        <v>2792</v>
      </c>
      <c r="C143" s="446">
        <v>812.0</v>
      </c>
      <c r="D143" s="447" t="s">
        <v>23</v>
      </c>
      <c r="E143" s="448">
        <v>1760.0</v>
      </c>
      <c r="F143" s="443" t="s">
        <v>25</v>
      </c>
      <c r="G143" s="444"/>
    </row>
    <row r="144">
      <c r="A144" s="445">
        <v>45873.0</v>
      </c>
      <c r="B144" s="439" t="s">
        <v>2792</v>
      </c>
      <c r="C144" s="446">
        <v>815.0</v>
      </c>
      <c r="D144" s="447" t="s">
        <v>36</v>
      </c>
      <c r="E144" s="448">
        <v>239.0</v>
      </c>
      <c r="F144" s="443" t="s">
        <v>25</v>
      </c>
      <c r="G144" s="444"/>
    </row>
    <row r="145">
      <c r="A145" s="445">
        <v>45873.0</v>
      </c>
      <c r="B145" s="439" t="s">
        <v>2792</v>
      </c>
      <c r="C145" s="446">
        <v>815.0</v>
      </c>
      <c r="D145" s="447" t="s">
        <v>23</v>
      </c>
      <c r="E145" s="448">
        <v>1838.0</v>
      </c>
      <c r="F145" s="443" t="s">
        <v>25</v>
      </c>
      <c r="G145" s="444"/>
    </row>
    <row r="146">
      <c r="A146" s="445">
        <v>45877.0</v>
      </c>
      <c r="B146" s="439" t="s">
        <v>2792</v>
      </c>
      <c r="C146" s="446">
        <v>819.0</v>
      </c>
      <c r="D146" s="447" t="s">
        <v>23</v>
      </c>
      <c r="E146" s="448">
        <v>440.0</v>
      </c>
      <c r="F146" s="443" t="s">
        <v>25</v>
      </c>
      <c r="G146" s="444"/>
    </row>
    <row r="147">
      <c r="A147" s="445">
        <v>45880.0</v>
      </c>
      <c r="B147" s="439" t="s">
        <v>2792</v>
      </c>
      <c r="C147" s="446">
        <v>823.0</v>
      </c>
      <c r="D147" s="447" t="s">
        <v>36</v>
      </c>
      <c r="E147" s="448">
        <v>220.0</v>
      </c>
      <c r="F147" s="443" t="s">
        <v>25</v>
      </c>
      <c r="G147" s="444"/>
    </row>
    <row r="148">
      <c r="A148" s="445">
        <v>45880.0</v>
      </c>
      <c r="B148" s="439" t="s">
        <v>2792</v>
      </c>
      <c r="C148" s="446">
        <v>823.0</v>
      </c>
      <c r="D148" s="447" t="s">
        <v>23</v>
      </c>
      <c r="E148" s="448">
        <v>1760.0</v>
      </c>
      <c r="F148" s="443" t="s">
        <v>25</v>
      </c>
      <c r="G148" s="444"/>
    </row>
    <row r="149">
      <c r="A149" s="445">
        <v>45885.0</v>
      </c>
      <c r="B149" s="439" t="s">
        <v>2792</v>
      </c>
      <c r="C149" s="446">
        <v>825.0</v>
      </c>
      <c r="D149" s="447" t="s">
        <v>36</v>
      </c>
      <c r="E149" s="448">
        <v>220.0</v>
      </c>
      <c r="F149" s="443" t="s">
        <v>25</v>
      </c>
      <c r="G149" s="444"/>
    </row>
    <row r="150">
      <c r="A150" s="445">
        <v>45885.0</v>
      </c>
      <c r="B150" s="439" t="s">
        <v>2792</v>
      </c>
      <c r="C150" s="446">
        <v>825.0</v>
      </c>
      <c r="D150" s="447" t="s">
        <v>38</v>
      </c>
      <c r="E150" s="448">
        <v>240.0</v>
      </c>
      <c r="F150" s="443" t="s">
        <v>1622</v>
      </c>
      <c r="G150" s="444"/>
    </row>
    <row r="151">
      <c r="A151" s="445">
        <v>45885.0</v>
      </c>
      <c r="B151" s="439" t="s">
        <v>2792</v>
      </c>
      <c r="C151" s="446">
        <v>825.0</v>
      </c>
      <c r="D151" s="447" t="s">
        <v>23</v>
      </c>
      <c r="E151" s="448">
        <v>2200.0</v>
      </c>
      <c r="F151" s="443" t="s">
        <v>25</v>
      </c>
      <c r="G151" s="444"/>
    </row>
    <row r="152">
      <c r="A152" s="445">
        <v>45893.0</v>
      </c>
      <c r="B152" s="439" t="s">
        <v>2792</v>
      </c>
      <c r="C152" s="446">
        <v>831.0</v>
      </c>
      <c r="D152" s="447" t="s">
        <v>36</v>
      </c>
      <c r="E152" s="448">
        <v>440.0</v>
      </c>
      <c r="F152" s="443" t="s">
        <v>25</v>
      </c>
      <c r="G152" s="444"/>
    </row>
    <row r="153">
      <c r="A153" s="445">
        <v>45893.0</v>
      </c>
      <c r="B153" s="439" t="s">
        <v>2792</v>
      </c>
      <c r="C153" s="446">
        <v>831.0</v>
      </c>
      <c r="D153" s="447" t="s">
        <v>38</v>
      </c>
      <c r="E153" s="448">
        <v>300.0</v>
      </c>
      <c r="F153" s="443" t="s">
        <v>1622</v>
      </c>
      <c r="G153" s="444"/>
    </row>
    <row r="154">
      <c r="A154" s="445">
        <v>45893.0</v>
      </c>
      <c r="B154" s="439" t="s">
        <v>2792</v>
      </c>
      <c r="C154" s="446">
        <v>831.0</v>
      </c>
      <c r="D154" s="447" t="s">
        <v>23</v>
      </c>
      <c r="E154" s="448">
        <v>2200.0</v>
      </c>
      <c r="F154" s="443" t="s">
        <v>25</v>
      </c>
      <c r="G154" s="444"/>
    </row>
    <row r="155">
      <c r="A155" s="450">
        <v>45897.0</v>
      </c>
      <c r="B155" s="439" t="s">
        <v>2792</v>
      </c>
      <c r="C155" s="451">
        <v>835.0</v>
      </c>
      <c r="D155" s="452" t="s">
        <v>37</v>
      </c>
      <c r="E155" s="453">
        <v>200.0</v>
      </c>
      <c r="F155" s="443" t="s">
        <v>25</v>
      </c>
      <c r="G155" s="444"/>
    </row>
    <row r="156">
      <c r="A156" s="445">
        <v>45897.0</v>
      </c>
      <c r="B156" s="439" t="s">
        <v>2792</v>
      </c>
      <c r="C156" s="446">
        <v>835.0</v>
      </c>
      <c r="D156" s="447" t="s">
        <v>23</v>
      </c>
      <c r="E156" s="448">
        <v>1760.0</v>
      </c>
      <c r="F156" s="443" t="s">
        <v>25</v>
      </c>
      <c r="G156" s="444"/>
    </row>
    <row r="157">
      <c r="A157" s="445">
        <v>45901.0</v>
      </c>
      <c r="B157" s="439" t="s">
        <v>2792</v>
      </c>
      <c r="C157" s="446">
        <v>838.0</v>
      </c>
      <c r="D157" s="447" t="s">
        <v>36</v>
      </c>
      <c r="E157" s="448">
        <v>220.0</v>
      </c>
      <c r="F157" s="443" t="s">
        <v>25</v>
      </c>
      <c r="G157" s="444"/>
    </row>
    <row r="158">
      <c r="A158" s="454">
        <v>45901.0</v>
      </c>
      <c r="B158" s="439" t="s">
        <v>2792</v>
      </c>
      <c r="C158" s="455">
        <v>838.0</v>
      </c>
      <c r="D158" s="456" t="s">
        <v>23</v>
      </c>
      <c r="E158" s="457">
        <v>1320.0</v>
      </c>
      <c r="F158" s="458" t="s">
        <v>25</v>
      </c>
      <c r="G158" s="444"/>
    </row>
    <row r="159">
      <c r="A159" s="445">
        <v>45902.0</v>
      </c>
      <c r="B159" s="439" t="s">
        <v>2792</v>
      </c>
      <c r="C159" s="446">
        <v>838.0</v>
      </c>
      <c r="D159" s="447" t="s">
        <v>38</v>
      </c>
      <c r="E159" s="448">
        <v>440.0</v>
      </c>
      <c r="F159" s="443" t="s">
        <v>1622</v>
      </c>
      <c r="G159" s="444"/>
    </row>
    <row r="160">
      <c r="A160" s="445">
        <v>45903.0</v>
      </c>
      <c r="B160" s="439" t="s">
        <v>2792</v>
      </c>
      <c r="C160" s="446">
        <v>839.0</v>
      </c>
      <c r="D160" s="447" t="s">
        <v>36</v>
      </c>
      <c r="E160" s="448">
        <v>220.0</v>
      </c>
      <c r="F160" s="443" t="s">
        <v>25</v>
      </c>
      <c r="G160" s="444"/>
    </row>
    <row r="161">
      <c r="A161" s="445">
        <v>45903.0</v>
      </c>
      <c r="B161" s="439" t="s">
        <v>2792</v>
      </c>
      <c r="C161" s="446">
        <v>839.0</v>
      </c>
      <c r="D161" s="447" t="s">
        <v>23</v>
      </c>
      <c r="E161" s="448">
        <v>3080.0</v>
      </c>
      <c r="F161" s="443" t="s">
        <v>25</v>
      </c>
      <c r="G161" s="444"/>
    </row>
    <row r="162">
      <c r="A162" s="445">
        <v>45906.0</v>
      </c>
      <c r="B162" s="439" t="s">
        <v>2792</v>
      </c>
      <c r="C162" s="446">
        <v>840.0</v>
      </c>
      <c r="D162" s="447" t="s">
        <v>36</v>
      </c>
      <c r="E162" s="448">
        <v>220.0</v>
      </c>
      <c r="F162" s="443" t="s">
        <v>25</v>
      </c>
      <c r="G162" s="444"/>
    </row>
    <row r="163">
      <c r="A163" s="445">
        <v>45906.0</v>
      </c>
      <c r="B163" s="439" t="s">
        <v>2792</v>
      </c>
      <c r="C163" s="446">
        <v>840.0</v>
      </c>
      <c r="D163" s="447" t="s">
        <v>38</v>
      </c>
      <c r="E163" s="448">
        <v>520.0</v>
      </c>
      <c r="F163" s="443" t="s">
        <v>1622</v>
      </c>
      <c r="G163" s="444"/>
    </row>
    <row r="164">
      <c r="A164" s="445">
        <v>45906.0</v>
      </c>
      <c r="B164" s="439" t="s">
        <v>2792</v>
      </c>
      <c r="C164" s="446">
        <v>840.0</v>
      </c>
      <c r="D164" s="447" t="s">
        <v>23</v>
      </c>
      <c r="E164" s="448">
        <v>4180.0</v>
      </c>
      <c r="F164" s="443" t="s">
        <v>25</v>
      </c>
      <c r="G164" s="444"/>
    </row>
    <row r="165">
      <c r="A165" s="445">
        <v>45912.0</v>
      </c>
      <c r="B165" s="439" t="s">
        <v>2792</v>
      </c>
      <c r="C165" s="446">
        <v>843.0</v>
      </c>
      <c r="D165" s="447" t="s">
        <v>36</v>
      </c>
      <c r="E165" s="448">
        <v>220.0</v>
      </c>
      <c r="F165" s="443" t="s">
        <v>25</v>
      </c>
      <c r="G165" s="444"/>
    </row>
    <row r="166">
      <c r="A166" s="450">
        <v>45912.0</v>
      </c>
      <c r="B166" s="439" t="s">
        <v>2792</v>
      </c>
      <c r="C166" s="451">
        <v>843.0</v>
      </c>
      <c r="D166" s="452" t="s">
        <v>37</v>
      </c>
      <c r="E166" s="453">
        <v>200.0</v>
      </c>
      <c r="F166" s="443" t="s">
        <v>25</v>
      </c>
      <c r="G166" s="444"/>
    </row>
    <row r="167">
      <c r="A167" s="445">
        <v>45912.0</v>
      </c>
      <c r="B167" s="439" t="s">
        <v>2792</v>
      </c>
      <c r="C167" s="446">
        <v>843.0</v>
      </c>
      <c r="D167" s="447" t="s">
        <v>38</v>
      </c>
      <c r="E167" s="448">
        <v>210.0</v>
      </c>
      <c r="F167" s="443" t="s">
        <v>1622</v>
      </c>
      <c r="G167" s="444"/>
    </row>
    <row r="168">
      <c r="A168" s="445">
        <v>45915.0</v>
      </c>
      <c r="B168" s="439" t="s">
        <v>2792</v>
      </c>
      <c r="C168" s="446">
        <v>845.0</v>
      </c>
      <c r="D168" s="447" t="s">
        <v>36</v>
      </c>
      <c r="E168" s="448">
        <v>220.0</v>
      </c>
      <c r="F168" s="443" t="s">
        <v>25</v>
      </c>
      <c r="G168" s="444"/>
    </row>
    <row r="169">
      <c r="A169" s="445">
        <v>45915.0</v>
      </c>
      <c r="B169" s="439" t="s">
        <v>2792</v>
      </c>
      <c r="C169" s="446">
        <v>845.0</v>
      </c>
      <c r="D169" s="447" t="s">
        <v>23</v>
      </c>
      <c r="E169" s="448">
        <v>3960.0</v>
      </c>
      <c r="F169" s="443" t="s">
        <v>25</v>
      </c>
      <c r="G169" s="444"/>
    </row>
    <row r="170">
      <c r="A170" s="445">
        <v>45924.0</v>
      </c>
      <c r="B170" s="439" t="s">
        <v>2792</v>
      </c>
      <c r="C170" s="446">
        <v>849.0</v>
      </c>
      <c r="D170" s="447" t="s">
        <v>36</v>
      </c>
      <c r="E170" s="448">
        <v>440.0</v>
      </c>
      <c r="F170" s="443" t="s">
        <v>25</v>
      </c>
      <c r="G170" s="444"/>
    </row>
    <row r="171">
      <c r="A171" s="445">
        <v>45924.0</v>
      </c>
      <c r="B171" s="439" t="s">
        <v>2792</v>
      </c>
      <c r="C171" s="446">
        <v>849.0</v>
      </c>
      <c r="D171" s="447" t="s">
        <v>23</v>
      </c>
      <c r="E171" s="448">
        <v>2640.0</v>
      </c>
      <c r="F171" s="443" t="s">
        <v>25</v>
      </c>
      <c r="G171" s="444"/>
    </row>
    <row r="172">
      <c r="A172" s="445">
        <v>45929.0</v>
      </c>
      <c r="B172" s="439" t="s">
        <v>2792</v>
      </c>
      <c r="C172" s="446">
        <v>850.0</v>
      </c>
      <c r="D172" s="447" t="s">
        <v>23</v>
      </c>
      <c r="E172" s="448">
        <v>4180.0</v>
      </c>
      <c r="F172" s="443" t="s">
        <v>25</v>
      </c>
      <c r="G172" s="444"/>
    </row>
    <row r="173">
      <c r="A173" s="450">
        <v>45930.0</v>
      </c>
      <c r="B173" s="439" t="s">
        <v>2792</v>
      </c>
      <c r="C173" s="451">
        <v>850.0</v>
      </c>
      <c r="D173" s="452" t="s">
        <v>37</v>
      </c>
      <c r="E173" s="453">
        <v>400.0</v>
      </c>
      <c r="F173" s="443" t="s">
        <v>25</v>
      </c>
      <c r="G173" s="444"/>
    </row>
    <row r="174">
      <c r="A174" s="445">
        <v>45930.0</v>
      </c>
      <c r="B174" s="439" t="s">
        <v>2792</v>
      </c>
      <c r="C174" s="446">
        <v>850.0</v>
      </c>
      <c r="D174" s="447" t="s">
        <v>38</v>
      </c>
      <c r="E174" s="448">
        <v>720.0</v>
      </c>
      <c r="F174" s="443" t="s">
        <v>1622</v>
      </c>
      <c r="G174" s="444"/>
    </row>
    <row r="175">
      <c r="A175" s="445">
        <v>45937.0</v>
      </c>
      <c r="B175" s="439" t="s">
        <v>2792</v>
      </c>
      <c r="C175" s="446">
        <v>853.0</v>
      </c>
      <c r="D175" s="447" t="s">
        <v>36</v>
      </c>
      <c r="E175" s="448">
        <v>440.0</v>
      </c>
      <c r="F175" s="443" t="s">
        <v>25</v>
      </c>
      <c r="G175" s="444"/>
    </row>
    <row r="176">
      <c r="A176" s="445">
        <v>45937.0</v>
      </c>
      <c r="B176" s="439" t="s">
        <v>2792</v>
      </c>
      <c r="C176" s="446">
        <v>853.0</v>
      </c>
      <c r="D176" s="447" t="s">
        <v>23</v>
      </c>
      <c r="E176" s="448">
        <v>1980.0</v>
      </c>
      <c r="F176" s="443" t="s">
        <v>25</v>
      </c>
      <c r="G176" s="444"/>
    </row>
    <row r="177">
      <c r="A177" s="445">
        <v>45940.0</v>
      </c>
      <c r="B177" s="439" t="s">
        <v>2792</v>
      </c>
      <c r="C177" s="446">
        <v>858.0</v>
      </c>
      <c r="D177" s="447" t="s">
        <v>36</v>
      </c>
      <c r="E177" s="448">
        <v>220.0</v>
      </c>
      <c r="F177" s="443" t="s">
        <v>25</v>
      </c>
      <c r="G177" s="444"/>
    </row>
    <row r="178">
      <c r="A178" s="445">
        <v>45940.0</v>
      </c>
      <c r="B178" s="439" t="s">
        <v>2792</v>
      </c>
      <c r="C178" s="446">
        <v>858.0</v>
      </c>
      <c r="D178" s="447" t="s">
        <v>38</v>
      </c>
      <c r="E178" s="448">
        <v>240.0</v>
      </c>
      <c r="F178" s="443" t="s">
        <v>1622</v>
      </c>
      <c r="G178" s="444"/>
    </row>
    <row r="179">
      <c r="A179" s="445">
        <v>45940.0</v>
      </c>
      <c r="B179" s="439" t="s">
        <v>2792</v>
      </c>
      <c r="C179" s="446">
        <v>858.0</v>
      </c>
      <c r="D179" s="447" t="s">
        <v>23</v>
      </c>
      <c r="E179" s="448">
        <v>2860.0</v>
      </c>
      <c r="F179" s="443" t="s">
        <v>25</v>
      </c>
      <c r="G179" s="444"/>
    </row>
    <row r="180">
      <c r="A180" s="445">
        <v>45944.0</v>
      </c>
      <c r="B180" s="439" t="s">
        <v>2792</v>
      </c>
      <c r="C180" s="446">
        <v>859.0</v>
      </c>
      <c r="D180" s="447" t="s">
        <v>36</v>
      </c>
      <c r="E180" s="448">
        <v>220.0</v>
      </c>
      <c r="F180" s="443" t="s">
        <v>25</v>
      </c>
      <c r="G180" s="444"/>
    </row>
    <row r="181">
      <c r="A181" s="445">
        <v>45944.0</v>
      </c>
      <c r="B181" s="439" t="s">
        <v>2792</v>
      </c>
      <c r="C181" s="446">
        <v>859.0</v>
      </c>
      <c r="D181" s="447" t="s">
        <v>23</v>
      </c>
      <c r="E181" s="448">
        <v>3300.0</v>
      </c>
      <c r="F181" s="443" t="s">
        <v>25</v>
      </c>
      <c r="G181" s="444"/>
    </row>
    <row r="182">
      <c r="A182" s="445">
        <v>45949.0</v>
      </c>
      <c r="B182" s="439" t="s">
        <v>2792</v>
      </c>
      <c r="C182" s="446">
        <v>860.0</v>
      </c>
      <c r="D182" s="447" t="s">
        <v>38</v>
      </c>
      <c r="E182" s="448">
        <v>480.0</v>
      </c>
      <c r="F182" s="443" t="s">
        <v>1622</v>
      </c>
      <c r="G182" s="444"/>
    </row>
    <row r="183">
      <c r="A183" s="445">
        <v>45950.0</v>
      </c>
      <c r="B183" s="439" t="s">
        <v>2792</v>
      </c>
      <c r="C183" s="446">
        <v>860.0</v>
      </c>
      <c r="D183" s="447" t="s">
        <v>36</v>
      </c>
      <c r="E183" s="448">
        <v>220.0</v>
      </c>
      <c r="F183" s="443" t="s">
        <v>25</v>
      </c>
      <c r="G183" s="444"/>
    </row>
    <row r="184">
      <c r="A184" s="450">
        <v>45950.0</v>
      </c>
      <c r="B184" s="439" t="s">
        <v>2792</v>
      </c>
      <c r="C184" s="451">
        <v>860.0</v>
      </c>
      <c r="D184" s="452" t="s">
        <v>37</v>
      </c>
      <c r="E184" s="453">
        <v>400.0</v>
      </c>
      <c r="F184" s="443" t="s">
        <v>25</v>
      </c>
      <c r="G184" s="444"/>
    </row>
    <row r="185">
      <c r="A185" s="445">
        <v>45950.0</v>
      </c>
      <c r="B185" s="439" t="s">
        <v>2792</v>
      </c>
      <c r="C185" s="446">
        <v>860.0</v>
      </c>
      <c r="D185" s="447" t="s">
        <v>23</v>
      </c>
      <c r="E185" s="448">
        <v>1980.0</v>
      </c>
      <c r="F185" s="443" t="s">
        <v>25</v>
      </c>
      <c r="G185" s="444"/>
    </row>
    <row r="186">
      <c r="A186" s="445">
        <v>45952.0</v>
      </c>
      <c r="B186" s="439" t="s">
        <v>2792</v>
      </c>
      <c r="C186" s="446">
        <v>862.0</v>
      </c>
      <c r="D186" s="447" t="s">
        <v>36</v>
      </c>
      <c r="E186" s="448">
        <v>440.0</v>
      </c>
      <c r="F186" s="443" t="s">
        <v>25</v>
      </c>
      <c r="G186" s="444"/>
    </row>
    <row r="187">
      <c r="A187" s="445">
        <v>45952.0</v>
      </c>
      <c r="B187" s="439" t="s">
        <v>2792</v>
      </c>
      <c r="C187" s="446">
        <v>862.0</v>
      </c>
      <c r="D187" s="447" t="s">
        <v>23</v>
      </c>
      <c r="E187" s="448">
        <v>2640.0</v>
      </c>
      <c r="F187" s="443" t="s">
        <v>25</v>
      </c>
      <c r="G187" s="444"/>
    </row>
    <row r="188">
      <c r="A188" s="445">
        <v>45957.0</v>
      </c>
      <c r="B188" s="439" t="s">
        <v>2792</v>
      </c>
      <c r="C188" s="446">
        <v>863.0</v>
      </c>
      <c r="D188" s="447" t="s">
        <v>23</v>
      </c>
      <c r="E188" s="448">
        <v>2200.0</v>
      </c>
      <c r="F188" s="443" t="s">
        <v>25</v>
      </c>
      <c r="G188" s="444"/>
    </row>
    <row r="189">
      <c r="A189" s="445">
        <v>45960.0</v>
      </c>
      <c r="B189" s="439" t="s">
        <v>2792</v>
      </c>
      <c r="C189" s="446">
        <v>865.0</v>
      </c>
      <c r="D189" s="447" t="s">
        <v>23</v>
      </c>
      <c r="E189" s="448">
        <v>2640.0</v>
      </c>
      <c r="F189" s="443" t="s">
        <v>25</v>
      </c>
      <c r="G189" s="444"/>
    </row>
    <row r="190">
      <c r="A190" s="445">
        <v>45961.0</v>
      </c>
      <c r="B190" s="439" t="s">
        <v>2792</v>
      </c>
      <c r="C190" s="446">
        <v>865.0</v>
      </c>
      <c r="D190" s="447" t="s">
        <v>38</v>
      </c>
      <c r="E190" s="448">
        <v>480.0</v>
      </c>
      <c r="F190" s="443" t="s">
        <v>1622</v>
      </c>
      <c r="G190" s="444"/>
    </row>
    <row r="191">
      <c r="A191" s="445">
        <v>45966.0</v>
      </c>
      <c r="B191" s="439" t="s">
        <v>2792</v>
      </c>
      <c r="C191" s="446">
        <v>868.0</v>
      </c>
      <c r="D191" s="447" t="s">
        <v>36</v>
      </c>
      <c r="E191" s="448">
        <v>220.0</v>
      </c>
      <c r="F191" s="443" t="s">
        <v>25</v>
      </c>
      <c r="G191" s="444"/>
    </row>
    <row r="192">
      <c r="A192" s="445">
        <v>45966.0</v>
      </c>
      <c r="B192" s="439" t="s">
        <v>2792</v>
      </c>
      <c r="C192" s="446">
        <v>868.0</v>
      </c>
      <c r="D192" s="447" t="s">
        <v>23</v>
      </c>
      <c r="E192" s="448">
        <v>2640.0</v>
      </c>
      <c r="F192" s="443" t="s">
        <v>25</v>
      </c>
      <c r="G192" s="444"/>
    </row>
    <row r="193">
      <c r="A193" s="445">
        <v>45974.0</v>
      </c>
      <c r="B193" s="439" t="s">
        <v>2792</v>
      </c>
      <c r="C193" s="446">
        <v>869.0</v>
      </c>
      <c r="D193" s="447" t="s">
        <v>36</v>
      </c>
      <c r="E193" s="448">
        <v>220.0</v>
      </c>
      <c r="F193" s="443" t="s">
        <v>25</v>
      </c>
      <c r="G193" s="444"/>
    </row>
    <row r="194">
      <c r="A194" s="450">
        <v>45975.0</v>
      </c>
      <c r="B194" s="439" t="s">
        <v>2792</v>
      </c>
      <c r="C194" s="451">
        <v>869.0</v>
      </c>
      <c r="D194" s="452" t="s">
        <v>37</v>
      </c>
      <c r="E194" s="453">
        <v>420.0</v>
      </c>
      <c r="F194" s="443" t="s">
        <v>25</v>
      </c>
      <c r="G194" s="444"/>
    </row>
    <row r="195">
      <c r="A195" s="445">
        <v>45975.0</v>
      </c>
      <c r="B195" s="439" t="s">
        <v>2792</v>
      </c>
      <c r="C195" s="446">
        <v>869.0</v>
      </c>
      <c r="D195" s="447" t="s">
        <v>38</v>
      </c>
      <c r="E195" s="448">
        <v>480.0</v>
      </c>
      <c r="F195" s="443" t="s">
        <v>1622</v>
      </c>
      <c r="G195" s="444"/>
    </row>
    <row r="196">
      <c r="A196" s="445">
        <v>45975.0</v>
      </c>
      <c r="B196" s="439" t="s">
        <v>2792</v>
      </c>
      <c r="C196" s="446">
        <v>869.0</v>
      </c>
      <c r="D196" s="447" t="s">
        <v>23</v>
      </c>
      <c r="E196" s="448">
        <v>2640.0</v>
      </c>
      <c r="F196" s="443" t="s">
        <v>25</v>
      </c>
      <c r="G196" s="444"/>
    </row>
    <row r="197">
      <c r="A197" s="445">
        <v>45978.0</v>
      </c>
      <c r="B197" s="439" t="s">
        <v>2792</v>
      </c>
      <c r="C197" s="446">
        <v>871.0</v>
      </c>
      <c r="D197" s="447" t="s">
        <v>36</v>
      </c>
      <c r="E197" s="448">
        <v>440.0</v>
      </c>
      <c r="F197" s="443" t="s">
        <v>25</v>
      </c>
      <c r="G197" s="444"/>
    </row>
    <row r="198">
      <c r="A198" s="445">
        <v>45983.0</v>
      </c>
      <c r="B198" s="439" t="s">
        <v>2792</v>
      </c>
      <c r="C198" s="446">
        <v>873.0</v>
      </c>
      <c r="D198" s="447" t="s">
        <v>36</v>
      </c>
      <c r="E198" s="448">
        <v>220.0</v>
      </c>
      <c r="F198" s="443" t="s">
        <v>25</v>
      </c>
      <c r="G198" s="444"/>
    </row>
    <row r="199">
      <c r="A199" s="445">
        <v>45983.0</v>
      </c>
      <c r="B199" s="439" t="s">
        <v>2792</v>
      </c>
      <c r="C199" s="446">
        <v>873.0</v>
      </c>
      <c r="D199" s="447" t="s">
        <v>23</v>
      </c>
      <c r="E199" s="448">
        <v>2640.0</v>
      </c>
      <c r="F199" s="443" t="s">
        <v>25</v>
      </c>
      <c r="G199" s="444"/>
    </row>
    <row r="200">
      <c r="A200" s="445">
        <v>45984.0</v>
      </c>
      <c r="B200" s="439" t="s">
        <v>2792</v>
      </c>
      <c r="C200" s="446">
        <v>873.0</v>
      </c>
      <c r="D200" s="447" t="s">
        <v>38</v>
      </c>
      <c r="E200" s="448">
        <v>480.0</v>
      </c>
      <c r="F200" s="443" t="s">
        <v>1622</v>
      </c>
      <c r="G200" s="444"/>
    </row>
    <row r="201">
      <c r="A201" s="445">
        <v>45988.0</v>
      </c>
      <c r="B201" s="439" t="s">
        <v>2792</v>
      </c>
      <c r="C201" s="446">
        <v>876.0</v>
      </c>
      <c r="D201" s="447" t="s">
        <v>36</v>
      </c>
      <c r="E201" s="448">
        <v>220.0</v>
      </c>
      <c r="F201" s="443" t="s">
        <v>25</v>
      </c>
      <c r="G201" s="444"/>
    </row>
    <row r="202">
      <c r="A202" s="445">
        <v>45988.0</v>
      </c>
      <c r="B202" s="439" t="s">
        <v>2792</v>
      </c>
      <c r="C202" s="446">
        <v>876.0</v>
      </c>
      <c r="D202" s="447" t="s">
        <v>23</v>
      </c>
      <c r="E202" s="448">
        <v>2640.0</v>
      </c>
      <c r="F202" s="443" t="s">
        <v>25</v>
      </c>
      <c r="G202" s="444"/>
    </row>
    <row r="203">
      <c r="A203" s="445">
        <v>45991.0</v>
      </c>
      <c r="B203" s="439" t="s">
        <v>2792</v>
      </c>
      <c r="C203" s="446">
        <v>865.0</v>
      </c>
      <c r="D203" s="447" t="s">
        <v>36</v>
      </c>
      <c r="E203" s="448">
        <v>220.0</v>
      </c>
      <c r="F203" s="443" t="s">
        <v>25</v>
      </c>
      <c r="G203" s="444"/>
    </row>
    <row r="204">
      <c r="A204" s="445">
        <v>45993.0</v>
      </c>
      <c r="B204" s="439" t="s">
        <v>2792</v>
      </c>
      <c r="C204" s="446">
        <v>877.0</v>
      </c>
      <c r="D204" s="447" t="s">
        <v>36</v>
      </c>
      <c r="E204" s="448">
        <v>440.0</v>
      </c>
      <c r="F204" s="443" t="s">
        <v>25</v>
      </c>
      <c r="G204" s="444"/>
    </row>
    <row r="205">
      <c r="A205" s="445">
        <v>45993.0</v>
      </c>
      <c r="B205" s="439" t="s">
        <v>2792</v>
      </c>
      <c r="C205" s="446">
        <v>877.0</v>
      </c>
      <c r="D205" s="447" t="s">
        <v>23</v>
      </c>
      <c r="E205" s="448">
        <v>3080.0</v>
      </c>
      <c r="F205" s="443" t="s">
        <v>25</v>
      </c>
      <c r="G205" s="444"/>
    </row>
    <row r="206">
      <c r="A206" s="450">
        <v>45994.0</v>
      </c>
      <c r="B206" s="439" t="s">
        <v>2792</v>
      </c>
      <c r="C206" s="451">
        <v>877.0</v>
      </c>
      <c r="D206" s="452" t="s">
        <v>37</v>
      </c>
      <c r="E206" s="453">
        <v>210.0</v>
      </c>
      <c r="F206" s="443" t="s">
        <v>25</v>
      </c>
      <c r="G206" s="444"/>
    </row>
    <row r="207">
      <c r="A207" s="445">
        <v>45994.0</v>
      </c>
      <c r="B207" s="439" t="s">
        <v>2792</v>
      </c>
      <c r="C207" s="446">
        <v>877.0</v>
      </c>
      <c r="D207" s="447" t="s">
        <v>38</v>
      </c>
      <c r="E207" s="448">
        <v>480.0</v>
      </c>
      <c r="F207" s="443" t="s">
        <v>1622</v>
      </c>
      <c r="G207" s="444"/>
    </row>
    <row r="208">
      <c r="A208" s="445">
        <v>45997.0</v>
      </c>
      <c r="B208" s="439" t="s">
        <v>2792</v>
      </c>
      <c r="C208" s="446">
        <v>880.0</v>
      </c>
      <c r="D208" s="447" t="s">
        <v>36</v>
      </c>
      <c r="E208" s="448">
        <v>440.0</v>
      </c>
      <c r="F208" s="443" t="s">
        <v>25</v>
      </c>
      <c r="G208" s="444"/>
    </row>
    <row r="209">
      <c r="A209" s="445">
        <v>45997.0</v>
      </c>
      <c r="B209" s="439" t="s">
        <v>2792</v>
      </c>
      <c r="C209" s="446">
        <v>880.0</v>
      </c>
      <c r="D209" s="447" t="s">
        <v>23</v>
      </c>
      <c r="E209" s="448">
        <v>2640.0</v>
      </c>
      <c r="F209" s="443" t="s">
        <v>25</v>
      </c>
      <c r="G209" s="444"/>
    </row>
    <row r="210">
      <c r="A210" s="445">
        <v>45999.0</v>
      </c>
      <c r="B210" s="439" t="s">
        <v>2792</v>
      </c>
      <c r="C210" s="446">
        <v>880.0</v>
      </c>
      <c r="D210" s="447" t="s">
        <v>38</v>
      </c>
      <c r="E210" s="448">
        <v>480.0</v>
      </c>
      <c r="F210" s="443" t="s">
        <v>1622</v>
      </c>
      <c r="G210" s="444"/>
    </row>
    <row r="211">
      <c r="A211" s="445">
        <v>46003.0</v>
      </c>
      <c r="B211" s="439" t="s">
        <v>2792</v>
      </c>
      <c r="C211" s="446">
        <v>883.0</v>
      </c>
      <c r="D211" s="447" t="s">
        <v>36</v>
      </c>
      <c r="E211" s="448">
        <v>220.0</v>
      </c>
      <c r="F211" s="443" t="s">
        <v>25</v>
      </c>
      <c r="G211" s="444"/>
    </row>
    <row r="212">
      <c r="A212" s="445">
        <v>46003.0</v>
      </c>
      <c r="B212" s="439" t="s">
        <v>2792</v>
      </c>
      <c r="C212" s="446">
        <v>883.0</v>
      </c>
      <c r="D212" s="447" t="s">
        <v>23</v>
      </c>
      <c r="E212" s="448">
        <v>2640.0</v>
      </c>
      <c r="F212" s="443" t="s">
        <v>25</v>
      </c>
      <c r="G212" s="444"/>
    </row>
    <row r="213">
      <c r="A213" s="450">
        <v>46005.0</v>
      </c>
      <c r="B213" s="439" t="s">
        <v>2792</v>
      </c>
      <c r="C213" s="451">
        <v>883.0</v>
      </c>
      <c r="D213" s="452" t="s">
        <v>37</v>
      </c>
      <c r="E213" s="453">
        <v>210.0</v>
      </c>
      <c r="F213" s="443" t="s">
        <v>25</v>
      </c>
      <c r="G213" s="444"/>
    </row>
    <row r="214">
      <c r="A214" s="445">
        <v>46005.0</v>
      </c>
      <c r="B214" s="439" t="s">
        <v>2792</v>
      </c>
      <c r="C214" s="446">
        <v>883.0</v>
      </c>
      <c r="D214" s="447" t="s">
        <v>38</v>
      </c>
      <c r="E214" s="448">
        <v>240.0</v>
      </c>
      <c r="F214" s="443" t="s">
        <v>1622</v>
      </c>
      <c r="G214" s="444"/>
    </row>
    <row r="215">
      <c r="A215" s="445">
        <v>46009.0</v>
      </c>
      <c r="B215" s="439" t="s">
        <v>2792</v>
      </c>
      <c r="C215" s="446">
        <v>885.0</v>
      </c>
      <c r="D215" s="447" t="s">
        <v>36</v>
      </c>
      <c r="E215" s="448">
        <v>440.0</v>
      </c>
      <c r="F215" s="443" t="s">
        <v>25</v>
      </c>
      <c r="G215" s="444"/>
    </row>
    <row r="216">
      <c r="A216" s="445">
        <v>46009.0</v>
      </c>
      <c r="B216" s="439" t="s">
        <v>2792</v>
      </c>
      <c r="C216" s="446">
        <v>885.0</v>
      </c>
      <c r="D216" s="447" t="s">
        <v>23</v>
      </c>
      <c r="E216" s="448">
        <v>2640.0</v>
      </c>
      <c r="F216" s="443" t="s">
        <v>25</v>
      </c>
      <c r="G216" s="444"/>
    </row>
    <row r="217">
      <c r="A217" s="450">
        <v>46010.0</v>
      </c>
      <c r="B217" s="439" t="s">
        <v>2792</v>
      </c>
      <c r="C217" s="451">
        <v>885.0</v>
      </c>
      <c r="D217" s="452" t="s">
        <v>37</v>
      </c>
      <c r="E217" s="453">
        <v>210.0</v>
      </c>
      <c r="F217" s="443" t="s">
        <v>25</v>
      </c>
      <c r="G217" s="444"/>
    </row>
    <row r="218">
      <c r="A218" s="445">
        <v>46010.0</v>
      </c>
      <c r="B218" s="439" t="s">
        <v>2792</v>
      </c>
      <c r="C218" s="446">
        <v>885.0</v>
      </c>
      <c r="D218" s="447" t="s">
        <v>38</v>
      </c>
      <c r="E218" s="448">
        <v>480.0</v>
      </c>
      <c r="F218" s="443" t="s">
        <v>1622</v>
      </c>
      <c r="G218" s="444"/>
    </row>
    <row r="219">
      <c r="A219" s="445">
        <v>46014.0</v>
      </c>
      <c r="B219" s="439" t="s">
        <v>2792</v>
      </c>
      <c r="C219" s="446">
        <v>887.0</v>
      </c>
      <c r="D219" s="447" t="s">
        <v>36</v>
      </c>
      <c r="E219" s="448">
        <v>440.0</v>
      </c>
      <c r="F219" s="443" t="s">
        <v>25</v>
      </c>
      <c r="G219" s="444"/>
    </row>
    <row r="220">
      <c r="A220" s="445">
        <v>46014.0</v>
      </c>
      <c r="B220" s="439" t="s">
        <v>2792</v>
      </c>
      <c r="C220" s="446">
        <v>887.0</v>
      </c>
      <c r="D220" s="447" t="s">
        <v>23</v>
      </c>
      <c r="E220" s="448">
        <v>2640.0</v>
      </c>
      <c r="F220" s="443" t="s">
        <v>25</v>
      </c>
      <c r="G220" s="444"/>
    </row>
    <row r="221">
      <c r="A221" s="450">
        <v>46015.0</v>
      </c>
      <c r="B221" s="439" t="s">
        <v>2792</v>
      </c>
      <c r="C221" s="451">
        <v>887.0</v>
      </c>
      <c r="D221" s="452" t="s">
        <v>37</v>
      </c>
      <c r="E221" s="453">
        <v>5.0</v>
      </c>
      <c r="F221" s="443" t="s">
        <v>25</v>
      </c>
      <c r="G221" s="444"/>
    </row>
    <row r="222">
      <c r="A222" s="450">
        <v>46020.0</v>
      </c>
      <c r="B222" s="439" t="s">
        <v>2792</v>
      </c>
      <c r="C222" s="451">
        <v>889.0</v>
      </c>
      <c r="D222" s="452" t="s">
        <v>37</v>
      </c>
      <c r="E222" s="453">
        <v>210.0</v>
      </c>
      <c r="F222" s="443" t="s">
        <v>25</v>
      </c>
      <c r="G222" s="444"/>
    </row>
    <row r="223">
      <c r="A223" s="445">
        <v>46020.0</v>
      </c>
      <c r="B223" s="439" t="s">
        <v>2792</v>
      </c>
      <c r="C223" s="446">
        <v>889.0</v>
      </c>
      <c r="D223" s="447" t="s">
        <v>38</v>
      </c>
      <c r="E223" s="448">
        <v>480.0</v>
      </c>
      <c r="F223" s="443" t="s">
        <v>1622</v>
      </c>
      <c r="G223" s="444"/>
    </row>
    <row r="224">
      <c r="A224" s="445">
        <v>46020.0</v>
      </c>
      <c r="B224" s="439" t="s">
        <v>2792</v>
      </c>
      <c r="C224" s="446">
        <v>889.0</v>
      </c>
      <c r="D224" s="447" t="s">
        <v>23</v>
      </c>
      <c r="E224" s="448">
        <v>2640.0</v>
      </c>
      <c r="F224" s="443" t="s">
        <v>25</v>
      </c>
      <c r="G224" s="444"/>
    </row>
    <row r="225">
      <c r="A225" s="445">
        <v>46024.0</v>
      </c>
      <c r="B225" s="439" t="s">
        <v>2792</v>
      </c>
      <c r="C225" s="446">
        <v>892.0</v>
      </c>
      <c r="D225" s="447" t="s">
        <v>36</v>
      </c>
      <c r="E225" s="448">
        <v>440.0</v>
      </c>
      <c r="F225" s="443" t="s">
        <v>25</v>
      </c>
      <c r="G225" s="444"/>
    </row>
    <row r="226">
      <c r="A226" s="445">
        <v>46024.0</v>
      </c>
      <c r="B226" s="439" t="s">
        <v>2792</v>
      </c>
      <c r="C226" s="446">
        <v>892.0</v>
      </c>
      <c r="D226" s="447" t="s">
        <v>23</v>
      </c>
      <c r="E226" s="448">
        <v>2640.0</v>
      </c>
      <c r="F226" s="443" t="s">
        <v>25</v>
      </c>
      <c r="G226" s="444"/>
    </row>
    <row r="227">
      <c r="A227" s="445">
        <v>46027.0</v>
      </c>
      <c r="B227" s="439" t="s">
        <v>2792</v>
      </c>
      <c r="C227" s="446">
        <v>1012.0</v>
      </c>
      <c r="D227" s="447" t="s">
        <v>23</v>
      </c>
      <c r="E227" s="448">
        <v>2640.0</v>
      </c>
      <c r="F227" s="443" t="s">
        <v>25</v>
      </c>
      <c r="G227" s="444"/>
    </row>
    <row r="228">
      <c r="A228" s="445">
        <v>46031.0</v>
      </c>
      <c r="B228" s="439" t="s">
        <v>2792</v>
      </c>
      <c r="C228" s="446">
        <v>895.0</v>
      </c>
      <c r="D228" s="447" t="s">
        <v>36</v>
      </c>
      <c r="E228" s="448">
        <v>440.0</v>
      </c>
      <c r="F228" s="443" t="s">
        <v>25</v>
      </c>
      <c r="G228" s="444"/>
    </row>
    <row r="229">
      <c r="A229" s="445">
        <v>46031.0</v>
      </c>
      <c r="B229" s="439" t="s">
        <v>2792</v>
      </c>
      <c r="C229" s="446">
        <v>895.0</v>
      </c>
      <c r="D229" s="447" t="s">
        <v>38</v>
      </c>
      <c r="E229" s="448">
        <v>480.0</v>
      </c>
      <c r="F229" s="443" t="s">
        <v>1622</v>
      </c>
      <c r="G229" s="444"/>
    </row>
    <row r="230">
      <c r="A230" s="445">
        <v>46031.0</v>
      </c>
      <c r="B230" s="439" t="s">
        <v>2792</v>
      </c>
      <c r="C230" s="446">
        <v>895.0</v>
      </c>
      <c r="D230" s="447" t="s">
        <v>23</v>
      </c>
      <c r="E230" s="448">
        <v>2420.0</v>
      </c>
      <c r="F230" s="443" t="s">
        <v>25</v>
      </c>
      <c r="G230" s="444"/>
    </row>
    <row r="231">
      <c r="A231" s="445">
        <v>46031.0</v>
      </c>
      <c r="B231" s="439" t="s">
        <v>2792</v>
      </c>
      <c r="C231" s="446">
        <v>895.0</v>
      </c>
      <c r="D231" s="447" t="s">
        <v>23</v>
      </c>
      <c r="E231" s="448">
        <v>2420.0</v>
      </c>
      <c r="F231" s="443" t="s">
        <v>25</v>
      </c>
      <c r="G231" s="444"/>
    </row>
    <row r="232">
      <c r="A232" s="445">
        <v>46036.0</v>
      </c>
      <c r="B232" s="439" t="s">
        <v>2792</v>
      </c>
      <c r="C232" s="446">
        <v>896.0</v>
      </c>
      <c r="D232" s="447" t="s">
        <v>23</v>
      </c>
      <c r="E232" s="448">
        <v>2420.0</v>
      </c>
      <c r="F232" s="443" t="s">
        <v>25</v>
      </c>
      <c r="G232" s="444"/>
    </row>
    <row r="233">
      <c r="A233" s="445">
        <v>46036.0</v>
      </c>
      <c r="B233" s="439" t="s">
        <v>2792</v>
      </c>
      <c r="C233" s="446">
        <v>896.0</v>
      </c>
      <c r="D233" s="447" t="s">
        <v>23</v>
      </c>
      <c r="E233" s="448">
        <v>2420.0</v>
      </c>
      <c r="F233" s="443" t="s">
        <v>25</v>
      </c>
      <c r="G233" s="444"/>
    </row>
    <row r="234">
      <c r="A234" s="445">
        <v>46039.0</v>
      </c>
      <c r="B234" s="439" t="s">
        <v>2792</v>
      </c>
      <c r="C234" s="446">
        <v>898.0</v>
      </c>
      <c r="D234" s="447" t="s">
        <v>23</v>
      </c>
      <c r="E234" s="448">
        <v>2640.0</v>
      </c>
      <c r="F234" s="443" t="s">
        <v>25</v>
      </c>
      <c r="G234" s="444"/>
    </row>
    <row r="235">
      <c r="A235" s="445">
        <v>46040.0</v>
      </c>
      <c r="B235" s="439" t="s">
        <v>2792</v>
      </c>
      <c r="C235" s="446">
        <v>898.0</v>
      </c>
      <c r="D235" s="447" t="s">
        <v>36</v>
      </c>
      <c r="E235" s="448">
        <v>440.0</v>
      </c>
      <c r="F235" s="443" t="s">
        <v>25</v>
      </c>
      <c r="G235" s="444"/>
    </row>
    <row r="236">
      <c r="A236" s="450">
        <v>46040.0</v>
      </c>
      <c r="B236" s="439" t="s">
        <v>2792</v>
      </c>
      <c r="C236" s="451">
        <v>898.0</v>
      </c>
      <c r="D236" s="452" t="s">
        <v>37</v>
      </c>
      <c r="E236" s="453">
        <v>420.0</v>
      </c>
      <c r="F236" s="443" t="s">
        <v>25</v>
      </c>
      <c r="G236" s="444"/>
    </row>
    <row r="237">
      <c r="A237" s="445">
        <v>46040.0</v>
      </c>
      <c r="B237" s="439" t="s">
        <v>2792</v>
      </c>
      <c r="C237" s="446">
        <v>898.0</v>
      </c>
      <c r="D237" s="447" t="s">
        <v>38</v>
      </c>
      <c r="E237" s="448">
        <v>480.0</v>
      </c>
      <c r="F237" s="443" t="s">
        <v>1622</v>
      </c>
      <c r="G237" s="444"/>
    </row>
    <row r="238">
      <c r="A238" s="445">
        <v>46040.0</v>
      </c>
      <c r="B238" s="439" t="s">
        <v>2792</v>
      </c>
      <c r="C238" s="446">
        <v>898.0</v>
      </c>
      <c r="D238" s="447" t="s">
        <v>23</v>
      </c>
      <c r="E238" s="448">
        <v>2640.0</v>
      </c>
      <c r="F238" s="443" t="s">
        <v>25</v>
      </c>
      <c r="G238" s="444"/>
    </row>
    <row r="239">
      <c r="A239" s="445">
        <v>46045.0</v>
      </c>
      <c r="B239" s="439" t="s">
        <v>2792</v>
      </c>
      <c r="C239" s="446">
        <v>1003.0</v>
      </c>
      <c r="D239" s="447" t="s">
        <v>23</v>
      </c>
      <c r="E239" s="448">
        <v>2640.0</v>
      </c>
      <c r="F239" s="443" t="s">
        <v>25</v>
      </c>
      <c r="G239" s="444"/>
    </row>
    <row r="240">
      <c r="A240" s="459">
        <v>46049.0</v>
      </c>
      <c r="B240" s="439" t="s">
        <v>2792</v>
      </c>
      <c r="C240" s="451">
        <v>1005.0</v>
      </c>
      <c r="D240" s="460" t="s">
        <v>37</v>
      </c>
      <c r="E240" s="461">
        <v>5.0</v>
      </c>
      <c r="F240" s="443" t="s">
        <v>25</v>
      </c>
      <c r="G240" s="444"/>
    </row>
    <row r="241">
      <c r="A241" s="445">
        <v>46049.0</v>
      </c>
      <c r="B241" s="439" t="s">
        <v>2792</v>
      </c>
      <c r="C241" s="446">
        <v>1005.0</v>
      </c>
      <c r="D241" s="447" t="s">
        <v>23</v>
      </c>
      <c r="E241" s="448">
        <v>3080.0</v>
      </c>
      <c r="F241" s="443" t="s">
        <v>25</v>
      </c>
      <c r="G241" s="444"/>
    </row>
    <row r="242">
      <c r="A242" s="445">
        <v>46053.0</v>
      </c>
      <c r="B242" s="439" t="s">
        <v>2792</v>
      </c>
      <c r="C242" s="446">
        <v>1010.0</v>
      </c>
      <c r="D242" s="447" t="s">
        <v>38</v>
      </c>
      <c r="E242" s="448">
        <v>480.0</v>
      </c>
      <c r="F242" s="443" t="s">
        <v>39</v>
      </c>
      <c r="G242" s="444"/>
    </row>
    <row r="243">
      <c r="A243" s="445">
        <v>46054.0</v>
      </c>
      <c r="B243" s="439" t="s">
        <v>2792</v>
      </c>
      <c r="C243" s="446">
        <v>1010.0</v>
      </c>
      <c r="D243" s="447" t="s">
        <v>36</v>
      </c>
      <c r="E243" s="448">
        <v>440.0</v>
      </c>
      <c r="F243" s="443" t="s">
        <v>25</v>
      </c>
      <c r="G243" s="444"/>
    </row>
    <row r="244">
      <c r="A244" s="445">
        <v>46054.0</v>
      </c>
      <c r="B244" s="439" t="s">
        <v>2792</v>
      </c>
      <c r="C244" s="446">
        <v>1010.0</v>
      </c>
      <c r="D244" s="447" t="s">
        <v>23</v>
      </c>
      <c r="E244" s="448">
        <v>2640.0</v>
      </c>
      <c r="F244" s="443" t="s">
        <v>25</v>
      </c>
      <c r="G244" s="444"/>
    </row>
    <row r="245">
      <c r="A245" s="462">
        <v>46144.0</v>
      </c>
      <c r="B245" s="439" t="s">
        <v>2792</v>
      </c>
      <c r="C245" s="463">
        <v>1012.0</v>
      </c>
      <c r="D245" s="464" t="s">
        <v>23</v>
      </c>
      <c r="E245" s="465">
        <v>2640.0</v>
      </c>
      <c r="F245" s="466" t="s">
        <v>25</v>
      </c>
      <c r="G245" s="467"/>
    </row>
    <row r="246">
      <c r="A246" s="445">
        <v>46063.0</v>
      </c>
      <c r="B246" s="439" t="s">
        <v>2792</v>
      </c>
      <c r="C246" s="446">
        <v>1014.0</v>
      </c>
      <c r="D246" s="447" t="s">
        <v>23</v>
      </c>
      <c r="E246" s="448">
        <v>2640.0</v>
      </c>
      <c r="F246" s="468" t="s">
        <v>25</v>
      </c>
      <c r="G246" s="444"/>
    </row>
    <row r="247">
      <c r="A247" s="445">
        <v>46063.0</v>
      </c>
      <c r="B247" s="439" t="s">
        <v>2792</v>
      </c>
      <c r="C247" s="446">
        <v>1014.0</v>
      </c>
      <c r="D247" s="447" t="s">
        <v>36</v>
      </c>
      <c r="E247" s="448">
        <v>240.0</v>
      </c>
      <c r="F247" s="468" t="s">
        <v>25</v>
      </c>
      <c r="G247" s="444"/>
    </row>
    <row r="248">
      <c r="A248" s="445">
        <v>46063.0</v>
      </c>
      <c r="B248" s="439" t="s">
        <v>2792</v>
      </c>
      <c r="C248" s="446">
        <v>1014.0</v>
      </c>
      <c r="D248" s="447" t="s">
        <v>38</v>
      </c>
      <c r="E248" s="448">
        <v>480.0</v>
      </c>
      <c r="F248" s="468" t="s">
        <v>39</v>
      </c>
      <c r="G248" s="444"/>
    </row>
    <row r="249">
      <c r="A249" s="462" t="s">
        <v>2793</v>
      </c>
      <c r="B249" s="439" t="s">
        <v>2792</v>
      </c>
      <c r="C249" s="463">
        <v>1015.0</v>
      </c>
      <c r="D249" s="464" t="s">
        <v>2794</v>
      </c>
      <c r="E249" s="465">
        <v>420.0</v>
      </c>
      <c r="F249" s="469" t="s">
        <v>25</v>
      </c>
      <c r="G249" s="467"/>
    </row>
    <row r="250">
      <c r="A250" s="470">
        <v>46068.0</v>
      </c>
      <c r="B250" s="439" t="s">
        <v>2792</v>
      </c>
      <c r="C250" s="471">
        <v>1016.0</v>
      </c>
      <c r="D250" s="472" t="s">
        <v>23</v>
      </c>
      <c r="E250" s="473">
        <v>2640.0</v>
      </c>
      <c r="F250" s="474" t="s">
        <v>25</v>
      </c>
      <c r="G250" s="475"/>
    </row>
    <row r="251">
      <c r="A251" s="476" t="s">
        <v>2795</v>
      </c>
      <c r="B251" s="439" t="s">
        <v>2792</v>
      </c>
      <c r="C251" s="477">
        <v>1019.0</v>
      </c>
      <c r="D251" s="478" t="s">
        <v>23</v>
      </c>
      <c r="E251" s="479">
        <v>2640.0</v>
      </c>
      <c r="F251" s="480" t="s">
        <v>25</v>
      </c>
      <c r="G251" s="475"/>
    </row>
    <row r="252">
      <c r="A252" s="476" t="s">
        <v>2796</v>
      </c>
      <c r="B252" s="439" t="s">
        <v>2792</v>
      </c>
      <c r="C252" s="477">
        <v>1020.0</v>
      </c>
      <c r="D252" s="478" t="s">
        <v>201</v>
      </c>
      <c r="E252" s="479">
        <v>10.0</v>
      </c>
      <c r="F252" s="480" t="s">
        <v>25</v>
      </c>
      <c r="G252" s="475"/>
    </row>
    <row r="253">
      <c r="A253" s="476" t="s">
        <v>2796</v>
      </c>
      <c r="B253" s="439" t="s">
        <v>2792</v>
      </c>
      <c r="C253" s="477">
        <v>1020.0</v>
      </c>
      <c r="D253" s="478" t="s">
        <v>38</v>
      </c>
      <c r="E253" s="479">
        <v>480.0</v>
      </c>
      <c r="F253" s="480" t="s">
        <v>39</v>
      </c>
      <c r="G253" s="475"/>
    </row>
    <row r="254">
      <c r="A254" s="476" t="s">
        <v>2796</v>
      </c>
      <c r="B254" s="439" t="s">
        <v>2792</v>
      </c>
      <c r="C254" s="477">
        <v>1020.0</v>
      </c>
      <c r="D254" s="478" t="s">
        <v>36</v>
      </c>
      <c r="E254" s="479">
        <v>440.0</v>
      </c>
      <c r="F254" s="480" t="s">
        <v>25</v>
      </c>
      <c r="G254" s="475"/>
    </row>
    <row r="255">
      <c r="A255" s="476" t="s">
        <v>2796</v>
      </c>
      <c r="B255" s="439" t="s">
        <v>2792</v>
      </c>
      <c r="C255" s="477">
        <v>1020.0</v>
      </c>
      <c r="D255" s="478" t="s">
        <v>23</v>
      </c>
      <c r="E255" s="479">
        <v>2640.0</v>
      </c>
      <c r="F255" s="480" t="s">
        <v>25</v>
      </c>
      <c r="G255" s="475"/>
    </row>
    <row r="256">
      <c r="A256" s="476">
        <v>46115.0</v>
      </c>
      <c r="B256" s="439" t="s">
        <v>2792</v>
      </c>
      <c r="C256" s="477">
        <v>1025.0</v>
      </c>
      <c r="D256" s="478" t="s">
        <v>2797</v>
      </c>
      <c r="E256" s="481">
        <v>420.0</v>
      </c>
      <c r="F256" s="480" t="s">
        <v>25</v>
      </c>
      <c r="G256" s="475"/>
    </row>
    <row r="257">
      <c r="A257" s="476">
        <v>46115.0</v>
      </c>
      <c r="B257" s="439" t="s">
        <v>2792</v>
      </c>
      <c r="C257" s="477">
        <v>1025.0</v>
      </c>
      <c r="D257" s="478" t="s">
        <v>23</v>
      </c>
      <c r="E257" s="481">
        <v>2640.0</v>
      </c>
      <c r="F257" s="480" t="s">
        <v>25</v>
      </c>
      <c r="G257" s="475"/>
    </row>
    <row r="258">
      <c r="A258" s="476">
        <v>46115.0</v>
      </c>
      <c r="B258" s="439" t="s">
        <v>2792</v>
      </c>
      <c r="C258" s="477">
        <v>1025.0</v>
      </c>
      <c r="D258" s="478" t="s">
        <v>36</v>
      </c>
      <c r="E258" s="481">
        <v>220.0</v>
      </c>
      <c r="F258" s="480" t="s">
        <v>25</v>
      </c>
      <c r="G258" s="475"/>
    </row>
    <row r="259">
      <c r="A259" s="476">
        <v>46237.0</v>
      </c>
      <c r="B259" s="439" t="s">
        <v>2792</v>
      </c>
      <c r="C259" s="477">
        <v>1027.0</v>
      </c>
      <c r="D259" s="478" t="s">
        <v>2798</v>
      </c>
      <c r="E259" s="481">
        <v>2860.0</v>
      </c>
      <c r="F259" s="480" t="s">
        <v>25</v>
      </c>
      <c r="G259" s="475"/>
    </row>
    <row r="260">
      <c r="A260" s="476">
        <v>46237.0</v>
      </c>
      <c r="B260" s="439" t="s">
        <v>2792</v>
      </c>
      <c r="C260" s="477">
        <v>1027.0</v>
      </c>
      <c r="D260" s="478" t="s">
        <v>36</v>
      </c>
      <c r="E260" s="481">
        <v>220.0</v>
      </c>
      <c r="F260" s="480" t="s">
        <v>25</v>
      </c>
      <c r="G260" s="475"/>
    </row>
    <row r="261">
      <c r="A261" s="476">
        <v>46237.0</v>
      </c>
      <c r="B261" s="439" t="s">
        <v>2792</v>
      </c>
      <c r="C261" s="477">
        <v>1027.0</v>
      </c>
      <c r="D261" s="478" t="s">
        <v>38</v>
      </c>
      <c r="E261" s="481">
        <v>240.0</v>
      </c>
      <c r="F261" s="480" t="s">
        <v>39</v>
      </c>
      <c r="G261" s="475"/>
    </row>
    <row r="262">
      <c r="A262" s="476" t="s">
        <v>2799</v>
      </c>
      <c r="B262" s="439" t="s">
        <v>2792</v>
      </c>
      <c r="C262" s="482">
        <v>1029.0</v>
      </c>
      <c r="D262" s="478" t="s">
        <v>36</v>
      </c>
      <c r="E262" s="481">
        <v>440.0</v>
      </c>
      <c r="F262" s="480" t="s">
        <v>25</v>
      </c>
      <c r="G262" s="475"/>
    </row>
    <row r="263">
      <c r="A263" s="476" t="s">
        <v>2799</v>
      </c>
      <c r="B263" s="439" t="s">
        <v>2792</v>
      </c>
      <c r="C263" s="482">
        <v>1029.0</v>
      </c>
      <c r="D263" s="362" t="s">
        <v>23</v>
      </c>
      <c r="E263" s="483">
        <v>2860.0</v>
      </c>
      <c r="F263" s="362" t="s">
        <v>25</v>
      </c>
      <c r="G263" s="484"/>
    </row>
    <row r="264">
      <c r="A264" s="476" t="s">
        <v>2799</v>
      </c>
      <c r="B264" s="439" t="s">
        <v>2792</v>
      </c>
      <c r="C264" s="482">
        <v>1029.0</v>
      </c>
      <c r="D264" s="362" t="s">
        <v>38</v>
      </c>
      <c r="E264" s="483">
        <v>480.0</v>
      </c>
      <c r="F264" s="362" t="s">
        <v>39</v>
      </c>
      <c r="G264" s="484"/>
    </row>
    <row r="265">
      <c r="A265" s="485" t="s">
        <v>2800</v>
      </c>
      <c r="B265" s="439" t="s">
        <v>2792</v>
      </c>
      <c r="C265" s="486">
        <v>1030.0</v>
      </c>
      <c r="D265" s="487" t="s">
        <v>2801</v>
      </c>
      <c r="E265" s="483">
        <v>2640.0</v>
      </c>
      <c r="F265" s="488" t="s">
        <v>25</v>
      </c>
      <c r="G265" s="489"/>
    </row>
    <row r="266">
      <c r="A266" s="490" t="s">
        <v>2802</v>
      </c>
      <c r="B266" s="439" t="s">
        <v>2792</v>
      </c>
      <c r="C266" s="486">
        <v>1032.0</v>
      </c>
      <c r="D266" s="487" t="s">
        <v>23</v>
      </c>
      <c r="E266" s="483">
        <v>2640.0</v>
      </c>
      <c r="F266" s="488" t="s">
        <v>25</v>
      </c>
      <c r="G266" s="489"/>
    </row>
    <row r="267">
      <c r="A267" s="491">
        <v>46109.0</v>
      </c>
      <c r="B267" s="439" t="s">
        <v>2792</v>
      </c>
      <c r="C267" s="482">
        <v>1036.0</v>
      </c>
      <c r="D267" s="478" t="s">
        <v>2803</v>
      </c>
      <c r="E267" s="481">
        <v>210.0</v>
      </c>
      <c r="F267" s="480" t="s">
        <v>25</v>
      </c>
      <c r="G267" s="475"/>
    </row>
    <row r="268">
      <c r="A268" s="491">
        <v>46109.0</v>
      </c>
      <c r="B268" s="439" t="s">
        <v>2792</v>
      </c>
      <c r="C268" s="482">
        <v>1036.0</v>
      </c>
      <c r="D268" s="478" t="s">
        <v>38</v>
      </c>
      <c r="E268" s="481">
        <v>480.0</v>
      </c>
      <c r="F268" s="480" t="s">
        <v>39</v>
      </c>
      <c r="G268" s="475"/>
      <c r="H268" s="492"/>
    </row>
    <row r="269">
      <c r="A269" s="491">
        <v>46109.0</v>
      </c>
      <c r="B269" s="439" t="s">
        <v>2792</v>
      </c>
      <c r="C269" s="482">
        <v>1036.0</v>
      </c>
      <c r="D269" s="478" t="s">
        <v>23</v>
      </c>
      <c r="E269" s="481">
        <v>2640.0</v>
      </c>
      <c r="F269" s="480" t="s">
        <v>25</v>
      </c>
      <c r="G269" s="475"/>
    </row>
    <row r="270">
      <c r="A270" s="491">
        <v>46109.0</v>
      </c>
      <c r="B270" s="439" t="s">
        <v>2792</v>
      </c>
      <c r="C270" s="482">
        <v>1036.0</v>
      </c>
      <c r="D270" s="478" t="s">
        <v>36</v>
      </c>
      <c r="E270" s="481">
        <v>440.0</v>
      </c>
      <c r="F270" s="480" t="s">
        <v>25</v>
      </c>
      <c r="G270" s="475"/>
    </row>
    <row r="271">
      <c r="A271" s="491">
        <v>46113.0</v>
      </c>
      <c r="B271" s="439" t="s">
        <v>2792</v>
      </c>
      <c r="C271" s="482">
        <v>1039.0</v>
      </c>
      <c r="D271" s="478" t="s">
        <v>23</v>
      </c>
      <c r="E271" s="479">
        <v>2640.0</v>
      </c>
      <c r="F271" s="480" t="s">
        <v>25</v>
      </c>
      <c r="G271" s="475"/>
    </row>
    <row r="272">
      <c r="A272" s="491">
        <v>46118.0</v>
      </c>
      <c r="B272" s="439" t="s">
        <v>2792</v>
      </c>
      <c r="C272" s="493">
        <v>1042.0</v>
      </c>
      <c r="D272" s="494" t="s">
        <v>38</v>
      </c>
      <c r="E272" s="495">
        <v>480.0</v>
      </c>
      <c r="F272" s="496" t="s">
        <v>39</v>
      </c>
      <c r="G272" s="497"/>
    </row>
    <row r="273">
      <c r="A273" s="491">
        <v>46118.0</v>
      </c>
      <c r="B273" s="439" t="s">
        <v>2792</v>
      </c>
      <c r="C273" s="493">
        <v>1042.0</v>
      </c>
      <c r="D273" s="478" t="s">
        <v>23</v>
      </c>
      <c r="E273" s="479">
        <v>2200.0</v>
      </c>
      <c r="F273" s="480" t="s">
        <v>25</v>
      </c>
      <c r="G273" s="475"/>
    </row>
    <row r="274">
      <c r="A274" s="491">
        <v>46118.0</v>
      </c>
      <c r="B274" s="439" t="s">
        <v>2792</v>
      </c>
      <c r="C274" s="493">
        <v>1042.0</v>
      </c>
      <c r="D274" s="478" t="s">
        <v>36</v>
      </c>
      <c r="E274" s="479">
        <v>220.0</v>
      </c>
      <c r="F274" s="480" t="s">
        <v>25</v>
      </c>
      <c r="G274" s="475"/>
    </row>
    <row r="275">
      <c r="A275" s="491">
        <v>46118.0</v>
      </c>
      <c r="B275" s="439" t="s">
        <v>2792</v>
      </c>
      <c r="C275" s="493">
        <v>1042.0</v>
      </c>
      <c r="D275" s="478" t="s">
        <v>2804</v>
      </c>
      <c r="E275" s="479">
        <v>420.0</v>
      </c>
      <c r="F275" s="480" t="s">
        <v>25</v>
      </c>
      <c r="G275" s="475"/>
    </row>
    <row r="276">
      <c r="A276" s="476">
        <v>46125.0</v>
      </c>
      <c r="B276" s="439" t="s">
        <v>2792</v>
      </c>
      <c r="C276" s="482">
        <v>1044.0</v>
      </c>
      <c r="D276" s="478" t="s">
        <v>23</v>
      </c>
      <c r="E276" s="479">
        <v>2200.0</v>
      </c>
      <c r="F276" s="480" t="s">
        <v>25</v>
      </c>
      <c r="G276" s="475"/>
    </row>
    <row r="277">
      <c r="A277" s="476">
        <v>46125.0</v>
      </c>
      <c r="B277" s="439" t="s">
        <v>2792</v>
      </c>
      <c r="C277" s="482">
        <v>1044.0</v>
      </c>
      <c r="D277" s="478" t="s">
        <v>36</v>
      </c>
      <c r="E277" s="479">
        <v>440.0</v>
      </c>
      <c r="F277" s="480" t="s">
        <v>25</v>
      </c>
      <c r="G277" s="475"/>
    </row>
    <row r="278">
      <c r="A278" s="476" t="s">
        <v>2805</v>
      </c>
      <c r="B278" s="439" t="s">
        <v>2792</v>
      </c>
      <c r="C278" s="482">
        <v>1047.0</v>
      </c>
      <c r="D278" s="478" t="s">
        <v>23</v>
      </c>
      <c r="E278" s="479">
        <v>2200.0</v>
      </c>
      <c r="F278" s="480" t="s">
        <v>25</v>
      </c>
      <c r="G278" s="475"/>
    </row>
    <row r="279">
      <c r="A279" s="476">
        <v>46136.0</v>
      </c>
      <c r="B279" s="439" t="s">
        <v>2792</v>
      </c>
      <c r="C279" s="482">
        <v>1051.0</v>
      </c>
      <c r="D279" s="478" t="s">
        <v>23</v>
      </c>
      <c r="E279" s="479">
        <v>1508.0</v>
      </c>
      <c r="F279" s="480" t="s">
        <v>25</v>
      </c>
      <c r="G279" s="475"/>
    </row>
    <row r="280">
      <c r="A280" s="476">
        <v>46136.0</v>
      </c>
      <c r="B280" s="439" t="s">
        <v>2792</v>
      </c>
      <c r="C280" s="482">
        <v>1051.0</v>
      </c>
      <c r="D280" s="478" t="s">
        <v>36</v>
      </c>
      <c r="E280" s="479">
        <v>440.0</v>
      </c>
      <c r="F280" s="480" t="s">
        <v>25</v>
      </c>
      <c r="G280" s="475"/>
    </row>
    <row r="281">
      <c r="A281" s="476">
        <v>46136.0</v>
      </c>
      <c r="B281" s="439" t="s">
        <v>2792</v>
      </c>
      <c r="C281" s="482">
        <v>1051.0</v>
      </c>
      <c r="D281" s="478" t="s">
        <v>38</v>
      </c>
      <c r="E281" s="479">
        <v>480.0</v>
      </c>
      <c r="F281" s="496" t="s">
        <v>39</v>
      </c>
      <c r="G281" s="498"/>
    </row>
    <row r="282">
      <c r="A282" s="476">
        <v>46136.0</v>
      </c>
      <c r="B282" s="439" t="s">
        <v>2792</v>
      </c>
      <c r="C282" s="482">
        <v>215.0</v>
      </c>
      <c r="D282" s="478" t="s">
        <v>36</v>
      </c>
      <c r="E282" s="479">
        <v>50.0</v>
      </c>
      <c r="F282" s="480" t="s">
        <v>25</v>
      </c>
      <c r="G282" s="499" t="s">
        <v>2806</v>
      </c>
    </row>
    <row r="283">
      <c r="A283" s="476">
        <v>46136.0</v>
      </c>
      <c r="B283" s="439" t="s">
        <v>2792</v>
      </c>
      <c r="C283" s="482">
        <v>215.0</v>
      </c>
      <c r="D283" s="478" t="s">
        <v>38</v>
      </c>
      <c r="E283" s="479">
        <v>50.0</v>
      </c>
      <c r="F283" s="496" t="s">
        <v>39</v>
      </c>
      <c r="G283" s="499" t="s">
        <v>2806</v>
      </c>
    </row>
    <row r="284">
      <c r="A284" s="476">
        <v>46141.0</v>
      </c>
      <c r="B284" s="439" t="s">
        <v>2792</v>
      </c>
      <c r="C284" s="482">
        <v>1053.0</v>
      </c>
      <c r="D284" s="478" t="s">
        <v>23</v>
      </c>
      <c r="E284" s="479">
        <v>2640.0</v>
      </c>
      <c r="F284" s="480" t="s">
        <v>25</v>
      </c>
      <c r="G284" s="475"/>
    </row>
    <row r="285">
      <c r="A285" s="476">
        <v>46141.0</v>
      </c>
      <c r="B285" s="439" t="s">
        <v>2792</v>
      </c>
      <c r="C285" s="482">
        <v>1053.0</v>
      </c>
      <c r="D285" s="478" t="s">
        <v>2807</v>
      </c>
      <c r="E285" s="479">
        <v>10.0</v>
      </c>
      <c r="F285" s="480" t="s">
        <v>25</v>
      </c>
      <c r="G285" s="475"/>
    </row>
    <row r="286">
      <c r="A286" s="476">
        <v>46148.0</v>
      </c>
      <c r="B286" s="439" t="s">
        <v>2792</v>
      </c>
      <c r="C286" s="482">
        <v>1055.0</v>
      </c>
      <c r="D286" s="478" t="s">
        <v>23</v>
      </c>
      <c r="E286" s="479">
        <v>2420.0</v>
      </c>
      <c r="F286" s="480" t="s">
        <v>25</v>
      </c>
      <c r="G286" s="475"/>
    </row>
    <row r="287">
      <c r="A287" s="476">
        <v>46148.0</v>
      </c>
      <c r="B287" s="439" t="s">
        <v>2792</v>
      </c>
      <c r="C287" s="482">
        <v>1055.0</v>
      </c>
      <c r="D287" s="478" t="s">
        <v>36</v>
      </c>
      <c r="E287" s="479">
        <v>220.0</v>
      </c>
      <c r="F287" s="480" t="s">
        <v>25</v>
      </c>
      <c r="G287" s="475"/>
    </row>
    <row r="288">
      <c r="A288" s="476">
        <v>46154.0</v>
      </c>
      <c r="B288" s="439" t="s">
        <v>2792</v>
      </c>
      <c r="C288" s="482">
        <v>1057.0</v>
      </c>
      <c r="D288" s="478" t="s">
        <v>23</v>
      </c>
      <c r="E288" s="479">
        <v>2420.0</v>
      </c>
      <c r="F288" s="480" t="s">
        <v>25</v>
      </c>
      <c r="G288" s="475"/>
    </row>
    <row r="289">
      <c r="A289" s="476">
        <v>46154.0</v>
      </c>
      <c r="B289" s="439" t="s">
        <v>2792</v>
      </c>
      <c r="C289" s="482">
        <v>1057.0</v>
      </c>
      <c r="D289" s="478" t="s">
        <v>36</v>
      </c>
      <c r="E289" s="479">
        <v>220.0</v>
      </c>
      <c r="F289" s="480" t="s">
        <v>25</v>
      </c>
      <c r="G289" s="475"/>
    </row>
    <row r="290">
      <c r="A290" s="476">
        <v>46154.0</v>
      </c>
      <c r="B290" s="439" t="s">
        <v>2792</v>
      </c>
      <c r="C290" s="482">
        <v>1057.0</v>
      </c>
      <c r="D290" s="478" t="s">
        <v>38</v>
      </c>
      <c r="E290" s="479">
        <v>680.0</v>
      </c>
      <c r="F290" s="480" t="s">
        <v>39</v>
      </c>
      <c r="G290" s="475"/>
    </row>
    <row r="291">
      <c r="A291" s="476">
        <v>46161.0</v>
      </c>
      <c r="B291" s="439" t="s">
        <v>2792</v>
      </c>
      <c r="C291" s="482">
        <v>1059.0</v>
      </c>
      <c r="D291" s="478" t="s">
        <v>2808</v>
      </c>
      <c r="E291" s="479">
        <v>20.0</v>
      </c>
      <c r="F291" s="480" t="s">
        <v>25</v>
      </c>
      <c r="G291" s="475"/>
    </row>
    <row r="292">
      <c r="A292" s="476">
        <v>46161.0</v>
      </c>
      <c r="B292" s="439" t="s">
        <v>2792</v>
      </c>
      <c r="C292" s="482">
        <v>1059.0</v>
      </c>
      <c r="D292" s="478" t="s">
        <v>36</v>
      </c>
      <c r="E292" s="479">
        <v>220.0</v>
      </c>
      <c r="F292" s="480" t="s">
        <v>25</v>
      </c>
      <c r="G292" s="475"/>
    </row>
    <row r="293">
      <c r="A293" s="476">
        <v>46161.0</v>
      </c>
      <c r="B293" s="439" t="s">
        <v>2792</v>
      </c>
      <c r="C293" s="482">
        <v>1059.0</v>
      </c>
      <c r="D293" s="478" t="s">
        <v>23</v>
      </c>
      <c r="E293" s="479">
        <v>2640.0</v>
      </c>
      <c r="F293" s="480" t="s">
        <v>25</v>
      </c>
      <c r="G293" s="475"/>
    </row>
    <row r="294">
      <c r="A294" s="476">
        <v>46168.0</v>
      </c>
      <c r="B294" s="439" t="s">
        <v>2792</v>
      </c>
      <c r="C294" s="482">
        <v>1061.0</v>
      </c>
      <c r="D294" s="478" t="s">
        <v>23</v>
      </c>
      <c r="E294" s="479">
        <v>2640.0</v>
      </c>
      <c r="F294" s="480" t="s">
        <v>25</v>
      </c>
      <c r="G294" s="475"/>
    </row>
    <row r="295">
      <c r="A295" s="476">
        <v>46168.0</v>
      </c>
      <c r="B295" s="439" t="s">
        <v>2792</v>
      </c>
      <c r="C295" s="482">
        <v>1061.0</v>
      </c>
      <c r="D295" s="478" t="s">
        <v>2809</v>
      </c>
      <c r="E295" s="479">
        <v>220.0</v>
      </c>
      <c r="F295" s="480" t="s">
        <v>25</v>
      </c>
      <c r="G295" s="475"/>
    </row>
    <row r="296">
      <c r="A296" s="478" t="s">
        <v>2810</v>
      </c>
      <c r="B296" s="439" t="s">
        <v>2792</v>
      </c>
      <c r="C296" s="482">
        <v>218.0</v>
      </c>
      <c r="D296" s="478" t="s">
        <v>36</v>
      </c>
      <c r="E296" s="479">
        <v>50.0</v>
      </c>
      <c r="F296" s="480" t="s">
        <v>25</v>
      </c>
      <c r="G296" s="475"/>
    </row>
    <row r="297">
      <c r="A297" s="478" t="s">
        <v>2810</v>
      </c>
      <c r="B297" s="439" t="s">
        <v>2792</v>
      </c>
      <c r="C297" s="500"/>
      <c r="D297" s="362" t="s">
        <v>2809</v>
      </c>
      <c r="E297" s="501">
        <v>30.0</v>
      </c>
      <c r="F297" s="362" t="s">
        <v>39</v>
      </c>
    </row>
    <row r="298">
      <c r="A298" s="478" t="s">
        <v>2810</v>
      </c>
      <c r="B298" s="439" t="s">
        <v>2792</v>
      </c>
      <c r="C298" s="500"/>
      <c r="D298" s="362" t="s">
        <v>38</v>
      </c>
      <c r="E298" s="501">
        <v>50.0</v>
      </c>
      <c r="F298" s="362" t="s">
        <v>39</v>
      </c>
    </row>
    <row r="299">
      <c r="A299" s="502"/>
      <c r="B299" s="143"/>
      <c r="C299" s="500"/>
      <c r="D299" s="143"/>
      <c r="E299" s="503"/>
      <c r="F299" s="143"/>
    </row>
    <row r="300">
      <c r="A300" s="502"/>
      <c r="B300" s="143"/>
      <c r="C300" s="500"/>
      <c r="D300" s="143"/>
      <c r="E300" s="503"/>
      <c r="F300" s="143"/>
    </row>
    <row r="301">
      <c r="A301" s="502"/>
      <c r="B301" s="143"/>
      <c r="C301" s="500"/>
      <c r="D301" s="143"/>
      <c r="E301" s="503"/>
      <c r="F301" s="143"/>
    </row>
    <row r="302">
      <c r="A302" s="502"/>
      <c r="B302" s="143"/>
      <c r="C302" s="500"/>
      <c r="D302" s="143"/>
      <c r="E302" s="503"/>
      <c r="F302" s="143"/>
    </row>
    <row r="303">
      <c r="A303" s="502"/>
      <c r="B303" s="143"/>
      <c r="C303" s="500"/>
      <c r="D303" s="143"/>
      <c r="E303" s="503"/>
      <c r="F303" s="143"/>
    </row>
    <row r="304">
      <c r="A304" s="502"/>
      <c r="B304" s="143"/>
      <c r="C304" s="500"/>
      <c r="D304" s="143"/>
      <c r="E304" s="503"/>
      <c r="F304" s="143"/>
    </row>
    <row r="305">
      <c r="A305" s="502"/>
      <c r="B305" s="143"/>
      <c r="C305" s="500"/>
      <c r="D305" s="143"/>
      <c r="E305" s="503"/>
      <c r="F305" s="143"/>
    </row>
    <row r="306">
      <c r="A306" s="502"/>
      <c r="B306" s="143"/>
      <c r="C306" s="500"/>
      <c r="D306" s="143"/>
      <c r="E306" s="503"/>
      <c r="F306" s="143"/>
    </row>
    <row r="307">
      <c r="A307" s="502"/>
      <c r="B307" s="143"/>
      <c r="C307" s="500"/>
      <c r="D307" s="143"/>
      <c r="E307" s="503"/>
      <c r="F307" s="143"/>
    </row>
    <row r="308">
      <c r="A308" s="502"/>
      <c r="B308" s="143"/>
      <c r="C308" s="500"/>
      <c r="D308" s="143"/>
      <c r="E308" s="503"/>
      <c r="F308" s="143"/>
    </row>
    <row r="309">
      <c r="A309" s="502"/>
      <c r="B309" s="143"/>
      <c r="C309" s="500"/>
      <c r="D309" s="143"/>
      <c r="E309" s="503"/>
      <c r="F309" s="143"/>
    </row>
    <row r="310">
      <c r="A310" s="502"/>
      <c r="B310" s="143"/>
      <c r="C310" s="500"/>
      <c r="D310" s="143"/>
      <c r="E310" s="503"/>
      <c r="F310" s="143"/>
    </row>
    <row r="311">
      <c r="A311" s="502"/>
      <c r="B311" s="143"/>
      <c r="C311" s="500"/>
      <c r="D311" s="143"/>
      <c r="E311" s="503"/>
      <c r="F311" s="143"/>
    </row>
    <row r="312">
      <c r="A312" s="502"/>
      <c r="B312" s="143"/>
      <c r="C312" s="500"/>
      <c r="D312" s="143"/>
      <c r="E312" s="503"/>
      <c r="F312" s="143"/>
    </row>
    <row r="313">
      <c r="A313" s="502"/>
      <c r="B313" s="143"/>
      <c r="C313" s="500"/>
      <c r="D313" s="143"/>
      <c r="E313" s="503"/>
      <c r="F313" s="143"/>
    </row>
    <row r="314">
      <c r="A314" s="502"/>
      <c r="B314" s="143"/>
      <c r="C314" s="500"/>
      <c r="D314" s="143"/>
      <c r="E314" s="503"/>
      <c r="F314" s="143"/>
    </row>
    <row r="315">
      <c r="A315" s="502"/>
      <c r="B315" s="143"/>
      <c r="C315" s="500"/>
      <c r="D315" s="143"/>
      <c r="E315" s="503"/>
      <c r="F315" s="143"/>
    </row>
    <row r="316">
      <c r="A316" s="502"/>
      <c r="B316" s="143"/>
      <c r="C316" s="500"/>
      <c r="D316" s="143"/>
      <c r="E316" s="503"/>
      <c r="F316" s="143"/>
    </row>
    <row r="317">
      <c r="A317" s="502"/>
      <c r="B317" s="143"/>
      <c r="C317" s="500"/>
      <c r="D317" s="143"/>
      <c r="E317" s="503"/>
      <c r="F317" s="143"/>
    </row>
    <row r="318">
      <c r="A318" s="502"/>
      <c r="B318" s="143"/>
      <c r="C318" s="500"/>
      <c r="D318" s="143"/>
      <c r="E318" s="503"/>
      <c r="F318" s="143"/>
    </row>
    <row r="319">
      <c r="A319" s="502"/>
      <c r="B319" s="143"/>
      <c r="C319" s="500"/>
      <c r="D319" s="143"/>
      <c r="E319" s="503"/>
      <c r="F319" s="143"/>
    </row>
    <row r="320">
      <c r="A320" s="502"/>
      <c r="B320" s="143"/>
      <c r="C320" s="500"/>
      <c r="D320" s="143"/>
      <c r="E320" s="503"/>
      <c r="F320" s="143"/>
    </row>
    <row r="321">
      <c r="A321" s="504"/>
      <c r="C321" s="505"/>
      <c r="E321" s="506"/>
    </row>
    <row r="322">
      <c r="A322" s="504"/>
      <c r="C322" s="505"/>
      <c r="E322" s="506"/>
    </row>
    <row r="323">
      <c r="A323" s="504"/>
      <c r="C323" s="505"/>
      <c r="E323" s="506"/>
    </row>
    <row r="324">
      <c r="A324" s="504"/>
      <c r="C324" s="505"/>
      <c r="E324" s="506"/>
    </row>
    <row r="325">
      <c r="A325" s="504"/>
      <c r="C325" s="505"/>
      <c r="E325" s="506"/>
    </row>
    <row r="326">
      <c r="A326" s="504"/>
      <c r="C326" s="505"/>
      <c r="E326" s="506"/>
    </row>
    <row r="327">
      <c r="A327" s="504"/>
      <c r="C327" s="505"/>
      <c r="E327" s="506"/>
    </row>
    <row r="328">
      <c r="A328" s="504"/>
      <c r="C328" s="505"/>
      <c r="E328" s="506"/>
    </row>
    <row r="329">
      <c r="A329" s="504"/>
      <c r="C329" s="505"/>
      <c r="E329" s="506"/>
    </row>
    <row r="330">
      <c r="A330" s="504"/>
      <c r="C330" s="505"/>
      <c r="E330" s="506"/>
    </row>
    <row r="331">
      <c r="A331" s="504"/>
      <c r="C331" s="505"/>
      <c r="E331" s="506"/>
    </row>
    <row r="332">
      <c r="A332" s="504"/>
      <c r="C332" s="505"/>
      <c r="E332" s="506"/>
    </row>
    <row r="333">
      <c r="A333" s="504"/>
      <c r="C333" s="505"/>
      <c r="E333" s="506"/>
    </row>
    <row r="334">
      <c r="A334" s="504"/>
      <c r="C334" s="505"/>
      <c r="E334" s="506"/>
    </row>
    <row r="335">
      <c r="A335" s="504"/>
      <c r="C335" s="505"/>
      <c r="E335" s="506"/>
    </row>
    <row r="336">
      <c r="A336" s="504"/>
      <c r="C336" s="505"/>
      <c r="E336" s="506"/>
    </row>
    <row r="337">
      <c r="A337" s="504"/>
      <c r="C337" s="505"/>
      <c r="E337" s="506"/>
    </row>
    <row r="338">
      <c r="A338" s="504"/>
      <c r="C338" s="505"/>
      <c r="E338" s="506"/>
    </row>
    <row r="339">
      <c r="A339" s="504"/>
      <c r="C339" s="505"/>
      <c r="E339" s="506"/>
    </row>
    <row r="340">
      <c r="A340" s="504"/>
      <c r="C340" s="505"/>
      <c r="E340" s="506"/>
    </row>
    <row r="341">
      <c r="A341" s="504"/>
      <c r="C341" s="505"/>
      <c r="E341" s="506"/>
    </row>
    <row r="342">
      <c r="A342" s="504"/>
      <c r="C342" s="505"/>
      <c r="E342" s="506"/>
    </row>
    <row r="343">
      <c r="A343" s="504"/>
      <c r="C343" s="505"/>
      <c r="E343" s="506"/>
    </row>
    <row r="344">
      <c r="A344" s="504"/>
      <c r="C344" s="505"/>
      <c r="E344" s="506"/>
    </row>
    <row r="345">
      <c r="A345" s="504"/>
      <c r="C345" s="505"/>
      <c r="E345" s="506"/>
    </row>
    <row r="346">
      <c r="A346" s="504"/>
      <c r="C346" s="505"/>
      <c r="E346" s="506"/>
    </row>
    <row r="347">
      <c r="A347" s="504"/>
      <c r="C347" s="505"/>
      <c r="E347" s="506"/>
    </row>
    <row r="348">
      <c r="A348" s="504"/>
      <c r="C348" s="505"/>
      <c r="E348" s="506"/>
    </row>
    <row r="349">
      <c r="A349" s="504"/>
      <c r="C349" s="505"/>
      <c r="E349" s="506"/>
    </row>
    <row r="350">
      <c r="A350" s="504"/>
      <c r="C350" s="505"/>
      <c r="E350" s="506"/>
    </row>
    <row r="351">
      <c r="A351" s="504"/>
      <c r="C351" s="505"/>
      <c r="E351" s="506"/>
    </row>
    <row r="352">
      <c r="A352" s="504"/>
      <c r="C352" s="505"/>
      <c r="E352" s="506"/>
    </row>
    <row r="353">
      <c r="A353" s="504"/>
      <c r="C353" s="505"/>
      <c r="E353" s="506"/>
    </row>
    <row r="354">
      <c r="A354" s="504"/>
      <c r="C354" s="505"/>
      <c r="E354" s="506"/>
    </row>
    <row r="355">
      <c r="A355" s="504"/>
      <c r="C355" s="505"/>
      <c r="E355" s="506"/>
    </row>
    <row r="356">
      <c r="A356" s="504"/>
      <c r="C356" s="505"/>
      <c r="E356" s="506"/>
    </row>
    <row r="357">
      <c r="A357" s="504"/>
      <c r="C357" s="505"/>
      <c r="E357" s="506"/>
    </row>
    <row r="358">
      <c r="A358" s="504"/>
      <c r="C358" s="505"/>
      <c r="E358" s="506"/>
    </row>
    <row r="359">
      <c r="A359" s="504"/>
      <c r="C359" s="505"/>
      <c r="E359" s="506"/>
    </row>
    <row r="360">
      <c r="A360" s="504"/>
      <c r="C360" s="505"/>
      <c r="E360" s="506"/>
    </row>
    <row r="361">
      <c r="A361" s="504"/>
      <c r="C361" s="505"/>
      <c r="E361" s="506"/>
    </row>
    <row r="362">
      <c r="A362" s="504"/>
      <c r="C362" s="505"/>
      <c r="E362" s="506"/>
    </row>
    <row r="363">
      <c r="A363" s="504"/>
      <c r="C363" s="505"/>
      <c r="E363" s="506"/>
    </row>
    <row r="364">
      <c r="A364" s="504"/>
      <c r="C364" s="505"/>
      <c r="E364" s="506"/>
    </row>
    <row r="365">
      <c r="A365" s="504"/>
      <c r="C365" s="505"/>
      <c r="E365" s="506"/>
    </row>
    <row r="366">
      <c r="A366" s="504"/>
      <c r="C366" s="505"/>
      <c r="E366" s="506"/>
    </row>
    <row r="367">
      <c r="A367" s="504"/>
      <c r="C367" s="505"/>
      <c r="E367" s="506"/>
    </row>
    <row r="368">
      <c r="A368" s="504"/>
      <c r="C368" s="505"/>
      <c r="E368" s="506"/>
    </row>
    <row r="369">
      <c r="A369" s="504"/>
      <c r="C369" s="505"/>
      <c r="E369" s="506"/>
    </row>
    <row r="370">
      <c r="A370" s="504"/>
      <c r="C370" s="505"/>
      <c r="E370" s="506"/>
    </row>
    <row r="371">
      <c r="A371" s="504"/>
      <c r="C371" s="505"/>
      <c r="E371" s="506"/>
    </row>
    <row r="372">
      <c r="A372" s="504"/>
      <c r="C372" s="505"/>
      <c r="E372" s="506"/>
    </row>
    <row r="373">
      <c r="A373" s="504"/>
      <c r="C373" s="505"/>
      <c r="E373" s="506"/>
    </row>
    <row r="374">
      <c r="A374" s="504"/>
      <c r="C374" s="505"/>
      <c r="E374" s="506"/>
    </row>
    <row r="375">
      <c r="A375" s="504"/>
      <c r="C375" s="505"/>
      <c r="E375" s="506"/>
    </row>
    <row r="376">
      <c r="A376" s="504"/>
      <c r="C376" s="505"/>
      <c r="E376" s="506"/>
    </row>
    <row r="377">
      <c r="A377" s="504"/>
      <c r="C377" s="505"/>
      <c r="E377" s="506"/>
    </row>
    <row r="378">
      <c r="A378" s="504"/>
      <c r="C378" s="505"/>
      <c r="E378" s="506"/>
    </row>
    <row r="379">
      <c r="A379" s="504"/>
      <c r="C379" s="505"/>
      <c r="E379" s="506"/>
    </row>
    <row r="380">
      <c r="A380" s="504"/>
      <c r="C380" s="505"/>
      <c r="E380" s="506"/>
    </row>
    <row r="381">
      <c r="A381" s="504"/>
      <c r="C381" s="505"/>
      <c r="E381" s="506"/>
    </row>
    <row r="382">
      <c r="A382" s="504"/>
      <c r="C382" s="505"/>
      <c r="E382" s="506"/>
    </row>
    <row r="383">
      <c r="A383" s="504"/>
      <c r="C383" s="505"/>
      <c r="E383" s="506"/>
    </row>
    <row r="384">
      <c r="A384" s="504"/>
      <c r="C384" s="505"/>
      <c r="E384" s="506"/>
    </row>
    <row r="385">
      <c r="A385" s="504"/>
      <c r="C385" s="505"/>
      <c r="E385" s="506"/>
    </row>
    <row r="386">
      <c r="A386" s="504"/>
      <c r="C386" s="505"/>
      <c r="E386" s="506"/>
    </row>
    <row r="387">
      <c r="A387" s="504"/>
      <c r="C387" s="505"/>
      <c r="E387" s="506"/>
    </row>
    <row r="388">
      <c r="A388" s="504"/>
      <c r="C388" s="505"/>
      <c r="E388" s="506"/>
    </row>
    <row r="389">
      <c r="A389" s="504"/>
      <c r="C389" s="505"/>
      <c r="E389" s="506"/>
    </row>
    <row r="390">
      <c r="A390" s="504"/>
      <c r="C390" s="505"/>
      <c r="E390" s="506"/>
    </row>
    <row r="391">
      <c r="A391" s="504"/>
      <c r="C391" s="505"/>
      <c r="E391" s="506"/>
    </row>
    <row r="392">
      <c r="A392" s="504"/>
      <c r="C392" s="505"/>
      <c r="E392" s="506"/>
    </row>
    <row r="393">
      <c r="A393" s="504"/>
      <c r="C393" s="505"/>
      <c r="E393" s="506"/>
    </row>
    <row r="394">
      <c r="A394" s="504"/>
      <c r="C394" s="505"/>
      <c r="E394" s="506"/>
    </row>
    <row r="395">
      <c r="A395" s="504"/>
      <c r="C395" s="505"/>
      <c r="E395" s="506"/>
    </row>
    <row r="396">
      <c r="A396" s="504"/>
      <c r="C396" s="505"/>
      <c r="E396" s="506"/>
    </row>
    <row r="397">
      <c r="A397" s="504"/>
      <c r="C397" s="505"/>
      <c r="E397" s="506"/>
    </row>
    <row r="398">
      <c r="A398" s="504"/>
      <c r="C398" s="505"/>
      <c r="E398" s="506"/>
    </row>
    <row r="399">
      <c r="A399" s="504"/>
      <c r="C399" s="505"/>
      <c r="E399" s="506"/>
    </row>
    <row r="400">
      <c r="A400" s="504"/>
      <c r="C400" s="505"/>
      <c r="E400" s="506"/>
    </row>
    <row r="401">
      <c r="A401" s="504"/>
      <c r="C401" s="505"/>
      <c r="E401" s="506"/>
    </row>
    <row r="402">
      <c r="A402" s="504"/>
      <c r="C402" s="505"/>
      <c r="E402" s="506"/>
    </row>
    <row r="403">
      <c r="A403" s="504"/>
      <c r="C403" s="505"/>
      <c r="E403" s="506"/>
    </row>
    <row r="404">
      <c r="A404" s="504"/>
      <c r="C404" s="505"/>
      <c r="E404" s="506"/>
    </row>
    <row r="405">
      <c r="A405" s="504"/>
      <c r="C405" s="505"/>
      <c r="E405" s="506"/>
    </row>
    <row r="406">
      <c r="A406" s="504"/>
      <c r="C406" s="505"/>
      <c r="E406" s="506"/>
    </row>
    <row r="407">
      <c r="A407" s="504"/>
      <c r="C407" s="505"/>
      <c r="E407" s="506"/>
    </row>
    <row r="408">
      <c r="A408" s="504"/>
      <c r="C408" s="505"/>
      <c r="E408" s="506"/>
    </row>
    <row r="409">
      <c r="A409" s="504"/>
      <c r="C409" s="505"/>
      <c r="E409" s="506"/>
    </row>
    <row r="410">
      <c r="A410" s="504"/>
      <c r="C410" s="505"/>
      <c r="E410" s="506"/>
    </row>
    <row r="411">
      <c r="A411" s="504"/>
      <c r="C411" s="505"/>
      <c r="E411" s="506"/>
    </row>
    <row r="412">
      <c r="A412" s="504"/>
      <c r="C412" s="505"/>
      <c r="E412" s="506"/>
    </row>
    <row r="413">
      <c r="A413" s="504"/>
      <c r="C413" s="505"/>
      <c r="E413" s="506"/>
    </row>
    <row r="414">
      <c r="A414" s="504"/>
      <c r="C414" s="505"/>
      <c r="E414" s="506"/>
    </row>
    <row r="415">
      <c r="A415" s="504"/>
      <c r="C415" s="505"/>
      <c r="E415" s="506"/>
    </row>
    <row r="416">
      <c r="A416" s="504"/>
      <c r="C416" s="505"/>
      <c r="E416" s="506"/>
    </row>
    <row r="417">
      <c r="A417" s="504"/>
      <c r="C417" s="505"/>
      <c r="E417" s="506"/>
    </row>
    <row r="418">
      <c r="A418" s="504"/>
      <c r="C418" s="505"/>
      <c r="E418" s="506"/>
    </row>
    <row r="419">
      <c r="A419" s="504"/>
      <c r="C419" s="505"/>
      <c r="E419" s="506"/>
    </row>
    <row r="420">
      <c r="A420" s="504"/>
      <c r="C420" s="505"/>
      <c r="E420" s="506"/>
    </row>
    <row r="421">
      <c r="A421" s="504"/>
      <c r="C421" s="505"/>
      <c r="E421" s="506"/>
    </row>
    <row r="422">
      <c r="A422" s="504"/>
      <c r="C422" s="505"/>
      <c r="E422" s="506"/>
    </row>
    <row r="423">
      <c r="A423" s="504"/>
      <c r="C423" s="505"/>
      <c r="E423" s="506"/>
    </row>
    <row r="424">
      <c r="A424" s="504"/>
      <c r="C424" s="505"/>
      <c r="E424" s="506"/>
    </row>
    <row r="425">
      <c r="A425" s="504"/>
      <c r="C425" s="505"/>
      <c r="E425" s="506"/>
    </row>
    <row r="426">
      <c r="A426" s="504"/>
      <c r="C426" s="505"/>
      <c r="E426" s="506"/>
    </row>
    <row r="427">
      <c r="A427" s="504"/>
      <c r="C427" s="505"/>
      <c r="E427" s="506"/>
    </row>
    <row r="428">
      <c r="A428" s="504"/>
      <c r="C428" s="505"/>
      <c r="E428" s="506"/>
    </row>
    <row r="429">
      <c r="A429" s="504"/>
      <c r="C429" s="505"/>
      <c r="E429" s="506"/>
    </row>
    <row r="430">
      <c r="A430" s="504"/>
      <c r="C430" s="505"/>
      <c r="E430" s="506"/>
    </row>
    <row r="431">
      <c r="A431" s="504"/>
      <c r="C431" s="505"/>
      <c r="E431" s="506"/>
    </row>
    <row r="432">
      <c r="A432" s="504"/>
      <c r="C432" s="505"/>
      <c r="E432" s="506"/>
    </row>
    <row r="433">
      <c r="A433" s="504"/>
      <c r="C433" s="505"/>
      <c r="E433" s="506"/>
    </row>
    <row r="434">
      <c r="A434" s="504"/>
      <c r="C434" s="505"/>
      <c r="E434" s="506"/>
    </row>
    <row r="435">
      <c r="A435" s="504"/>
      <c r="C435" s="505"/>
      <c r="E435" s="506"/>
    </row>
    <row r="436">
      <c r="A436" s="504"/>
      <c r="C436" s="505"/>
      <c r="E436" s="506"/>
    </row>
    <row r="437">
      <c r="A437" s="504"/>
      <c r="C437" s="505"/>
      <c r="E437" s="506"/>
    </row>
    <row r="438">
      <c r="A438" s="504"/>
      <c r="C438" s="505"/>
      <c r="E438" s="506"/>
    </row>
    <row r="439">
      <c r="A439" s="504"/>
      <c r="C439" s="505"/>
      <c r="E439" s="506"/>
    </row>
    <row r="440">
      <c r="A440" s="504"/>
      <c r="C440" s="505"/>
      <c r="E440" s="506"/>
    </row>
    <row r="441">
      <c r="A441" s="504"/>
      <c r="C441" s="505"/>
      <c r="E441" s="506"/>
    </row>
    <row r="442">
      <c r="A442" s="504"/>
      <c r="C442" s="505"/>
      <c r="E442" s="506"/>
    </row>
    <row r="443">
      <c r="A443" s="504"/>
      <c r="C443" s="505"/>
      <c r="E443" s="506"/>
    </row>
    <row r="444">
      <c r="A444" s="504"/>
      <c r="C444" s="505"/>
      <c r="E444" s="506"/>
    </row>
    <row r="445">
      <c r="A445" s="504"/>
      <c r="C445" s="505"/>
      <c r="E445" s="506"/>
    </row>
    <row r="446">
      <c r="A446" s="504"/>
      <c r="C446" s="505"/>
      <c r="E446" s="506"/>
    </row>
    <row r="447">
      <c r="A447" s="504"/>
      <c r="C447" s="505"/>
      <c r="E447" s="506"/>
    </row>
    <row r="448">
      <c r="A448" s="504"/>
      <c r="C448" s="505"/>
      <c r="E448" s="506"/>
    </row>
    <row r="449">
      <c r="A449" s="504"/>
      <c r="C449" s="505"/>
      <c r="E449" s="506"/>
    </row>
    <row r="450">
      <c r="A450" s="504"/>
      <c r="C450" s="505"/>
      <c r="E450" s="506"/>
    </row>
    <row r="451">
      <c r="A451" s="504"/>
      <c r="C451" s="505"/>
      <c r="E451" s="506"/>
    </row>
    <row r="452">
      <c r="A452" s="504"/>
      <c r="C452" s="505"/>
      <c r="E452" s="506"/>
    </row>
    <row r="453">
      <c r="A453" s="504"/>
      <c r="C453" s="505"/>
      <c r="E453" s="506"/>
    </row>
    <row r="454">
      <c r="A454" s="504"/>
      <c r="C454" s="505"/>
      <c r="E454" s="506"/>
    </row>
    <row r="455">
      <c r="A455" s="504"/>
      <c r="C455" s="505"/>
      <c r="E455" s="506"/>
    </row>
    <row r="456">
      <c r="A456" s="504"/>
      <c r="C456" s="505"/>
      <c r="E456" s="506"/>
    </row>
    <row r="457">
      <c r="A457" s="504"/>
      <c r="C457" s="505"/>
      <c r="E457" s="506"/>
    </row>
    <row r="458">
      <c r="A458" s="504"/>
      <c r="C458" s="505"/>
      <c r="E458" s="506"/>
    </row>
    <row r="459">
      <c r="A459" s="504"/>
      <c r="C459" s="505"/>
      <c r="E459" s="506"/>
    </row>
    <row r="460">
      <c r="A460" s="504"/>
      <c r="C460" s="505"/>
      <c r="E460" s="506"/>
    </row>
    <row r="461">
      <c r="A461" s="504"/>
      <c r="C461" s="505"/>
      <c r="E461" s="506"/>
    </row>
    <row r="462">
      <c r="A462" s="504"/>
      <c r="C462" s="505"/>
      <c r="E462" s="506"/>
    </row>
    <row r="463">
      <c r="A463" s="504"/>
      <c r="C463" s="505"/>
      <c r="E463" s="506"/>
    </row>
    <row r="464">
      <c r="A464" s="504"/>
      <c r="C464" s="505"/>
      <c r="E464" s="506"/>
    </row>
    <row r="465">
      <c r="A465" s="504"/>
      <c r="C465" s="505"/>
      <c r="E465" s="506"/>
    </row>
    <row r="466">
      <c r="A466" s="504"/>
      <c r="C466" s="505"/>
      <c r="E466" s="506"/>
    </row>
    <row r="467">
      <c r="A467" s="504"/>
      <c r="C467" s="505"/>
      <c r="E467" s="506"/>
    </row>
    <row r="468">
      <c r="A468" s="504"/>
      <c r="C468" s="505"/>
      <c r="E468" s="506"/>
    </row>
    <row r="469">
      <c r="A469" s="504"/>
      <c r="C469" s="505"/>
      <c r="E469" s="506"/>
    </row>
    <row r="470">
      <c r="A470" s="504"/>
      <c r="C470" s="505"/>
      <c r="E470" s="506"/>
    </row>
    <row r="471">
      <c r="A471" s="504"/>
      <c r="C471" s="505"/>
      <c r="E471" s="506"/>
    </row>
    <row r="472">
      <c r="A472" s="504"/>
      <c r="C472" s="505"/>
      <c r="E472" s="506"/>
    </row>
    <row r="473">
      <c r="A473" s="504"/>
      <c r="C473" s="505"/>
      <c r="E473" s="506"/>
    </row>
    <row r="474">
      <c r="A474" s="504"/>
      <c r="C474" s="505"/>
      <c r="E474" s="506"/>
    </row>
    <row r="475">
      <c r="A475" s="504"/>
      <c r="C475" s="505"/>
      <c r="E475" s="506"/>
    </row>
    <row r="476">
      <c r="A476" s="504"/>
      <c r="C476" s="505"/>
      <c r="E476" s="506"/>
    </row>
    <row r="477">
      <c r="A477" s="504"/>
      <c r="C477" s="505"/>
      <c r="E477" s="506"/>
    </row>
    <row r="478">
      <c r="A478" s="504"/>
      <c r="C478" s="505"/>
      <c r="E478" s="506"/>
    </row>
    <row r="479">
      <c r="A479" s="504"/>
      <c r="C479" s="505"/>
      <c r="E479" s="506"/>
    </row>
    <row r="480">
      <c r="A480" s="504"/>
      <c r="C480" s="505"/>
      <c r="E480" s="506"/>
    </row>
    <row r="481">
      <c r="A481" s="504"/>
      <c r="C481" s="505"/>
      <c r="E481" s="506"/>
    </row>
    <row r="482">
      <c r="A482" s="504"/>
      <c r="C482" s="505"/>
      <c r="E482" s="506"/>
    </row>
    <row r="483">
      <c r="A483" s="504"/>
      <c r="C483" s="505"/>
      <c r="E483" s="506"/>
    </row>
    <row r="484">
      <c r="A484" s="504"/>
      <c r="C484" s="505"/>
      <c r="E484" s="506"/>
    </row>
    <row r="485">
      <c r="A485" s="504"/>
      <c r="C485" s="505"/>
      <c r="E485" s="506"/>
    </row>
    <row r="486">
      <c r="A486" s="504"/>
      <c r="C486" s="505"/>
      <c r="E486" s="506"/>
    </row>
    <row r="487">
      <c r="A487" s="504"/>
      <c r="C487" s="505"/>
      <c r="E487" s="506"/>
    </row>
    <row r="488">
      <c r="A488" s="504"/>
      <c r="C488" s="505"/>
      <c r="E488" s="506"/>
    </row>
    <row r="489">
      <c r="A489" s="504"/>
      <c r="C489" s="505"/>
      <c r="E489" s="506"/>
    </row>
    <row r="490">
      <c r="A490" s="504"/>
      <c r="C490" s="505"/>
      <c r="E490" s="506"/>
    </row>
    <row r="491">
      <c r="A491" s="504"/>
      <c r="C491" s="505"/>
      <c r="E491" s="506"/>
    </row>
    <row r="492">
      <c r="A492" s="504"/>
      <c r="C492" s="505"/>
      <c r="E492" s="506"/>
    </row>
    <row r="493">
      <c r="A493" s="504"/>
      <c r="C493" s="505"/>
      <c r="E493" s="506"/>
    </row>
    <row r="494">
      <c r="A494" s="504"/>
      <c r="C494" s="505"/>
      <c r="E494" s="506"/>
    </row>
    <row r="495">
      <c r="A495" s="504"/>
      <c r="C495" s="505"/>
      <c r="E495" s="506"/>
    </row>
    <row r="496">
      <c r="A496" s="504"/>
      <c r="C496" s="505"/>
      <c r="E496" s="506"/>
    </row>
    <row r="497">
      <c r="A497" s="504"/>
      <c r="C497" s="505"/>
      <c r="E497" s="506"/>
    </row>
    <row r="498">
      <c r="A498" s="504"/>
      <c r="C498" s="505"/>
      <c r="E498" s="506"/>
    </row>
    <row r="499">
      <c r="A499" s="504"/>
      <c r="C499" s="505"/>
      <c r="E499" s="506"/>
    </row>
    <row r="500">
      <c r="A500" s="504"/>
      <c r="C500" s="505"/>
      <c r="E500" s="506"/>
    </row>
    <row r="501">
      <c r="A501" s="504"/>
      <c r="C501" s="505"/>
      <c r="E501" s="506"/>
    </row>
    <row r="502">
      <c r="A502" s="504"/>
      <c r="C502" s="505"/>
      <c r="E502" s="506"/>
    </row>
    <row r="503">
      <c r="A503" s="504"/>
      <c r="C503" s="505"/>
      <c r="E503" s="506"/>
    </row>
    <row r="504">
      <c r="A504" s="504"/>
      <c r="C504" s="505"/>
      <c r="E504" s="506"/>
    </row>
    <row r="505">
      <c r="A505" s="504"/>
      <c r="C505" s="505"/>
      <c r="E505" s="506"/>
    </row>
    <row r="506">
      <c r="A506" s="504"/>
      <c r="C506" s="505"/>
      <c r="E506" s="506"/>
    </row>
    <row r="507">
      <c r="A507" s="504"/>
      <c r="C507" s="505"/>
      <c r="E507" s="506"/>
    </row>
    <row r="508">
      <c r="A508" s="504"/>
      <c r="C508" s="505"/>
      <c r="E508" s="506"/>
    </row>
    <row r="509">
      <c r="A509" s="504"/>
      <c r="C509" s="505"/>
      <c r="E509" s="506"/>
    </row>
    <row r="510">
      <c r="A510" s="504"/>
      <c r="C510" s="505"/>
      <c r="E510" s="506"/>
    </row>
    <row r="511">
      <c r="A511" s="504"/>
      <c r="C511" s="505"/>
      <c r="E511" s="506"/>
    </row>
    <row r="512">
      <c r="A512" s="504"/>
      <c r="C512" s="505"/>
      <c r="E512" s="506"/>
    </row>
    <row r="513">
      <c r="A513" s="504"/>
      <c r="C513" s="505"/>
      <c r="E513" s="506"/>
    </row>
    <row r="514">
      <c r="A514" s="504"/>
      <c r="C514" s="505"/>
      <c r="E514" s="506"/>
    </row>
    <row r="515">
      <c r="A515" s="504"/>
      <c r="C515" s="505"/>
      <c r="E515" s="506"/>
    </row>
    <row r="516">
      <c r="A516" s="504"/>
      <c r="C516" s="505"/>
      <c r="E516" s="506"/>
    </row>
    <row r="517">
      <c r="A517" s="504"/>
      <c r="C517" s="505"/>
      <c r="E517" s="506"/>
    </row>
    <row r="518">
      <c r="A518" s="504"/>
      <c r="C518" s="505"/>
      <c r="E518" s="506"/>
    </row>
    <row r="519">
      <c r="A519" s="504"/>
      <c r="C519" s="505"/>
      <c r="E519" s="506"/>
    </row>
    <row r="520">
      <c r="A520" s="504"/>
      <c r="C520" s="505"/>
      <c r="E520" s="506"/>
    </row>
    <row r="521">
      <c r="A521" s="504"/>
      <c r="C521" s="505"/>
      <c r="E521" s="506"/>
    </row>
    <row r="522">
      <c r="A522" s="504"/>
      <c r="C522" s="505"/>
      <c r="E522" s="506"/>
    </row>
    <row r="523">
      <c r="A523" s="504"/>
      <c r="C523" s="505"/>
      <c r="E523" s="506"/>
    </row>
    <row r="524">
      <c r="A524" s="504"/>
      <c r="C524" s="505"/>
      <c r="E524" s="506"/>
    </row>
    <row r="525">
      <c r="A525" s="504"/>
      <c r="C525" s="505"/>
      <c r="E525" s="506"/>
    </row>
    <row r="526">
      <c r="A526" s="504"/>
      <c r="C526" s="505"/>
      <c r="E526" s="506"/>
    </row>
    <row r="527">
      <c r="A527" s="504"/>
      <c r="C527" s="505"/>
      <c r="E527" s="506"/>
    </row>
    <row r="528">
      <c r="A528" s="504"/>
      <c r="C528" s="505"/>
      <c r="E528" s="506"/>
    </row>
    <row r="529">
      <c r="A529" s="504"/>
      <c r="C529" s="505"/>
      <c r="E529" s="506"/>
    </row>
    <row r="530">
      <c r="A530" s="504"/>
      <c r="C530" s="505"/>
      <c r="E530" s="506"/>
    </row>
    <row r="531">
      <c r="A531" s="504"/>
      <c r="C531" s="505"/>
      <c r="E531" s="506"/>
    </row>
    <row r="532">
      <c r="A532" s="504"/>
      <c r="C532" s="505"/>
      <c r="E532" s="506"/>
    </row>
    <row r="533">
      <c r="A533" s="504"/>
      <c r="C533" s="505"/>
      <c r="E533" s="506"/>
    </row>
    <row r="534">
      <c r="A534" s="504"/>
      <c r="C534" s="505"/>
      <c r="E534" s="506"/>
    </row>
    <row r="535">
      <c r="A535" s="504"/>
      <c r="C535" s="505"/>
      <c r="E535" s="506"/>
    </row>
    <row r="536">
      <c r="A536" s="504"/>
      <c r="C536" s="505"/>
      <c r="E536" s="506"/>
    </row>
    <row r="537">
      <c r="A537" s="504"/>
      <c r="C537" s="505"/>
      <c r="E537" s="506"/>
    </row>
    <row r="538">
      <c r="A538" s="504"/>
      <c r="C538" s="505"/>
      <c r="E538" s="506"/>
    </row>
    <row r="539">
      <c r="A539" s="504"/>
      <c r="C539" s="505"/>
      <c r="E539" s="506"/>
    </row>
    <row r="540">
      <c r="A540" s="504"/>
      <c r="C540" s="505"/>
      <c r="E540" s="506"/>
    </row>
    <row r="541">
      <c r="A541" s="504"/>
      <c r="C541" s="505"/>
      <c r="E541" s="506"/>
    </row>
    <row r="542">
      <c r="A542" s="504"/>
      <c r="C542" s="505"/>
      <c r="E542" s="506"/>
    </row>
    <row r="543">
      <c r="A543" s="504"/>
      <c r="C543" s="505"/>
      <c r="E543" s="506"/>
    </row>
    <row r="544">
      <c r="A544" s="504"/>
      <c r="C544" s="505"/>
      <c r="E544" s="506"/>
    </row>
    <row r="545">
      <c r="A545" s="504"/>
      <c r="C545" s="505"/>
      <c r="E545" s="506"/>
    </row>
    <row r="546">
      <c r="A546" s="504"/>
      <c r="C546" s="505"/>
      <c r="E546" s="506"/>
    </row>
    <row r="547">
      <c r="A547" s="504"/>
      <c r="C547" s="505"/>
      <c r="E547" s="506"/>
    </row>
    <row r="548">
      <c r="A548" s="504"/>
      <c r="C548" s="505"/>
      <c r="E548" s="506"/>
    </row>
    <row r="549">
      <c r="A549" s="504"/>
      <c r="C549" s="505"/>
      <c r="E549" s="506"/>
    </row>
    <row r="550">
      <c r="A550" s="504"/>
      <c r="C550" s="505"/>
      <c r="E550" s="506"/>
    </row>
    <row r="551">
      <c r="A551" s="504"/>
      <c r="C551" s="505"/>
      <c r="E551" s="506"/>
    </row>
    <row r="552">
      <c r="A552" s="504"/>
      <c r="C552" s="505"/>
      <c r="E552" s="506"/>
    </row>
    <row r="553">
      <c r="A553" s="504"/>
      <c r="C553" s="505"/>
      <c r="E553" s="506"/>
    </row>
    <row r="554">
      <c r="A554" s="504"/>
      <c r="C554" s="505"/>
      <c r="E554" s="506"/>
    </row>
    <row r="555">
      <c r="A555" s="504"/>
      <c r="C555" s="505"/>
      <c r="E555" s="506"/>
    </row>
    <row r="556">
      <c r="A556" s="504"/>
      <c r="C556" s="505"/>
      <c r="E556" s="506"/>
    </row>
    <row r="557">
      <c r="A557" s="504"/>
      <c r="C557" s="505"/>
      <c r="E557" s="506"/>
    </row>
    <row r="558">
      <c r="A558" s="504"/>
      <c r="C558" s="505"/>
      <c r="E558" s="506"/>
    </row>
    <row r="559">
      <c r="A559" s="504"/>
      <c r="C559" s="505"/>
      <c r="E559" s="506"/>
    </row>
    <row r="560">
      <c r="A560" s="504"/>
      <c r="C560" s="505"/>
      <c r="E560" s="506"/>
    </row>
    <row r="561">
      <c r="A561" s="504"/>
      <c r="C561" s="505"/>
      <c r="E561" s="506"/>
    </row>
    <row r="562">
      <c r="A562" s="504"/>
      <c r="C562" s="505"/>
      <c r="E562" s="506"/>
    </row>
    <row r="563">
      <c r="A563" s="504"/>
      <c r="C563" s="505"/>
      <c r="E563" s="506"/>
    </row>
    <row r="564">
      <c r="A564" s="504"/>
      <c r="C564" s="505"/>
      <c r="E564" s="506"/>
    </row>
    <row r="565">
      <c r="A565" s="504"/>
      <c r="C565" s="505"/>
      <c r="E565" s="506"/>
    </row>
    <row r="566">
      <c r="A566" s="504"/>
      <c r="C566" s="505"/>
      <c r="E566" s="506"/>
    </row>
    <row r="567">
      <c r="A567" s="504"/>
      <c r="C567" s="505"/>
      <c r="E567" s="506"/>
    </row>
    <row r="568">
      <c r="A568" s="504"/>
      <c r="C568" s="505"/>
      <c r="E568" s="506"/>
    </row>
    <row r="569">
      <c r="A569" s="504"/>
      <c r="C569" s="505"/>
      <c r="E569" s="506"/>
    </row>
    <row r="570">
      <c r="A570" s="504"/>
      <c r="C570" s="505"/>
      <c r="E570" s="506"/>
    </row>
    <row r="571">
      <c r="A571" s="504"/>
      <c r="C571" s="505"/>
      <c r="E571" s="506"/>
    </row>
    <row r="572">
      <c r="A572" s="504"/>
      <c r="C572" s="505"/>
      <c r="E572" s="506"/>
    </row>
    <row r="573">
      <c r="A573" s="504"/>
      <c r="C573" s="505"/>
      <c r="E573" s="506"/>
    </row>
    <row r="574">
      <c r="A574" s="504"/>
      <c r="C574" s="505"/>
      <c r="E574" s="506"/>
    </row>
    <row r="575">
      <c r="A575" s="504"/>
      <c r="C575" s="505"/>
      <c r="E575" s="506"/>
    </row>
    <row r="576">
      <c r="A576" s="504"/>
      <c r="C576" s="505"/>
      <c r="E576" s="506"/>
    </row>
    <row r="577">
      <c r="A577" s="504"/>
      <c r="C577" s="505"/>
      <c r="E577" s="506"/>
    </row>
    <row r="578">
      <c r="A578" s="504"/>
      <c r="C578" s="505"/>
      <c r="E578" s="506"/>
    </row>
    <row r="579">
      <c r="A579" s="504"/>
      <c r="C579" s="505"/>
      <c r="E579" s="506"/>
    </row>
    <row r="580">
      <c r="A580" s="504"/>
      <c r="C580" s="505"/>
      <c r="E580" s="506"/>
    </row>
    <row r="581">
      <c r="A581" s="504"/>
      <c r="C581" s="505"/>
      <c r="E581" s="506"/>
    </row>
    <row r="582">
      <c r="A582" s="504"/>
      <c r="C582" s="505"/>
      <c r="E582" s="506"/>
    </row>
    <row r="583">
      <c r="A583" s="504"/>
      <c r="C583" s="505"/>
      <c r="E583" s="506"/>
    </row>
    <row r="584">
      <c r="A584" s="504"/>
      <c r="C584" s="505"/>
      <c r="E584" s="506"/>
    </row>
    <row r="585">
      <c r="A585" s="504"/>
      <c r="C585" s="505"/>
      <c r="E585" s="506"/>
    </row>
    <row r="586">
      <c r="A586" s="504"/>
      <c r="C586" s="505"/>
      <c r="E586" s="506"/>
    </row>
    <row r="587">
      <c r="A587" s="504"/>
      <c r="C587" s="505"/>
      <c r="E587" s="506"/>
    </row>
    <row r="588">
      <c r="A588" s="504"/>
      <c r="C588" s="505"/>
      <c r="E588" s="506"/>
    </row>
    <row r="589">
      <c r="A589" s="504"/>
      <c r="C589" s="505"/>
      <c r="E589" s="506"/>
    </row>
    <row r="590">
      <c r="A590" s="504"/>
      <c r="C590" s="505"/>
      <c r="E590" s="506"/>
    </row>
    <row r="591">
      <c r="A591" s="504"/>
      <c r="C591" s="505"/>
      <c r="E591" s="506"/>
    </row>
    <row r="592">
      <c r="A592" s="504"/>
      <c r="C592" s="505"/>
      <c r="E592" s="506"/>
    </row>
    <row r="593">
      <c r="A593" s="504"/>
      <c r="C593" s="505"/>
      <c r="E593" s="506"/>
    </row>
    <row r="594">
      <c r="A594" s="504"/>
      <c r="C594" s="505"/>
      <c r="E594" s="506"/>
    </row>
    <row r="595">
      <c r="A595" s="504"/>
      <c r="C595" s="505"/>
      <c r="E595" s="506"/>
    </row>
    <row r="596">
      <c r="A596" s="504"/>
      <c r="C596" s="505"/>
      <c r="E596" s="506"/>
    </row>
    <row r="597">
      <c r="A597" s="504"/>
      <c r="C597" s="505"/>
      <c r="E597" s="506"/>
    </row>
    <row r="598">
      <c r="A598" s="504"/>
      <c r="C598" s="505"/>
      <c r="E598" s="506"/>
    </row>
    <row r="599">
      <c r="A599" s="504"/>
      <c r="C599" s="505"/>
      <c r="E599" s="506"/>
    </row>
    <row r="600">
      <c r="A600" s="504"/>
      <c r="C600" s="505"/>
      <c r="E600" s="506"/>
    </row>
    <row r="601">
      <c r="A601" s="504"/>
      <c r="C601" s="505"/>
      <c r="E601" s="506"/>
    </row>
    <row r="602">
      <c r="A602" s="504"/>
      <c r="C602" s="505"/>
      <c r="E602" s="506"/>
    </row>
    <row r="603">
      <c r="A603" s="504"/>
      <c r="C603" s="505"/>
      <c r="E603" s="506"/>
    </row>
    <row r="604">
      <c r="A604" s="504"/>
      <c r="C604" s="505"/>
      <c r="E604" s="506"/>
    </row>
    <row r="605">
      <c r="A605" s="504"/>
      <c r="C605" s="505"/>
      <c r="E605" s="506"/>
    </row>
    <row r="606">
      <c r="A606" s="504"/>
      <c r="C606" s="505"/>
      <c r="E606" s="506"/>
    </row>
    <row r="607">
      <c r="A607" s="504"/>
      <c r="C607" s="505"/>
      <c r="E607" s="506"/>
    </row>
    <row r="608">
      <c r="A608" s="504"/>
      <c r="C608" s="505"/>
      <c r="E608" s="506"/>
    </row>
    <row r="609">
      <c r="A609" s="504"/>
      <c r="C609" s="505"/>
      <c r="E609" s="506"/>
    </row>
    <row r="610">
      <c r="A610" s="504"/>
      <c r="C610" s="505"/>
      <c r="E610" s="506"/>
    </row>
    <row r="611">
      <c r="A611" s="504"/>
      <c r="C611" s="505"/>
      <c r="E611" s="506"/>
    </row>
    <row r="612">
      <c r="A612" s="504"/>
      <c r="C612" s="505"/>
      <c r="E612" s="506"/>
    </row>
    <row r="613">
      <c r="A613" s="504"/>
      <c r="C613" s="505"/>
      <c r="E613" s="506"/>
    </row>
    <row r="614">
      <c r="A614" s="504"/>
      <c r="C614" s="505"/>
      <c r="E614" s="506"/>
    </row>
    <row r="615">
      <c r="A615" s="504"/>
      <c r="C615" s="505"/>
      <c r="E615" s="506"/>
    </row>
    <row r="616">
      <c r="A616" s="504"/>
      <c r="C616" s="505"/>
      <c r="E616" s="506"/>
    </row>
    <row r="617">
      <c r="A617" s="504"/>
      <c r="C617" s="505"/>
      <c r="E617" s="506"/>
    </row>
    <row r="618">
      <c r="A618" s="504"/>
      <c r="C618" s="505"/>
      <c r="E618" s="506"/>
    </row>
    <row r="619">
      <c r="A619" s="504"/>
      <c r="C619" s="505"/>
      <c r="E619" s="506"/>
    </row>
    <row r="620">
      <c r="A620" s="504"/>
      <c r="C620" s="505"/>
      <c r="E620" s="506"/>
    </row>
    <row r="621">
      <c r="A621" s="504"/>
      <c r="C621" s="505"/>
      <c r="E621" s="506"/>
    </row>
    <row r="622">
      <c r="A622" s="504"/>
      <c r="C622" s="505"/>
      <c r="E622" s="506"/>
    </row>
    <row r="623">
      <c r="A623" s="504"/>
      <c r="C623" s="505"/>
      <c r="E623" s="506"/>
    </row>
    <row r="624">
      <c r="A624" s="504"/>
      <c r="C624" s="505"/>
      <c r="E624" s="506"/>
    </row>
    <row r="625">
      <c r="A625" s="504"/>
      <c r="C625" s="505"/>
      <c r="E625" s="506"/>
    </row>
    <row r="626">
      <c r="A626" s="504"/>
      <c r="C626" s="505"/>
      <c r="E626" s="506"/>
    </row>
    <row r="627">
      <c r="A627" s="504"/>
      <c r="C627" s="505"/>
      <c r="E627" s="506"/>
    </row>
    <row r="628">
      <c r="A628" s="504"/>
      <c r="C628" s="505"/>
      <c r="E628" s="506"/>
    </row>
    <row r="629">
      <c r="A629" s="504"/>
      <c r="C629" s="505"/>
      <c r="E629" s="506"/>
    </row>
    <row r="630">
      <c r="A630" s="504"/>
      <c r="C630" s="505"/>
      <c r="E630" s="506"/>
    </row>
    <row r="631">
      <c r="A631" s="504"/>
      <c r="C631" s="505"/>
      <c r="E631" s="506"/>
    </row>
    <row r="632">
      <c r="A632" s="504"/>
      <c r="C632" s="505"/>
      <c r="E632" s="506"/>
    </row>
    <row r="633">
      <c r="A633" s="504"/>
      <c r="C633" s="505"/>
      <c r="E633" s="506"/>
    </row>
    <row r="634">
      <c r="A634" s="504"/>
      <c r="C634" s="505"/>
      <c r="E634" s="506"/>
    </row>
    <row r="635">
      <c r="A635" s="504"/>
      <c r="C635" s="505"/>
      <c r="E635" s="506"/>
    </row>
    <row r="636">
      <c r="A636" s="504"/>
      <c r="C636" s="505"/>
      <c r="E636" s="506"/>
    </row>
    <row r="637">
      <c r="A637" s="504"/>
      <c r="C637" s="505"/>
      <c r="E637" s="506"/>
    </row>
    <row r="638">
      <c r="A638" s="504"/>
      <c r="C638" s="505"/>
      <c r="E638" s="506"/>
    </row>
    <row r="639">
      <c r="A639" s="504"/>
      <c r="C639" s="505"/>
      <c r="E639" s="506"/>
    </row>
    <row r="640">
      <c r="A640" s="504"/>
      <c r="C640" s="505"/>
      <c r="E640" s="506"/>
    </row>
    <row r="641">
      <c r="A641" s="504"/>
      <c r="C641" s="505"/>
      <c r="E641" s="506"/>
    </row>
    <row r="642">
      <c r="A642" s="504"/>
      <c r="C642" s="505"/>
      <c r="E642" s="506"/>
    </row>
    <row r="643">
      <c r="A643" s="504"/>
      <c r="C643" s="505"/>
      <c r="E643" s="506"/>
    </row>
    <row r="644">
      <c r="A644" s="504"/>
      <c r="C644" s="505"/>
      <c r="E644" s="506"/>
    </row>
    <row r="645">
      <c r="A645" s="504"/>
      <c r="C645" s="505"/>
      <c r="E645" s="506"/>
    </row>
    <row r="646">
      <c r="A646" s="504"/>
      <c r="C646" s="505"/>
      <c r="E646" s="506"/>
    </row>
    <row r="647">
      <c r="A647" s="504"/>
      <c r="C647" s="505"/>
      <c r="E647" s="506"/>
    </row>
    <row r="648">
      <c r="A648" s="504"/>
      <c r="C648" s="505"/>
      <c r="E648" s="506"/>
    </row>
    <row r="649">
      <c r="A649" s="504"/>
      <c r="C649" s="505"/>
      <c r="E649" s="506"/>
    </row>
    <row r="650">
      <c r="A650" s="504"/>
      <c r="C650" s="505"/>
      <c r="E650" s="506"/>
    </row>
    <row r="651">
      <c r="A651" s="504"/>
      <c r="C651" s="505"/>
      <c r="E651" s="506"/>
    </row>
    <row r="652">
      <c r="A652" s="504"/>
      <c r="C652" s="505"/>
      <c r="E652" s="506"/>
    </row>
    <row r="653">
      <c r="A653" s="504"/>
      <c r="C653" s="505"/>
      <c r="E653" s="506"/>
    </row>
    <row r="654">
      <c r="A654" s="504"/>
      <c r="C654" s="505"/>
      <c r="E654" s="506"/>
    </row>
    <row r="655">
      <c r="A655" s="504"/>
      <c r="C655" s="505"/>
      <c r="E655" s="506"/>
    </row>
    <row r="656">
      <c r="A656" s="504"/>
      <c r="C656" s="505"/>
      <c r="E656" s="506"/>
    </row>
    <row r="657">
      <c r="A657" s="504"/>
      <c r="C657" s="505"/>
      <c r="E657" s="506"/>
    </row>
    <row r="658">
      <c r="A658" s="504"/>
      <c r="C658" s="505"/>
      <c r="E658" s="506"/>
    </row>
    <row r="659">
      <c r="A659" s="504"/>
      <c r="C659" s="505"/>
      <c r="E659" s="506"/>
    </row>
    <row r="660">
      <c r="A660" s="504"/>
      <c r="C660" s="505"/>
      <c r="E660" s="506"/>
    </row>
    <row r="661">
      <c r="A661" s="504"/>
      <c r="C661" s="505"/>
      <c r="E661" s="506"/>
    </row>
    <row r="662">
      <c r="A662" s="504"/>
      <c r="C662" s="505"/>
      <c r="E662" s="506"/>
    </row>
    <row r="663">
      <c r="A663" s="504"/>
      <c r="C663" s="505"/>
      <c r="E663" s="506"/>
    </row>
    <row r="664">
      <c r="A664" s="504"/>
      <c r="C664" s="505"/>
      <c r="E664" s="506"/>
    </row>
    <row r="665">
      <c r="A665" s="504"/>
      <c r="C665" s="505"/>
      <c r="E665" s="506"/>
    </row>
    <row r="666">
      <c r="A666" s="504"/>
      <c r="C666" s="505"/>
      <c r="E666" s="506"/>
    </row>
    <row r="667">
      <c r="A667" s="504"/>
      <c r="C667" s="505"/>
      <c r="E667" s="506"/>
    </row>
    <row r="668">
      <c r="A668" s="504"/>
      <c r="C668" s="505"/>
      <c r="E668" s="506"/>
    </row>
    <row r="669">
      <c r="A669" s="504"/>
      <c r="C669" s="505"/>
      <c r="E669" s="506"/>
    </row>
    <row r="670">
      <c r="A670" s="504"/>
      <c r="C670" s="505"/>
      <c r="E670" s="506"/>
    </row>
    <row r="671">
      <c r="A671" s="504"/>
      <c r="C671" s="505"/>
      <c r="E671" s="506"/>
    </row>
    <row r="672">
      <c r="A672" s="504"/>
      <c r="C672" s="505"/>
      <c r="E672" s="506"/>
    </row>
    <row r="673">
      <c r="A673" s="504"/>
      <c r="C673" s="505"/>
      <c r="E673" s="506"/>
    </row>
    <row r="674">
      <c r="A674" s="504"/>
      <c r="C674" s="505"/>
      <c r="E674" s="506"/>
    </row>
    <row r="675">
      <c r="A675" s="504"/>
      <c r="C675" s="505"/>
      <c r="E675" s="506"/>
    </row>
    <row r="676">
      <c r="A676" s="504"/>
      <c r="C676" s="505"/>
      <c r="E676" s="506"/>
    </row>
    <row r="677">
      <c r="A677" s="504"/>
      <c r="C677" s="505"/>
      <c r="E677" s="506"/>
    </row>
    <row r="678">
      <c r="A678" s="504"/>
      <c r="C678" s="505"/>
      <c r="E678" s="506"/>
    </row>
    <row r="679">
      <c r="A679" s="504"/>
      <c r="C679" s="505"/>
      <c r="E679" s="506"/>
    </row>
    <row r="680">
      <c r="A680" s="504"/>
      <c r="C680" s="505"/>
      <c r="E680" s="506"/>
    </row>
    <row r="681">
      <c r="A681" s="504"/>
      <c r="C681" s="505"/>
      <c r="E681" s="506"/>
    </row>
    <row r="682">
      <c r="A682" s="504"/>
      <c r="C682" s="505"/>
      <c r="E682" s="506"/>
    </row>
    <row r="683">
      <c r="A683" s="504"/>
      <c r="C683" s="505"/>
      <c r="E683" s="506"/>
    </row>
    <row r="684">
      <c r="A684" s="504"/>
      <c r="C684" s="505"/>
      <c r="E684" s="506"/>
    </row>
    <row r="685">
      <c r="A685" s="504"/>
      <c r="C685" s="505"/>
      <c r="E685" s="506"/>
    </row>
    <row r="686">
      <c r="A686" s="504"/>
      <c r="C686" s="505"/>
      <c r="E686" s="506"/>
    </row>
    <row r="687">
      <c r="A687" s="504"/>
      <c r="C687" s="505"/>
      <c r="E687" s="506"/>
    </row>
    <row r="688">
      <c r="A688" s="504"/>
      <c r="C688" s="505"/>
      <c r="E688" s="506"/>
    </row>
    <row r="689">
      <c r="A689" s="504"/>
      <c r="C689" s="505"/>
      <c r="E689" s="506"/>
    </row>
    <row r="690">
      <c r="A690" s="504"/>
      <c r="C690" s="505"/>
      <c r="E690" s="506"/>
    </row>
    <row r="691">
      <c r="A691" s="504"/>
      <c r="C691" s="505"/>
      <c r="E691" s="506"/>
    </row>
    <row r="692">
      <c r="A692" s="504"/>
      <c r="C692" s="505"/>
      <c r="E692" s="506"/>
    </row>
    <row r="693">
      <c r="A693" s="504"/>
      <c r="C693" s="505"/>
      <c r="E693" s="506"/>
    </row>
    <row r="694">
      <c r="A694" s="504"/>
      <c r="C694" s="505"/>
      <c r="E694" s="506"/>
    </row>
    <row r="695">
      <c r="A695" s="504"/>
      <c r="C695" s="505"/>
      <c r="E695" s="506"/>
    </row>
    <row r="696">
      <c r="A696" s="504"/>
      <c r="C696" s="505"/>
      <c r="E696" s="506"/>
    </row>
    <row r="697">
      <c r="A697" s="504"/>
      <c r="C697" s="505"/>
      <c r="E697" s="506"/>
    </row>
    <row r="698">
      <c r="A698" s="504"/>
      <c r="C698" s="505"/>
      <c r="E698" s="506"/>
    </row>
    <row r="699">
      <c r="A699" s="504"/>
      <c r="C699" s="505"/>
      <c r="E699" s="506"/>
    </row>
    <row r="700">
      <c r="A700" s="504"/>
      <c r="C700" s="505"/>
      <c r="E700" s="506"/>
    </row>
    <row r="701">
      <c r="A701" s="504"/>
      <c r="C701" s="505"/>
      <c r="E701" s="506"/>
    </row>
    <row r="702">
      <c r="A702" s="504"/>
      <c r="C702" s="505"/>
      <c r="E702" s="506"/>
    </row>
    <row r="703">
      <c r="A703" s="504"/>
      <c r="C703" s="505"/>
      <c r="E703" s="506"/>
    </row>
    <row r="704">
      <c r="A704" s="504"/>
      <c r="C704" s="505"/>
      <c r="E704" s="506"/>
    </row>
    <row r="705">
      <c r="A705" s="504"/>
      <c r="C705" s="505"/>
      <c r="E705" s="506"/>
    </row>
    <row r="706">
      <c r="A706" s="504"/>
      <c r="C706" s="505"/>
      <c r="E706" s="506"/>
    </row>
    <row r="707">
      <c r="A707" s="504"/>
      <c r="C707" s="505"/>
      <c r="E707" s="506"/>
    </row>
    <row r="708">
      <c r="A708" s="504"/>
      <c r="C708" s="505"/>
      <c r="E708" s="506"/>
    </row>
    <row r="709">
      <c r="A709" s="504"/>
      <c r="C709" s="505"/>
      <c r="E709" s="506"/>
    </row>
    <row r="710">
      <c r="A710" s="504"/>
      <c r="C710" s="505"/>
      <c r="E710" s="506"/>
    </row>
    <row r="711">
      <c r="A711" s="504"/>
      <c r="C711" s="505"/>
      <c r="E711" s="506"/>
    </row>
    <row r="712">
      <c r="A712" s="504"/>
      <c r="C712" s="505"/>
      <c r="E712" s="506"/>
    </row>
    <row r="713">
      <c r="A713" s="504"/>
      <c r="C713" s="505"/>
      <c r="E713" s="506"/>
    </row>
    <row r="714">
      <c r="A714" s="504"/>
      <c r="C714" s="505"/>
      <c r="E714" s="506"/>
    </row>
    <row r="715">
      <c r="A715" s="504"/>
      <c r="C715" s="505"/>
      <c r="E715" s="506"/>
    </row>
    <row r="716">
      <c r="A716" s="504"/>
      <c r="C716" s="505"/>
      <c r="E716" s="506"/>
    </row>
    <row r="717">
      <c r="A717" s="504"/>
      <c r="C717" s="505"/>
      <c r="E717" s="506"/>
    </row>
    <row r="718">
      <c r="A718" s="504"/>
      <c r="C718" s="505"/>
      <c r="E718" s="506"/>
    </row>
    <row r="719">
      <c r="A719" s="504"/>
      <c r="C719" s="505"/>
      <c r="E719" s="506"/>
    </row>
    <row r="720">
      <c r="A720" s="504"/>
      <c r="C720" s="505"/>
      <c r="E720" s="506"/>
    </row>
    <row r="721">
      <c r="A721" s="504"/>
      <c r="C721" s="505"/>
      <c r="E721" s="506"/>
    </row>
    <row r="722">
      <c r="A722" s="504"/>
      <c r="C722" s="505"/>
      <c r="E722" s="506"/>
    </row>
    <row r="723">
      <c r="A723" s="504"/>
      <c r="C723" s="505"/>
      <c r="E723" s="506"/>
    </row>
    <row r="724">
      <c r="A724" s="504"/>
      <c r="C724" s="505"/>
      <c r="E724" s="506"/>
    </row>
    <row r="725">
      <c r="A725" s="504"/>
      <c r="C725" s="505"/>
      <c r="E725" s="506"/>
    </row>
    <row r="726">
      <c r="A726" s="504"/>
      <c r="C726" s="505"/>
      <c r="E726" s="506"/>
    </row>
    <row r="727">
      <c r="A727" s="504"/>
      <c r="C727" s="505"/>
      <c r="E727" s="506"/>
    </row>
    <row r="728">
      <c r="A728" s="504"/>
      <c r="C728" s="505"/>
      <c r="E728" s="506"/>
    </row>
    <row r="729">
      <c r="A729" s="504"/>
      <c r="C729" s="505"/>
      <c r="E729" s="506"/>
    </row>
    <row r="730">
      <c r="A730" s="504"/>
      <c r="C730" s="505"/>
      <c r="E730" s="506"/>
    </row>
    <row r="731">
      <c r="A731" s="504"/>
      <c r="C731" s="505"/>
      <c r="E731" s="506"/>
    </row>
    <row r="732">
      <c r="A732" s="504"/>
      <c r="C732" s="505"/>
      <c r="E732" s="506"/>
    </row>
    <row r="733">
      <c r="A733" s="504"/>
      <c r="C733" s="505"/>
      <c r="E733" s="506"/>
    </row>
    <row r="734">
      <c r="A734" s="504"/>
      <c r="C734" s="505"/>
      <c r="E734" s="506"/>
    </row>
    <row r="735">
      <c r="A735" s="504"/>
      <c r="C735" s="505"/>
      <c r="E735" s="506"/>
    </row>
    <row r="736">
      <c r="A736" s="504"/>
      <c r="C736" s="505"/>
      <c r="E736" s="506"/>
    </row>
    <row r="737">
      <c r="A737" s="504"/>
      <c r="C737" s="505"/>
      <c r="E737" s="506"/>
    </row>
    <row r="738">
      <c r="A738" s="504"/>
      <c r="C738" s="505"/>
      <c r="E738" s="506"/>
    </row>
    <row r="739">
      <c r="A739" s="504"/>
      <c r="C739" s="505"/>
      <c r="E739" s="506"/>
    </row>
    <row r="740">
      <c r="A740" s="504"/>
      <c r="C740" s="505"/>
      <c r="E740" s="506"/>
    </row>
    <row r="741">
      <c r="A741" s="504"/>
      <c r="C741" s="505"/>
      <c r="E741" s="506"/>
    </row>
    <row r="742">
      <c r="A742" s="504"/>
      <c r="C742" s="505"/>
      <c r="E742" s="506"/>
    </row>
    <row r="743">
      <c r="A743" s="504"/>
      <c r="C743" s="505"/>
      <c r="E743" s="506"/>
    </row>
    <row r="744">
      <c r="A744" s="504"/>
      <c r="C744" s="505"/>
      <c r="E744" s="506"/>
    </row>
    <row r="745">
      <c r="A745" s="504"/>
      <c r="C745" s="505"/>
      <c r="E745" s="506"/>
    </row>
    <row r="746">
      <c r="A746" s="504"/>
      <c r="C746" s="505"/>
      <c r="E746" s="506"/>
    </row>
    <row r="747">
      <c r="A747" s="504"/>
      <c r="C747" s="505"/>
      <c r="E747" s="506"/>
    </row>
    <row r="748">
      <c r="A748" s="504"/>
      <c r="C748" s="505"/>
      <c r="E748" s="506"/>
    </row>
    <row r="749">
      <c r="A749" s="504"/>
      <c r="C749" s="505"/>
      <c r="E749" s="506"/>
    </row>
    <row r="750">
      <c r="A750" s="504"/>
      <c r="C750" s="505"/>
      <c r="E750" s="506"/>
    </row>
    <row r="751">
      <c r="A751" s="504"/>
      <c r="C751" s="505"/>
      <c r="E751" s="506"/>
    </row>
    <row r="752">
      <c r="A752" s="504"/>
      <c r="C752" s="505"/>
      <c r="E752" s="506"/>
    </row>
    <row r="753">
      <c r="A753" s="504"/>
      <c r="C753" s="505"/>
      <c r="E753" s="506"/>
    </row>
    <row r="754">
      <c r="A754" s="504"/>
      <c r="C754" s="505"/>
      <c r="E754" s="506"/>
    </row>
    <row r="755">
      <c r="A755" s="504"/>
      <c r="C755" s="505"/>
      <c r="E755" s="506"/>
    </row>
    <row r="756">
      <c r="A756" s="504"/>
      <c r="C756" s="505"/>
      <c r="E756" s="506"/>
    </row>
    <row r="757">
      <c r="A757" s="504"/>
      <c r="C757" s="505"/>
      <c r="E757" s="506"/>
    </row>
    <row r="758">
      <c r="A758" s="504"/>
      <c r="C758" s="505"/>
      <c r="E758" s="506"/>
    </row>
    <row r="759">
      <c r="A759" s="504"/>
      <c r="C759" s="505"/>
      <c r="E759" s="506"/>
    </row>
    <row r="760">
      <c r="A760" s="504"/>
      <c r="C760" s="505"/>
      <c r="E760" s="506"/>
    </row>
    <row r="761">
      <c r="A761" s="504"/>
      <c r="C761" s="505"/>
      <c r="E761" s="506"/>
    </row>
    <row r="762">
      <c r="A762" s="504"/>
      <c r="C762" s="505"/>
      <c r="E762" s="506"/>
    </row>
    <row r="763">
      <c r="A763" s="504"/>
      <c r="C763" s="505"/>
      <c r="E763" s="506"/>
    </row>
    <row r="764">
      <c r="A764" s="504"/>
      <c r="C764" s="505"/>
      <c r="E764" s="506"/>
    </row>
    <row r="765">
      <c r="A765" s="504"/>
      <c r="C765" s="505"/>
      <c r="E765" s="506"/>
    </row>
    <row r="766">
      <c r="A766" s="504"/>
      <c r="C766" s="505"/>
      <c r="E766" s="506"/>
    </row>
    <row r="767">
      <c r="A767" s="504"/>
      <c r="C767" s="505"/>
      <c r="E767" s="506"/>
    </row>
    <row r="768">
      <c r="A768" s="504"/>
      <c r="C768" s="505"/>
      <c r="E768" s="506"/>
    </row>
    <row r="769">
      <c r="A769" s="504"/>
      <c r="C769" s="505"/>
      <c r="E769" s="506"/>
    </row>
    <row r="770">
      <c r="A770" s="504"/>
      <c r="C770" s="505"/>
      <c r="E770" s="506"/>
    </row>
    <row r="771">
      <c r="A771" s="504"/>
      <c r="C771" s="505"/>
      <c r="E771" s="506"/>
    </row>
    <row r="772">
      <c r="A772" s="504"/>
      <c r="C772" s="505"/>
      <c r="E772" s="506"/>
    </row>
    <row r="773">
      <c r="A773" s="504"/>
      <c r="C773" s="505"/>
      <c r="E773" s="506"/>
    </row>
    <row r="774">
      <c r="A774" s="504"/>
      <c r="C774" s="505"/>
      <c r="E774" s="506"/>
    </row>
    <row r="775">
      <c r="A775" s="504"/>
      <c r="C775" s="505"/>
      <c r="E775" s="506"/>
    </row>
    <row r="776">
      <c r="A776" s="504"/>
      <c r="C776" s="505"/>
      <c r="E776" s="506"/>
    </row>
    <row r="777">
      <c r="A777" s="504"/>
      <c r="C777" s="505"/>
      <c r="E777" s="506"/>
    </row>
    <row r="778">
      <c r="A778" s="504"/>
      <c r="C778" s="505"/>
      <c r="E778" s="506"/>
    </row>
    <row r="779">
      <c r="A779" s="504"/>
      <c r="C779" s="505"/>
      <c r="E779" s="506"/>
    </row>
    <row r="780">
      <c r="A780" s="504"/>
      <c r="C780" s="505"/>
      <c r="E780" s="506"/>
    </row>
    <row r="781">
      <c r="A781" s="504"/>
      <c r="C781" s="505"/>
      <c r="E781" s="506"/>
    </row>
    <row r="782">
      <c r="A782" s="504"/>
      <c r="C782" s="505"/>
      <c r="E782" s="506"/>
    </row>
    <row r="783">
      <c r="A783" s="504"/>
      <c r="C783" s="505"/>
      <c r="E783" s="506"/>
    </row>
    <row r="784">
      <c r="A784" s="504"/>
      <c r="C784" s="505"/>
      <c r="E784" s="506"/>
    </row>
    <row r="785">
      <c r="A785" s="504"/>
      <c r="C785" s="505"/>
      <c r="E785" s="506"/>
    </row>
    <row r="786">
      <c r="A786" s="504"/>
      <c r="C786" s="505"/>
      <c r="E786" s="506"/>
    </row>
    <row r="787">
      <c r="A787" s="504"/>
      <c r="C787" s="505"/>
      <c r="E787" s="506"/>
    </row>
    <row r="788">
      <c r="A788" s="504"/>
      <c r="C788" s="505"/>
      <c r="E788" s="506"/>
    </row>
    <row r="789">
      <c r="A789" s="504"/>
      <c r="C789" s="505"/>
      <c r="E789" s="506"/>
    </row>
    <row r="790">
      <c r="A790" s="504"/>
      <c r="C790" s="505"/>
      <c r="E790" s="506"/>
    </row>
    <row r="791">
      <c r="A791" s="504"/>
      <c r="C791" s="505"/>
      <c r="E791" s="506"/>
    </row>
    <row r="792">
      <c r="A792" s="504"/>
      <c r="C792" s="505"/>
      <c r="E792" s="506"/>
    </row>
    <row r="793">
      <c r="A793" s="504"/>
      <c r="C793" s="505"/>
      <c r="E793" s="506"/>
    </row>
    <row r="794">
      <c r="A794" s="504"/>
      <c r="C794" s="505"/>
      <c r="E794" s="506"/>
    </row>
    <row r="795">
      <c r="A795" s="504"/>
      <c r="C795" s="505"/>
      <c r="E795" s="506"/>
    </row>
    <row r="796">
      <c r="A796" s="504"/>
      <c r="C796" s="505"/>
      <c r="E796" s="506"/>
    </row>
    <row r="797">
      <c r="A797" s="504"/>
      <c r="C797" s="505"/>
      <c r="E797" s="506"/>
    </row>
    <row r="798">
      <c r="A798" s="504"/>
      <c r="C798" s="505"/>
      <c r="E798" s="506"/>
    </row>
    <row r="799">
      <c r="A799" s="504"/>
      <c r="C799" s="505"/>
      <c r="E799" s="506"/>
    </row>
    <row r="800">
      <c r="A800" s="504"/>
      <c r="C800" s="505"/>
      <c r="E800" s="506"/>
    </row>
    <row r="801">
      <c r="A801" s="504"/>
      <c r="C801" s="505"/>
      <c r="E801" s="506"/>
    </row>
    <row r="802">
      <c r="A802" s="504"/>
      <c r="C802" s="505"/>
      <c r="E802" s="506"/>
    </row>
    <row r="803">
      <c r="A803" s="504"/>
      <c r="C803" s="505"/>
      <c r="E803" s="506"/>
    </row>
    <row r="804">
      <c r="A804" s="504"/>
      <c r="C804" s="505"/>
      <c r="E804" s="506"/>
    </row>
    <row r="805">
      <c r="A805" s="504"/>
      <c r="C805" s="505"/>
      <c r="E805" s="506"/>
    </row>
    <row r="806">
      <c r="A806" s="504"/>
      <c r="C806" s="505"/>
      <c r="E806" s="506"/>
    </row>
    <row r="807">
      <c r="A807" s="504"/>
      <c r="C807" s="505"/>
      <c r="E807" s="506"/>
    </row>
    <row r="808">
      <c r="A808" s="504"/>
      <c r="C808" s="505"/>
      <c r="E808" s="506"/>
    </row>
    <row r="809">
      <c r="A809" s="504"/>
      <c r="C809" s="505"/>
      <c r="E809" s="506"/>
    </row>
    <row r="810">
      <c r="A810" s="504"/>
      <c r="C810" s="505"/>
      <c r="E810" s="506"/>
    </row>
    <row r="811">
      <c r="A811" s="504"/>
      <c r="C811" s="505"/>
      <c r="E811" s="506"/>
    </row>
    <row r="812">
      <c r="A812" s="504"/>
      <c r="C812" s="505"/>
      <c r="E812" s="506"/>
    </row>
    <row r="813">
      <c r="A813" s="504"/>
      <c r="C813" s="505"/>
      <c r="E813" s="506"/>
    </row>
    <row r="814">
      <c r="A814" s="504"/>
      <c r="C814" s="505"/>
      <c r="E814" s="506"/>
    </row>
    <row r="815">
      <c r="A815" s="504"/>
      <c r="C815" s="505"/>
      <c r="E815" s="506"/>
    </row>
    <row r="816">
      <c r="A816" s="504"/>
      <c r="C816" s="505"/>
      <c r="E816" s="506"/>
    </row>
    <row r="817">
      <c r="A817" s="504"/>
      <c r="C817" s="505"/>
      <c r="E817" s="506"/>
    </row>
    <row r="818">
      <c r="A818" s="504"/>
      <c r="C818" s="505"/>
      <c r="E818" s="506"/>
    </row>
    <row r="819">
      <c r="A819" s="504"/>
      <c r="C819" s="505"/>
      <c r="E819" s="506"/>
    </row>
    <row r="820">
      <c r="A820" s="504"/>
      <c r="C820" s="505"/>
      <c r="E820" s="506"/>
    </row>
    <row r="821">
      <c r="A821" s="504"/>
      <c r="C821" s="505"/>
      <c r="E821" s="506"/>
    </row>
    <row r="822">
      <c r="A822" s="504"/>
      <c r="C822" s="505"/>
      <c r="E822" s="506"/>
    </row>
    <row r="823">
      <c r="A823" s="504"/>
      <c r="C823" s="505"/>
      <c r="E823" s="506"/>
    </row>
    <row r="824">
      <c r="A824" s="504"/>
      <c r="C824" s="505"/>
      <c r="E824" s="506"/>
    </row>
    <row r="825">
      <c r="A825" s="504"/>
      <c r="C825" s="505"/>
      <c r="E825" s="506"/>
    </row>
    <row r="826">
      <c r="A826" s="504"/>
      <c r="C826" s="505"/>
      <c r="E826" s="506"/>
    </row>
    <row r="827">
      <c r="A827" s="504"/>
      <c r="C827" s="505"/>
      <c r="E827" s="506"/>
    </row>
    <row r="828">
      <c r="A828" s="504"/>
      <c r="C828" s="505"/>
      <c r="E828" s="506"/>
    </row>
    <row r="829">
      <c r="A829" s="504"/>
      <c r="C829" s="505"/>
      <c r="E829" s="506"/>
    </row>
    <row r="830">
      <c r="A830" s="504"/>
      <c r="C830" s="505"/>
      <c r="E830" s="506"/>
    </row>
    <row r="831">
      <c r="A831" s="504"/>
      <c r="C831" s="505"/>
      <c r="E831" s="506"/>
    </row>
    <row r="832">
      <c r="A832" s="504"/>
      <c r="C832" s="505"/>
      <c r="E832" s="506"/>
    </row>
    <row r="833">
      <c r="A833" s="504"/>
      <c r="C833" s="505"/>
      <c r="E833" s="506"/>
    </row>
    <row r="834">
      <c r="A834" s="504"/>
      <c r="C834" s="505"/>
      <c r="E834" s="506"/>
    </row>
    <row r="835">
      <c r="A835" s="504"/>
      <c r="C835" s="505"/>
      <c r="E835" s="506"/>
    </row>
    <row r="836">
      <c r="A836" s="504"/>
      <c r="C836" s="505"/>
      <c r="E836" s="506"/>
    </row>
    <row r="837">
      <c r="A837" s="504"/>
      <c r="C837" s="505"/>
      <c r="E837" s="506"/>
    </row>
    <row r="838">
      <c r="A838" s="504"/>
      <c r="C838" s="505"/>
      <c r="E838" s="506"/>
    </row>
    <row r="839">
      <c r="A839" s="504"/>
      <c r="C839" s="505"/>
      <c r="E839" s="506"/>
    </row>
    <row r="840">
      <c r="A840" s="504"/>
      <c r="C840" s="505"/>
      <c r="E840" s="506"/>
    </row>
    <row r="841">
      <c r="A841" s="504"/>
      <c r="C841" s="505"/>
      <c r="E841" s="506"/>
    </row>
    <row r="842">
      <c r="A842" s="504"/>
      <c r="C842" s="505"/>
      <c r="E842" s="506"/>
    </row>
    <row r="843">
      <c r="A843" s="504"/>
      <c r="C843" s="505"/>
      <c r="E843" s="506"/>
    </row>
    <row r="844">
      <c r="A844" s="504"/>
      <c r="C844" s="505"/>
      <c r="E844" s="506"/>
    </row>
    <row r="845">
      <c r="A845" s="504"/>
      <c r="C845" s="505"/>
      <c r="E845" s="506"/>
    </row>
    <row r="846">
      <c r="A846" s="504"/>
      <c r="C846" s="505"/>
      <c r="E846" s="506"/>
    </row>
    <row r="847">
      <c r="A847" s="504"/>
      <c r="C847" s="505"/>
      <c r="E847" s="506"/>
    </row>
    <row r="848">
      <c r="A848" s="504"/>
      <c r="C848" s="505"/>
      <c r="E848" s="506"/>
    </row>
    <row r="849">
      <c r="A849" s="504"/>
      <c r="C849" s="505"/>
      <c r="E849" s="506"/>
    </row>
    <row r="850">
      <c r="A850" s="504"/>
      <c r="C850" s="505"/>
      <c r="E850" s="506"/>
    </row>
    <row r="851">
      <c r="A851" s="504"/>
      <c r="C851" s="505"/>
      <c r="E851" s="506"/>
    </row>
    <row r="852">
      <c r="A852" s="504"/>
      <c r="C852" s="505"/>
      <c r="E852" s="506"/>
    </row>
    <row r="853">
      <c r="A853" s="504"/>
      <c r="C853" s="505"/>
      <c r="E853" s="506"/>
    </row>
    <row r="854">
      <c r="A854" s="504"/>
      <c r="C854" s="505"/>
      <c r="E854" s="506"/>
    </row>
    <row r="855">
      <c r="A855" s="504"/>
      <c r="C855" s="505"/>
      <c r="E855" s="506"/>
    </row>
    <row r="856">
      <c r="A856" s="504"/>
      <c r="C856" s="505"/>
      <c r="E856" s="506"/>
    </row>
    <row r="857">
      <c r="A857" s="504"/>
      <c r="C857" s="505"/>
      <c r="E857" s="506"/>
    </row>
    <row r="858">
      <c r="A858" s="504"/>
      <c r="C858" s="505"/>
      <c r="E858" s="506"/>
    </row>
    <row r="859">
      <c r="A859" s="504"/>
      <c r="C859" s="505"/>
      <c r="E859" s="506"/>
    </row>
    <row r="860">
      <c r="A860" s="504"/>
      <c r="C860" s="505"/>
      <c r="E860" s="506"/>
    </row>
    <row r="861">
      <c r="A861" s="504"/>
      <c r="C861" s="505"/>
      <c r="E861" s="506"/>
    </row>
    <row r="862">
      <c r="A862" s="504"/>
      <c r="C862" s="505"/>
      <c r="E862" s="506"/>
    </row>
    <row r="863">
      <c r="A863" s="504"/>
      <c r="C863" s="505"/>
      <c r="E863" s="506"/>
    </row>
    <row r="864">
      <c r="A864" s="504"/>
      <c r="C864" s="505"/>
      <c r="E864" s="506"/>
    </row>
    <row r="865">
      <c r="A865" s="504"/>
      <c r="C865" s="505"/>
      <c r="E865" s="506"/>
    </row>
    <row r="866">
      <c r="A866" s="504"/>
      <c r="C866" s="505"/>
      <c r="E866" s="506"/>
    </row>
    <row r="867">
      <c r="A867" s="504"/>
      <c r="C867" s="505"/>
      <c r="E867" s="506"/>
    </row>
    <row r="868">
      <c r="A868" s="504"/>
      <c r="C868" s="505"/>
      <c r="E868" s="506"/>
    </row>
    <row r="869">
      <c r="A869" s="504"/>
      <c r="C869" s="505"/>
      <c r="E869" s="506"/>
    </row>
    <row r="870">
      <c r="A870" s="504"/>
      <c r="C870" s="505"/>
      <c r="E870" s="506"/>
    </row>
    <row r="871">
      <c r="A871" s="504"/>
      <c r="C871" s="505"/>
      <c r="E871" s="506"/>
    </row>
    <row r="872">
      <c r="A872" s="504"/>
      <c r="C872" s="505"/>
      <c r="E872" s="506"/>
    </row>
    <row r="873">
      <c r="A873" s="504"/>
      <c r="C873" s="505"/>
      <c r="E873" s="506"/>
    </row>
    <row r="874">
      <c r="A874" s="504"/>
      <c r="C874" s="505"/>
      <c r="E874" s="506"/>
    </row>
    <row r="875">
      <c r="A875" s="504"/>
      <c r="C875" s="505"/>
      <c r="E875" s="506"/>
    </row>
    <row r="876">
      <c r="A876" s="504"/>
      <c r="C876" s="505"/>
      <c r="E876" s="506"/>
    </row>
    <row r="877">
      <c r="A877" s="504"/>
      <c r="C877" s="505"/>
      <c r="E877" s="506"/>
    </row>
    <row r="878">
      <c r="A878" s="504"/>
      <c r="C878" s="505"/>
      <c r="E878" s="506"/>
    </row>
    <row r="879">
      <c r="A879" s="504"/>
      <c r="C879" s="505"/>
      <c r="E879" s="506"/>
    </row>
    <row r="880">
      <c r="A880" s="504"/>
      <c r="C880" s="505"/>
      <c r="E880" s="506"/>
    </row>
    <row r="881">
      <c r="A881" s="504"/>
      <c r="C881" s="505"/>
      <c r="E881" s="506"/>
    </row>
    <row r="882">
      <c r="A882" s="504"/>
      <c r="C882" s="505"/>
      <c r="E882" s="506"/>
    </row>
    <row r="883">
      <c r="A883" s="504"/>
      <c r="C883" s="505"/>
      <c r="E883" s="506"/>
    </row>
    <row r="884">
      <c r="A884" s="504"/>
      <c r="C884" s="505"/>
      <c r="E884" s="506"/>
    </row>
    <row r="885">
      <c r="A885" s="504"/>
      <c r="C885" s="505"/>
      <c r="E885" s="506"/>
    </row>
    <row r="886">
      <c r="A886" s="504"/>
      <c r="C886" s="505"/>
      <c r="E886" s="506"/>
    </row>
    <row r="887">
      <c r="A887" s="504"/>
      <c r="C887" s="505"/>
      <c r="E887" s="506"/>
    </row>
    <row r="888">
      <c r="A888" s="504"/>
      <c r="C888" s="505"/>
      <c r="E888" s="506"/>
    </row>
    <row r="889">
      <c r="A889" s="504"/>
      <c r="C889" s="505"/>
      <c r="E889" s="506"/>
    </row>
    <row r="890">
      <c r="A890" s="504"/>
      <c r="C890" s="505"/>
      <c r="E890" s="506"/>
    </row>
    <row r="891">
      <c r="A891" s="504"/>
      <c r="C891" s="505"/>
      <c r="E891" s="506"/>
    </row>
    <row r="892">
      <c r="A892" s="504"/>
      <c r="C892" s="505"/>
      <c r="E892" s="506"/>
    </row>
    <row r="893">
      <c r="A893" s="504"/>
      <c r="C893" s="505"/>
      <c r="E893" s="506"/>
    </row>
    <row r="894">
      <c r="A894" s="504"/>
      <c r="C894" s="505"/>
      <c r="E894" s="506"/>
    </row>
    <row r="895">
      <c r="A895" s="504"/>
      <c r="C895" s="505"/>
      <c r="E895" s="506"/>
    </row>
    <row r="896">
      <c r="A896" s="504"/>
      <c r="C896" s="505"/>
      <c r="E896" s="506"/>
    </row>
    <row r="897">
      <c r="A897" s="504"/>
      <c r="C897" s="505"/>
      <c r="E897" s="506"/>
    </row>
    <row r="898">
      <c r="A898" s="504"/>
      <c r="C898" s="505"/>
      <c r="E898" s="506"/>
    </row>
    <row r="899">
      <c r="A899" s="504"/>
      <c r="C899" s="505"/>
      <c r="E899" s="506"/>
    </row>
    <row r="900">
      <c r="A900" s="504"/>
      <c r="C900" s="505"/>
      <c r="E900" s="506"/>
    </row>
    <row r="901">
      <c r="A901" s="504"/>
      <c r="C901" s="505"/>
      <c r="E901" s="506"/>
    </row>
    <row r="902">
      <c r="A902" s="504"/>
      <c r="C902" s="505"/>
      <c r="E902" s="506"/>
    </row>
    <row r="903">
      <c r="A903" s="504"/>
      <c r="C903" s="505"/>
      <c r="E903" s="506"/>
    </row>
    <row r="904">
      <c r="A904" s="504"/>
      <c r="C904" s="505"/>
      <c r="E904" s="506"/>
    </row>
    <row r="905">
      <c r="A905" s="504"/>
      <c r="C905" s="505"/>
      <c r="E905" s="506"/>
    </row>
    <row r="906">
      <c r="A906" s="504"/>
      <c r="C906" s="505"/>
      <c r="E906" s="506"/>
    </row>
    <row r="907">
      <c r="A907" s="504"/>
      <c r="C907" s="505"/>
      <c r="E907" s="506"/>
    </row>
    <row r="908">
      <c r="A908" s="504"/>
      <c r="C908" s="505"/>
      <c r="E908" s="506"/>
    </row>
    <row r="909">
      <c r="A909" s="504"/>
      <c r="C909" s="505"/>
      <c r="E909" s="506"/>
    </row>
    <row r="910">
      <c r="A910" s="504"/>
      <c r="C910" s="505"/>
      <c r="E910" s="506"/>
    </row>
    <row r="911">
      <c r="A911" s="504"/>
      <c r="C911" s="505"/>
      <c r="E911" s="506"/>
    </row>
    <row r="912">
      <c r="A912" s="504"/>
      <c r="C912" s="505"/>
      <c r="E912" s="506"/>
    </row>
    <row r="913">
      <c r="A913" s="504"/>
      <c r="C913" s="505"/>
      <c r="E913" s="506"/>
    </row>
    <row r="914">
      <c r="A914" s="504"/>
      <c r="C914" s="505"/>
      <c r="E914" s="506"/>
    </row>
    <row r="915">
      <c r="A915" s="504"/>
      <c r="C915" s="505"/>
      <c r="E915" s="506"/>
    </row>
    <row r="916">
      <c r="A916" s="504"/>
      <c r="C916" s="505"/>
      <c r="E916" s="506"/>
    </row>
    <row r="917">
      <c r="A917" s="504"/>
      <c r="C917" s="505"/>
      <c r="E917" s="506"/>
    </row>
    <row r="918">
      <c r="A918" s="504"/>
      <c r="C918" s="505"/>
      <c r="E918" s="506"/>
    </row>
    <row r="919">
      <c r="A919" s="504"/>
      <c r="C919" s="505"/>
      <c r="E919" s="506"/>
    </row>
    <row r="920">
      <c r="A920" s="504"/>
      <c r="C920" s="505"/>
      <c r="E920" s="506"/>
    </row>
    <row r="921">
      <c r="A921" s="504"/>
      <c r="C921" s="505"/>
      <c r="E921" s="506"/>
    </row>
    <row r="922">
      <c r="A922" s="504"/>
      <c r="C922" s="505"/>
      <c r="E922" s="506"/>
    </row>
    <row r="923">
      <c r="A923" s="504"/>
      <c r="C923" s="505"/>
      <c r="E923" s="506"/>
    </row>
    <row r="924">
      <c r="A924" s="504"/>
      <c r="C924" s="505"/>
      <c r="E924" s="506"/>
    </row>
    <row r="925">
      <c r="A925" s="504"/>
      <c r="C925" s="505"/>
      <c r="E925" s="506"/>
    </row>
    <row r="926">
      <c r="A926" s="504"/>
      <c r="C926" s="505"/>
      <c r="E926" s="506"/>
    </row>
    <row r="927">
      <c r="A927" s="504"/>
      <c r="C927" s="505"/>
      <c r="E927" s="506"/>
    </row>
    <row r="928">
      <c r="A928" s="504"/>
      <c r="C928" s="505"/>
      <c r="E928" s="506"/>
    </row>
    <row r="929">
      <c r="A929" s="504"/>
      <c r="C929" s="505"/>
      <c r="E929" s="506"/>
    </row>
    <row r="930">
      <c r="A930" s="504"/>
      <c r="C930" s="505"/>
      <c r="E930" s="506"/>
    </row>
    <row r="931">
      <c r="A931" s="504"/>
      <c r="C931" s="505"/>
      <c r="E931" s="506"/>
    </row>
    <row r="932">
      <c r="A932" s="504"/>
      <c r="C932" s="505"/>
      <c r="E932" s="506"/>
    </row>
    <row r="933">
      <c r="A933" s="504"/>
      <c r="C933" s="505"/>
      <c r="E933" s="506"/>
    </row>
    <row r="934">
      <c r="A934" s="504"/>
      <c r="C934" s="505"/>
      <c r="E934" s="506"/>
    </row>
    <row r="935">
      <c r="A935" s="504"/>
      <c r="C935" s="505"/>
      <c r="E935" s="506"/>
    </row>
    <row r="936">
      <c r="A936" s="504"/>
      <c r="C936" s="505"/>
      <c r="E936" s="506"/>
    </row>
    <row r="937">
      <c r="A937" s="504"/>
      <c r="C937" s="505"/>
      <c r="E937" s="506"/>
    </row>
    <row r="938">
      <c r="A938" s="504"/>
      <c r="C938" s="505"/>
      <c r="E938" s="506"/>
    </row>
    <row r="939">
      <c r="A939" s="504"/>
      <c r="C939" s="505"/>
      <c r="E939" s="506"/>
    </row>
    <row r="940">
      <c r="A940" s="504"/>
      <c r="C940" s="505"/>
      <c r="E940" s="506"/>
    </row>
    <row r="941">
      <c r="A941" s="504"/>
      <c r="C941" s="505"/>
      <c r="E941" s="506"/>
    </row>
    <row r="942">
      <c r="A942" s="504"/>
      <c r="C942" s="505"/>
      <c r="E942" s="506"/>
    </row>
    <row r="943">
      <c r="A943" s="504"/>
      <c r="C943" s="505"/>
      <c r="E943" s="506"/>
    </row>
    <row r="944">
      <c r="A944" s="504"/>
      <c r="C944" s="505"/>
      <c r="E944" s="506"/>
    </row>
    <row r="945">
      <c r="A945" s="504"/>
      <c r="C945" s="505"/>
      <c r="E945" s="506"/>
    </row>
    <row r="946">
      <c r="A946" s="504"/>
      <c r="C946" s="505"/>
      <c r="E946" s="506"/>
    </row>
    <row r="947">
      <c r="A947" s="504"/>
      <c r="C947" s="505"/>
      <c r="E947" s="506"/>
    </row>
    <row r="948">
      <c r="A948" s="504"/>
      <c r="C948" s="505"/>
      <c r="E948" s="506"/>
    </row>
    <row r="949">
      <c r="A949" s="504"/>
      <c r="C949" s="505"/>
      <c r="E949" s="506"/>
    </row>
    <row r="950">
      <c r="A950" s="504"/>
      <c r="C950" s="505"/>
      <c r="E950" s="506"/>
    </row>
    <row r="951">
      <c r="A951" s="504"/>
      <c r="C951" s="505"/>
      <c r="E951" s="506"/>
    </row>
    <row r="952">
      <c r="A952" s="504"/>
      <c r="C952" s="505"/>
      <c r="E952" s="506"/>
    </row>
    <row r="953">
      <c r="A953" s="504"/>
      <c r="C953" s="505"/>
      <c r="E953" s="506"/>
    </row>
    <row r="954">
      <c r="A954" s="504"/>
      <c r="C954" s="505"/>
      <c r="E954" s="506"/>
    </row>
    <row r="955">
      <c r="A955" s="504"/>
      <c r="C955" s="505"/>
      <c r="E955" s="506"/>
    </row>
    <row r="956">
      <c r="A956" s="504"/>
      <c r="C956" s="505"/>
      <c r="E956" s="506"/>
    </row>
    <row r="957">
      <c r="A957" s="504"/>
      <c r="C957" s="505"/>
      <c r="E957" s="506"/>
    </row>
    <row r="958">
      <c r="A958" s="504"/>
      <c r="C958" s="505"/>
      <c r="E958" s="506"/>
    </row>
    <row r="959">
      <c r="A959" s="504"/>
      <c r="C959" s="505"/>
      <c r="E959" s="506"/>
    </row>
    <row r="960">
      <c r="A960" s="504"/>
      <c r="C960" s="505"/>
      <c r="E960" s="506"/>
    </row>
    <row r="961">
      <c r="A961" s="504"/>
      <c r="C961" s="505"/>
      <c r="E961" s="506"/>
    </row>
    <row r="962">
      <c r="A962" s="504"/>
      <c r="C962" s="505"/>
      <c r="E962" s="506"/>
    </row>
    <row r="963">
      <c r="A963" s="504"/>
      <c r="C963" s="505"/>
      <c r="E963" s="506"/>
    </row>
    <row r="964">
      <c r="A964" s="504"/>
      <c r="C964" s="505"/>
      <c r="E964" s="506"/>
    </row>
    <row r="965">
      <c r="A965" s="504"/>
      <c r="C965" s="505"/>
      <c r="E965" s="506"/>
    </row>
    <row r="966">
      <c r="A966" s="504"/>
      <c r="C966" s="505"/>
      <c r="E966" s="506"/>
    </row>
    <row r="967">
      <c r="A967" s="504"/>
      <c r="C967" s="505"/>
      <c r="E967" s="506"/>
    </row>
    <row r="968">
      <c r="A968" s="504"/>
      <c r="C968" s="505"/>
      <c r="E968" s="506"/>
    </row>
    <row r="969">
      <c r="A969" s="504"/>
      <c r="C969" s="505"/>
      <c r="E969" s="506"/>
    </row>
    <row r="970">
      <c r="A970" s="504"/>
      <c r="C970" s="505"/>
      <c r="E970" s="506"/>
    </row>
    <row r="971">
      <c r="A971" s="504"/>
      <c r="C971" s="505"/>
      <c r="E971" s="506"/>
    </row>
    <row r="972">
      <c r="A972" s="504"/>
      <c r="C972" s="505"/>
      <c r="E972" s="506"/>
    </row>
    <row r="973">
      <c r="A973" s="504"/>
      <c r="C973" s="505"/>
      <c r="E973" s="506"/>
    </row>
    <row r="974">
      <c r="A974" s="504"/>
      <c r="C974" s="505"/>
      <c r="E974" s="506"/>
    </row>
    <row r="975">
      <c r="A975" s="504"/>
      <c r="C975" s="505"/>
      <c r="E975" s="506"/>
    </row>
    <row r="976">
      <c r="A976" s="504"/>
      <c r="C976" s="505"/>
      <c r="E976" s="506"/>
    </row>
    <row r="977">
      <c r="A977" s="504"/>
      <c r="C977" s="505"/>
      <c r="E977" s="506"/>
    </row>
    <row r="978">
      <c r="A978" s="504"/>
      <c r="C978" s="505"/>
      <c r="E978" s="506"/>
    </row>
    <row r="979">
      <c r="A979" s="504"/>
      <c r="C979" s="505"/>
      <c r="E979" s="506"/>
    </row>
    <row r="980">
      <c r="A980" s="504"/>
      <c r="C980" s="505"/>
      <c r="E980" s="506"/>
    </row>
    <row r="981">
      <c r="A981" s="504"/>
      <c r="C981" s="505"/>
      <c r="E981" s="506"/>
    </row>
    <row r="982">
      <c r="A982" s="504"/>
      <c r="C982" s="505"/>
      <c r="E982" s="506"/>
    </row>
    <row r="983">
      <c r="A983" s="504"/>
      <c r="C983" s="505"/>
      <c r="E983" s="506"/>
    </row>
    <row r="984">
      <c r="A984" s="504"/>
      <c r="C984" s="505"/>
      <c r="E984" s="506"/>
    </row>
    <row r="985">
      <c r="A985" s="504"/>
      <c r="C985" s="505"/>
      <c r="E985" s="506"/>
    </row>
    <row r="986">
      <c r="A986" s="504"/>
      <c r="C986" s="505"/>
      <c r="E986" s="506"/>
    </row>
    <row r="987">
      <c r="A987" s="504"/>
      <c r="C987" s="505"/>
      <c r="E987" s="506"/>
    </row>
    <row r="988">
      <c r="A988" s="504"/>
      <c r="C988" s="505"/>
      <c r="E988" s="506"/>
    </row>
    <row r="989">
      <c r="A989" s="504"/>
      <c r="C989" s="505"/>
      <c r="E989" s="506"/>
    </row>
    <row r="990">
      <c r="A990" s="504"/>
      <c r="C990" s="505"/>
      <c r="E990" s="506"/>
    </row>
    <row r="991">
      <c r="A991" s="504"/>
      <c r="C991" s="505"/>
      <c r="E991" s="506"/>
    </row>
    <row r="992">
      <c r="A992" s="504"/>
      <c r="C992" s="505"/>
      <c r="E992" s="506"/>
    </row>
    <row r="993">
      <c r="A993" s="504"/>
      <c r="C993" s="505"/>
      <c r="E993" s="506"/>
    </row>
    <row r="994">
      <c r="A994" s="504"/>
      <c r="C994" s="505"/>
      <c r="E994" s="506"/>
    </row>
    <row r="995">
      <c r="A995" s="504"/>
      <c r="C995" s="505"/>
      <c r="E995" s="506"/>
    </row>
    <row r="996">
      <c r="A996" s="504"/>
      <c r="C996" s="505"/>
      <c r="E996" s="506"/>
    </row>
    <row r="997">
      <c r="A997" s="504"/>
      <c r="C997" s="505"/>
      <c r="E997" s="506"/>
    </row>
    <row r="998">
      <c r="A998" s="504"/>
      <c r="C998" s="505"/>
      <c r="E998" s="506"/>
    </row>
    <row r="999">
      <c r="A999" s="504"/>
      <c r="C999" s="505"/>
      <c r="E999" s="506"/>
    </row>
    <row r="1000">
      <c r="A1000" s="504"/>
      <c r="C1000" s="505"/>
      <c r="E1000" s="506"/>
    </row>
    <row r="1001">
      <c r="A1001" s="504"/>
      <c r="C1001" s="505"/>
      <c r="E1001" s="506"/>
    </row>
    <row r="1002">
      <c r="A1002" s="504"/>
      <c r="C1002" s="505"/>
      <c r="E1002" s="506"/>
    </row>
    <row r="1003">
      <c r="A1003" s="504"/>
      <c r="C1003" s="505"/>
      <c r="E1003" s="506"/>
    </row>
    <row r="1004">
      <c r="A1004" s="504"/>
      <c r="C1004" s="505"/>
      <c r="E1004" s="506"/>
    </row>
    <row r="1005">
      <c r="A1005" s="504"/>
      <c r="C1005" s="505"/>
      <c r="E1005" s="506"/>
    </row>
    <row r="1006">
      <c r="A1006" s="504"/>
      <c r="C1006" s="505"/>
      <c r="E1006" s="506"/>
    </row>
    <row r="1007">
      <c r="A1007" s="504"/>
      <c r="C1007" s="505"/>
      <c r="E1007" s="506"/>
    </row>
    <row r="1008">
      <c r="A1008" s="504"/>
      <c r="C1008" s="505"/>
      <c r="E1008" s="506"/>
    </row>
    <row r="1009">
      <c r="A1009" s="504"/>
      <c r="C1009" s="505"/>
      <c r="E1009" s="506"/>
    </row>
    <row r="1010">
      <c r="A1010" s="504"/>
      <c r="C1010" s="505"/>
      <c r="E1010" s="506"/>
    </row>
    <row r="1011">
      <c r="A1011" s="504"/>
      <c r="C1011" s="505"/>
      <c r="E1011" s="506"/>
    </row>
    <row r="1012">
      <c r="A1012" s="504"/>
      <c r="C1012" s="505"/>
      <c r="E1012" s="506"/>
    </row>
    <row r="1013">
      <c r="A1013" s="504"/>
      <c r="C1013" s="505"/>
      <c r="E1013" s="506"/>
    </row>
    <row r="1014">
      <c r="A1014" s="504"/>
      <c r="C1014" s="505"/>
      <c r="E1014" s="506"/>
    </row>
    <row r="1015">
      <c r="A1015" s="504"/>
      <c r="C1015" s="505"/>
      <c r="E1015" s="506"/>
    </row>
    <row r="1016">
      <c r="A1016" s="504"/>
      <c r="C1016" s="505"/>
      <c r="E1016" s="506"/>
    </row>
    <row r="1017">
      <c r="A1017" s="504"/>
      <c r="C1017" s="505"/>
      <c r="E1017" s="506"/>
    </row>
    <row r="1018">
      <c r="A1018" s="504"/>
      <c r="C1018" s="505"/>
      <c r="E1018" s="506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89"/>
    <col customWidth="1" min="4" max="4" width="21.44"/>
    <col customWidth="1" min="5" max="5" width="12.22"/>
    <col customWidth="1" min="6" max="6" width="14.22"/>
    <col customWidth="1" min="7" max="7" width="51.0"/>
  </cols>
  <sheetData>
    <row r="1">
      <c r="A1" s="507" t="s">
        <v>8</v>
      </c>
      <c r="B1" s="508" t="s">
        <v>2787</v>
      </c>
      <c r="C1" s="509" t="s">
        <v>2788</v>
      </c>
      <c r="D1" s="508" t="s">
        <v>2789</v>
      </c>
      <c r="E1" s="510" t="s">
        <v>2790</v>
      </c>
      <c r="F1" s="511" t="s">
        <v>16</v>
      </c>
      <c r="G1" s="512" t="s">
        <v>2791</v>
      </c>
    </row>
    <row r="2">
      <c r="A2" s="513">
        <v>45297.0</v>
      </c>
      <c r="B2" s="514" t="s">
        <v>2792</v>
      </c>
      <c r="C2" s="515">
        <v>277.0</v>
      </c>
      <c r="D2" s="516" t="s">
        <v>2811</v>
      </c>
      <c r="E2" s="517">
        <v>4.0</v>
      </c>
      <c r="F2" s="518" t="s">
        <v>981</v>
      </c>
      <c r="G2" s="514"/>
    </row>
    <row r="3">
      <c r="A3" s="519">
        <v>45297.0</v>
      </c>
      <c r="B3" s="520" t="s">
        <v>2792</v>
      </c>
      <c r="C3" s="521">
        <v>277.0</v>
      </c>
      <c r="D3" s="522" t="s">
        <v>285</v>
      </c>
      <c r="E3" s="523">
        <v>5.0</v>
      </c>
      <c r="F3" s="524" t="s">
        <v>156</v>
      </c>
      <c r="G3" s="520"/>
    </row>
    <row r="4">
      <c r="A4" s="513">
        <v>45297.0</v>
      </c>
      <c r="B4" s="514" t="s">
        <v>2792</v>
      </c>
      <c r="C4" s="515">
        <v>277.0</v>
      </c>
      <c r="D4" s="525" t="s">
        <v>2812</v>
      </c>
      <c r="E4" s="517">
        <v>1.0</v>
      </c>
      <c r="F4" s="518" t="s">
        <v>156</v>
      </c>
      <c r="G4" s="514"/>
    </row>
    <row r="5">
      <c r="A5" s="526">
        <v>45311.0</v>
      </c>
      <c r="B5" s="520" t="s">
        <v>2792</v>
      </c>
      <c r="C5" s="527">
        <v>294.0</v>
      </c>
      <c r="D5" s="528" t="s">
        <v>2813</v>
      </c>
      <c r="E5" s="529">
        <v>3.0</v>
      </c>
      <c r="F5" s="530" t="s">
        <v>156</v>
      </c>
      <c r="G5" s="531"/>
    </row>
    <row r="6">
      <c r="A6" s="513">
        <v>45372.0</v>
      </c>
      <c r="B6" s="514" t="s">
        <v>2792</v>
      </c>
      <c r="C6" s="515">
        <v>639.0</v>
      </c>
      <c r="D6" s="525" t="s">
        <v>511</v>
      </c>
      <c r="E6" s="517">
        <v>7.0</v>
      </c>
      <c r="F6" s="518" t="s">
        <v>156</v>
      </c>
      <c r="G6" s="514"/>
    </row>
    <row r="7">
      <c r="A7" s="532">
        <v>45433.0</v>
      </c>
      <c r="B7" s="520" t="s">
        <v>2792</v>
      </c>
      <c r="C7" s="521">
        <v>693.0</v>
      </c>
      <c r="D7" s="528" t="s">
        <v>2814</v>
      </c>
      <c r="E7" s="529">
        <v>1.0</v>
      </c>
      <c r="F7" s="530" t="s">
        <v>981</v>
      </c>
      <c r="G7" s="531"/>
    </row>
    <row r="8">
      <c r="A8" s="533">
        <v>45570.0</v>
      </c>
      <c r="B8" s="514" t="s">
        <v>2792</v>
      </c>
      <c r="C8" s="515">
        <v>247.0</v>
      </c>
      <c r="D8" s="516" t="s">
        <v>2815</v>
      </c>
      <c r="E8" s="534">
        <v>15.0</v>
      </c>
      <c r="F8" s="518" t="s">
        <v>156</v>
      </c>
      <c r="G8" s="514"/>
    </row>
    <row r="9">
      <c r="A9" s="535">
        <v>45570.0</v>
      </c>
      <c r="B9" s="520" t="s">
        <v>2792</v>
      </c>
      <c r="C9" s="521">
        <v>247.0</v>
      </c>
      <c r="D9" s="536" t="s">
        <v>279</v>
      </c>
      <c r="E9" s="537">
        <v>2.0</v>
      </c>
      <c r="F9" s="524" t="s">
        <v>156</v>
      </c>
      <c r="G9" s="520"/>
    </row>
    <row r="10">
      <c r="A10" s="538">
        <v>45571.0</v>
      </c>
      <c r="B10" s="514" t="s">
        <v>2792</v>
      </c>
      <c r="C10" s="539">
        <v>246.0</v>
      </c>
      <c r="D10" s="540" t="s">
        <v>270</v>
      </c>
      <c r="E10" s="541">
        <v>2.0</v>
      </c>
      <c r="F10" s="542" t="s">
        <v>981</v>
      </c>
      <c r="G10" s="543"/>
    </row>
    <row r="11">
      <c r="A11" s="526">
        <v>45571.0</v>
      </c>
      <c r="B11" s="520" t="s">
        <v>2792</v>
      </c>
      <c r="C11" s="521">
        <v>246.0</v>
      </c>
      <c r="D11" s="528" t="s">
        <v>2816</v>
      </c>
      <c r="E11" s="529">
        <v>5.0</v>
      </c>
      <c r="F11" s="530" t="s">
        <v>34</v>
      </c>
      <c r="G11" s="531"/>
    </row>
    <row r="12">
      <c r="A12" s="533">
        <v>45571.0</v>
      </c>
      <c r="B12" s="514" t="s">
        <v>2792</v>
      </c>
      <c r="C12" s="515">
        <v>246.0</v>
      </c>
      <c r="D12" s="516" t="s">
        <v>28</v>
      </c>
      <c r="E12" s="534">
        <v>3.0</v>
      </c>
      <c r="F12" s="544" t="s">
        <v>156</v>
      </c>
      <c r="G12" s="543"/>
    </row>
    <row r="13">
      <c r="A13" s="532">
        <v>45571.0</v>
      </c>
      <c r="B13" s="520" t="s">
        <v>2792</v>
      </c>
      <c r="C13" s="527">
        <v>246.0</v>
      </c>
      <c r="D13" s="545" t="s">
        <v>300</v>
      </c>
      <c r="E13" s="546">
        <v>3.0</v>
      </c>
      <c r="F13" s="547" t="s">
        <v>156</v>
      </c>
      <c r="G13" s="531"/>
    </row>
    <row r="14">
      <c r="A14" s="533">
        <v>45571.0</v>
      </c>
      <c r="B14" s="514" t="s">
        <v>2792</v>
      </c>
      <c r="C14" s="515">
        <v>246.0</v>
      </c>
      <c r="D14" s="516" t="s">
        <v>299</v>
      </c>
      <c r="E14" s="534">
        <v>5.0</v>
      </c>
      <c r="F14" s="544" t="s">
        <v>156</v>
      </c>
      <c r="G14" s="543"/>
    </row>
    <row r="15">
      <c r="A15" s="535">
        <v>45571.0</v>
      </c>
      <c r="B15" s="520" t="s">
        <v>2792</v>
      </c>
      <c r="C15" s="521">
        <v>246.0</v>
      </c>
      <c r="D15" s="536" t="s">
        <v>2817</v>
      </c>
      <c r="E15" s="548">
        <v>4.0</v>
      </c>
      <c r="F15" s="547" t="s">
        <v>156</v>
      </c>
      <c r="G15" s="531"/>
    </row>
    <row r="16">
      <c r="A16" s="549">
        <v>45571.0</v>
      </c>
      <c r="B16" s="514" t="s">
        <v>2792</v>
      </c>
      <c r="C16" s="539">
        <v>246.0</v>
      </c>
      <c r="D16" s="550" t="s">
        <v>2818</v>
      </c>
      <c r="E16" s="551">
        <v>2.0</v>
      </c>
      <c r="F16" s="544" t="s">
        <v>156</v>
      </c>
      <c r="G16" s="543"/>
    </row>
    <row r="17">
      <c r="A17" s="532">
        <v>45571.0</v>
      </c>
      <c r="B17" s="520" t="s">
        <v>2792</v>
      </c>
      <c r="C17" s="527">
        <v>246.0</v>
      </c>
      <c r="D17" s="545" t="s">
        <v>303</v>
      </c>
      <c r="E17" s="551">
        <v>2.0</v>
      </c>
      <c r="F17" s="547" t="s">
        <v>156</v>
      </c>
      <c r="G17" s="531"/>
    </row>
    <row r="18">
      <c r="A18" s="538">
        <v>45571.0</v>
      </c>
      <c r="B18" s="514" t="s">
        <v>2792</v>
      </c>
      <c r="C18" s="515">
        <v>246.0</v>
      </c>
      <c r="D18" s="540" t="s">
        <v>296</v>
      </c>
      <c r="E18" s="541">
        <v>2.0</v>
      </c>
      <c r="F18" s="542" t="s">
        <v>39</v>
      </c>
      <c r="G18" s="543"/>
    </row>
    <row r="19">
      <c r="A19" s="526">
        <v>45571.0</v>
      </c>
      <c r="B19" s="520" t="s">
        <v>2792</v>
      </c>
      <c r="C19" s="521">
        <v>246.0</v>
      </c>
      <c r="D19" s="528" t="s">
        <v>298</v>
      </c>
      <c r="E19" s="529">
        <v>1.0</v>
      </c>
      <c r="F19" s="530" t="s">
        <v>2819</v>
      </c>
      <c r="G19" s="531"/>
    </row>
    <row r="20">
      <c r="A20" s="538">
        <v>45571.0</v>
      </c>
      <c r="B20" s="514" t="s">
        <v>2792</v>
      </c>
      <c r="C20" s="515">
        <v>246.0</v>
      </c>
      <c r="D20" s="540" t="s">
        <v>2820</v>
      </c>
      <c r="E20" s="541">
        <v>2.0</v>
      </c>
      <c r="F20" s="542" t="s">
        <v>156</v>
      </c>
      <c r="G20" s="543"/>
    </row>
    <row r="21">
      <c r="A21" s="535">
        <v>45571.0</v>
      </c>
      <c r="B21" s="520" t="s">
        <v>2792</v>
      </c>
      <c r="C21" s="521">
        <v>247.0</v>
      </c>
      <c r="D21" s="536" t="s">
        <v>290</v>
      </c>
      <c r="E21" s="537">
        <v>5.0</v>
      </c>
      <c r="F21" s="524" t="s">
        <v>156</v>
      </c>
      <c r="G21" s="520"/>
    </row>
    <row r="22">
      <c r="A22" s="533">
        <v>45571.0</v>
      </c>
      <c r="B22" s="514" t="s">
        <v>2792</v>
      </c>
      <c r="C22" s="515">
        <v>247.0</v>
      </c>
      <c r="D22" s="516" t="s">
        <v>2821</v>
      </c>
      <c r="E22" s="534">
        <v>10.0</v>
      </c>
      <c r="F22" s="518" t="s">
        <v>156</v>
      </c>
      <c r="G22" s="514"/>
    </row>
    <row r="23">
      <c r="A23" s="535">
        <v>45571.0</v>
      </c>
      <c r="B23" s="520" t="s">
        <v>2792</v>
      </c>
      <c r="C23" s="521">
        <v>247.0</v>
      </c>
      <c r="D23" s="536" t="s">
        <v>490</v>
      </c>
      <c r="E23" s="537">
        <v>270.0</v>
      </c>
      <c r="F23" s="524" t="s">
        <v>74</v>
      </c>
      <c r="G23" s="520"/>
    </row>
    <row r="24">
      <c r="A24" s="533">
        <v>45571.0</v>
      </c>
      <c r="B24" s="514" t="s">
        <v>2792</v>
      </c>
      <c r="C24" s="515">
        <v>247.0</v>
      </c>
      <c r="D24" s="516" t="s">
        <v>2811</v>
      </c>
      <c r="E24" s="534">
        <v>180.0</v>
      </c>
      <c r="F24" s="518" t="s">
        <v>74</v>
      </c>
      <c r="G24" s="514"/>
    </row>
    <row r="25">
      <c r="A25" s="519">
        <v>45571.0</v>
      </c>
      <c r="B25" s="520" t="s">
        <v>2792</v>
      </c>
      <c r="C25" s="521">
        <v>247.0</v>
      </c>
      <c r="D25" s="522" t="s">
        <v>511</v>
      </c>
      <c r="E25" s="523">
        <v>1.0</v>
      </c>
      <c r="F25" s="524" t="s">
        <v>156</v>
      </c>
      <c r="G25" s="520"/>
    </row>
    <row r="26">
      <c r="A26" s="533">
        <v>45571.0</v>
      </c>
      <c r="B26" s="514" t="s">
        <v>2792</v>
      </c>
      <c r="C26" s="515">
        <v>247.0</v>
      </c>
      <c r="D26" s="516" t="s">
        <v>2822</v>
      </c>
      <c r="E26" s="534">
        <v>1.0</v>
      </c>
      <c r="F26" s="518" t="s">
        <v>156</v>
      </c>
      <c r="G26" s="514"/>
    </row>
    <row r="27">
      <c r="A27" s="535">
        <v>45571.0</v>
      </c>
      <c r="B27" s="520" t="s">
        <v>2792</v>
      </c>
      <c r="C27" s="521">
        <v>247.0</v>
      </c>
      <c r="D27" s="536" t="s">
        <v>1189</v>
      </c>
      <c r="E27" s="537">
        <v>10.0</v>
      </c>
      <c r="F27" s="524" t="s">
        <v>156</v>
      </c>
      <c r="G27" s="520"/>
    </row>
    <row r="28">
      <c r="A28" s="533">
        <v>45571.0</v>
      </c>
      <c r="B28" s="514" t="s">
        <v>2792</v>
      </c>
      <c r="C28" s="515">
        <v>247.0</v>
      </c>
      <c r="D28" s="516" t="s">
        <v>345</v>
      </c>
      <c r="E28" s="534">
        <v>15.0</v>
      </c>
      <c r="F28" s="518" t="s">
        <v>156</v>
      </c>
      <c r="G28" s="514"/>
    </row>
    <row r="29">
      <c r="A29" s="535">
        <v>45571.0</v>
      </c>
      <c r="B29" s="520" t="s">
        <v>2792</v>
      </c>
      <c r="C29" s="521">
        <v>247.0</v>
      </c>
      <c r="D29" s="536" t="s">
        <v>285</v>
      </c>
      <c r="E29" s="537">
        <v>3.0</v>
      </c>
      <c r="F29" s="524" t="s">
        <v>156</v>
      </c>
      <c r="G29" s="520"/>
    </row>
    <row r="30">
      <c r="A30" s="533">
        <v>45571.0</v>
      </c>
      <c r="B30" s="514" t="s">
        <v>2792</v>
      </c>
      <c r="C30" s="515">
        <v>247.0</v>
      </c>
      <c r="D30" s="516" t="s">
        <v>284</v>
      </c>
      <c r="E30" s="534">
        <v>2.0</v>
      </c>
      <c r="F30" s="518" t="s">
        <v>156</v>
      </c>
      <c r="G30" s="514"/>
    </row>
    <row r="31">
      <c r="A31" s="535">
        <v>45571.0</v>
      </c>
      <c r="B31" s="520" t="s">
        <v>2792</v>
      </c>
      <c r="C31" s="521">
        <v>247.0</v>
      </c>
      <c r="D31" s="536" t="s">
        <v>286</v>
      </c>
      <c r="E31" s="537">
        <v>1.0</v>
      </c>
      <c r="F31" s="524" t="s">
        <v>156</v>
      </c>
      <c r="G31" s="520"/>
    </row>
    <row r="32">
      <c r="A32" s="533">
        <v>45571.0</v>
      </c>
      <c r="B32" s="514" t="s">
        <v>2792</v>
      </c>
      <c r="C32" s="515">
        <v>247.0</v>
      </c>
      <c r="D32" s="516" t="s">
        <v>278</v>
      </c>
      <c r="E32" s="534">
        <v>6.0</v>
      </c>
      <c r="F32" s="518" t="s">
        <v>156</v>
      </c>
      <c r="G32" s="514"/>
    </row>
    <row r="33">
      <c r="A33" s="532">
        <v>45571.0</v>
      </c>
      <c r="B33" s="520" t="s">
        <v>2792</v>
      </c>
      <c r="C33" s="527">
        <v>248.0</v>
      </c>
      <c r="D33" s="545" t="s">
        <v>2823</v>
      </c>
      <c r="E33" s="552">
        <v>4.0</v>
      </c>
      <c r="F33" s="553" t="s">
        <v>156</v>
      </c>
      <c r="G33" s="520"/>
    </row>
    <row r="34">
      <c r="A34" s="549">
        <v>45571.0</v>
      </c>
      <c r="B34" s="514" t="s">
        <v>2792</v>
      </c>
      <c r="C34" s="539">
        <v>248.0</v>
      </c>
      <c r="D34" s="550" t="s">
        <v>309</v>
      </c>
      <c r="E34" s="552">
        <v>4.0</v>
      </c>
      <c r="F34" s="544" t="s">
        <v>156</v>
      </c>
      <c r="G34" s="543"/>
    </row>
    <row r="35">
      <c r="A35" s="526">
        <v>45571.0</v>
      </c>
      <c r="B35" s="520" t="s">
        <v>2792</v>
      </c>
      <c r="C35" s="521">
        <v>248.0</v>
      </c>
      <c r="D35" s="528" t="s">
        <v>307</v>
      </c>
      <c r="E35" s="554">
        <v>14.0</v>
      </c>
      <c r="F35" s="547" t="s">
        <v>156</v>
      </c>
      <c r="G35" s="528"/>
    </row>
    <row r="36">
      <c r="A36" s="533">
        <v>45571.0</v>
      </c>
      <c r="B36" s="514" t="s">
        <v>2792</v>
      </c>
      <c r="C36" s="515">
        <v>248.0</v>
      </c>
      <c r="D36" s="516" t="s">
        <v>308</v>
      </c>
      <c r="E36" s="555">
        <v>14.0</v>
      </c>
      <c r="F36" s="544" t="s">
        <v>156</v>
      </c>
      <c r="G36" s="540"/>
    </row>
    <row r="37">
      <c r="A37" s="532">
        <v>45571.0</v>
      </c>
      <c r="B37" s="520" t="s">
        <v>2792</v>
      </c>
      <c r="C37" s="527">
        <v>248.0</v>
      </c>
      <c r="D37" s="545" t="s">
        <v>2824</v>
      </c>
      <c r="E37" s="551">
        <v>2.0</v>
      </c>
      <c r="F37" s="547" t="s">
        <v>156</v>
      </c>
      <c r="G37" s="531"/>
    </row>
    <row r="38">
      <c r="A38" s="538">
        <v>45571.0</v>
      </c>
      <c r="B38" s="514" t="s">
        <v>2792</v>
      </c>
      <c r="C38" s="539">
        <v>248.0</v>
      </c>
      <c r="D38" s="540" t="s">
        <v>2825</v>
      </c>
      <c r="E38" s="554">
        <v>1.0</v>
      </c>
      <c r="F38" s="542" t="s">
        <v>156</v>
      </c>
      <c r="G38" s="540"/>
    </row>
    <row r="39">
      <c r="A39" s="532">
        <v>45584.0</v>
      </c>
      <c r="B39" s="520" t="s">
        <v>2792</v>
      </c>
      <c r="C39" s="527">
        <v>249.0</v>
      </c>
      <c r="D39" s="545" t="s">
        <v>2823</v>
      </c>
      <c r="E39" s="546">
        <v>4.0</v>
      </c>
      <c r="F39" s="553" t="s">
        <v>156</v>
      </c>
      <c r="G39" s="520"/>
    </row>
    <row r="40">
      <c r="A40" s="538">
        <v>45584.0</v>
      </c>
      <c r="B40" s="514" t="s">
        <v>2792</v>
      </c>
      <c r="C40" s="515">
        <v>249.0</v>
      </c>
      <c r="D40" s="540" t="s">
        <v>350</v>
      </c>
      <c r="E40" s="541">
        <v>5.0</v>
      </c>
      <c r="F40" s="542" t="s">
        <v>34</v>
      </c>
      <c r="G40" s="543"/>
    </row>
    <row r="41">
      <c r="A41" s="526">
        <v>45584.0</v>
      </c>
      <c r="B41" s="520" t="s">
        <v>2792</v>
      </c>
      <c r="C41" s="521">
        <v>249.0</v>
      </c>
      <c r="D41" s="528" t="s">
        <v>349</v>
      </c>
      <c r="E41" s="529">
        <v>5.0</v>
      </c>
      <c r="F41" s="530" t="s">
        <v>34</v>
      </c>
      <c r="G41" s="531"/>
    </row>
    <row r="42">
      <c r="A42" s="538">
        <v>45584.0</v>
      </c>
      <c r="B42" s="514" t="s">
        <v>2792</v>
      </c>
      <c r="C42" s="515">
        <v>249.0</v>
      </c>
      <c r="D42" s="540" t="s">
        <v>2826</v>
      </c>
      <c r="E42" s="541">
        <v>2.0</v>
      </c>
      <c r="F42" s="542" t="s">
        <v>156</v>
      </c>
      <c r="G42" s="543"/>
    </row>
    <row r="43">
      <c r="A43" s="526">
        <v>45584.0</v>
      </c>
      <c r="B43" s="520" t="s">
        <v>2792</v>
      </c>
      <c r="C43" s="521">
        <v>249.0</v>
      </c>
      <c r="D43" s="528" t="s">
        <v>1262</v>
      </c>
      <c r="E43" s="529">
        <v>1.0</v>
      </c>
      <c r="F43" s="530" t="s">
        <v>156</v>
      </c>
      <c r="G43" s="531"/>
    </row>
    <row r="44">
      <c r="A44" s="538">
        <v>45584.0</v>
      </c>
      <c r="B44" s="514" t="s">
        <v>2792</v>
      </c>
      <c r="C44" s="539">
        <v>249.0</v>
      </c>
      <c r="D44" s="540" t="s">
        <v>2827</v>
      </c>
      <c r="E44" s="541">
        <v>3.0</v>
      </c>
      <c r="F44" s="542" t="s">
        <v>156</v>
      </c>
      <c r="G44" s="543"/>
    </row>
    <row r="45">
      <c r="A45" s="526">
        <v>45584.0</v>
      </c>
      <c r="B45" s="520" t="s">
        <v>2792</v>
      </c>
      <c r="C45" s="527">
        <v>249.0</v>
      </c>
      <c r="D45" s="528" t="s">
        <v>2828</v>
      </c>
      <c r="E45" s="529">
        <v>5.0</v>
      </c>
      <c r="F45" s="530" t="s">
        <v>156</v>
      </c>
      <c r="G45" s="531"/>
    </row>
    <row r="46">
      <c r="A46" s="538">
        <v>45584.0</v>
      </c>
      <c r="B46" s="514" t="s">
        <v>2792</v>
      </c>
      <c r="C46" s="515">
        <v>249.0</v>
      </c>
      <c r="D46" s="540" t="s">
        <v>2829</v>
      </c>
      <c r="E46" s="541">
        <v>5.0</v>
      </c>
      <c r="F46" s="542" t="s">
        <v>25</v>
      </c>
      <c r="G46" s="543"/>
    </row>
    <row r="47">
      <c r="A47" s="526">
        <v>45584.0</v>
      </c>
      <c r="B47" s="520" t="s">
        <v>2792</v>
      </c>
      <c r="C47" s="521">
        <v>249.0</v>
      </c>
      <c r="D47" s="528" t="s">
        <v>2830</v>
      </c>
      <c r="E47" s="529">
        <v>5.0</v>
      </c>
      <c r="F47" s="530" t="s">
        <v>25</v>
      </c>
      <c r="G47" s="531"/>
    </row>
    <row r="48">
      <c r="A48" s="538">
        <v>45584.0</v>
      </c>
      <c r="B48" s="514" t="s">
        <v>2792</v>
      </c>
      <c r="C48" s="515">
        <v>249.0</v>
      </c>
      <c r="D48" s="540" t="s">
        <v>2831</v>
      </c>
      <c r="E48" s="541">
        <v>6.0</v>
      </c>
      <c r="F48" s="542" t="s">
        <v>319</v>
      </c>
      <c r="G48" s="540"/>
    </row>
    <row r="49">
      <c r="A49" s="526">
        <v>45584.0</v>
      </c>
      <c r="B49" s="520" t="s">
        <v>2792</v>
      </c>
      <c r="C49" s="521">
        <v>249.0</v>
      </c>
      <c r="D49" s="528" t="s">
        <v>2832</v>
      </c>
      <c r="E49" s="529">
        <v>50.0</v>
      </c>
      <c r="F49" s="530" t="s">
        <v>156</v>
      </c>
      <c r="G49" s="528"/>
    </row>
    <row r="50">
      <c r="A50" s="538">
        <v>45584.0</v>
      </c>
      <c r="B50" s="514" t="s">
        <v>2792</v>
      </c>
      <c r="C50" s="515">
        <v>249.0</v>
      </c>
      <c r="D50" s="540" t="s">
        <v>2833</v>
      </c>
      <c r="E50" s="541">
        <v>6.0</v>
      </c>
      <c r="F50" s="542" t="s">
        <v>156</v>
      </c>
      <c r="G50" s="540"/>
    </row>
    <row r="51">
      <c r="A51" s="526">
        <v>45584.0</v>
      </c>
      <c r="B51" s="520" t="s">
        <v>2792</v>
      </c>
      <c r="C51" s="527">
        <v>249.0</v>
      </c>
      <c r="D51" s="528" t="s">
        <v>2834</v>
      </c>
      <c r="E51" s="529">
        <v>1.0</v>
      </c>
      <c r="F51" s="530" t="s">
        <v>981</v>
      </c>
      <c r="G51" s="528"/>
    </row>
    <row r="52">
      <c r="A52" s="538">
        <v>45584.0</v>
      </c>
      <c r="B52" s="514" t="s">
        <v>2792</v>
      </c>
      <c r="C52" s="539">
        <v>249.0</v>
      </c>
      <c r="D52" s="540" t="s">
        <v>2835</v>
      </c>
      <c r="E52" s="541">
        <v>2.0</v>
      </c>
      <c r="F52" s="542" t="s">
        <v>156</v>
      </c>
      <c r="G52" s="540"/>
    </row>
    <row r="53">
      <c r="A53" s="535">
        <v>45584.0</v>
      </c>
      <c r="B53" s="520" t="s">
        <v>2792</v>
      </c>
      <c r="C53" s="521">
        <v>250.0</v>
      </c>
      <c r="D53" s="536" t="s">
        <v>330</v>
      </c>
      <c r="E53" s="556">
        <v>2.0</v>
      </c>
      <c r="F53" s="547" t="s">
        <v>156</v>
      </c>
      <c r="G53" s="528"/>
    </row>
    <row r="54">
      <c r="A54" s="538">
        <v>45584.0</v>
      </c>
      <c r="B54" s="514" t="s">
        <v>2792</v>
      </c>
      <c r="C54" s="515">
        <v>250.0</v>
      </c>
      <c r="D54" s="540" t="s">
        <v>2836</v>
      </c>
      <c r="E54" s="541">
        <v>6.0</v>
      </c>
      <c r="F54" s="542" t="s">
        <v>156</v>
      </c>
      <c r="G54" s="543"/>
    </row>
    <row r="55">
      <c r="A55" s="532">
        <v>45584.0</v>
      </c>
      <c r="B55" s="520" t="s">
        <v>2792</v>
      </c>
      <c r="C55" s="527">
        <v>251.0</v>
      </c>
      <c r="D55" s="545" t="s">
        <v>2837</v>
      </c>
      <c r="E55" s="546">
        <v>4.0</v>
      </c>
      <c r="F55" s="553" t="s">
        <v>156</v>
      </c>
      <c r="G55" s="520"/>
    </row>
    <row r="56">
      <c r="A56" s="533">
        <v>45584.0</v>
      </c>
      <c r="B56" s="514" t="s">
        <v>2792</v>
      </c>
      <c r="C56" s="515">
        <v>251.0</v>
      </c>
      <c r="D56" s="516" t="s">
        <v>2838</v>
      </c>
      <c r="E56" s="534">
        <v>2.0</v>
      </c>
      <c r="F56" s="542" t="s">
        <v>156</v>
      </c>
      <c r="G56" s="543"/>
    </row>
    <row r="57">
      <c r="A57" s="535">
        <v>45584.0</v>
      </c>
      <c r="B57" s="520" t="s">
        <v>2792</v>
      </c>
      <c r="C57" s="521">
        <v>251.0</v>
      </c>
      <c r="D57" s="536" t="s">
        <v>301</v>
      </c>
      <c r="E57" s="537">
        <v>2.0</v>
      </c>
      <c r="F57" s="547" t="s">
        <v>156</v>
      </c>
      <c r="G57" s="531"/>
    </row>
    <row r="58">
      <c r="A58" s="538">
        <v>45584.0</v>
      </c>
      <c r="B58" s="514" t="s">
        <v>2792</v>
      </c>
      <c r="C58" s="515">
        <v>251.0</v>
      </c>
      <c r="D58" s="540" t="s">
        <v>2839</v>
      </c>
      <c r="E58" s="541">
        <v>12.0</v>
      </c>
      <c r="F58" s="542" t="s">
        <v>156</v>
      </c>
      <c r="G58" s="543"/>
    </row>
    <row r="59">
      <c r="A59" s="526">
        <v>45584.0</v>
      </c>
      <c r="B59" s="520" t="s">
        <v>2792</v>
      </c>
      <c r="C59" s="521">
        <v>251.0</v>
      </c>
      <c r="D59" s="528" t="s">
        <v>2840</v>
      </c>
      <c r="E59" s="529">
        <v>1.0</v>
      </c>
      <c r="F59" s="530" t="s">
        <v>981</v>
      </c>
      <c r="G59" s="531"/>
    </row>
    <row r="60">
      <c r="A60" s="538">
        <v>45584.0</v>
      </c>
      <c r="B60" s="514" t="s">
        <v>2792</v>
      </c>
      <c r="C60" s="515">
        <v>251.0</v>
      </c>
      <c r="D60" s="540" t="s">
        <v>2841</v>
      </c>
      <c r="E60" s="541">
        <v>2.0</v>
      </c>
      <c r="F60" s="542" t="s">
        <v>34</v>
      </c>
      <c r="G60" s="543"/>
    </row>
    <row r="61">
      <c r="A61" s="532">
        <v>45584.0</v>
      </c>
      <c r="B61" s="520" t="s">
        <v>2792</v>
      </c>
      <c r="C61" s="527">
        <v>252.0</v>
      </c>
      <c r="D61" s="545" t="s">
        <v>1555</v>
      </c>
      <c r="E61" s="551">
        <v>1.0</v>
      </c>
      <c r="F61" s="547" t="s">
        <v>156</v>
      </c>
      <c r="G61" s="531"/>
    </row>
    <row r="62">
      <c r="A62" s="538">
        <v>45603.0</v>
      </c>
      <c r="B62" s="514" t="s">
        <v>2792</v>
      </c>
      <c r="C62" s="539">
        <v>253.0</v>
      </c>
      <c r="D62" s="540" t="s">
        <v>2825</v>
      </c>
      <c r="E62" s="541">
        <v>1.0</v>
      </c>
      <c r="F62" s="542" t="s">
        <v>156</v>
      </c>
      <c r="G62" s="540"/>
    </row>
    <row r="63">
      <c r="A63" s="535">
        <v>45609.0</v>
      </c>
      <c r="B63" s="520" t="s">
        <v>2792</v>
      </c>
      <c r="C63" s="521">
        <v>254.0</v>
      </c>
      <c r="D63" s="536" t="s">
        <v>490</v>
      </c>
      <c r="E63" s="537">
        <v>400.0</v>
      </c>
      <c r="F63" s="524" t="s">
        <v>74</v>
      </c>
      <c r="G63" s="545"/>
    </row>
    <row r="64">
      <c r="A64" s="533">
        <v>45609.0</v>
      </c>
      <c r="B64" s="514" t="s">
        <v>2792</v>
      </c>
      <c r="C64" s="515">
        <v>254.0</v>
      </c>
      <c r="D64" s="516" t="s">
        <v>346</v>
      </c>
      <c r="E64" s="534">
        <v>30.0</v>
      </c>
      <c r="F64" s="518" t="s">
        <v>156</v>
      </c>
      <c r="G64" s="550"/>
    </row>
    <row r="65">
      <c r="A65" s="535">
        <v>45609.0</v>
      </c>
      <c r="B65" s="520" t="s">
        <v>2792</v>
      </c>
      <c r="C65" s="521">
        <v>254.0</v>
      </c>
      <c r="D65" s="536" t="s">
        <v>1189</v>
      </c>
      <c r="E65" s="537">
        <v>10.0</v>
      </c>
      <c r="F65" s="524" t="s">
        <v>156</v>
      </c>
      <c r="G65" s="545"/>
    </row>
    <row r="66">
      <c r="A66" s="533">
        <v>45609.0</v>
      </c>
      <c r="B66" s="514" t="s">
        <v>2792</v>
      </c>
      <c r="C66" s="515">
        <v>254.0</v>
      </c>
      <c r="D66" s="516" t="s">
        <v>2842</v>
      </c>
      <c r="E66" s="534">
        <v>30.0</v>
      </c>
      <c r="F66" s="518" t="s">
        <v>156</v>
      </c>
      <c r="G66" s="550"/>
    </row>
    <row r="67">
      <c r="A67" s="526">
        <v>45609.0</v>
      </c>
      <c r="B67" s="520" t="s">
        <v>2792</v>
      </c>
      <c r="C67" s="557">
        <v>254.0</v>
      </c>
      <c r="D67" s="528" t="s">
        <v>349</v>
      </c>
      <c r="E67" s="529">
        <v>50.0</v>
      </c>
      <c r="F67" s="530" t="s">
        <v>34</v>
      </c>
      <c r="G67" s="528"/>
    </row>
    <row r="68">
      <c r="A68" s="538">
        <v>45609.0</v>
      </c>
      <c r="B68" s="514" t="s">
        <v>2792</v>
      </c>
      <c r="C68" s="558">
        <v>254.0</v>
      </c>
      <c r="D68" s="540" t="s">
        <v>348</v>
      </c>
      <c r="E68" s="541">
        <v>50.0</v>
      </c>
      <c r="F68" s="542" t="s">
        <v>34</v>
      </c>
      <c r="G68" s="540"/>
    </row>
    <row r="69">
      <c r="A69" s="526">
        <v>45609.0</v>
      </c>
      <c r="B69" s="520" t="s">
        <v>2792</v>
      </c>
      <c r="C69" s="521">
        <v>254.0</v>
      </c>
      <c r="D69" s="528" t="s">
        <v>1262</v>
      </c>
      <c r="E69" s="559">
        <v>2.0</v>
      </c>
      <c r="F69" s="530" t="s">
        <v>156</v>
      </c>
      <c r="G69" s="528"/>
    </row>
    <row r="70">
      <c r="A70" s="549">
        <v>45609.0</v>
      </c>
      <c r="B70" s="514" t="s">
        <v>2792</v>
      </c>
      <c r="C70" s="539">
        <v>254.0</v>
      </c>
      <c r="D70" s="550" t="s">
        <v>300</v>
      </c>
      <c r="E70" s="552">
        <v>5.0</v>
      </c>
      <c r="F70" s="544" t="s">
        <v>156</v>
      </c>
      <c r="G70" s="540"/>
    </row>
    <row r="71">
      <c r="A71" s="532">
        <v>45609.0</v>
      </c>
      <c r="B71" s="520" t="s">
        <v>2792</v>
      </c>
      <c r="C71" s="527">
        <v>254.0</v>
      </c>
      <c r="D71" s="545" t="s">
        <v>309</v>
      </c>
      <c r="E71" s="552">
        <v>5.0</v>
      </c>
      <c r="F71" s="547" t="s">
        <v>156</v>
      </c>
      <c r="G71" s="528"/>
    </row>
    <row r="72">
      <c r="A72" s="533">
        <v>45609.0</v>
      </c>
      <c r="B72" s="514" t="s">
        <v>2792</v>
      </c>
      <c r="C72" s="515">
        <v>254.0</v>
      </c>
      <c r="D72" s="516" t="s">
        <v>299</v>
      </c>
      <c r="E72" s="555">
        <v>6.0</v>
      </c>
      <c r="F72" s="544" t="s">
        <v>156</v>
      </c>
      <c r="G72" s="540"/>
    </row>
    <row r="73">
      <c r="A73" s="532">
        <v>45609.0</v>
      </c>
      <c r="B73" s="520" t="s">
        <v>2792</v>
      </c>
      <c r="C73" s="527">
        <v>255.0</v>
      </c>
      <c r="D73" s="545" t="s">
        <v>2823</v>
      </c>
      <c r="E73" s="546">
        <v>10.0</v>
      </c>
      <c r="F73" s="553" t="s">
        <v>156</v>
      </c>
      <c r="G73" s="545"/>
    </row>
    <row r="74">
      <c r="A74" s="538">
        <v>45609.0</v>
      </c>
      <c r="B74" s="514" t="s">
        <v>2792</v>
      </c>
      <c r="C74" s="515">
        <v>255.0</v>
      </c>
      <c r="D74" s="540" t="s">
        <v>352</v>
      </c>
      <c r="E74" s="541">
        <v>50.0</v>
      </c>
      <c r="F74" s="542" t="s">
        <v>34</v>
      </c>
      <c r="G74" s="540"/>
    </row>
    <row r="75">
      <c r="A75" s="526">
        <v>45609.0</v>
      </c>
      <c r="B75" s="520" t="s">
        <v>2792</v>
      </c>
      <c r="C75" s="521">
        <v>255.0</v>
      </c>
      <c r="D75" s="528" t="s">
        <v>351</v>
      </c>
      <c r="E75" s="529">
        <v>50.0</v>
      </c>
      <c r="F75" s="530" t="s">
        <v>34</v>
      </c>
      <c r="G75" s="528"/>
    </row>
    <row r="76">
      <c r="A76" s="538">
        <v>45609.0</v>
      </c>
      <c r="B76" s="514" t="s">
        <v>2792</v>
      </c>
      <c r="C76" s="515">
        <v>255.0</v>
      </c>
      <c r="D76" s="540" t="s">
        <v>350</v>
      </c>
      <c r="E76" s="541">
        <v>50.0</v>
      </c>
      <c r="F76" s="542" t="s">
        <v>34</v>
      </c>
      <c r="G76" s="540"/>
    </row>
    <row r="77">
      <c r="A77" s="535">
        <v>45609.0</v>
      </c>
      <c r="B77" s="520" t="s">
        <v>2792</v>
      </c>
      <c r="C77" s="521">
        <v>255.0</v>
      </c>
      <c r="D77" s="536" t="s">
        <v>2838</v>
      </c>
      <c r="E77" s="556">
        <v>5.0</v>
      </c>
      <c r="F77" s="530" t="s">
        <v>156</v>
      </c>
      <c r="G77" s="528"/>
    </row>
    <row r="78">
      <c r="A78" s="533">
        <v>45609.0</v>
      </c>
      <c r="B78" s="514" t="s">
        <v>2792</v>
      </c>
      <c r="C78" s="515">
        <v>255.0</v>
      </c>
      <c r="D78" s="516" t="s">
        <v>2843</v>
      </c>
      <c r="E78" s="534">
        <v>6.0</v>
      </c>
      <c r="F78" s="544" t="s">
        <v>156</v>
      </c>
      <c r="G78" s="540"/>
    </row>
    <row r="79">
      <c r="A79" s="535">
        <v>45609.0</v>
      </c>
      <c r="B79" s="520" t="s">
        <v>2792</v>
      </c>
      <c r="C79" s="521">
        <v>255.0</v>
      </c>
      <c r="D79" s="536" t="s">
        <v>307</v>
      </c>
      <c r="E79" s="537">
        <v>20.0</v>
      </c>
      <c r="F79" s="547" t="s">
        <v>156</v>
      </c>
      <c r="G79" s="528"/>
    </row>
    <row r="80">
      <c r="A80" s="533">
        <v>45609.0</v>
      </c>
      <c r="B80" s="514" t="s">
        <v>2792</v>
      </c>
      <c r="C80" s="515">
        <v>255.0</v>
      </c>
      <c r="D80" s="516" t="s">
        <v>308</v>
      </c>
      <c r="E80" s="534">
        <v>20.0</v>
      </c>
      <c r="F80" s="544" t="s">
        <v>156</v>
      </c>
      <c r="G80" s="540"/>
    </row>
    <row r="81">
      <c r="A81" s="532">
        <v>45609.0</v>
      </c>
      <c r="B81" s="520" t="s">
        <v>2792</v>
      </c>
      <c r="C81" s="527">
        <v>255.0</v>
      </c>
      <c r="D81" s="545" t="s">
        <v>1555</v>
      </c>
      <c r="E81" s="546">
        <v>2.0</v>
      </c>
      <c r="F81" s="547" t="s">
        <v>156</v>
      </c>
      <c r="G81" s="528"/>
    </row>
    <row r="82">
      <c r="A82" s="538">
        <v>45609.0</v>
      </c>
      <c r="B82" s="514" t="s">
        <v>2792</v>
      </c>
      <c r="C82" s="539">
        <v>255.0</v>
      </c>
      <c r="D82" s="540" t="s">
        <v>354</v>
      </c>
      <c r="E82" s="554">
        <v>1.0</v>
      </c>
      <c r="F82" s="542" t="s">
        <v>981</v>
      </c>
      <c r="G82" s="540"/>
    </row>
    <row r="83">
      <c r="A83" s="535">
        <v>45609.0</v>
      </c>
      <c r="B83" s="520" t="s">
        <v>2792</v>
      </c>
      <c r="C83" s="521">
        <v>256.0</v>
      </c>
      <c r="D83" s="536" t="s">
        <v>863</v>
      </c>
      <c r="E83" s="556">
        <v>5.0</v>
      </c>
      <c r="F83" s="547" t="s">
        <v>156</v>
      </c>
      <c r="G83" s="528"/>
    </row>
    <row r="84">
      <c r="A84" s="549">
        <v>45610.0</v>
      </c>
      <c r="B84" s="514" t="s">
        <v>2792</v>
      </c>
      <c r="C84" s="539">
        <v>259.0</v>
      </c>
      <c r="D84" s="560" t="s">
        <v>1555</v>
      </c>
      <c r="E84" s="561">
        <v>3.0</v>
      </c>
      <c r="F84" s="544" t="s">
        <v>156</v>
      </c>
      <c r="G84" s="540"/>
    </row>
    <row r="85">
      <c r="A85" s="519">
        <v>45617.0</v>
      </c>
      <c r="B85" s="520" t="s">
        <v>2792</v>
      </c>
      <c r="C85" s="521">
        <v>260.0</v>
      </c>
      <c r="D85" s="522" t="s">
        <v>453</v>
      </c>
      <c r="E85" s="523">
        <v>450.0</v>
      </c>
      <c r="F85" s="524" t="s">
        <v>74</v>
      </c>
      <c r="G85" s="545"/>
    </row>
    <row r="86">
      <c r="A86" s="533">
        <v>45617.0</v>
      </c>
      <c r="B86" s="514" t="s">
        <v>2792</v>
      </c>
      <c r="C86" s="515">
        <v>260.0</v>
      </c>
      <c r="D86" s="516" t="s">
        <v>2811</v>
      </c>
      <c r="E86" s="534">
        <v>270.0</v>
      </c>
      <c r="F86" s="518" t="s">
        <v>74</v>
      </c>
      <c r="G86" s="550"/>
    </row>
    <row r="87">
      <c r="A87" s="535">
        <v>45617.0</v>
      </c>
      <c r="B87" s="520" t="s">
        <v>2792</v>
      </c>
      <c r="C87" s="521">
        <v>260.0</v>
      </c>
      <c r="D87" s="536" t="s">
        <v>2844</v>
      </c>
      <c r="E87" s="562">
        <v>7.0</v>
      </c>
      <c r="F87" s="524" t="s">
        <v>156</v>
      </c>
      <c r="G87" s="545"/>
    </row>
    <row r="88">
      <c r="A88" s="533">
        <v>45617.0</v>
      </c>
      <c r="B88" s="514" t="s">
        <v>2792</v>
      </c>
      <c r="C88" s="515">
        <v>277.0</v>
      </c>
      <c r="D88" s="516" t="s">
        <v>2845</v>
      </c>
      <c r="E88" s="534">
        <v>10.0</v>
      </c>
      <c r="F88" s="544" t="s">
        <v>156</v>
      </c>
      <c r="G88" s="540"/>
    </row>
    <row r="89">
      <c r="A89" s="532">
        <v>45626.0</v>
      </c>
      <c r="B89" s="520" t="s">
        <v>2792</v>
      </c>
      <c r="C89" s="527">
        <v>263.0</v>
      </c>
      <c r="D89" s="545" t="s">
        <v>2823</v>
      </c>
      <c r="E89" s="546">
        <v>3.0</v>
      </c>
      <c r="F89" s="553" t="s">
        <v>156</v>
      </c>
      <c r="G89" s="545"/>
    </row>
    <row r="90">
      <c r="A90" s="538">
        <v>45626.0</v>
      </c>
      <c r="B90" s="514" t="s">
        <v>2792</v>
      </c>
      <c r="C90" s="515">
        <v>263.0</v>
      </c>
      <c r="D90" s="540" t="s">
        <v>2846</v>
      </c>
      <c r="E90" s="541">
        <v>1.0</v>
      </c>
      <c r="F90" s="542" t="s">
        <v>981</v>
      </c>
      <c r="G90" s="540"/>
    </row>
    <row r="91">
      <c r="A91" s="526">
        <v>45628.0</v>
      </c>
      <c r="B91" s="520" t="s">
        <v>2792</v>
      </c>
      <c r="C91" s="563">
        <v>268.0</v>
      </c>
      <c r="D91" s="528" t="s">
        <v>1194</v>
      </c>
      <c r="E91" s="529">
        <v>1.0</v>
      </c>
      <c r="F91" s="530" t="s">
        <v>156</v>
      </c>
      <c r="G91" s="528"/>
    </row>
    <row r="92">
      <c r="A92" s="533">
        <v>45632.0</v>
      </c>
      <c r="B92" s="514" t="s">
        <v>2792</v>
      </c>
      <c r="C92" s="515">
        <v>264.0</v>
      </c>
      <c r="D92" s="516" t="s">
        <v>2847</v>
      </c>
      <c r="E92" s="534">
        <v>1.0</v>
      </c>
      <c r="F92" s="544" t="s">
        <v>156</v>
      </c>
      <c r="G92" s="540"/>
    </row>
    <row r="93">
      <c r="A93" s="526">
        <v>45632.0</v>
      </c>
      <c r="B93" s="520" t="s">
        <v>2792</v>
      </c>
      <c r="C93" s="521">
        <v>264.0</v>
      </c>
      <c r="D93" s="528" t="s">
        <v>2848</v>
      </c>
      <c r="E93" s="529">
        <v>1.0</v>
      </c>
      <c r="F93" s="530" t="s">
        <v>156</v>
      </c>
      <c r="G93" s="528"/>
    </row>
    <row r="94">
      <c r="A94" s="549">
        <v>45632.0</v>
      </c>
      <c r="B94" s="514" t="s">
        <v>2792</v>
      </c>
      <c r="C94" s="539">
        <v>265.0</v>
      </c>
      <c r="D94" s="550" t="s">
        <v>2823</v>
      </c>
      <c r="E94" s="561">
        <v>10.0</v>
      </c>
      <c r="F94" s="564" t="s">
        <v>156</v>
      </c>
      <c r="G94" s="550"/>
    </row>
    <row r="95">
      <c r="A95" s="535">
        <v>45632.0</v>
      </c>
      <c r="B95" s="520" t="s">
        <v>2792</v>
      </c>
      <c r="C95" s="521">
        <v>265.0</v>
      </c>
      <c r="D95" s="536" t="s">
        <v>1269</v>
      </c>
      <c r="E95" s="537">
        <v>65.0</v>
      </c>
      <c r="F95" s="547" t="s">
        <v>2849</v>
      </c>
      <c r="G95" s="528"/>
    </row>
    <row r="96">
      <c r="A96" s="533">
        <v>45632.0</v>
      </c>
      <c r="B96" s="514" t="s">
        <v>2792</v>
      </c>
      <c r="C96" s="515">
        <v>265.0</v>
      </c>
      <c r="D96" s="516" t="s">
        <v>307</v>
      </c>
      <c r="E96" s="534">
        <v>15.0</v>
      </c>
      <c r="F96" s="544" t="s">
        <v>156</v>
      </c>
      <c r="G96" s="540"/>
    </row>
    <row r="97">
      <c r="A97" s="535">
        <v>45632.0</v>
      </c>
      <c r="B97" s="520" t="s">
        <v>2792</v>
      </c>
      <c r="C97" s="521">
        <v>265.0</v>
      </c>
      <c r="D97" s="536" t="s">
        <v>308</v>
      </c>
      <c r="E97" s="555">
        <v>10.0</v>
      </c>
      <c r="F97" s="547" t="s">
        <v>156</v>
      </c>
      <c r="G97" s="528"/>
    </row>
    <row r="98">
      <c r="A98" s="538">
        <v>45632.0</v>
      </c>
      <c r="B98" s="514" t="s">
        <v>2792</v>
      </c>
      <c r="C98" s="515">
        <v>265.0</v>
      </c>
      <c r="D98" s="540" t="s">
        <v>2850</v>
      </c>
      <c r="E98" s="554">
        <v>1.0</v>
      </c>
      <c r="F98" s="542" t="s">
        <v>156</v>
      </c>
      <c r="G98" s="540"/>
    </row>
    <row r="99">
      <c r="A99" s="519">
        <v>45638.0</v>
      </c>
      <c r="B99" s="520" t="s">
        <v>2792</v>
      </c>
      <c r="C99" s="521">
        <v>266.0</v>
      </c>
      <c r="D99" s="522" t="s">
        <v>2851</v>
      </c>
      <c r="E99" s="523">
        <v>3.0</v>
      </c>
      <c r="F99" s="524" t="s">
        <v>1004</v>
      </c>
      <c r="G99" s="545"/>
    </row>
    <row r="100">
      <c r="A100" s="538">
        <v>45638.0</v>
      </c>
      <c r="B100" s="514" t="s">
        <v>2792</v>
      </c>
      <c r="C100" s="515">
        <v>266.0</v>
      </c>
      <c r="D100" s="540" t="s">
        <v>2852</v>
      </c>
      <c r="E100" s="541">
        <v>2.0</v>
      </c>
      <c r="F100" s="542" t="s">
        <v>39</v>
      </c>
      <c r="G100" s="540"/>
    </row>
    <row r="101">
      <c r="A101" s="526">
        <v>45638.0</v>
      </c>
      <c r="B101" s="520" t="s">
        <v>2792</v>
      </c>
      <c r="C101" s="521">
        <v>266.0</v>
      </c>
      <c r="D101" s="528" t="s">
        <v>900</v>
      </c>
      <c r="E101" s="529">
        <v>20.0</v>
      </c>
      <c r="F101" s="530" t="s">
        <v>156</v>
      </c>
      <c r="G101" s="528"/>
    </row>
    <row r="102">
      <c r="A102" s="538">
        <v>45638.0</v>
      </c>
      <c r="B102" s="514" t="s">
        <v>2792</v>
      </c>
      <c r="C102" s="515">
        <v>266.0</v>
      </c>
      <c r="D102" s="540" t="s">
        <v>2853</v>
      </c>
      <c r="E102" s="541">
        <v>1000.0</v>
      </c>
      <c r="F102" s="542" t="s">
        <v>156</v>
      </c>
      <c r="G102" s="540"/>
    </row>
    <row r="103">
      <c r="A103" s="526">
        <v>45638.0</v>
      </c>
      <c r="B103" s="520" t="s">
        <v>2792</v>
      </c>
      <c r="C103" s="521">
        <v>266.0</v>
      </c>
      <c r="D103" s="528" t="s">
        <v>2854</v>
      </c>
      <c r="E103" s="529">
        <v>1000.0</v>
      </c>
      <c r="F103" s="530" t="s">
        <v>156</v>
      </c>
      <c r="G103" s="528"/>
    </row>
    <row r="104">
      <c r="A104" s="533">
        <v>45638.0</v>
      </c>
      <c r="B104" s="514" t="s">
        <v>2792</v>
      </c>
      <c r="C104" s="515">
        <v>266.0</v>
      </c>
      <c r="D104" s="516" t="s">
        <v>2855</v>
      </c>
      <c r="E104" s="534">
        <v>10.0</v>
      </c>
      <c r="F104" s="542" t="s">
        <v>156</v>
      </c>
      <c r="G104" s="540"/>
    </row>
    <row r="105">
      <c r="A105" s="526">
        <v>45638.0</v>
      </c>
      <c r="B105" s="520" t="s">
        <v>2792</v>
      </c>
      <c r="C105" s="563">
        <v>266.0</v>
      </c>
      <c r="D105" s="528" t="s">
        <v>258</v>
      </c>
      <c r="E105" s="529">
        <v>10.0</v>
      </c>
      <c r="F105" s="530" t="s">
        <v>156</v>
      </c>
      <c r="G105" s="528"/>
    </row>
    <row r="106">
      <c r="A106" s="538">
        <v>45638.0</v>
      </c>
      <c r="B106" s="514" t="s">
        <v>2792</v>
      </c>
      <c r="C106" s="515">
        <v>266.0</v>
      </c>
      <c r="D106" s="540" t="s">
        <v>736</v>
      </c>
      <c r="E106" s="541">
        <v>10.0</v>
      </c>
      <c r="F106" s="544" t="s">
        <v>156</v>
      </c>
      <c r="G106" s="540"/>
    </row>
    <row r="107">
      <c r="A107" s="526">
        <v>45638.0</v>
      </c>
      <c r="B107" s="520" t="s">
        <v>2792</v>
      </c>
      <c r="C107" s="527">
        <v>266.0</v>
      </c>
      <c r="D107" s="528" t="s">
        <v>2856</v>
      </c>
      <c r="E107" s="529">
        <v>1.0</v>
      </c>
      <c r="F107" s="530" t="s">
        <v>156</v>
      </c>
      <c r="G107" s="528"/>
    </row>
    <row r="108">
      <c r="A108" s="538">
        <v>45638.0</v>
      </c>
      <c r="B108" s="514" t="s">
        <v>2792</v>
      </c>
      <c r="C108" s="539">
        <v>266.0</v>
      </c>
      <c r="D108" s="540" t="s">
        <v>607</v>
      </c>
      <c r="E108" s="541">
        <v>2.0</v>
      </c>
      <c r="F108" s="542" t="s">
        <v>156</v>
      </c>
      <c r="G108" s="540"/>
    </row>
    <row r="109">
      <c r="A109" s="526">
        <v>45638.0</v>
      </c>
      <c r="B109" s="520" t="s">
        <v>2792</v>
      </c>
      <c r="C109" s="527">
        <v>266.0</v>
      </c>
      <c r="D109" s="528" t="s">
        <v>874</v>
      </c>
      <c r="E109" s="529">
        <v>2.0</v>
      </c>
      <c r="F109" s="530" t="s">
        <v>156</v>
      </c>
      <c r="G109" s="528"/>
    </row>
    <row r="110">
      <c r="A110" s="538">
        <v>45638.0</v>
      </c>
      <c r="B110" s="514" t="s">
        <v>2792</v>
      </c>
      <c r="C110" s="539">
        <v>266.0</v>
      </c>
      <c r="D110" s="540" t="s">
        <v>2857</v>
      </c>
      <c r="E110" s="541">
        <v>1.0</v>
      </c>
      <c r="F110" s="542" t="s">
        <v>156</v>
      </c>
      <c r="G110" s="540"/>
    </row>
    <row r="111">
      <c r="A111" s="526">
        <v>45638.0</v>
      </c>
      <c r="B111" s="520" t="s">
        <v>2792</v>
      </c>
      <c r="C111" s="527">
        <v>266.0</v>
      </c>
      <c r="D111" s="528" t="s">
        <v>2858</v>
      </c>
      <c r="E111" s="529">
        <v>2.0</v>
      </c>
      <c r="F111" s="530" t="s">
        <v>319</v>
      </c>
      <c r="G111" s="528"/>
    </row>
    <row r="112">
      <c r="A112" s="538">
        <v>45638.0</v>
      </c>
      <c r="B112" s="514" t="s">
        <v>2792</v>
      </c>
      <c r="C112" s="539">
        <v>266.0</v>
      </c>
      <c r="D112" s="540" t="s">
        <v>2859</v>
      </c>
      <c r="E112" s="541">
        <v>10.0</v>
      </c>
      <c r="F112" s="542" t="s">
        <v>156</v>
      </c>
      <c r="G112" s="540"/>
    </row>
    <row r="113">
      <c r="A113" s="532">
        <v>45638.0</v>
      </c>
      <c r="B113" s="520" t="s">
        <v>2792</v>
      </c>
      <c r="C113" s="527">
        <v>267.0</v>
      </c>
      <c r="D113" s="545" t="s">
        <v>2823</v>
      </c>
      <c r="E113" s="546">
        <v>2.0</v>
      </c>
      <c r="F113" s="553" t="s">
        <v>156</v>
      </c>
      <c r="G113" s="545"/>
    </row>
    <row r="114">
      <c r="A114" s="533">
        <v>45638.0</v>
      </c>
      <c r="B114" s="514" t="s">
        <v>2792</v>
      </c>
      <c r="C114" s="515">
        <v>267.0</v>
      </c>
      <c r="D114" s="516" t="s">
        <v>453</v>
      </c>
      <c r="E114" s="534">
        <v>2.0</v>
      </c>
      <c r="F114" s="518" t="s">
        <v>1478</v>
      </c>
      <c r="G114" s="550"/>
    </row>
    <row r="115">
      <c r="A115" s="535">
        <v>45638.0</v>
      </c>
      <c r="B115" s="520" t="s">
        <v>2792</v>
      </c>
      <c r="C115" s="521">
        <v>267.0</v>
      </c>
      <c r="D115" s="536" t="s">
        <v>2811</v>
      </c>
      <c r="E115" s="537">
        <v>2.0</v>
      </c>
      <c r="F115" s="524" t="s">
        <v>1478</v>
      </c>
      <c r="G115" s="545"/>
    </row>
    <row r="116">
      <c r="A116" s="533">
        <v>45638.0</v>
      </c>
      <c r="B116" s="514" t="s">
        <v>2792</v>
      </c>
      <c r="C116" s="515">
        <v>267.0</v>
      </c>
      <c r="D116" s="516" t="s">
        <v>2756</v>
      </c>
      <c r="E116" s="534">
        <v>10.0</v>
      </c>
      <c r="F116" s="518" t="s">
        <v>156</v>
      </c>
      <c r="G116" s="550"/>
    </row>
    <row r="117">
      <c r="A117" s="535">
        <v>45638.0</v>
      </c>
      <c r="B117" s="520" t="s">
        <v>2792</v>
      </c>
      <c r="C117" s="521">
        <v>267.0</v>
      </c>
      <c r="D117" s="536" t="s">
        <v>426</v>
      </c>
      <c r="E117" s="537">
        <v>5.0</v>
      </c>
      <c r="F117" s="547" t="s">
        <v>156</v>
      </c>
      <c r="G117" s="528"/>
    </row>
    <row r="118">
      <c r="A118" s="533">
        <v>45638.0</v>
      </c>
      <c r="B118" s="514" t="s">
        <v>2792</v>
      </c>
      <c r="C118" s="515">
        <v>267.0</v>
      </c>
      <c r="D118" s="516" t="s">
        <v>2860</v>
      </c>
      <c r="E118" s="534">
        <v>1.0</v>
      </c>
      <c r="F118" s="544" t="s">
        <v>319</v>
      </c>
      <c r="G118" s="540"/>
      <c r="H118" s="565"/>
      <c r="I118" s="565"/>
      <c r="J118" s="565"/>
      <c r="K118" s="565"/>
      <c r="L118" s="565"/>
      <c r="M118" s="565"/>
      <c r="N118" s="565"/>
      <c r="O118" s="565"/>
      <c r="P118" s="565"/>
      <c r="Q118" s="565"/>
      <c r="R118" s="565"/>
      <c r="S118" s="565"/>
      <c r="T118" s="565"/>
      <c r="U118" s="565"/>
      <c r="V118" s="565"/>
      <c r="W118" s="565"/>
      <c r="X118" s="565"/>
      <c r="Y118" s="565"/>
      <c r="Z118" s="565"/>
    </row>
    <row r="119">
      <c r="A119" s="526">
        <v>45638.0</v>
      </c>
      <c r="B119" s="520" t="s">
        <v>2792</v>
      </c>
      <c r="C119" s="521">
        <v>267.0</v>
      </c>
      <c r="D119" s="528" t="s">
        <v>385</v>
      </c>
      <c r="E119" s="554">
        <v>10.0</v>
      </c>
      <c r="F119" s="547" t="s">
        <v>156</v>
      </c>
      <c r="G119" s="528"/>
    </row>
    <row r="120">
      <c r="A120" s="538">
        <v>45638.0</v>
      </c>
      <c r="B120" s="514" t="s">
        <v>2792</v>
      </c>
      <c r="C120" s="539">
        <v>267.0</v>
      </c>
      <c r="D120" s="540" t="s">
        <v>2825</v>
      </c>
      <c r="E120" s="554">
        <v>3.0</v>
      </c>
      <c r="F120" s="542" t="s">
        <v>156</v>
      </c>
      <c r="G120" s="540"/>
    </row>
    <row r="121">
      <c r="A121" s="526">
        <v>45638.0</v>
      </c>
      <c r="B121" s="520" t="s">
        <v>2792</v>
      </c>
      <c r="C121" s="527">
        <v>267.0</v>
      </c>
      <c r="D121" s="528" t="s">
        <v>2861</v>
      </c>
      <c r="E121" s="529">
        <v>2.0</v>
      </c>
      <c r="F121" s="530" t="s">
        <v>156</v>
      </c>
      <c r="G121" s="528"/>
    </row>
    <row r="122">
      <c r="A122" s="538">
        <v>45638.0</v>
      </c>
      <c r="B122" s="514" t="s">
        <v>2792</v>
      </c>
      <c r="C122" s="539">
        <v>267.0</v>
      </c>
      <c r="D122" s="540" t="s">
        <v>2862</v>
      </c>
      <c r="E122" s="541">
        <v>6.0</v>
      </c>
      <c r="F122" s="542" t="s">
        <v>156</v>
      </c>
      <c r="G122" s="540"/>
    </row>
    <row r="123">
      <c r="A123" s="526">
        <v>45638.0</v>
      </c>
      <c r="B123" s="520" t="s">
        <v>2792</v>
      </c>
      <c r="C123" s="527">
        <v>267.0</v>
      </c>
      <c r="D123" s="528" t="s">
        <v>2863</v>
      </c>
      <c r="E123" s="529">
        <v>40.0</v>
      </c>
      <c r="F123" s="530" t="s">
        <v>156</v>
      </c>
      <c r="G123" s="528"/>
    </row>
    <row r="124">
      <c r="A124" s="538">
        <v>45638.0</v>
      </c>
      <c r="B124" s="514" t="s">
        <v>2792</v>
      </c>
      <c r="C124" s="539">
        <v>267.0</v>
      </c>
      <c r="D124" s="540" t="s">
        <v>2828</v>
      </c>
      <c r="E124" s="541">
        <v>5.0</v>
      </c>
      <c r="F124" s="542" t="s">
        <v>156</v>
      </c>
      <c r="G124" s="540"/>
    </row>
    <row r="125">
      <c r="A125" s="526">
        <v>45638.0</v>
      </c>
      <c r="B125" s="520" t="s">
        <v>2792</v>
      </c>
      <c r="C125" s="527">
        <v>267.0</v>
      </c>
      <c r="D125" s="528" t="s">
        <v>354</v>
      </c>
      <c r="E125" s="529">
        <v>2.0</v>
      </c>
      <c r="F125" s="530" t="s">
        <v>981</v>
      </c>
      <c r="G125" s="528"/>
    </row>
    <row r="126">
      <c r="A126" s="538">
        <v>45638.0</v>
      </c>
      <c r="B126" s="514" t="s">
        <v>2792</v>
      </c>
      <c r="C126" s="539">
        <v>267.0</v>
      </c>
      <c r="D126" s="540" t="s">
        <v>2864</v>
      </c>
      <c r="E126" s="559">
        <v>4.0</v>
      </c>
      <c r="F126" s="542" t="s">
        <v>156</v>
      </c>
      <c r="G126" s="540"/>
    </row>
    <row r="127">
      <c r="A127" s="526">
        <v>45638.0</v>
      </c>
      <c r="B127" s="520" t="s">
        <v>2792</v>
      </c>
      <c r="C127" s="527">
        <v>267.0</v>
      </c>
      <c r="D127" s="528" t="s">
        <v>2832</v>
      </c>
      <c r="E127" s="529">
        <v>52.0</v>
      </c>
      <c r="F127" s="530" t="s">
        <v>156</v>
      </c>
      <c r="G127" s="528"/>
    </row>
    <row r="128">
      <c r="A128" s="538">
        <v>45638.0</v>
      </c>
      <c r="B128" s="514" t="s">
        <v>2792</v>
      </c>
      <c r="C128" s="566">
        <v>268.0</v>
      </c>
      <c r="D128" s="540" t="s">
        <v>1200</v>
      </c>
      <c r="E128" s="541">
        <v>5.0</v>
      </c>
      <c r="F128" s="542" t="s">
        <v>156</v>
      </c>
      <c r="G128" s="540"/>
    </row>
    <row r="129">
      <c r="A129" s="526">
        <v>45638.0</v>
      </c>
      <c r="B129" s="520" t="s">
        <v>2792</v>
      </c>
      <c r="C129" s="563">
        <v>268.0</v>
      </c>
      <c r="D129" s="528" t="s">
        <v>541</v>
      </c>
      <c r="E129" s="529">
        <v>3.0</v>
      </c>
      <c r="F129" s="530" t="s">
        <v>156</v>
      </c>
      <c r="G129" s="528"/>
    </row>
    <row r="130">
      <c r="A130" s="538">
        <v>45638.0</v>
      </c>
      <c r="B130" s="514" t="s">
        <v>2792</v>
      </c>
      <c r="C130" s="566">
        <v>268.0</v>
      </c>
      <c r="D130" s="540" t="s">
        <v>2865</v>
      </c>
      <c r="E130" s="541">
        <v>2.0</v>
      </c>
      <c r="F130" s="542" t="s">
        <v>1662</v>
      </c>
      <c r="G130" s="540"/>
    </row>
    <row r="131">
      <c r="A131" s="526">
        <v>45638.0</v>
      </c>
      <c r="B131" s="520" t="s">
        <v>2792</v>
      </c>
      <c r="C131" s="563">
        <v>268.0</v>
      </c>
      <c r="D131" s="528" t="s">
        <v>2866</v>
      </c>
      <c r="E131" s="529">
        <v>2.0</v>
      </c>
      <c r="F131" s="530" t="s">
        <v>908</v>
      </c>
      <c r="G131" s="528"/>
    </row>
    <row r="132">
      <c r="A132" s="538">
        <v>45638.0</v>
      </c>
      <c r="B132" s="514" t="s">
        <v>2792</v>
      </c>
      <c r="C132" s="566">
        <v>268.0</v>
      </c>
      <c r="D132" s="540" t="s">
        <v>2867</v>
      </c>
      <c r="E132" s="541">
        <v>1.0</v>
      </c>
      <c r="F132" s="542" t="s">
        <v>156</v>
      </c>
      <c r="G132" s="540"/>
    </row>
    <row r="133">
      <c r="A133" s="526">
        <v>45638.0</v>
      </c>
      <c r="B133" s="520" t="s">
        <v>2792</v>
      </c>
      <c r="C133" s="563">
        <v>268.0</v>
      </c>
      <c r="D133" s="528" t="s">
        <v>2868</v>
      </c>
      <c r="E133" s="529">
        <v>1.0</v>
      </c>
      <c r="F133" s="530" t="s">
        <v>156</v>
      </c>
      <c r="G133" s="528"/>
    </row>
    <row r="134">
      <c r="A134" s="538">
        <v>45638.0</v>
      </c>
      <c r="B134" s="514" t="s">
        <v>2792</v>
      </c>
      <c r="C134" s="566">
        <v>268.0</v>
      </c>
      <c r="D134" s="540" t="s">
        <v>823</v>
      </c>
      <c r="E134" s="541">
        <v>3.0</v>
      </c>
      <c r="F134" s="542" t="s">
        <v>2869</v>
      </c>
      <c r="G134" s="540"/>
    </row>
    <row r="135">
      <c r="A135" s="526">
        <v>45638.0</v>
      </c>
      <c r="B135" s="520" t="s">
        <v>2792</v>
      </c>
      <c r="C135" s="527">
        <v>271.0</v>
      </c>
      <c r="D135" s="528" t="s">
        <v>2870</v>
      </c>
      <c r="E135" s="529">
        <v>1.0</v>
      </c>
      <c r="F135" s="530" t="s">
        <v>156</v>
      </c>
      <c r="G135" s="528"/>
      <c r="H135" s="565"/>
      <c r="I135" s="565"/>
      <c r="J135" s="565"/>
      <c r="K135" s="565"/>
      <c r="L135" s="565"/>
      <c r="M135" s="565"/>
      <c r="N135" s="565"/>
      <c r="O135" s="565"/>
      <c r="P135" s="565"/>
      <c r="Q135" s="565"/>
      <c r="R135" s="565"/>
      <c r="S135" s="565"/>
      <c r="T135" s="565"/>
      <c r="U135" s="565"/>
      <c r="V135" s="565"/>
      <c r="W135" s="565"/>
      <c r="X135" s="565"/>
      <c r="Y135" s="565"/>
      <c r="Z135" s="565"/>
    </row>
    <row r="136">
      <c r="A136" s="533">
        <v>45644.0</v>
      </c>
      <c r="B136" s="514" t="s">
        <v>2792</v>
      </c>
      <c r="C136" s="558">
        <v>272.0</v>
      </c>
      <c r="D136" s="516" t="s">
        <v>2871</v>
      </c>
      <c r="E136" s="555">
        <v>4.0</v>
      </c>
      <c r="F136" s="542" t="s">
        <v>156</v>
      </c>
      <c r="G136" s="540"/>
    </row>
    <row r="137">
      <c r="A137" s="535">
        <v>45644.0</v>
      </c>
      <c r="B137" s="520" t="s">
        <v>2792</v>
      </c>
      <c r="C137" s="521">
        <v>272.0</v>
      </c>
      <c r="D137" s="536" t="s">
        <v>395</v>
      </c>
      <c r="E137" s="537">
        <v>10.0</v>
      </c>
      <c r="F137" s="547" t="s">
        <v>156</v>
      </c>
      <c r="G137" s="528"/>
    </row>
    <row r="138">
      <c r="A138" s="533">
        <v>45644.0</v>
      </c>
      <c r="B138" s="514" t="s">
        <v>2792</v>
      </c>
      <c r="C138" s="515">
        <v>272.0</v>
      </c>
      <c r="D138" s="516" t="s">
        <v>863</v>
      </c>
      <c r="E138" s="555">
        <v>10.0</v>
      </c>
      <c r="F138" s="544" t="s">
        <v>156</v>
      </c>
      <c r="G138" s="540"/>
    </row>
    <row r="139">
      <c r="A139" s="532">
        <v>45644.0</v>
      </c>
      <c r="B139" s="520" t="s">
        <v>2792</v>
      </c>
      <c r="C139" s="527">
        <v>272.0</v>
      </c>
      <c r="D139" s="545" t="s">
        <v>1555</v>
      </c>
      <c r="E139" s="546">
        <v>1.0</v>
      </c>
      <c r="F139" s="547" t="s">
        <v>156</v>
      </c>
      <c r="G139" s="528"/>
    </row>
    <row r="140">
      <c r="A140" s="538">
        <v>45644.0</v>
      </c>
      <c r="B140" s="514" t="s">
        <v>2792</v>
      </c>
      <c r="C140" s="539">
        <v>272.0</v>
      </c>
      <c r="D140" s="540" t="s">
        <v>2872</v>
      </c>
      <c r="E140" s="541">
        <v>1.0</v>
      </c>
      <c r="F140" s="542" t="s">
        <v>156</v>
      </c>
      <c r="G140" s="540"/>
    </row>
    <row r="141">
      <c r="A141" s="526">
        <v>45644.0</v>
      </c>
      <c r="B141" s="520" t="s">
        <v>2792</v>
      </c>
      <c r="C141" s="521">
        <v>272.0</v>
      </c>
      <c r="D141" s="528" t="s">
        <v>914</v>
      </c>
      <c r="E141" s="529">
        <v>1.0</v>
      </c>
      <c r="F141" s="530" t="s">
        <v>2819</v>
      </c>
      <c r="G141" s="528"/>
    </row>
    <row r="142">
      <c r="A142" s="538">
        <v>45644.0</v>
      </c>
      <c r="B142" s="514" t="s">
        <v>2792</v>
      </c>
      <c r="C142" s="515">
        <v>272.0</v>
      </c>
      <c r="D142" s="540" t="s">
        <v>2873</v>
      </c>
      <c r="E142" s="541">
        <v>20.0</v>
      </c>
      <c r="F142" s="542" t="s">
        <v>34</v>
      </c>
      <c r="G142" s="540"/>
    </row>
    <row r="143">
      <c r="A143" s="526">
        <v>45644.0</v>
      </c>
      <c r="B143" s="520" t="s">
        <v>2792</v>
      </c>
      <c r="C143" s="521">
        <v>272.0</v>
      </c>
      <c r="D143" s="528" t="s">
        <v>2874</v>
      </c>
      <c r="E143" s="529">
        <v>2.0</v>
      </c>
      <c r="F143" s="530" t="s">
        <v>34</v>
      </c>
      <c r="G143" s="528"/>
    </row>
    <row r="144">
      <c r="A144" s="538">
        <v>45644.0</v>
      </c>
      <c r="B144" s="514" t="s">
        <v>2792</v>
      </c>
      <c r="C144" s="539">
        <v>272.0</v>
      </c>
      <c r="D144" s="540" t="s">
        <v>2875</v>
      </c>
      <c r="E144" s="541">
        <v>1.0</v>
      </c>
      <c r="F144" s="542" t="s">
        <v>981</v>
      </c>
      <c r="G144" s="540"/>
    </row>
    <row r="145">
      <c r="A145" s="526">
        <v>45650.0</v>
      </c>
      <c r="B145" s="520" t="s">
        <v>2792</v>
      </c>
      <c r="C145" s="521">
        <v>274.0</v>
      </c>
      <c r="D145" s="528" t="s">
        <v>2876</v>
      </c>
      <c r="E145" s="554">
        <v>6.0</v>
      </c>
      <c r="F145" s="530" t="s">
        <v>156</v>
      </c>
      <c r="G145" s="528"/>
    </row>
    <row r="146">
      <c r="A146" s="538">
        <v>45650.0</v>
      </c>
      <c r="B146" s="514" t="s">
        <v>2792</v>
      </c>
      <c r="C146" s="515">
        <v>274.0</v>
      </c>
      <c r="D146" s="540" t="s">
        <v>402</v>
      </c>
      <c r="E146" s="559">
        <v>6.0</v>
      </c>
      <c r="F146" s="542" t="s">
        <v>156</v>
      </c>
      <c r="G146" s="540"/>
    </row>
    <row r="147">
      <c r="A147" s="526">
        <v>45650.0</v>
      </c>
      <c r="B147" s="520" t="s">
        <v>2792</v>
      </c>
      <c r="C147" s="521">
        <v>274.0</v>
      </c>
      <c r="D147" s="528" t="s">
        <v>2877</v>
      </c>
      <c r="E147" s="559">
        <v>6.0</v>
      </c>
      <c r="F147" s="530" t="s">
        <v>156</v>
      </c>
      <c r="G147" s="528"/>
    </row>
    <row r="148">
      <c r="A148" s="538">
        <v>45650.0</v>
      </c>
      <c r="B148" s="514" t="s">
        <v>2792</v>
      </c>
      <c r="C148" s="515">
        <v>274.0</v>
      </c>
      <c r="D148" s="540" t="s">
        <v>407</v>
      </c>
      <c r="E148" s="541">
        <v>4.0</v>
      </c>
      <c r="F148" s="542" t="s">
        <v>156</v>
      </c>
      <c r="G148" s="540"/>
    </row>
    <row r="149">
      <c r="A149" s="526">
        <v>45650.0</v>
      </c>
      <c r="B149" s="520" t="s">
        <v>2792</v>
      </c>
      <c r="C149" s="527">
        <v>274.0</v>
      </c>
      <c r="D149" s="528" t="s">
        <v>2878</v>
      </c>
      <c r="E149" s="529">
        <v>5.0</v>
      </c>
      <c r="F149" s="530" t="s">
        <v>156</v>
      </c>
      <c r="G149" s="528"/>
    </row>
    <row r="150">
      <c r="A150" s="538">
        <v>45650.0</v>
      </c>
      <c r="B150" s="514" t="s">
        <v>2792</v>
      </c>
      <c r="C150" s="539">
        <v>274.0</v>
      </c>
      <c r="D150" s="540" t="s">
        <v>97</v>
      </c>
      <c r="E150" s="541">
        <v>2.0</v>
      </c>
      <c r="F150" s="542" t="s">
        <v>981</v>
      </c>
      <c r="G150" s="540"/>
    </row>
    <row r="151">
      <c r="A151" s="526">
        <v>45650.0</v>
      </c>
      <c r="B151" s="520" t="s">
        <v>2792</v>
      </c>
      <c r="C151" s="563">
        <v>274.0</v>
      </c>
      <c r="D151" s="528" t="s">
        <v>408</v>
      </c>
      <c r="E151" s="529">
        <v>3.0</v>
      </c>
      <c r="F151" s="530" t="s">
        <v>2869</v>
      </c>
      <c r="G151" s="528"/>
    </row>
    <row r="152">
      <c r="A152" s="538">
        <v>45650.0</v>
      </c>
      <c r="B152" s="514" t="s">
        <v>2792</v>
      </c>
      <c r="C152" s="566">
        <v>274.0</v>
      </c>
      <c r="D152" s="540" t="s">
        <v>2879</v>
      </c>
      <c r="E152" s="541">
        <v>10.0</v>
      </c>
      <c r="F152" s="542" t="s">
        <v>2849</v>
      </c>
      <c r="G152" s="540"/>
    </row>
    <row r="153">
      <c r="A153" s="526">
        <v>45654.0</v>
      </c>
      <c r="B153" s="520" t="s">
        <v>2792</v>
      </c>
      <c r="C153" s="527">
        <v>604.0</v>
      </c>
      <c r="D153" s="528" t="s">
        <v>2878</v>
      </c>
      <c r="E153" s="529">
        <v>5.0</v>
      </c>
      <c r="F153" s="530" t="s">
        <v>156</v>
      </c>
      <c r="G153" s="528"/>
    </row>
    <row r="154">
      <c r="A154" s="538">
        <v>45662.0</v>
      </c>
      <c r="B154" s="514" t="s">
        <v>2792</v>
      </c>
      <c r="C154" s="566">
        <v>678.0</v>
      </c>
      <c r="D154" s="540" t="s">
        <v>2880</v>
      </c>
      <c r="E154" s="541">
        <v>10.0</v>
      </c>
      <c r="F154" s="542" t="s">
        <v>156</v>
      </c>
      <c r="G154" s="540"/>
    </row>
    <row r="155">
      <c r="A155" s="519">
        <v>45663.0</v>
      </c>
      <c r="B155" s="520" t="s">
        <v>2792</v>
      </c>
      <c r="C155" s="521">
        <v>277.0</v>
      </c>
      <c r="D155" s="522" t="s">
        <v>2881</v>
      </c>
      <c r="E155" s="523">
        <v>500.0</v>
      </c>
      <c r="F155" s="524" t="s">
        <v>74</v>
      </c>
      <c r="G155" s="545"/>
    </row>
    <row r="156">
      <c r="A156" s="533">
        <v>45663.0</v>
      </c>
      <c r="B156" s="514" t="s">
        <v>2792</v>
      </c>
      <c r="C156" s="515">
        <v>277.0</v>
      </c>
      <c r="D156" s="516" t="s">
        <v>438</v>
      </c>
      <c r="E156" s="534">
        <v>80.0</v>
      </c>
      <c r="F156" s="518" t="s">
        <v>156</v>
      </c>
      <c r="G156" s="550"/>
    </row>
    <row r="157">
      <c r="A157" s="535">
        <v>45663.0</v>
      </c>
      <c r="B157" s="520" t="s">
        <v>2792</v>
      </c>
      <c r="C157" s="521">
        <v>277.0</v>
      </c>
      <c r="D157" s="536" t="s">
        <v>2882</v>
      </c>
      <c r="E157" s="537">
        <v>80.0</v>
      </c>
      <c r="F157" s="567"/>
      <c r="G157" s="568"/>
    </row>
    <row r="158">
      <c r="A158" s="533">
        <v>45663.0</v>
      </c>
      <c r="B158" s="514" t="s">
        <v>2792</v>
      </c>
      <c r="C158" s="515">
        <v>277.0</v>
      </c>
      <c r="D158" s="516" t="s">
        <v>279</v>
      </c>
      <c r="E158" s="534">
        <v>50.0</v>
      </c>
      <c r="F158" s="518" t="s">
        <v>156</v>
      </c>
      <c r="G158" s="550"/>
    </row>
    <row r="159">
      <c r="A159" s="535">
        <v>45663.0</v>
      </c>
      <c r="B159" s="520" t="s">
        <v>2792</v>
      </c>
      <c r="C159" s="521">
        <v>277.0</v>
      </c>
      <c r="D159" s="536" t="s">
        <v>2883</v>
      </c>
      <c r="E159" s="556">
        <v>50.0</v>
      </c>
      <c r="F159" s="530" t="s">
        <v>156</v>
      </c>
      <c r="G159" s="528"/>
    </row>
    <row r="160">
      <c r="A160" s="533">
        <v>45663.0</v>
      </c>
      <c r="B160" s="514" t="s">
        <v>2792</v>
      </c>
      <c r="C160" s="515">
        <v>277.0</v>
      </c>
      <c r="D160" s="514" t="s">
        <v>2844</v>
      </c>
      <c r="E160" s="569">
        <v>10.0</v>
      </c>
      <c r="F160" s="570" t="s">
        <v>156</v>
      </c>
      <c r="G160" s="540"/>
    </row>
    <row r="161">
      <c r="A161" s="532">
        <v>45663.0</v>
      </c>
      <c r="B161" s="520" t="s">
        <v>2792</v>
      </c>
      <c r="C161" s="527">
        <v>277.0</v>
      </c>
      <c r="D161" s="545" t="s">
        <v>300</v>
      </c>
      <c r="E161" s="571">
        <v>15.0</v>
      </c>
      <c r="F161" s="547" t="s">
        <v>156</v>
      </c>
      <c r="G161" s="528"/>
    </row>
    <row r="162">
      <c r="A162" s="549">
        <v>45663.0</v>
      </c>
      <c r="B162" s="514" t="s">
        <v>2792</v>
      </c>
      <c r="C162" s="539">
        <v>277.0</v>
      </c>
      <c r="D162" s="550" t="s">
        <v>309</v>
      </c>
      <c r="E162" s="552">
        <v>10.0</v>
      </c>
      <c r="F162" s="544" t="s">
        <v>156</v>
      </c>
      <c r="G162" s="540"/>
    </row>
    <row r="163">
      <c r="A163" s="535">
        <v>45663.0</v>
      </c>
      <c r="B163" s="520" t="s">
        <v>2792</v>
      </c>
      <c r="C163" s="521">
        <v>277.0</v>
      </c>
      <c r="D163" s="536" t="s">
        <v>299</v>
      </c>
      <c r="E163" s="556">
        <v>15.0</v>
      </c>
      <c r="F163" s="547" t="s">
        <v>156</v>
      </c>
      <c r="G163" s="528"/>
    </row>
    <row r="164">
      <c r="A164" s="538">
        <v>45663.0</v>
      </c>
      <c r="B164" s="514" t="s">
        <v>2792</v>
      </c>
      <c r="C164" s="515">
        <v>277.0</v>
      </c>
      <c r="D164" s="540" t="s">
        <v>871</v>
      </c>
      <c r="E164" s="541">
        <v>10.0</v>
      </c>
      <c r="F164" s="542" t="s">
        <v>34</v>
      </c>
      <c r="G164" s="540"/>
    </row>
    <row r="165">
      <c r="A165" s="535">
        <v>45663.0</v>
      </c>
      <c r="B165" s="520" t="s">
        <v>2792</v>
      </c>
      <c r="C165" s="557">
        <v>277.0</v>
      </c>
      <c r="D165" s="536" t="s">
        <v>2754</v>
      </c>
      <c r="E165" s="537">
        <v>10.0</v>
      </c>
      <c r="F165" s="530" t="s">
        <v>981</v>
      </c>
      <c r="G165" s="528"/>
    </row>
    <row r="166">
      <c r="A166" s="538">
        <v>45663.0</v>
      </c>
      <c r="B166" s="514" t="s">
        <v>2792</v>
      </c>
      <c r="C166" s="515">
        <v>278.0</v>
      </c>
      <c r="D166" s="540" t="s">
        <v>437</v>
      </c>
      <c r="E166" s="541">
        <v>4.0</v>
      </c>
      <c r="F166" s="542" t="s">
        <v>156</v>
      </c>
      <c r="G166" s="540"/>
    </row>
    <row r="167">
      <c r="A167" s="526">
        <v>45663.0</v>
      </c>
      <c r="B167" s="520" t="s">
        <v>2792</v>
      </c>
      <c r="C167" s="521">
        <v>278.0</v>
      </c>
      <c r="D167" s="528" t="s">
        <v>436</v>
      </c>
      <c r="E167" s="529">
        <v>4.0</v>
      </c>
      <c r="F167" s="530" t="s">
        <v>156</v>
      </c>
      <c r="G167" s="528"/>
    </row>
    <row r="168">
      <c r="A168" s="538">
        <v>45663.0</v>
      </c>
      <c r="B168" s="514" t="s">
        <v>2792</v>
      </c>
      <c r="C168" s="515">
        <v>278.0</v>
      </c>
      <c r="D168" s="540" t="s">
        <v>303</v>
      </c>
      <c r="E168" s="541">
        <v>4.0</v>
      </c>
      <c r="F168" s="542" t="s">
        <v>156</v>
      </c>
      <c r="G168" s="540"/>
    </row>
    <row r="169">
      <c r="A169" s="526">
        <v>45663.0</v>
      </c>
      <c r="B169" s="520" t="s">
        <v>2792</v>
      </c>
      <c r="C169" s="521">
        <v>278.0</v>
      </c>
      <c r="D169" s="528" t="s">
        <v>434</v>
      </c>
      <c r="E169" s="529">
        <v>4.0</v>
      </c>
      <c r="F169" s="530" t="s">
        <v>156</v>
      </c>
      <c r="G169" s="528"/>
    </row>
    <row r="170">
      <c r="A170" s="538">
        <v>45663.0</v>
      </c>
      <c r="B170" s="514" t="s">
        <v>2792</v>
      </c>
      <c r="C170" s="515">
        <v>278.0</v>
      </c>
      <c r="D170" s="540" t="s">
        <v>2884</v>
      </c>
      <c r="E170" s="541">
        <v>2.0</v>
      </c>
      <c r="F170" s="542" t="s">
        <v>156</v>
      </c>
      <c r="G170" s="540"/>
    </row>
    <row r="171">
      <c r="A171" s="526">
        <v>45663.0</v>
      </c>
      <c r="B171" s="520" t="s">
        <v>2792</v>
      </c>
      <c r="C171" s="521">
        <v>278.0</v>
      </c>
      <c r="D171" s="528" t="s">
        <v>431</v>
      </c>
      <c r="E171" s="529">
        <v>2.0</v>
      </c>
      <c r="F171" s="530" t="s">
        <v>156</v>
      </c>
      <c r="G171" s="528"/>
    </row>
    <row r="172">
      <c r="A172" s="538">
        <v>45663.0</v>
      </c>
      <c r="B172" s="514" t="s">
        <v>2792</v>
      </c>
      <c r="C172" s="515">
        <v>278.0</v>
      </c>
      <c r="D172" s="540" t="s">
        <v>2885</v>
      </c>
      <c r="E172" s="541">
        <v>2.0</v>
      </c>
      <c r="F172" s="542" t="s">
        <v>156</v>
      </c>
      <c r="G172" s="540"/>
    </row>
    <row r="173">
      <c r="A173" s="526">
        <v>45663.0</v>
      </c>
      <c r="B173" s="520" t="s">
        <v>2792</v>
      </c>
      <c r="C173" s="521">
        <v>278.0</v>
      </c>
      <c r="D173" s="528" t="s">
        <v>2886</v>
      </c>
      <c r="E173" s="529">
        <v>2.0</v>
      </c>
      <c r="F173" s="530" t="s">
        <v>156</v>
      </c>
      <c r="G173" s="528"/>
    </row>
    <row r="174">
      <c r="A174" s="538">
        <v>45663.0</v>
      </c>
      <c r="B174" s="514" t="s">
        <v>2792</v>
      </c>
      <c r="C174" s="515">
        <v>278.0</v>
      </c>
      <c r="D174" s="540" t="s">
        <v>2887</v>
      </c>
      <c r="E174" s="541">
        <v>2.0</v>
      </c>
      <c r="F174" s="542" t="s">
        <v>156</v>
      </c>
      <c r="G174" s="540"/>
    </row>
    <row r="175">
      <c r="A175" s="535">
        <v>45663.0</v>
      </c>
      <c r="B175" s="520" t="s">
        <v>2792</v>
      </c>
      <c r="C175" s="521">
        <v>279.0</v>
      </c>
      <c r="D175" s="536" t="s">
        <v>426</v>
      </c>
      <c r="E175" s="572">
        <v>10.0</v>
      </c>
      <c r="F175" s="547" t="s">
        <v>156</v>
      </c>
      <c r="G175" s="528"/>
    </row>
    <row r="176">
      <c r="A176" s="533">
        <v>45663.0</v>
      </c>
      <c r="B176" s="514" t="s">
        <v>2792</v>
      </c>
      <c r="C176" s="515">
        <v>279.0</v>
      </c>
      <c r="D176" s="516" t="s">
        <v>2888</v>
      </c>
      <c r="E176" s="555">
        <v>5.0</v>
      </c>
      <c r="F176" s="544" t="s">
        <v>156</v>
      </c>
      <c r="G176" s="540"/>
    </row>
    <row r="177">
      <c r="A177" s="535">
        <v>45663.0</v>
      </c>
      <c r="B177" s="520" t="s">
        <v>2792</v>
      </c>
      <c r="C177" s="521">
        <v>279.0</v>
      </c>
      <c r="D177" s="536" t="s">
        <v>2889</v>
      </c>
      <c r="E177" s="555">
        <v>10.0</v>
      </c>
      <c r="F177" s="547" t="s">
        <v>156</v>
      </c>
      <c r="G177" s="528"/>
    </row>
    <row r="178">
      <c r="A178" s="533">
        <v>45663.0</v>
      </c>
      <c r="B178" s="514" t="s">
        <v>2792</v>
      </c>
      <c r="C178" s="515">
        <v>279.0</v>
      </c>
      <c r="D178" s="516" t="s">
        <v>2890</v>
      </c>
      <c r="E178" s="534">
        <v>50.0</v>
      </c>
      <c r="F178" s="544" t="s">
        <v>156</v>
      </c>
      <c r="G178" s="540"/>
    </row>
    <row r="179">
      <c r="A179" s="526">
        <v>45663.0</v>
      </c>
      <c r="B179" s="520" t="s">
        <v>2792</v>
      </c>
      <c r="C179" s="521">
        <v>1207.0</v>
      </c>
      <c r="D179" s="528" t="s">
        <v>2891</v>
      </c>
      <c r="E179" s="529">
        <v>4.0</v>
      </c>
      <c r="F179" s="530" t="s">
        <v>156</v>
      </c>
      <c r="G179" s="528"/>
    </row>
    <row r="180">
      <c r="A180" s="538">
        <v>45663.0</v>
      </c>
      <c r="B180" s="514" t="s">
        <v>2792</v>
      </c>
      <c r="C180" s="515">
        <v>1207.0</v>
      </c>
      <c r="D180" s="540" t="s">
        <v>2892</v>
      </c>
      <c r="E180" s="541">
        <v>1.0</v>
      </c>
      <c r="F180" s="542" t="s">
        <v>156</v>
      </c>
      <c r="G180" s="540"/>
    </row>
    <row r="181">
      <c r="A181" s="526">
        <v>45663.0</v>
      </c>
      <c r="B181" s="520" t="s">
        <v>2792</v>
      </c>
      <c r="C181" s="521">
        <v>1207.0</v>
      </c>
      <c r="D181" s="528" t="s">
        <v>2893</v>
      </c>
      <c r="E181" s="529">
        <v>1.0</v>
      </c>
      <c r="F181" s="530" t="s">
        <v>156</v>
      </c>
      <c r="G181" s="528"/>
    </row>
    <row r="182">
      <c r="A182" s="538">
        <v>45663.0</v>
      </c>
      <c r="B182" s="514" t="s">
        <v>2792</v>
      </c>
      <c r="C182" s="515">
        <v>1207.0</v>
      </c>
      <c r="D182" s="540" t="s">
        <v>2894</v>
      </c>
      <c r="E182" s="541">
        <v>3.0</v>
      </c>
      <c r="F182" s="542" t="s">
        <v>156</v>
      </c>
      <c r="G182" s="540"/>
    </row>
    <row r="183">
      <c r="A183" s="535">
        <v>45665.0</v>
      </c>
      <c r="B183" s="520" t="s">
        <v>2792</v>
      </c>
      <c r="C183" s="521">
        <v>282.0</v>
      </c>
      <c r="D183" s="536" t="s">
        <v>229</v>
      </c>
      <c r="E183" s="537">
        <v>4.0</v>
      </c>
      <c r="F183" s="547" t="s">
        <v>156</v>
      </c>
      <c r="G183" s="528"/>
    </row>
    <row r="184">
      <c r="A184" s="538">
        <v>45667.0</v>
      </c>
      <c r="B184" s="514" t="s">
        <v>2792</v>
      </c>
      <c r="C184" s="539">
        <v>1215.0</v>
      </c>
      <c r="D184" s="540" t="s">
        <v>461</v>
      </c>
      <c r="E184" s="541">
        <v>50.0</v>
      </c>
      <c r="F184" s="542" t="s">
        <v>156</v>
      </c>
      <c r="G184" s="540"/>
    </row>
    <row r="185">
      <c r="A185" s="526">
        <v>45669.0</v>
      </c>
      <c r="B185" s="520" t="s">
        <v>2792</v>
      </c>
      <c r="C185" s="521">
        <v>283.0</v>
      </c>
      <c r="D185" s="528" t="s">
        <v>456</v>
      </c>
      <c r="E185" s="529">
        <v>4.0</v>
      </c>
      <c r="F185" s="530" t="s">
        <v>39</v>
      </c>
      <c r="G185" s="528"/>
    </row>
    <row r="186">
      <c r="A186" s="538">
        <v>45669.0</v>
      </c>
      <c r="B186" s="514" t="s">
        <v>2792</v>
      </c>
      <c r="C186" s="515">
        <v>283.0</v>
      </c>
      <c r="D186" s="540" t="s">
        <v>914</v>
      </c>
      <c r="E186" s="541">
        <v>40.0</v>
      </c>
      <c r="F186" s="542" t="s">
        <v>981</v>
      </c>
      <c r="G186" s="540"/>
    </row>
    <row r="187">
      <c r="A187" s="526">
        <v>45669.0</v>
      </c>
      <c r="B187" s="520" t="s">
        <v>2792</v>
      </c>
      <c r="C187" s="521">
        <v>283.0</v>
      </c>
      <c r="D187" s="528" t="s">
        <v>2895</v>
      </c>
      <c r="E187" s="529">
        <v>5.0</v>
      </c>
      <c r="F187" s="530" t="s">
        <v>34</v>
      </c>
      <c r="G187" s="528"/>
    </row>
    <row r="188">
      <c r="A188" s="538">
        <v>45669.0</v>
      </c>
      <c r="B188" s="514" t="s">
        <v>2792</v>
      </c>
      <c r="C188" s="515">
        <v>283.0</v>
      </c>
      <c r="D188" s="540" t="s">
        <v>2874</v>
      </c>
      <c r="E188" s="541">
        <v>10.0</v>
      </c>
      <c r="F188" s="542" t="s">
        <v>34</v>
      </c>
      <c r="G188" s="540"/>
    </row>
    <row r="189">
      <c r="A189" s="526">
        <v>45669.0</v>
      </c>
      <c r="B189" s="520" t="s">
        <v>2792</v>
      </c>
      <c r="C189" s="521">
        <v>283.0</v>
      </c>
      <c r="D189" s="528" t="s">
        <v>2896</v>
      </c>
      <c r="E189" s="529">
        <v>186.0</v>
      </c>
      <c r="F189" s="530" t="s">
        <v>156</v>
      </c>
      <c r="G189" s="528"/>
    </row>
    <row r="190">
      <c r="A190" s="538">
        <v>45669.0</v>
      </c>
      <c r="B190" s="514" t="s">
        <v>2792</v>
      </c>
      <c r="C190" s="515">
        <v>283.0</v>
      </c>
      <c r="D190" s="540" t="s">
        <v>2897</v>
      </c>
      <c r="E190" s="541">
        <v>180.0</v>
      </c>
      <c r="F190" s="542" t="s">
        <v>156</v>
      </c>
      <c r="G190" s="540"/>
    </row>
    <row r="191">
      <c r="A191" s="526">
        <v>45669.0</v>
      </c>
      <c r="B191" s="520" t="s">
        <v>2792</v>
      </c>
      <c r="C191" s="521">
        <v>283.0</v>
      </c>
      <c r="D191" s="528" t="s">
        <v>2898</v>
      </c>
      <c r="E191" s="529">
        <v>72.0</v>
      </c>
      <c r="F191" s="530" t="s">
        <v>156</v>
      </c>
      <c r="G191" s="528"/>
    </row>
    <row r="192">
      <c r="A192" s="538">
        <v>45669.0</v>
      </c>
      <c r="B192" s="514" t="s">
        <v>2792</v>
      </c>
      <c r="C192" s="515">
        <v>283.0</v>
      </c>
      <c r="D192" s="540" t="s">
        <v>2899</v>
      </c>
      <c r="E192" s="541">
        <v>99.0</v>
      </c>
      <c r="F192" s="542" t="s">
        <v>156</v>
      </c>
      <c r="G192" s="540"/>
    </row>
    <row r="193">
      <c r="A193" s="526">
        <v>45669.0</v>
      </c>
      <c r="B193" s="520" t="s">
        <v>2792</v>
      </c>
      <c r="C193" s="521">
        <v>283.0</v>
      </c>
      <c r="D193" s="528" t="s">
        <v>2900</v>
      </c>
      <c r="E193" s="529">
        <v>45.0</v>
      </c>
      <c r="F193" s="530" t="s">
        <v>156</v>
      </c>
      <c r="G193" s="528"/>
    </row>
    <row r="194">
      <c r="A194" s="538">
        <v>45669.0</v>
      </c>
      <c r="B194" s="514" t="s">
        <v>2792</v>
      </c>
      <c r="C194" s="515">
        <v>284.0</v>
      </c>
      <c r="D194" s="540" t="s">
        <v>350</v>
      </c>
      <c r="E194" s="541">
        <v>50.0</v>
      </c>
      <c r="F194" s="542" t="s">
        <v>34</v>
      </c>
      <c r="G194" s="540"/>
    </row>
    <row r="195">
      <c r="A195" s="526">
        <v>45669.0</v>
      </c>
      <c r="B195" s="520" t="s">
        <v>2792</v>
      </c>
      <c r="C195" s="521">
        <v>284.0</v>
      </c>
      <c r="D195" s="528" t="s">
        <v>349</v>
      </c>
      <c r="E195" s="529">
        <v>50.0</v>
      </c>
      <c r="F195" s="530" t="s">
        <v>34</v>
      </c>
      <c r="G195" s="528"/>
    </row>
    <row r="196">
      <c r="A196" s="538">
        <v>45669.0</v>
      </c>
      <c r="B196" s="514" t="s">
        <v>2792</v>
      </c>
      <c r="C196" s="515">
        <v>284.0</v>
      </c>
      <c r="D196" s="540" t="s">
        <v>2901</v>
      </c>
      <c r="E196" s="554">
        <v>10.0</v>
      </c>
      <c r="F196" s="542" t="s">
        <v>156</v>
      </c>
      <c r="G196" s="540"/>
    </row>
    <row r="197">
      <c r="A197" s="526">
        <v>45669.0</v>
      </c>
      <c r="B197" s="520" t="s">
        <v>2792</v>
      </c>
      <c r="C197" s="521">
        <v>284.0</v>
      </c>
      <c r="D197" s="528" t="s">
        <v>1912</v>
      </c>
      <c r="E197" s="554">
        <v>5.0</v>
      </c>
      <c r="F197" s="530" t="s">
        <v>156</v>
      </c>
      <c r="G197" s="528"/>
    </row>
    <row r="198">
      <c r="A198" s="533">
        <v>45669.0</v>
      </c>
      <c r="B198" s="514" t="s">
        <v>2792</v>
      </c>
      <c r="C198" s="515">
        <v>284.0</v>
      </c>
      <c r="D198" s="516" t="s">
        <v>2902</v>
      </c>
      <c r="E198" s="555">
        <v>5.0</v>
      </c>
      <c r="F198" s="542" t="s">
        <v>156</v>
      </c>
      <c r="G198" s="540"/>
    </row>
    <row r="199">
      <c r="A199" s="526">
        <v>45669.0</v>
      </c>
      <c r="B199" s="520" t="s">
        <v>2792</v>
      </c>
      <c r="C199" s="521">
        <v>284.0</v>
      </c>
      <c r="D199" s="528" t="s">
        <v>2903</v>
      </c>
      <c r="E199" s="529">
        <v>15.0</v>
      </c>
      <c r="F199" s="530" t="s">
        <v>156</v>
      </c>
      <c r="G199" s="528"/>
    </row>
    <row r="200">
      <c r="A200" s="533">
        <v>45669.0</v>
      </c>
      <c r="B200" s="514" t="s">
        <v>2792</v>
      </c>
      <c r="C200" s="515">
        <v>284.0</v>
      </c>
      <c r="D200" s="516" t="s">
        <v>2904</v>
      </c>
      <c r="E200" s="534">
        <v>5.0</v>
      </c>
      <c r="F200" s="544" t="s">
        <v>156</v>
      </c>
      <c r="G200" s="540"/>
    </row>
    <row r="201">
      <c r="A201" s="535">
        <v>45669.0</v>
      </c>
      <c r="B201" s="520" t="s">
        <v>2792</v>
      </c>
      <c r="C201" s="521">
        <v>284.0</v>
      </c>
      <c r="D201" s="528" t="s">
        <v>445</v>
      </c>
      <c r="E201" s="529">
        <v>50.0</v>
      </c>
      <c r="F201" s="530" t="s">
        <v>156</v>
      </c>
      <c r="G201" s="528"/>
    </row>
    <row r="202">
      <c r="A202" s="538">
        <v>45669.0</v>
      </c>
      <c r="B202" s="514" t="s">
        <v>2792</v>
      </c>
      <c r="C202" s="539">
        <v>284.0</v>
      </c>
      <c r="D202" s="540" t="s">
        <v>2834</v>
      </c>
      <c r="E202" s="541">
        <v>2.0</v>
      </c>
      <c r="F202" s="542" t="s">
        <v>981</v>
      </c>
      <c r="G202" s="540"/>
    </row>
    <row r="203">
      <c r="A203" s="526">
        <v>45669.0</v>
      </c>
      <c r="B203" s="520" t="s">
        <v>2792</v>
      </c>
      <c r="C203" s="527">
        <v>284.0</v>
      </c>
      <c r="D203" s="528" t="s">
        <v>2905</v>
      </c>
      <c r="E203" s="529">
        <v>20.0</v>
      </c>
      <c r="F203" s="530" t="s">
        <v>156</v>
      </c>
      <c r="G203" s="528"/>
    </row>
    <row r="204">
      <c r="A204" s="533">
        <v>45669.0</v>
      </c>
      <c r="B204" s="514" t="s">
        <v>2792</v>
      </c>
      <c r="C204" s="539">
        <v>284.0</v>
      </c>
      <c r="D204" s="540" t="s">
        <v>2906</v>
      </c>
      <c r="E204" s="541">
        <v>50.0</v>
      </c>
      <c r="F204" s="542" t="s">
        <v>156</v>
      </c>
      <c r="G204" s="540"/>
    </row>
    <row r="205">
      <c r="A205" s="526">
        <v>45669.0</v>
      </c>
      <c r="B205" s="520" t="s">
        <v>2792</v>
      </c>
      <c r="C205" s="527">
        <v>285.0</v>
      </c>
      <c r="D205" s="528" t="s">
        <v>2827</v>
      </c>
      <c r="E205" s="529">
        <v>10.0</v>
      </c>
      <c r="F205" s="530" t="s">
        <v>156</v>
      </c>
      <c r="G205" s="528"/>
    </row>
    <row r="206">
      <c r="A206" s="533">
        <v>45669.0</v>
      </c>
      <c r="B206" s="514" t="s">
        <v>2792</v>
      </c>
      <c r="C206" s="539">
        <v>285.0</v>
      </c>
      <c r="D206" s="516" t="s">
        <v>2828</v>
      </c>
      <c r="E206" s="534">
        <v>20.0</v>
      </c>
      <c r="F206" s="542" t="s">
        <v>156</v>
      </c>
      <c r="G206" s="540"/>
    </row>
    <row r="207">
      <c r="A207" s="526">
        <v>45669.0</v>
      </c>
      <c r="B207" s="520" t="s">
        <v>2792</v>
      </c>
      <c r="C207" s="563">
        <v>285.0</v>
      </c>
      <c r="D207" s="528" t="s">
        <v>408</v>
      </c>
      <c r="E207" s="529">
        <v>5.0</v>
      </c>
      <c r="F207" s="530" t="s">
        <v>2869</v>
      </c>
      <c r="G207" s="528"/>
    </row>
    <row r="208">
      <c r="A208" s="538">
        <v>45669.0</v>
      </c>
      <c r="B208" s="514" t="s">
        <v>2792</v>
      </c>
      <c r="C208" s="515">
        <v>287.0</v>
      </c>
      <c r="D208" s="540" t="s">
        <v>2907</v>
      </c>
      <c r="E208" s="541">
        <v>1.0</v>
      </c>
      <c r="F208" s="542" t="s">
        <v>89</v>
      </c>
      <c r="G208" s="540"/>
    </row>
    <row r="209">
      <c r="A209" s="526">
        <v>45669.0</v>
      </c>
      <c r="B209" s="520" t="s">
        <v>2792</v>
      </c>
      <c r="C209" s="521">
        <v>287.0</v>
      </c>
      <c r="D209" s="528" t="s">
        <v>416</v>
      </c>
      <c r="E209" s="529">
        <v>2.0</v>
      </c>
      <c r="F209" s="530" t="s">
        <v>156</v>
      </c>
      <c r="G209" s="528"/>
    </row>
    <row r="210">
      <c r="A210" s="538">
        <v>45669.0</v>
      </c>
      <c r="B210" s="514" t="s">
        <v>2792</v>
      </c>
      <c r="C210" s="515">
        <v>287.0</v>
      </c>
      <c r="D210" s="540" t="s">
        <v>418</v>
      </c>
      <c r="E210" s="541">
        <v>1.0</v>
      </c>
      <c r="F210" s="542" t="s">
        <v>156</v>
      </c>
      <c r="G210" s="540"/>
    </row>
    <row r="211">
      <c r="A211" s="526">
        <v>45669.0</v>
      </c>
      <c r="B211" s="520" t="s">
        <v>2792</v>
      </c>
      <c r="C211" s="521">
        <v>287.0</v>
      </c>
      <c r="D211" s="545" t="s">
        <v>2908</v>
      </c>
      <c r="E211" s="546">
        <v>1.0</v>
      </c>
      <c r="F211" s="553" t="s">
        <v>156</v>
      </c>
      <c r="G211" s="545"/>
    </row>
    <row r="212">
      <c r="A212" s="549">
        <v>45669.0</v>
      </c>
      <c r="B212" s="514" t="s">
        <v>2792</v>
      </c>
      <c r="C212" s="539">
        <v>288.0</v>
      </c>
      <c r="D212" s="550" t="s">
        <v>2823</v>
      </c>
      <c r="E212" s="561">
        <v>15.0</v>
      </c>
      <c r="F212" s="564" t="s">
        <v>156</v>
      </c>
      <c r="G212" s="550"/>
    </row>
    <row r="213">
      <c r="A213" s="526">
        <v>45669.0</v>
      </c>
      <c r="B213" s="520" t="s">
        <v>2792</v>
      </c>
      <c r="C213" s="527">
        <v>288.0</v>
      </c>
      <c r="D213" s="528" t="s">
        <v>354</v>
      </c>
      <c r="E213" s="529">
        <v>2.0</v>
      </c>
      <c r="F213" s="530" t="s">
        <v>981</v>
      </c>
      <c r="G213" s="528"/>
    </row>
    <row r="214">
      <c r="A214" s="538">
        <v>45669.0</v>
      </c>
      <c r="B214" s="514" t="s">
        <v>2792</v>
      </c>
      <c r="C214" s="515">
        <v>289.0</v>
      </c>
      <c r="D214" s="540" t="s">
        <v>2909</v>
      </c>
      <c r="E214" s="541">
        <v>2.0</v>
      </c>
      <c r="F214" s="542" t="s">
        <v>156</v>
      </c>
      <c r="G214" s="540"/>
    </row>
    <row r="215">
      <c r="A215" s="526">
        <v>45669.0</v>
      </c>
      <c r="B215" s="520" t="s">
        <v>2792</v>
      </c>
      <c r="C215" s="521">
        <v>289.0</v>
      </c>
      <c r="D215" s="528" t="s">
        <v>556</v>
      </c>
      <c r="E215" s="529">
        <v>1.0</v>
      </c>
      <c r="F215" s="530" t="s">
        <v>156</v>
      </c>
      <c r="G215" s="528"/>
    </row>
    <row r="216">
      <c r="A216" s="538">
        <v>45669.0</v>
      </c>
      <c r="B216" s="514" t="s">
        <v>2792</v>
      </c>
      <c r="C216" s="558">
        <v>289.0</v>
      </c>
      <c r="D216" s="540" t="s">
        <v>2893</v>
      </c>
      <c r="E216" s="541">
        <v>1.0</v>
      </c>
      <c r="F216" s="542" t="s">
        <v>156</v>
      </c>
      <c r="G216" s="540"/>
    </row>
    <row r="217">
      <c r="A217" s="526">
        <v>45669.0</v>
      </c>
      <c r="B217" s="520" t="s">
        <v>2792</v>
      </c>
      <c r="C217" s="521">
        <v>289.0</v>
      </c>
      <c r="D217" s="528" t="s">
        <v>2910</v>
      </c>
      <c r="E217" s="529">
        <v>2.0</v>
      </c>
      <c r="F217" s="530" t="s">
        <v>156</v>
      </c>
      <c r="G217" s="528"/>
    </row>
    <row r="218">
      <c r="A218" s="538">
        <v>45669.0</v>
      </c>
      <c r="B218" s="514" t="s">
        <v>2792</v>
      </c>
      <c r="C218" s="515">
        <v>289.0</v>
      </c>
      <c r="D218" s="540" t="s">
        <v>2911</v>
      </c>
      <c r="E218" s="541">
        <v>1.0</v>
      </c>
      <c r="F218" s="542" t="s">
        <v>156</v>
      </c>
      <c r="G218" s="540"/>
    </row>
    <row r="219">
      <c r="A219" s="526">
        <v>45669.0</v>
      </c>
      <c r="B219" s="520" t="s">
        <v>2792</v>
      </c>
      <c r="C219" s="521">
        <v>289.0</v>
      </c>
      <c r="D219" s="528" t="s">
        <v>414</v>
      </c>
      <c r="E219" s="529">
        <v>1.0</v>
      </c>
      <c r="F219" s="530" t="s">
        <v>319</v>
      </c>
      <c r="G219" s="528"/>
    </row>
    <row r="220">
      <c r="A220" s="533">
        <v>45669.0</v>
      </c>
      <c r="B220" s="514" t="s">
        <v>2792</v>
      </c>
      <c r="C220" s="515">
        <v>293.0</v>
      </c>
      <c r="D220" s="516" t="s">
        <v>453</v>
      </c>
      <c r="E220" s="534">
        <v>90.0</v>
      </c>
      <c r="F220" s="518" t="s">
        <v>74</v>
      </c>
      <c r="G220" s="550"/>
    </row>
    <row r="221">
      <c r="A221" s="535">
        <v>45669.0</v>
      </c>
      <c r="B221" s="520" t="s">
        <v>2792</v>
      </c>
      <c r="C221" s="521">
        <v>293.0</v>
      </c>
      <c r="D221" s="522" t="s">
        <v>454</v>
      </c>
      <c r="E221" s="523">
        <v>1.0</v>
      </c>
      <c r="F221" s="524" t="s">
        <v>156</v>
      </c>
      <c r="G221" s="545"/>
    </row>
    <row r="222">
      <c r="A222" s="513">
        <v>45669.0</v>
      </c>
      <c r="B222" s="514" t="s">
        <v>2792</v>
      </c>
      <c r="C222" s="515">
        <v>293.0</v>
      </c>
      <c r="D222" s="525" t="s">
        <v>438</v>
      </c>
      <c r="E222" s="517">
        <v>2.0</v>
      </c>
      <c r="F222" s="518" t="s">
        <v>156</v>
      </c>
      <c r="G222" s="550"/>
    </row>
    <row r="223">
      <c r="A223" s="519">
        <v>45669.0</v>
      </c>
      <c r="B223" s="520" t="s">
        <v>2792</v>
      </c>
      <c r="C223" s="521">
        <v>293.0</v>
      </c>
      <c r="D223" s="522" t="s">
        <v>345</v>
      </c>
      <c r="E223" s="523">
        <v>2.0</v>
      </c>
      <c r="F223" s="524" t="s">
        <v>156</v>
      </c>
      <c r="G223" s="545"/>
    </row>
    <row r="224">
      <c r="A224" s="533">
        <v>45669.0</v>
      </c>
      <c r="B224" s="514" t="s">
        <v>2792</v>
      </c>
      <c r="C224" s="515">
        <v>293.0</v>
      </c>
      <c r="D224" s="525" t="s">
        <v>279</v>
      </c>
      <c r="E224" s="517">
        <v>2.0</v>
      </c>
      <c r="F224" s="518" t="s">
        <v>156</v>
      </c>
      <c r="G224" s="550"/>
    </row>
    <row r="225">
      <c r="A225" s="526">
        <v>45669.0</v>
      </c>
      <c r="B225" s="520" t="s">
        <v>2792</v>
      </c>
      <c r="C225" s="527">
        <v>293.0</v>
      </c>
      <c r="D225" s="528" t="s">
        <v>354</v>
      </c>
      <c r="E225" s="529">
        <v>1.0</v>
      </c>
      <c r="F225" s="530" t="s">
        <v>981</v>
      </c>
      <c r="G225" s="528"/>
    </row>
    <row r="226">
      <c r="A226" s="533">
        <v>45669.0</v>
      </c>
      <c r="B226" s="514" t="s">
        <v>2792</v>
      </c>
      <c r="C226" s="539">
        <v>293.0</v>
      </c>
      <c r="D226" s="516" t="s">
        <v>2912</v>
      </c>
      <c r="E226" s="534">
        <v>2.0</v>
      </c>
      <c r="F226" s="542" t="s">
        <v>156</v>
      </c>
      <c r="G226" s="540"/>
    </row>
    <row r="227">
      <c r="A227" s="535">
        <v>45669.0</v>
      </c>
      <c r="B227" s="520" t="s">
        <v>2792</v>
      </c>
      <c r="C227" s="527">
        <v>293.0</v>
      </c>
      <c r="D227" s="536" t="s">
        <v>782</v>
      </c>
      <c r="E227" s="537">
        <v>2.0</v>
      </c>
      <c r="F227" s="530" t="s">
        <v>156</v>
      </c>
      <c r="G227" s="528"/>
    </row>
    <row r="228">
      <c r="A228" s="533">
        <v>45669.0</v>
      </c>
      <c r="B228" s="514" t="s">
        <v>2792</v>
      </c>
      <c r="C228" s="539">
        <v>293.0</v>
      </c>
      <c r="D228" s="516" t="s">
        <v>2913</v>
      </c>
      <c r="E228" s="534">
        <v>2.0</v>
      </c>
      <c r="F228" s="542" t="s">
        <v>156</v>
      </c>
      <c r="G228" s="540"/>
    </row>
    <row r="229">
      <c r="A229" s="535">
        <v>45669.0</v>
      </c>
      <c r="B229" s="520" t="s">
        <v>2792</v>
      </c>
      <c r="C229" s="527">
        <v>293.0</v>
      </c>
      <c r="D229" s="536" t="s">
        <v>2914</v>
      </c>
      <c r="E229" s="537">
        <v>2.0</v>
      </c>
      <c r="F229" s="530" t="s">
        <v>156</v>
      </c>
      <c r="G229" s="528"/>
    </row>
    <row r="230">
      <c r="A230" s="538">
        <v>45677.0</v>
      </c>
      <c r="B230" s="514" t="s">
        <v>2792</v>
      </c>
      <c r="C230" s="515">
        <v>294.0</v>
      </c>
      <c r="D230" s="540" t="s">
        <v>352</v>
      </c>
      <c r="E230" s="541">
        <v>5.0</v>
      </c>
      <c r="F230" s="542" t="s">
        <v>34</v>
      </c>
      <c r="G230" s="540"/>
    </row>
    <row r="231">
      <c r="A231" s="526">
        <v>45677.0</v>
      </c>
      <c r="B231" s="520" t="s">
        <v>2792</v>
      </c>
      <c r="C231" s="521">
        <v>294.0</v>
      </c>
      <c r="D231" s="528" t="s">
        <v>2915</v>
      </c>
      <c r="E231" s="529">
        <v>5.0</v>
      </c>
      <c r="F231" s="530" t="s">
        <v>34</v>
      </c>
      <c r="G231" s="528"/>
    </row>
    <row r="232">
      <c r="A232" s="538">
        <v>45677.0</v>
      </c>
      <c r="B232" s="514" t="s">
        <v>2792</v>
      </c>
      <c r="C232" s="539">
        <v>294.0</v>
      </c>
      <c r="D232" s="540" t="s">
        <v>2862</v>
      </c>
      <c r="E232" s="541">
        <v>1.0</v>
      </c>
      <c r="F232" s="542" t="s">
        <v>156</v>
      </c>
      <c r="G232" s="540"/>
    </row>
    <row r="233">
      <c r="A233" s="535">
        <v>45677.0</v>
      </c>
      <c r="B233" s="520" t="s">
        <v>2792</v>
      </c>
      <c r="C233" s="527">
        <v>294.0</v>
      </c>
      <c r="D233" s="536" t="s">
        <v>2916</v>
      </c>
      <c r="E233" s="537">
        <v>3.0</v>
      </c>
      <c r="F233" s="530" t="s">
        <v>156</v>
      </c>
      <c r="G233" s="528"/>
    </row>
    <row r="234">
      <c r="A234" s="538">
        <v>45677.0</v>
      </c>
      <c r="B234" s="514" t="s">
        <v>2792</v>
      </c>
      <c r="C234" s="539">
        <v>294.0</v>
      </c>
      <c r="D234" s="540" t="s">
        <v>2917</v>
      </c>
      <c r="E234" s="541">
        <v>2.0</v>
      </c>
      <c r="F234" s="542" t="s">
        <v>156</v>
      </c>
      <c r="G234" s="540"/>
    </row>
    <row r="235">
      <c r="A235" s="526">
        <v>45677.0</v>
      </c>
      <c r="B235" s="520" t="s">
        <v>2792</v>
      </c>
      <c r="C235" s="563">
        <v>294.0</v>
      </c>
      <c r="D235" s="528" t="s">
        <v>461</v>
      </c>
      <c r="E235" s="529">
        <v>10.0</v>
      </c>
      <c r="F235" s="530" t="s">
        <v>156</v>
      </c>
      <c r="G235" s="528"/>
    </row>
    <row r="236">
      <c r="A236" s="513">
        <v>45678.0</v>
      </c>
      <c r="B236" s="514" t="s">
        <v>2792</v>
      </c>
      <c r="C236" s="515">
        <v>604.0</v>
      </c>
      <c r="D236" s="525" t="s">
        <v>512</v>
      </c>
      <c r="E236" s="517">
        <v>3.0</v>
      </c>
      <c r="F236" s="518" t="s">
        <v>156</v>
      </c>
      <c r="G236" s="550"/>
    </row>
    <row r="237">
      <c r="A237" s="526">
        <v>45680.0</v>
      </c>
      <c r="B237" s="520" t="s">
        <v>2792</v>
      </c>
      <c r="C237" s="521">
        <v>295.0</v>
      </c>
      <c r="D237" s="528" t="s">
        <v>2918</v>
      </c>
      <c r="E237" s="529">
        <v>1.0</v>
      </c>
      <c r="F237" s="530" t="s">
        <v>39</v>
      </c>
      <c r="G237" s="528"/>
    </row>
    <row r="238">
      <c r="A238" s="538">
        <v>45680.0</v>
      </c>
      <c r="B238" s="514" t="s">
        <v>2792</v>
      </c>
      <c r="C238" s="515">
        <v>295.0</v>
      </c>
      <c r="D238" s="540" t="s">
        <v>459</v>
      </c>
      <c r="E238" s="541">
        <v>3.0</v>
      </c>
      <c r="F238" s="542" t="s">
        <v>34</v>
      </c>
      <c r="G238" s="540"/>
    </row>
    <row r="239">
      <c r="A239" s="526">
        <v>45680.0</v>
      </c>
      <c r="B239" s="520" t="s">
        <v>2792</v>
      </c>
      <c r="C239" s="521">
        <v>295.0</v>
      </c>
      <c r="D239" s="528" t="s">
        <v>2919</v>
      </c>
      <c r="E239" s="529">
        <v>13.0</v>
      </c>
      <c r="F239" s="530" t="s">
        <v>156</v>
      </c>
      <c r="G239" s="528"/>
    </row>
    <row r="240">
      <c r="A240" s="538">
        <v>45680.0</v>
      </c>
      <c r="B240" s="514" t="s">
        <v>2792</v>
      </c>
      <c r="C240" s="515">
        <v>295.0</v>
      </c>
      <c r="D240" s="540" t="s">
        <v>2920</v>
      </c>
      <c r="E240" s="541">
        <v>13.0</v>
      </c>
      <c r="F240" s="542" t="s">
        <v>156</v>
      </c>
      <c r="G240" s="540"/>
    </row>
    <row r="241">
      <c r="A241" s="526">
        <v>45680.0</v>
      </c>
      <c r="B241" s="520" t="s">
        <v>2792</v>
      </c>
      <c r="C241" s="521">
        <v>295.0</v>
      </c>
      <c r="D241" s="528" t="s">
        <v>2832</v>
      </c>
      <c r="E241" s="529">
        <v>10.0</v>
      </c>
      <c r="F241" s="530" t="s">
        <v>156</v>
      </c>
      <c r="G241" s="528"/>
    </row>
    <row r="242">
      <c r="A242" s="538">
        <v>45680.0</v>
      </c>
      <c r="B242" s="514" t="s">
        <v>2792</v>
      </c>
      <c r="C242" s="515">
        <v>295.0</v>
      </c>
      <c r="D242" s="540" t="s">
        <v>2921</v>
      </c>
      <c r="E242" s="541">
        <v>39.0</v>
      </c>
      <c r="F242" s="542" t="s">
        <v>156</v>
      </c>
      <c r="G242" s="540"/>
    </row>
    <row r="243">
      <c r="A243" s="526">
        <v>45680.0</v>
      </c>
      <c r="B243" s="520" t="s">
        <v>2792</v>
      </c>
      <c r="C243" s="521">
        <v>295.0</v>
      </c>
      <c r="D243" s="528" t="s">
        <v>2922</v>
      </c>
      <c r="E243" s="529">
        <v>28.0</v>
      </c>
      <c r="F243" s="530" t="s">
        <v>156</v>
      </c>
      <c r="G243" s="528"/>
    </row>
    <row r="244">
      <c r="A244" s="538">
        <v>45680.0</v>
      </c>
      <c r="B244" s="514" t="s">
        <v>2792</v>
      </c>
      <c r="C244" s="515">
        <v>295.0</v>
      </c>
      <c r="D244" s="540" t="s">
        <v>2923</v>
      </c>
      <c r="E244" s="541">
        <v>16.0</v>
      </c>
      <c r="F244" s="542" t="s">
        <v>156</v>
      </c>
      <c r="G244" s="540"/>
    </row>
    <row r="245">
      <c r="A245" s="519">
        <v>45680.0</v>
      </c>
      <c r="B245" s="520" t="s">
        <v>2792</v>
      </c>
      <c r="C245" s="521">
        <v>296.0</v>
      </c>
      <c r="D245" s="522" t="s">
        <v>2924</v>
      </c>
      <c r="E245" s="523">
        <v>3.0</v>
      </c>
      <c r="F245" s="524" t="s">
        <v>156</v>
      </c>
      <c r="G245" s="545"/>
    </row>
    <row r="246">
      <c r="A246" s="513">
        <v>45680.0</v>
      </c>
      <c r="B246" s="514" t="s">
        <v>2792</v>
      </c>
      <c r="C246" s="515">
        <v>296.0</v>
      </c>
      <c r="D246" s="525" t="s">
        <v>275</v>
      </c>
      <c r="E246" s="517">
        <v>630.0</v>
      </c>
      <c r="F246" s="518" t="s">
        <v>74</v>
      </c>
      <c r="G246" s="550"/>
    </row>
    <row r="247">
      <c r="A247" s="519">
        <v>45680.0</v>
      </c>
      <c r="B247" s="520" t="s">
        <v>2792</v>
      </c>
      <c r="C247" s="521">
        <v>296.0</v>
      </c>
      <c r="D247" s="522" t="s">
        <v>478</v>
      </c>
      <c r="E247" s="523">
        <v>200.0</v>
      </c>
      <c r="F247" s="524" t="s">
        <v>156</v>
      </c>
      <c r="G247" s="545"/>
    </row>
    <row r="248">
      <c r="A248" s="513">
        <v>45680.0</v>
      </c>
      <c r="B248" s="514" t="s">
        <v>2792</v>
      </c>
      <c r="C248" s="515">
        <v>296.0</v>
      </c>
      <c r="D248" s="525" t="s">
        <v>479</v>
      </c>
      <c r="E248" s="517">
        <v>200.0</v>
      </c>
      <c r="F248" s="518" t="s">
        <v>156</v>
      </c>
      <c r="G248" s="550"/>
    </row>
    <row r="249">
      <c r="A249" s="519">
        <v>45680.0</v>
      </c>
      <c r="B249" s="520" t="s">
        <v>2792</v>
      </c>
      <c r="C249" s="521">
        <v>296.0</v>
      </c>
      <c r="D249" s="522" t="s">
        <v>288</v>
      </c>
      <c r="E249" s="523">
        <v>50.0</v>
      </c>
      <c r="F249" s="524" t="s">
        <v>156</v>
      </c>
      <c r="G249" s="545"/>
    </row>
    <row r="250">
      <c r="A250" s="513">
        <v>45680.0</v>
      </c>
      <c r="B250" s="514" t="s">
        <v>2792</v>
      </c>
      <c r="C250" s="515">
        <v>296.0</v>
      </c>
      <c r="D250" s="525" t="s">
        <v>485</v>
      </c>
      <c r="E250" s="517">
        <v>8.0</v>
      </c>
      <c r="F250" s="518" t="s">
        <v>156</v>
      </c>
      <c r="G250" s="550"/>
    </row>
    <row r="251">
      <c r="A251" s="519">
        <v>45680.0</v>
      </c>
      <c r="B251" s="520" t="s">
        <v>2792</v>
      </c>
      <c r="C251" s="521">
        <v>296.0</v>
      </c>
      <c r="D251" s="522" t="s">
        <v>284</v>
      </c>
      <c r="E251" s="523">
        <v>8.0</v>
      </c>
      <c r="F251" s="524" t="s">
        <v>156</v>
      </c>
      <c r="G251" s="545"/>
    </row>
    <row r="252">
      <c r="A252" s="513">
        <v>45680.0</v>
      </c>
      <c r="B252" s="514" t="s">
        <v>2792</v>
      </c>
      <c r="C252" s="515">
        <v>296.0</v>
      </c>
      <c r="D252" s="525" t="s">
        <v>477</v>
      </c>
      <c r="E252" s="517">
        <v>2.0</v>
      </c>
      <c r="F252" s="518" t="s">
        <v>156</v>
      </c>
      <c r="G252" s="550"/>
    </row>
    <row r="253">
      <c r="A253" s="519">
        <v>45680.0</v>
      </c>
      <c r="B253" s="520" t="s">
        <v>2792</v>
      </c>
      <c r="C253" s="521">
        <v>296.0</v>
      </c>
      <c r="D253" s="522" t="s">
        <v>2925</v>
      </c>
      <c r="E253" s="523">
        <v>3.0</v>
      </c>
      <c r="F253" s="524" t="s">
        <v>156</v>
      </c>
      <c r="G253" s="545"/>
    </row>
    <row r="254">
      <c r="A254" s="513">
        <v>45680.0</v>
      </c>
      <c r="B254" s="514" t="s">
        <v>2792</v>
      </c>
      <c r="C254" s="515">
        <v>296.0</v>
      </c>
      <c r="D254" s="525" t="s">
        <v>2926</v>
      </c>
      <c r="E254" s="517">
        <v>3.0</v>
      </c>
      <c r="F254" s="518" t="s">
        <v>2927</v>
      </c>
      <c r="G254" s="550"/>
    </row>
    <row r="255">
      <c r="A255" s="519">
        <v>45680.0</v>
      </c>
      <c r="B255" s="520" t="s">
        <v>2792</v>
      </c>
      <c r="C255" s="521">
        <v>296.0</v>
      </c>
      <c r="D255" s="522" t="s">
        <v>279</v>
      </c>
      <c r="E255" s="523">
        <v>100.0</v>
      </c>
      <c r="F255" s="524" t="s">
        <v>156</v>
      </c>
      <c r="G255" s="545"/>
    </row>
    <row r="256">
      <c r="A256" s="538">
        <v>45680.0</v>
      </c>
      <c r="B256" s="514" t="s">
        <v>2792</v>
      </c>
      <c r="C256" s="515">
        <v>296.0</v>
      </c>
      <c r="D256" s="540" t="s">
        <v>2928</v>
      </c>
      <c r="E256" s="541">
        <v>1.0</v>
      </c>
      <c r="F256" s="542" t="s">
        <v>39</v>
      </c>
      <c r="G256" s="540"/>
    </row>
    <row r="257">
      <c r="A257" s="526">
        <v>45680.0</v>
      </c>
      <c r="B257" s="520" t="s">
        <v>2792</v>
      </c>
      <c r="C257" s="527">
        <v>296.0</v>
      </c>
      <c r="D257" s="528" t="s">
        <v>85</v>
      </c>
      <c r="E257" s="529">
        <v>1.0</v>
      </c>
      <c r="F257" s="530" t="s">
        <v>156</v>
      </c>
      <c r="G257" s="528"/>
    </row>
    <row r="258">
      <c r="A258" s="538">
        <v>45680.0</v>
      </c>
      <c r="B258" s="514" t="s">
        <v>2792</v>
      </c>
      <c r="C258" s="539">
        <v>296.0</v>
      </c>
      <c r="D258" s="540" t="s">
        <v>2858</v>
      </c>
      <c r="E258" s="541">
        <v>1.0</v>
      </c>
      <c r="F258" s="542" t="s">
        <v>156</v>
      </c>
      <c r="G258" s="540"/>
    </row>
    <row r="259">
      <c r="A259" s="526">
        <v>45680.0</v>
      </c>
      <c r="B259" s="520" t="s">
        <v>2792</v>
      </c>
      <c r="C259" s="527">
        <v>296.0</v>
      </c>
      <c r="D259" s="528" t="s">
        <v>2929</v>
      </c>
      <c r="E259" s="529">
        <v>1.0</v>
      </c>
      <c r="F259" s="530" t="s">
        <v>156</v>
      </c>
      <c r="G259" s="528"/>
    </row>
    <row r="260">
      <c r="A260" s="513">
        <v>45680.0</v>
      </c>
      <c r="B260" s="514" t="s">
        <v>2792</v>
      </c>
      <c r="C260" s="515">
        <v>297.0</v>
      </c>
      <c r="D260" s="525" t="s">
        <v>487</v>
      </c>
      <c r="E260" s="517">
        <v>35.0</v>
      </c>
      <c r="F260" s="518" t="s">
        <v>156</v>
      </c>
      <c r="G260" s="550"/>
    </row>
    <row r="261">
      <c r="A261" s="519">
        <v>45680.0</v>
      </c>
      <c r="B261" s="520" t="s">
        <v>2792</v>
      </c>
      <c r="C261" s="521">
        <v>297.0</v>
      </c>
      <c r="D261" s="522" t="s">
        <v>488</v>
      </c>
      <c r="E261" s="523">
        <v>25.0</v>
      </c>
      <c r="F261" s="524" t="s">
        <v>156</v>
      </c>
      <c r="G261" s="545"/>
    </row>
    <row r="262">
      <c r="A262" s="513">
        <v>45680.0</v>
      </c>
      <c r="B262" s="514" t="s">
        <v>2792</v>
      </c>
      <c r="C262" s="515">
        <v>297.0</v>
      </c>
      <c r="D262" s="525" t="s">
        <v>489</v>
      </c>
      <c r="E262" s="517">
        <v>10.0</v>
      </c>
      <c r="F262" s="518" t="s">
        <v>39</v>
      </c>
      <c r="G262" s="550"/>
    </row>
    <row r="263">
      <c r="A263" s="519">
        <v>45680.0</v>
      </c>
      <c r="B263" s="520" t="s">
        <v>2792</v>
      </c>
      <c r="C263" s="521">
        <v>297.0</v>
      </c>
      <c r="D263" s="522" t="s">
        <v>494</v>
      </c>
      <c r="E263" s="523">
        <v>11.0</v>
      </c>
      <c r="F263" s="524" t="s">
        <v>156</v>
      </c>
      <c r="G263" s="545"/>
    </row>
    <row r="264">
      <c r="A264" s="513">
        <v>45680.0</v>
      </c>
      <c r="B264" s="514" t="s">
        <v>2792</v>
      </c>
      <c r="C264" s="515">
        <v>297.0</v>
      </c>
      <c r="D264" s="525" t="s">
        <v>490</v>
      </c>
      <c r="E264" s="517">
        <v>270.0</v>
      </c>
      <c r="F264" s="518" t="s">
        <v>74</v>
      </c>
      <c r="G264" s="550"/>
    </row>
    <row r="265">
      <c r="A265" s="519">
        <v>45680.0</v>
      </c>
      <c r="B265" s="520" t="s">
        <v>2792</v>
      </c>
      <c r="C265" s="521">
        <v>297.0</v>
      </c>
      <c r="D265" s="522" t="s">
        <v>275</v>
      </c>
      <c r="E265" s="523">
        <v>270.0</v>
      </c>
      <c r="F265" s="524" t="s">
        <v>74</v>
      </c>
      <c r="G265" s="545"/>
    </row>
    <row r="266">
      <c r="A266" s="513">
        <v>45680.0</v>
      </c>
      <c r="B266" s="514" t="s">
        <v>2792</v>
      </c>
      <c r="C266" s="515">
        <v>297.0</v>
      </c>
      <c r="D266" s="525" t="s">
        <v>500</v>
      </c>
      <c r="E266" s="573">
        <v>1.0</v>
      </c>
      <c r="F266" s="518" t="s">
        <v>156</v>
      </c>
      <c r="G266" s="550"/>
    </row>
    <row r="267">
      <c r="A267" s="519">
        <v>45680.0</v>
      </c>
      <c r="B267" s="520" t="s">
        <v>2792</v>
      </c>
      <c r="C267" s="521">
        <v>297.0</v>
      </c>
      <c r="D267" s="522" t="s">
        <v>2930</v>
      </c>
      <c r="E267" s="523">
        <v>2.0</v>
      </c>
      <c r="F267" s="524" t="s">
        <v>156</v>
      </c>
      <c r="G267" s="545"/>
    </row>
    <row r="268">
      <c r="A268" s="513">
        <v>45680.0</v>
      </c>
      <c r="B268" s="514" t="s">
        <v>2792</v>
      </c>
      <c r="C268" s="515">
        <v>297.0</v>
      </c>
      <c r="D268" s="525" t="s">
        <v>2931</v>
      </c>
      <c r="E268" s="517">
        <v>2.0</v>
      </c>
      <c r="F268" s="518" t="s">
        <v>156</v>
      </c>
      <c r="G268" s="550"/>
    </row>
    <row r="269">
      <c r="A269" s="519">
        <v>45680.0</v>
      </c>
      <c r="B269" s="520" t="s">
        <v>2792</v>
      </c>
      <c r="C269" s="521">
        <v>297.0</v>
      </c>
      <c r="D269" s="522" t="s">
        <v>2932</v>
      </c>
      <c r="E269" s="523">
        <v>2.0</v>
      </c>
      <c r="F269" s="524" t="s">
        <v>156</v>
      </c>
      <c r="G269" s="545"/>
    </row>
    <row r="270">
      <c r="A270" s="513">
        <v>45680.0</v>
      </c>
      <c r="B270" s="514" t="s">
        <v>2792</v>
      </c>
      <c r="C270" s="515">
        <v>297.0</v>
      </c>
      <c r="D270" s="525" t="s">
        <v>2933</v>
      </c>
      <c r="E270" s="517">
        <v>2.0</v>
      </c>
      <c r="F270" s="518" t="s">
        <v>156</v>
      </c>
      <c r="G270" s="550"/>
    </row>
    <row r="271">
      <c r="A271" s="519">
        <v>45680.0</v>
      </c>
      <c r="B271" s="520" t="s">
        <v>2792</v>
      </c>
      <c r="C271" s="521">
        <v>297.0</v>
      </c>
      <c r="D271" s="522" t="s">
        <v>491</v>
      </c>
      <c r="E271" s="523">
        <v>11.0</v>
      </c>
      <c r="F271" s="524" t="s">
        <v>156</v>
      </c>
      <c r="G271" s="545"/>
    </row>
    <row r="272">
      <c r="A272" s="513">
        <v>45680.0</v>
      </c>
      <c r="B272" s="514" t="s">
        <v>2792</v>
      </c>
      <c r="C272" s="515">
        <v>297.0</v>
      </c>
      <c r="D272" s="525" t="s">
        <v>495</v>
      </c>
      <c r="E272" s="573">
        <v>15.0</v>
      </c>
      <c r="F272" s="518" t="s">
        <v>156</v>
      </c>
      <c r="G272" s="550"/>
    </row>
    <row r="273">
      <c r="A273" s="519">
        <v>45680.0</v>
      </c>
      <c r="B273" s="520" t="s">
        <v>2792</v>
      </c>
      <c r="C273" s="521">
        <v>298.0</v>
      </c>
      <c r="D273" s="522" t="s">
        <v>2934</v>
      </c>
      <c r="E273" s="523">
        <v>1.0</v>
      </c>
      <c r="F273" s="524" t="s">
        <v>156</v>
      </c>
      <c r="G273" s="545"/>
    </row>
    <row r="274">
      <c r="A274" s="513">
        <v>45680.0</v>
      </c>
      <c r="B274" s="514" t="s">
        <v>2792</v>
      </c>
      <c r="C274" s="515">
        <v>298.0</v>
      </c>
      <c r="D274" s="525" t="s">
        <v>502</v>
      </c>
      <c r="E274" s="517">
        <v>1.0</v>
      </c>
      <c r="F274" s="518" t="s">
        <v>156</v>
      </c>
      <c r="G274" s="550"/>
    </row>
    <row r="275">
      <c r="A275" s="519">
        <v>45680.0</v>
      </c>
      <c r="B275" s="520" t="s">
        <v>2792</v>
      </c>
      <c r="C275" s="521">
        <v>298.0</v>
      </c>
      <c r="D275" s="522" t="s">
        <v>2935</v>
      </c>
      <c r="E275" s="523">
        <v>15.0</v>
      </c>
      <c r="F275" s="524" t="s">
        <v>156</v>
      </c>
      <c r="G275" s="545"/>
    </row>
    <row r="276">
      <c r="A276" s="513">
        <v>45680.0</v>
      </c>
      <c r="B276" s="514" t="s">
        <v>2792</v>
      </c>
      <c r="C276" s="515">
        <v>298.0</v>
      </c>
      <c r="D276" s="525" t="s">
        <v>288</v>
      </c>
      <c r="E276" s="517">
        <v>10.0</v>
      </c>
      <c r="F276" s="518" t="s">
        <v>156</v>
      </c>
      <c r="G276" s="550"/>
    </row>
    <row r="277">
      <c r="A277" s="519">
        <v>45680.0</v>
      </c>
      <c r="B277" s="520" t="s">
        <v>2792</v>
      </c>
      <c r="C277" s="521">
        <v>298.0</v>
      </c>
      <c r="D277" s="522" t="s">
        <v>512</v>
      </c>
      <c r="E277" s="523">
        <v>8.0</v>
      </c>
      <c r="F277" s="524" t="s">
        <v>156</v>
      </c>
      <c r="G277" s="545"/>
    </row>
    <row r="278">
      <c r="A278" s="513">
        <v>45680.0</v>
      </c>
      <c r="B278" s="514" t="s">
        <v>2792</v>
      </c>
      <c r="C278" s="515">
        <v>298.0</v>
      </c>
      <c r="D278" s="525" t="s">
        <v>506</v>
      </c>
      <c r="E278" s="517">
        <v>1.0</v>
      </c>
      <c r="F278" s="518" t="s">
        <v>156</v>
      </c>
      <c r="G278" s="550"/>
    </row>
    <row r="279">
      <c r="A279" s="526">
        <v>45680.0</v>
      </c>
      <c r="B279" s="520" t="s">
        <v>2792</v>
      </c>
      <c r="C279" s="521">
        <v>298.0</v>
      </c>
      <c r="D279" s="528" t="s">
        <v>2928</v>
      </c>
      <c r="E279" s="529">
        <v>2.0</v>
      </c>
      <c r="F279" s="530" t="s">
        <v>39</v>
      </c>
      <c r="G279" s="528"/>
    </row>
    <row r="280">
      <c r="A280" s="538">
        <v>45680.0</v>
      </c>
      <c r="B280" s="514" t="s">
        <v>2792</v>
      </c>
      <c r="C280" s="515">
        <v>298.0</v>
      </c>
      <c r="D280" s="540" t="s">
        <v>1012</v>
      </c>
      <c r="E280" s="541">
        <v>1.0</v>
      </c>
      <c r="F280" s="542" t="s">
        <v>156</v>
      </c>
      <c r="G280" s="540"/>
    </row>
    <row r="281">
      <c r="A281" s="535">
        <v>45680.0</v>
      </c>
      <c r="B281" s="520" t="s">
        <v>2792</v>
      </c>
      <c r="C281" s="521">
        <v>298.0</v>
      </c>
      <c r="D281" s="536" t="s">
        <v>1262</v>
      </c>
      <c r="E281" s="537">
        <v>5.0</v>
      </c>
      <c r="F281" s="530" t="s">
        <v>156</v>
      </c>
      <c r="G281" s="528"/>
    </row>
    <row r="282">
      <c r="A282" s="538">
        <v>45680.0</v>
      </c>
      <c r="B282" s="514" t="s">
        <v>2792</v>
      </c>
      <c r="C282" s="539">
        <v>298.0</v>
      </c>
      <c r="D282" s="540" t="s">
        <v>97</v>
      </c>
      <c r="E282" s="541">
        <v>1.0</v>
      </c>
      <c r="F282" s="542" t="s">
        <v>981</v>
      </c>
      <c r="G282" s="540"/>
    </row>
    <row r="283">
      <c r="A283" s="526">
        <v>45680.0</v>
      </c>
      <c r="B283" s="520" t="s">
        <v>2792</v>
      </c>
      <c r="C283" s="527">
        <v>298.0</v>
      </c>
      <c r="D283" s="528" t="s">
        <v>2936</v>
      </c>
      <c r="E283" s="529">
        <v>1.0</v>
      </c>
      <c r="F283" s="530" t="s">
        <v>1622</v>
      </c>
      <c r="G283" s="528"/>
    </row>
    <row r="284">
      <c r="A284" s="538">
        <v>45680.0</v>
      </c>
      <c r="B284" s="514" t="s">
        <v>2792</v>
      </c>
      <c r="C284" s="539">
        <v>298.0</v>
      </c>
      <c r="D284" s="540" t="s">
        <v>492</v>
      </c>
      <c r="E284" s="541">
        <v>5.0</v>
      </c>
      <c r="F284" s="542" t="s">
        <v>1622</v>
      </c>
      <c r="G284" s="540"/>
    </row>
    <row r="285">
      <c r="A285" s="526">
        <v>45680.0</v>
      </c>
      <c r="B285" s="520" t="s">
        <v>2792</v>
      </c>
      <c r="C285" s="527">
        <v>298.0</v>
      </c>
      <c r="D285" s="528" t="s">
        <v>2937</v>
      </c>
      <c r="E285" s="529">
        <v>90.0</v>
      </c>
      <c r="F285" s="530" t="s">
        <v>1622</v>
      </c>
      <c r="G285" s="528"/>
    </row>
    <row r="286">
      <c r="A286" s="513">
        <v>45680.0</v>
      </c>
      <c r="B286" s="514" t="s">
        <v>2792</v>
      </c>
      <c r="C286" s="515">
        <v>299.0</v>
      </c>
      <c r="D286" s="525" t="s">
        <v>483</v>
      </c>
      <c r="E286" s="573">
        <v>1.0</v>
      </c>
      <c r="F286" s="518" t="s">
        <v>156</v>
      </c>
      <c r="G286" s="550"/>
    </row>
    <row r="287">
      <c r="A287" s="526">
        <v>45680.0</v>
      </c>
      <c r="B287" s="520" t="s">
        <v>2792</v>
      </c>
      <c r="C287" s="527">
        <v>300.0</v>
      </c>
      <c r="D287" s="528" t="s">
        <v>421</v>
      </c>
      <c r="E287" s="529">
        <v>2.0</v>
      </c>
      <c r="F287" s="530" t="s">
        <v>981</v>
      </c>
      <c r="G287" s="528"/>
    </row>
    <row r="288">
      <c r="A288" s="513">
        <v>45681.0</v>
      </c>
      <c r="B288" s="514" t="s">
        <v>2792</v>
      </c>
      <c r="C288" s="515">
        <v>604.0</v>
      </c>
      <c r="D288" s="525" t="s">
        <v>510</v>
      </c>
      <c r="E288" s="517">
        <v>1.0</v>
      </c>
      <c r="F288" s="518" t="s">
        <v>156</v>
      </c>
      <c r="G288" s="550"/>
    </row>
    <row r="289">
      <c r="A289" s="535">
        <v>45683.0</v>
      </c>
      <c r="B289" s="520" t="s">
        <v>2792</v>
      </c>
      <c r="C289" s="521">
        <v>601.0</v>
      </c>
      <c r="D289" s="536" t="s">
        <v>2938</v>
      </c>
      <c r="E289" s="537">
        <v>20.0</v>
      </c>
      <c r="F289" s="524" t="s">
        <v>156</v>
      </c>
      <c r="G289" s="545"/>
    </row>
    <row r="290">
      <c r="A290" s="533">
        <v>45683.0</v>
      </c>
      <c r="B290" s="514" t="s">
        <v>2792</v>
      </c>
      <c r="C290" s="515">
        <v>601.0</v>
      </c>
      <c r="D290" s="516" t="s">
        <v>2939</v>
      </c>
      <c r="E290" s="534">
        <v>25.0</v>
      </c>
      <c r="F290" s="518" t="s">
        <v>156</v>
      </c>
      <c r="G290" s="550"/>
    </row>
    <row r="291">
      <c r="A291" s="526">
        <v>45683.0</v>
      </c>
      <c r="B291" s="520" t="s">
        <v>2792</v>
      </c>
      <c r="C291" s="521">
        <v>601.0</v>
      </c>
      <c r="D291" s="528" t="s">
        <v>350</v>
      </c>
      <c r="E291" s="529">
        <v>50.0</v>
      </c>
      <c r="F291" s="530" t="s">
        <v>34</v>
      </c>
      <c r="G291" s="528"/>
    </row>
    <row r="292">
      <c r="A292" s="549">
        <v>45685.0</v>
      </c>
      <c r="B292" s="514" t="s">
        <v>2792</v>
      </c>
      <c r="C292" s="515">
        <v>601.0</v>
      </c>
      <c r="D292" s="550" t="s">
        <v>2940</v>
      </c>
      <c r="E292" s="561">
        <v>200.0</v>
      </c>
      <c r="F292" s="542" t="s">
        <v>156</v>
      </c>
      <c r="G292" s="540"/>
    </row>
    <row r="293">
      <c r="A293" s="532">
        <v>45685.0</v>
      </c>
      <c r="B293" s="520" t="s">
        <v>2792</v>
      </c>
      <c r="C293" s="527">
        <v>601.0</v>
      </c>
      <c r="D293" s="545" t="s">
        <v>2941</v>
      </c>
      <c r="E293" s="546">
        <v>1.0</v>
      </c>
      <c r="F293" s="547" t="s">
        <v>156</v>
      </c>
      <c r="G293" s="528"/>
    </row>
    <row r="294">
      <c r="A294" s="549">
        <v>45685.0</v>
      </c>
      <c r="B294" s="514" t="s">
        <v>2792</v>
      </c>
      <c r="C294" s="539">
        <v>601.0</v>
      </c>
      <c r="D294" s="543" t="s">
        <v>2863</v>
      </c>
      <c r="E294" s="574">
        <v>12.0</v>
      </c>
      <c r="F294" s="575" t="s">
        <v>156</v>
      </c>
      <c r="G294" s="576"/>
    </row>
    <row r="295">
      <c r="A295" s="532">
        <v>45685.0</v>
      </c>
      <c r="B295" s="520" t="s">
        <v>2792</v>
      </c>
      <c r="C295" s="527">
        <v>601.0</v>
      </c>
      <c r="D295" s="531" t="s">
        <v>2921</v>
      </c>
      <c r="E295" s="577">
        <v>20.0</v>
      </c>
      <c r="F295" s="578" t="s">
        <v>156</v>
      </c>
      <c r="G295" s="579"/>
    </row>
    <row r="296">
      <c r="A296" s="549">
        <v>45685.0</v>
      </c>
      <c r="B296" s="514" t="s">
        <v>2792</v>
      </c>
      <c r="C296" s="515">
        <v>602.0</v>
      </c>
      <c r="D296" s="540" t="s">
        <v>2942</v>
      </c>
      <c r="E296" s="561">
        <v>4.0</v>
      </c>
      <c r="F296" s="542" t="s">
        <v>156</v>
      </c>
      <c r="G296" s="540"/>
    </row>
    <row r="297">
      <c r="A297" s="532">
        <v>45685.0</v>
      </c>
      <c r="B297" s="520" t="s">
        <v>2792</v>
      </c>
      <c r="C297" s="521">
        <v>602.0</v>
      </c>
      <c r="D297" s="528" t="s">
        <v>2943</v>
      </c>
      <c r="E297" s="546">
        <v>2.0</v>
      </c>
      <c r="F297" s="530" t="s">
        <v>156</v>
      </c>
      <c r="G297" s="528"/>
    </row>
    <row r="298">
      <c r="A298" s="549">
        <v>45685.0</v>
      </c>
      <c r="B298" s="514" t="s">
        <v>2792</v>
      </c>
      <c r="C298" s="515">
        <v>602.0</v>
      </c>
      <c r="D298" s="540" t="s">
        <v>2944</v>
      </c>
      <c r="E298" s="561">
        <v>10.0</v>
      </c>
      <c r="F298" s="542" t="s">
        <v>156</v>
      </c>
      <c r="G298" s="540"/>
    </row>
    <row r="299">
      <c r="A299" s="526">
        <v>45685.0</v>
      </c>
      <c r="B299" s="520" t="s">
        <v>2792</v>
      </c>
      <c r="C299" s="521">
        <v>602.0</v>
      </c>
      <c r="D299" s="528" t="s">
        <v>2945</v>
      </c>
      <c r="E299" s="529">
        <v>8.0</v>
      </c>
      <c r="F299" s="530" t="s">
        <v>156</v>
      </c>
      <c r="G299" s="528"/>
    </row>
    <row r="300">
      <c r="A300" s="549">
        <v>45685.0</v>
      </c>
      <c r="B300" s="514" t="s">
        <v>2792</v>
      </c>
      <c r="C300" s="515">
        <v>602.0</v>
      </c>
      <c r="D300" s="540" t="s">
        <v>2946</v>
      </c>
      <c r="E300" s="561">
        <v>2.0</v>
      </c>
      <c r="F300" s="542" t="s">
        <v>156</v>
      </c>
      <c r="G300" s="540"/>
    </row>
    <row r="301">
      <c r="A301" s="532">
        <v>45685.0</v>
      </c>
      <c r="B301" s="520" t="s">
        <v>2792</v>
      </c>
      <c r="C301" s="521">
        <v>602.0</v>
      </c>
      <c r="D301" s="545" t="s">
        <v>2947</v>
      </c>
      <c r="E301" s="546">
        <v>2.0</v>
      </c>
      <c r="F301" s="530" t="s">
        <v>156</v>
      </c>
      <c r="G301" s="528"/>
    </row>
    <row r="302">
      <c r="A302" s="538">
        <v>45685.0</v>
      </c>
      <c r="B302" s="514" t="s">
        <v>2792</v>
      </c>
      <c r="C302" s="515">
        <v>602.0</v>
      </c>
      <c r="D302" s="540" t="s">
        <v>764</v>
      </c>
      <c r="E302" s="541">
        <v>26.0</v>
      </c>
      <c r="F302" s="542" t="s">
        <v>156</v>
      </c>
      <c r="G302" s="540"/>
    </row>
    <row r="303">
      <c r="A303" s="526">
        <v>45685.0</v>
      </c>
      <c r="B303" s="520" t="s">
        <v>2792</v>
      </c>
      <c r="C303" s="521">
        <v>602.0</v>
      </c>
      <c r="D303" s="528" t="s">
        <v>2948</v>
      </c>
      <c r="E303" s="529">
        <v>22.0</v>
      </c>
      <c r="F303" s="530" t="s">
        <v>156</v>
      </c>
      <c r="G303" s="528"/>
    </row>
    <row r="304">
      <c r="A304" s="549">
        <v>45685.0</v>
      </c>
      <c r="B304" s="514" t="s">
        <v>2792</v>
      </c>
      <c r="C304" s="539">
        <v>603.0</v>
      </c>
      <c r="D304" s="550" t="s">
        <v>2823</v>
      </c>
      <c r="E304" s="561">
        <v>15.0</v>
      </c>
      <c r="F304" s="564" t="s">
        <v>156</v>
      </c>
      <c r="G304" s="550"/>
    </row>
    <row r="305">
      <c r="A305" s="526">
        <v>45685.0</v>
      </c>
      <c r="B305" s="520" t="s">
        <v>2792</v>
      </c>
      <c r="C305" s="521">
        <v>603.0</v>
      </c>
      <c r="D305" s="528" t="s">
        <v>1262</v>
      </c>
      <c r="E305" s="529">
        <v>5.0</v>
      </c>
      <c r="F305" s="530" t="s">
        <v>156</v>
      </c>
      <c r="G305" s="528"/>
    </row>
    <row r="306">
      <c r="A306" s="538">
        <v>45685.0</v>
      </c>
      <c r="B306" s="514" t="s">
        <v>2792</v>
      </c>
      <c r="C306" s="539">
        <v>603.0</v>
      </c>
      <c r="D306" s="540" t="s">
        <v>2949</v>
      </c>
      <c r="E306" s="541">
        <v>1.0</v>
      </c>
      <c r="F306" s="542" t="s">
        <v>25</v>
      </c>
      <c r="G306" s="540"/>
    </row>
    <row r="307">
      <c r="A307" s="526">
        <v>45685.0</v>
      </c>
      <c r="B307" s="520" t="s">
        <v>2792</v>
      </c>
      <c r="C307" s="527">
        <v>603.0</v>
      </c>
      <c r="D307" s="528" t="s">
        <v>85</v>
      </c>
      <c r="E307" s="529">
        <v>2.0</v>
      </c>
      <c r="F307" s="530" t="s">
        <v>156</v>
      </c>
      <c r="G307" s="528"/>
    </row>
    <row r="308">
      <c r="A308" s="538">
        <v>45685.0</v>
      </c>
      <c r="B308" s="514" t="s">
        <v>2792</v>
      </c>
      <c r="C308" s="539">
        <v>603.0</v>
      </c>
      <c r="D308" s="540" t="s">
        <v>2950</v>
      </c>
      <c r="E308" s="541">
        <v>15.0</v>
      </c>
      <c r="F308" s="542" t="s">
        <v>156</v>
      </c>
      <c r="G308" s="540"/>
    </row>
    <row r="309">
      <c r="A309" s="526">
        <v>45685.0</v>
      </c>
      <c r="B309" s="520" t="s">
        <v>2792</v>
      </c>
      <c r="C309" s="527">
        <v>603.0</v>
      </c>
      <c r="D309" s="528" t="s">
        <v>2951</v>
      </c>
      <c r="E309" s="529">
        <v>16.0</v>
      </c>
      <c r="F309" s="530" t="s">
        <v>156</v>
      </c>
      <c r="G309" s="528"/>
    </row>
    <row r="310">
      <c r="A310" s="538">
        <v>45685.0</v>
      </c>
      <c r="B310" s="514" t="s">
        <v>2792</v>
      </c>
      <c r="C310" s="539">
        <v>603.0</v>
      </c>
      <c r="D310" s="540" t="s">
        <v>2952</v>
      </c>
      <c r="E310" s="541">
        <v>1.0</v>
      </c>
      <c r="F310" s="542" t="s">
        <v>156</v>
      </c>
      <c r="G310" s="540"/>
    </row>
    <row r="311">
      <c r="A311" s="526">
        <v>45685.0</v>
      </c>
      <c r="B311" s="520" t="s">
        <v>2792</v>
      </c>
      <c r="C311" s="527">
        <v>603.0</v>
      </c>
      <c r="D311" s="528" t="s">
        <v>354</v>
      </c>
      <c r="E311" s="529">
        <v>4.0</v>
      </c>
      <c r="F311" s="530" t="s">
        <v>981</v>
      </c>
      <c r="G311" s="528"/>
    </row>
    <row r="312">
      <c r="A312" s="538">
        <v>45685.0</v>
      </c>
      <c r="B312" s="514" t="s">
        <v>2792</v>
      </c>
      <c r="C312" s="539">
        <v>603.0</v>
      </c>
      <c r="D312" s="540" t="s">
        <v>2953</v>
      </c>
      <c r="E312" s="541">
        <v>2.0</v>
      </c>
      <c r="F312" s="542" t="s">
        <v>156</v>
      </c>
      <c r="G312" s="540"/>
    </row>
    <row r="313">
      <c r="A313" s="526">
        <v>45685.0</v>
      </c>
      <c r="B313" s="520" t="s">
        <v>2792</v>
      </c>
      <c r="C313" s="527">
        <v>603.0</v>
      </c>
      <c r="D313" s="528" t="s">
        <v>2954</v>
      </c>
      <c r="E313" s="529">
        <v>14.0</v>
      </c>
      <c r="F313" s="530" t="s">
        <v>156</v>
      </c>
      <c r="G313" s="528"/>
    </row>
    <row r="314">
      <c r="A314" s="533">
        <v>45685.0</v>
      </c>
      <c r="B314" s="514" t="s">
        <v>2792</v>
      </c>
      <c r="C314" s="539">
        <v>603.0</v>
      </c>
      <c r="D314" s="516" t="s">
        <v>2955</v>
      </c>
      <c r="E314" s="534">
        <v>11.0</v>
      </c>
      <c r="F314" s="542" t="s">
        <v>156</v>
      </c>
      <c r="G314" s="540"/>
    </row>
    <row r="315">
      <c r="A315" s="535">
        <v>45685.0</v>
      </c>
      <c r="B315" s="520" t="s">
        <v>2792</v>
      </c>
      <c r="C315" s="527">
        <v>603.0</v>
      </c>
      <c r="D315" s="536" t="s">
        <v>2956</v>
      </c>
      <c r="E315" s="537">
        <v>6.0</v>
      </c>
      <c r="F315" s="530" t="s">
        <v>156</v>
      </c>
      <c r="G315" s="528"/>
    </row>
    <row r="316">
      <c r="A316" s="513">
        <v>45685.0</v>
      </c>
      <c r="B316" s="514" t="s">
        <v>2792</v>
      </c>
      <c r="C316" s="515">
        <v>604.0</v>
      </c>
      <c r="D316" s="525" t="s">
        <v>514</v>
      </c>
      <c r="E316" s="517">
        <v>10.0</v>
      </c>
      <c r="F316" s="518" t="s">
        <v>39</v>
      </c>
      <c r="G316" s="550"/>
    </row>
    <row r="317">
      <c r="A317" s="535">
        <v>45685.0</v>
      </c>
      <c r="B317" s="520" t="s">
        <v>2792</v>
      </c>
      <c r="C317" s="521">
        <v>604.0</v>
      </c>
      <c r="D317" s="536" t="s">
        <v>291</v>
      </c>
      <c r="E317" s="537">
        <v>1.0</v>
      </c>
      <c r="F317" s="524" t="s">
        <v>156</v>
      </c>
      <c r="G317" s="545"/>
    </row>
    <row r="318">
      <c r="A318" s="513">
        <v>45685.0</v>
      </c>
      <c r="B318" s="514" t="s">
        <v>2792</v>
      </c>
      <c r="C318" s="515">
        <v>604.0</v>
      </c>
      <c r="D318" s="525" t="s">
        <v>2957</v>
      </c>
      <c r="E318" s="517">
        <v>50.0</v>
      </c>
      <c r="F318" s="518" t="s">
        <v>156</v>
      </c>
      <c r="G318" s="550"/>
    </row>
    <row r="319">
      <c r="A319" s="519">
        <v>45685.0</v>
      </c>
      <c r="B319" s="520" t="s">
        <v>2792</v>
      </c>
      <c r="C319" s="521">
        <v>604.0</v>
      </c>
      <c r="D319" s="522" t="s">
        <v>491</v>
      </c>
      <c r="E319" s="523">
        <v>10.0</v>
      </c>
      <c r="F319" s="524" t="s">
        <v>156</v>
      </c>
      <c r="G319" s="545"/>
    </row>
    <row r="320">
      <c r="A320" s="513">
        <v>45685.0</v>
      </c>
      <c r="B320" s="514" t="s">
        <v>2792</v>
      </c>
      <c r="C320" s="515">
        <v>604.0</v>
      </c>
      <c r="D320" s="525" t="s">
        <v>279</v>
      </c>
      <c r="E320" s="517">
        <v>15.0</v>
      </c>
      <c r="F320" s="518" t="s">
        <v>156</v>
      </c>
      <c r="G320" s="550"/>
    </row>
    <row r="321">
      <c r="A321" s="526">
        <v>45685.0</v>
      </c>
      <c r="B321" s="520" t="s">
        <v>2792</v>
      </c>
      <c r="C321" s="527">
        <v>604.0</v>
      </c>
      <c r="D321" s="528" t="s">
        <v>2958</v>
      </c>
      <c r="E321" s="529">
        <v>15.0</v>
      </c>
      <c r="F321" s="530" t="s">
        <v>156</v>
      </c>
      <c r="G321" s="528"/>
    </row>
    <row r="322">
      <c r="A322" s="538">
        <v>45685.0</v>
      </c>
      <c r="B322" s="514" t="s">
        <v>2792</v>
      </c>
      <c r="C322" s="539">
        <v>604.0</v>
      </c>
      <c r="D322" s="540" t="s">
        <v>2959</v>
      </c>
      <c r="E322" s="541">
        <v>1.0</v>
      </c>
      <c r="F322" s="542" t="s">
        <v>156</v>
      </c>
      <c r="G322" s="540"/>
    </row>
    <row r="323">
      <c r="A323" s="535">
        <v>45685.0</v>
      </c>
      <c r="B323" s="520" t="s">
        <v>2792</v>
      </c>
      <c r="C323" s="527">
        <v>604.0</v>
      </c>
      <c r="D323" s="536" t="s">
        <v>714</v>
      </c>
      <c r="E323" s="537">
        <v>2.0</v>
      </c>
      <c r="F323" s="530" t="s">
        <v>981</v>
      </c>
      <c r="G323" s="528"/>
    </row>
    <row r="324">
      <c r="A324" s="533">
        <v>45685.0</v>
      </c>
      <c r="B324" s="514" t="s">
        <v>2792</v>
      </c>
      <c r="C324" s="539">
        <v>604.0</v>
      </c>
      <c r="D324" s="516" t="s">
        <v>2960</v>
      </c>
      <c r="E324" s="534">
        <v>50.0</v>
      </c>
      <c r="F324" s="542" t="s">
        <v>156</v>
      </c>
      <c r="G324" s="540"/>
    </row>
    <row r="325">
      <c r="A325" s="519">
        <v>45685.0</v>
      </c>
      <c r="B325" s="520" t="s">
        <v>2792</v>
      </c>
      <c r="C325" s="521">
        <v>605.0</v>
      </c>
      <c r="D325" s="522" t="s">
        <v>2961</v>
      </c>
      <c r="E325" s="523">
        <v>300.0</v>
      </c>
      <c r="F325" s="524" t="s">
        <v>74</v>
      </c>
      <c r="G325" s="545"/>
    </row>
    <row r="326">
      <c r="A326" s="513">
        <v>45685.0</v>
      </c>
      <c r="B326" s="514" t="s">
        <v>2792</v>
      </c>
      <c r="C326" s="515">
        <v>605.0</v>
      </c>
      <c r="D326" s="580" t="s">
        <v>762</v>
      </c>
      <c r="E326" s="517">
        <v>5.0</v>
      </c>
      <c r="F326" s="518" t="s">
        <v>156</v>
      </c>
      <c r="G326" s="550"/>
    </row>
    <row r="327">
      <c r="A327" s="519">
        <v>45685.0</v>
      </c>
      <c r="B327" s="520" t="s">
        <v>2792</v>
      </c>
      <c r="C327" s="521">
        <v>605.0</v>
      </c>
      <c r="D327" s="522" t="s">
        <v>2962</v>
      </c>
      <c r="E327" s="523">
        <v>1.0</v>
      </c>
      <c r="F327" s="524" t="s">
        <v>156</v>
      </c>
      <c r="G327" s="545"/>
    </row>
    <row r="328">
      <c r="A328" s="513">
        <v>45685.0</v>
      </c>
      <c r="B328" s="514" t="s">
        <v>2792</v>
      </c>
      <c r="C328" s="515">
        <v>605.0</v>
      </c>
      <c r="D328" s="525" t="s">
        <v>501</v>
      </c>
      <c r="E328" s="517">
        <v>3.0</v>
      </c>
      <c r="F328" s="518" t="s">
        <v>156</v>
      </c>
      <c r="G328" s="550"/>
    </row>
    <row r="329">
      <c r="A329" s="519">
        <v>45685.0</v>
      </c>
      <c r="B329" s="520" t="s">
        <v>2792</v>
      </c>
      <c r="C329" s="521">
        <v>605.0</v>
      </c>
      <c r="D329" s="522" t="s">
        <v>2963</v>
      </c>
      <c r="E329" s="523">
        <v>10.0</v>
      </c>
      <c r="F329" s="524" t="s">
        <v>156</v>
      </c>
      <c r="G329" s="545"/>
    </row>
    <row r="330">
      <c r="A330" s="513">
        <v>45685.0</v>
      </c>
      <c r="B330" s="514" t="s">
        <v>2792</v>
      </c>
      <c r="C330" s="515">
        <v>605.0</v>
      </c>
      <c r="D330" s="580" t="s">
        <v>515</v>
      </c>
      <c r="E330" s="517">
        <v>2.0</v>
      </c>
      <c r="F330" s="518" t="s">
        <v>156</v>
      </c>
      <c r="G330" s="550"/>
    </row>
    <row r="331">
      <c r="A331" s="519">
        <v>45685.0</v>
      </c>
      <c r="B331" s="520" t="s">
        <v>2792</v>
      </c>
      <c r="C331" s="521">
        <v>605.0</v>
      </c>
      <c r="D331" s="581" t="s">
        <v>516</v>
      </c>
      <c r="E331" s="523">
        <v>5.0</v>
      </c>
      <c r="F331" s="524" t="s">
        <v>156</v>
      </c>
      <c r="G331" s="545"/>
    </row>
    <row r="332">
      <c r="A332" s="513">
        <v>45685.0</v>
      </c>
      <c r="B332" s="514" t="s">
        <v>2792</v>
      </c>
      <c r="C332" s="515">
        <v>605.0</v>
      </c>
      <c r="D332" s="580" t="s">
        <v>2964</v>
      </c>
      <c r="E332" s="517">
        <v>4.0</v>
      </c>
      <c r="F332" s="518" t="s">
        <v>156</v>
      </c>
      <c r="G332" s="550"/>
    </row>
    <row r="333">
      <c r="A333" s="519">
        <v>45685.0</v>
      </c>
      <c r="B333" s="520" t="s">
        <v>2792</v>
      </c>
      <c r="C333" s="521">
        <v>605.0</v>
      </c>
      <c r="D333" s="581" t="s">
        <v>2965</v>
      </c>
      <c r="E333" s="523">
        <v>4.0</v>
      </c>
      <c r="F333" s="524" t="s">
        <v>156</v>
      </c>
      <c r="G333" s="545"/>
    </row>
    <row r="334">
      <c r="A334" s="513">
        <v>45685.0</v>
      </c>
      <c r="B334" s="514" t="s">
        <v>2792</v>
      </c>
      <c r="C334" s="515">
        <v>605.0</v>
      </c>
      <c r="D334" s="525" t="s">
        <v>519</v>
      </c>
      <c r="E334" s="517">
        <v>1.0</v>
      </c>
      <c r="F334" s="518" t="s">
        <v>156</v>
      </c>
      <c r="G334" s="550"/>
    </row>
    <row r="335">
      <c r="A335" s="519">
        <v>45685.0</v>
      </c>
      <c r="B335" s="520" t="s">
        <v>2792</v>
      </c>
      <c r="C335" s="521">
        <v>605.0</v>
      </c>
      <c r="D335" s="522" t="s">
        <v>2966</v>
      </c>
      <c r="E335" s="523">
        <v>2.0</v>
      </c>
      <c r="F335" s="524" t="s">
        <v>156</v>
      </c>
      <c r="G335" s="545"/>
    </row>
    <row r="336">
      <c r="A336" s="513">
        <v>45685.0</v>
      </c>
      <c r="B336" s="514" t="s">
        <v>2792</v>
      </c>
      <c r="C336" s="515">
        <v>605.0</v>
      </c>
      <c r="D336" s="525" t="s">
        <v>2937</v>
      </c>
      <c r="E336" s="517">
        <v>2.0</v>
      </c>
      <c r="F336" s="518" t="s">
        <v>156</v>
      </c>
      <c r="G336" s="550"/>
    </row>
    <row r="337">
      <c r="A337" s="519">
        <v>45685.0</v>
      </c>
      <c r="B337" s="520" t="s">
        <v>2792</v>
      </c>
      <c r="C337" s="521">
        <v>605.0</v>
      </c>
      <c r="D337" s="522" t="s">
        <v>2967</v>
      </c>
      <c r="E337" s="523">
        <v>8.0</v>
      </c>
      <c r="F337" s="524" t="s">
        <v>156</v>
      </c>
      <c r="G337" s="545"/>
    </row>
    <row r="338">
      <c r="A338" s="513">
        <v>45685.0</v>
      </c>
      <c r="B338" s="514" t="s">
        <v>2792</v>
      </c>
      <c r="C338" s="515">
        <v>606.0</v>
      </c>
      <c r="D338" s="525" t="s">
        <v>2968</v>
      </c>
      <c r="E338" s="517">
        <v>3.0</v>
      </c>
      <c r="F338" s="518" t="s">
        <v>156</v>
      </c>
      <c r="G338" s="550"/>
    </row>
    <row r="339">
      <c r="A339" s="519">
        <v>45685.0</v>
      </c>
      <c r="B339" s="520" t="s">
        <v>2792</v>
      </c>
      <c r="C339" s="521">
        <v>606.0</v>
      </c>
      <c r="D339" s="522" t="s">
        <v>620</v>
      </c>
      <c r="E339" s="523">
        <v>1.0</v>
      </c>
      <c r="F339" s="524" t="s">
        <v>156</v>
      </c>
      <c r="G339" s="545"/>
    </row>
    <row r="340">
      <c r="A340" s="549">
        <v>45685.0</v>
      </c>
      <c r="B340" s="514" t="s">
        <v>2792</v>
      </c>
      <c r="C340" s="539">
        <v>606.0</v>
      </c>
      <c r="D340" s="550" t="s">
        <v>88</v>
      </c>
      <c r="E340" s="561">
        <v>10.0</v>
      </c>
      <c r="F340" s="544" t="s">
        <v>156</v>
      </c>
      <c r="G340" s="540"/>
    </row>
    <row r="341">
      <c r="A341" s="532">
        <v>45685.0</v>
      </c>
      <c r="B341" s="520" t="s">
        <v>2792</v>
      </c>
      <c r="C341" s="527">
        <v>606.0</v>
      </c>
      <c r="D341" s="545" t="s">
        <v>2969</v>
      </c>
      <c r="E341" s="546">
        <v>10.0</v>
      </c>
      <c r="F341" s="547" t="s">
        <v>156</v>
      </c>
      <c r="G341" s="528"/>
    </row>
    <row r="342">
      <c r="A342" s="513">
        <v>45690.0</v>
      </c>
      <c r="B342" s="514" t="s">
        <v>2792</v>
      </c>
      <c r="C342" s="515">
        <v>601.0</v>
      </c>
      <c r="D342" s="525" t="s">
        <v>2970</v>
      </c>
      <c r="E342" s="517">
        <v>25.0</v>
      </c>
      <c r="F342" s="518" t="s">
        <v>156</v>
      </c>
      <c r="G342" s="550"/>
    </row>
    <row r="343">
      <c r="A343" s="526">
        <v>45690.0</v>
      </c>
      <c r="B343" s="520" t="s">
        <v>2792</v>
      </c>
      <c r="C343" s="527">
        <v>604.0</v>
      </c>
      <c r="D343" s="528" t="s">
        <v>2971</v>
      </c>
      <c r="E343" s="529">
        <v>1.0</v>
      </c>
      <c r="F343" s="530" t="s">
        <v>156</v>
      </c>
      <c r="G343" s="528"/>
    </row>
    <row r="344">
      <c r="A344" s="549">
        <v>45692.0</v>
      </c>
      <c r="B344" s="514" t="s">
        <v>2792</v>
      </c>
      <c r="C344" s="515">
        <v>609.0</v>
      </c>
      <c r="D344" s="550" t="s">
        <v>2972</v>
      </c>
      <c r="E344" s="561">
        <v>5.0</v>
      </c>
      <c r="F344" s="542" t="s">
        <v>34</v>
      </c>
      <c r="G344" s="540"/>
    </row>
    <row r="345">
      <c r="A345" s="535">
        <v>45692.0</v>
      </c>
      <c r="B345" s="520" t="s">
        <v>2792</v>
      </c>
      <c r="C345" s="521">
        <v>609.0</v>
      </c>
      <c r="D345" s="536" t="s">
        <v>609</v>
      </c>
      <c r="E345" s="537">
        <v>6.0</v>
      </c>
      <c r="F345" s="530" t="s">
        <v>156</v>
      </c>
      <c r="G345" s="528"/>
    </row>
    <row r="346">
      <c r="A346" s="533">
        <v>45692.0</v>
      </c>
      <c r="B346" s="514" t="s">
        <v>2792</v>
      </c>
      <c r="C346" s="515">
        <v>609.0</v>
      </c>
      <c r="D346" s="516" t="s">
        <v>446</v>
      </c>
      <c r="E346" s="534">
        <v>20.0</v>
      </c>
      <c r="F346" s="542" t="s">
        <v>156</v>
      </c>
      <c r="G346" s="540"/>
    </row>
    <row r="347">
      <c r="A347" s="535">
        <v>45692.0</v>
      </c>
      <c r="B347" s="520" t="s">
        <v>2792</v>
      </c>
      <c r="C347" s="521">
        <v>609.0</v>
      </c>
      <c r="D347" s="536" t="s">
        <v>2973</v>
      </c>
      <c r="E347" s="537">
        <v>15.0</v>
      </c>
      <c r="F347" s="547" t="s">
        <v>74</v>
      </c>
      <c r="G347" s="528"/>
    </row>
    <row r="348">
      <c r="A348" s="538">
        <v>45692.0</v>
      </c>
      <c r="B348" s="514" t="s">
        <v>2792</v>
      </c>
      <c r="C348" s="539">
        <v>609.0</v>
      </c>
      <c r="D348" s="540" t="s">
        <v>874</v>
      </c>
      <c r="E348" s="541">
        <v>2.0</v>
      </c>
      <c r="F348" s="542" t="s">
        <v>156</v>
      </c>
      <c r="G348" s="540"/>
    </row>
    <row r="349">
      <c r="A349" s="526">
        <v>45692.0</v>
      </c>
      <c r="B349" s="520" t="s">
        <v>2792</v>
      </c>
      <c r="C349" s="527">
        <v>609.0</v>
      </c>
      <c r="D349" s="528" t="s">
        <v>606</v>
      </c>
      <c r="E349" s="529">
        <v>3.0</v>
      </c>
      <c r="F349" s="530" t="s">
        <v>156</v>
      </c>
      <c r="G349" s="528"/>
    </row>
    <row r="350">
      <c r="A350" s="538">
        <v>45692.0</v>
      </c>
      <c r="B350" s="514" t="s">
        <v>2792</v>
      </c>
      <c r="C350" s="539">
        <v>609.0</v>
      </c>
      <c r="D350" s="540" t="s">
        <v>2974</v>
      </c>
      <c r="E350" s="541">
        <v>3.0</v>
      </c>
      <c r="F350" s="542" t="s">
        <v>156</v>
      </c>
      <c r="G350" s="540"/>
    </row>
    <row r="351">
      <c r="A351" s="532">
        <v>45692.0</v>
      </c>
      <c r="B351" s="520" t="s">
        <v>2792</v>
      </c>
      <c r="C351" s="521">
        <v>609.0</v>
      </c>
      <c r="D351" s="545" t="s">
        <v>2975</v>
      </c>
      <c r="E351" s="546">
        <v>10.0</v>
      </c>
      <c r="F351" s="530" t="s">
        <v>156</v>
      </c>
      <c r="G351" s="528"/>
    </row>
    <row r="352">
      <c r="A352" s="538">
        <v>45692.0</v>
      </c>
      <c r="B352" s="514" t="s">
        <v>2792</v>
      </c>
      <c r="C352" s="515">
        <v>609.0</v>
      </c>
      <c r="D352" s="540" t="s">
        <v>2836</v>
      </c>
      <c r="E352" s="541">
        <v>5.0</v>
      </c>
      <c r="F352" s="542" t="s">
        <v>156</v>
      </c>
      <c r="G352" s="540"/>
    </row>
    <row r="353">
      <c r="A353" s="526">
        <v>45692.0</v>
      </c>
      <c r="B353" s="520" t="s">
        <v>2792</v>
      </c>
      <c r="C353" s="521">
        <v>609.0</v>
      </c>
      <c r="D353" s="528" t="s">
        <v>2976</v>
      </c>
      <c r="E353" s="529">
        <v>5.0</v>
      </c>
      <c r="F353" s="530" t="s">
        <v>156</v>
      </c>
      <c r="G353" s="528"/>
    </row>
    <row r="354">
      <c r="A354" s="549">
        <v>45692.0</v>
      </c>
      <c r="B354" s="514" t="s">
        <v>2792</v>
      </c>
      <c r="C354" s="515">
        <v>609.0</v>
      </c>
      <c r="D354" s="550" t="s">
        <v>2895</v>
      </c>
      <c r="E354" s="561">
        <v>15.0</v>
      </c>
      <c r="F354" s="542" t="s">
        <v>34</v>
      </c>
      <c r="G354" s="540"/>
    </row>
    <row r="355">
      <c r="A355" s="526">
        <v>45692.0</v>
      </c>
      <c r="B355" s="520" t="s">
        <v>2792</v>
      </c>
      <c r="C355" s="521">
        <v>609.0</v>
      </c>
      <c r="D355" s="528" t="s">
        <v>2977</v>
      </c>
      <c r="E355" s="529">
        <v>10.0</v>
      </c>
      <c r="F355" s="530" t="s">
        <v>25</v>
      </c>
      <c r="G355" s="528"/>
    </row>
    <row r="356">
      <c r="A356" s="538">
        <v>45692.0</v>
      </c>
      <c r="B356" s="514" t="s">
        <v>2792</v>
      </c>
      <c r="C356" s="558">
        <v>609.0</v>
      </c>
      <c r="D356" s="540" t="s">
        <v>871</v>
      </c>
      <c r="E356" s="541">
        <v>5.0</v>
      </c>
      <c r="F356" s="542" t="s">
        <v>34</v>
      </c>
      <c r="G356" s="540"/>
    </row>
    <row r="357">
      <c r="A357" s="519">
        <v>45692.0</v>
      </c>
      <c r="B357" s="520" t="s">
        <v>2792</v>
      </c>
      <c r="C357" s="521">
        <v>610.0</v>
      </c>
      <c r="D357" s="522" t="s">
        <v>2978</v>
      </c>
      <c r="E357" s="523">
        <v>1.0</v>
      </c>
      <c r="F357" s="524" t="s">
        <v>156</v>
      </c>
      <c r="G357" s="545"/>
    </row>
    <row r="358">
      <c r="A358" s="533">
        <v>45692.0</v>
      </c>
      <c r="B358" s="514" t="s">
        <v>2792</v>
      </c>
      <c r="C358" s="515">
        <v>610.0</v>
      </c>
      <c r="D358" s="516" t="s">
        <v>2979</v>
      </c>
      <c r="E358" s="534">
        <v>1.0</v>
      </c>
      <c r="F358" s="518" t="s">
        <v>156</v>
      </c>
      <c r="G358" s="550"/>
    </row>
    <row r="359">
      <c r="A359" s="519">
        <v>45692.0</v>
      </c>
      <c r="B359" s="520" t="s">
        <v>2792</v>
      </c>
      <c r="C359" s="521">
        <v>610.0</v>
      </c>
      <c r="D359" s="522" t="s">
        <v>2980</v>
      </c>
      <c r="E359" s="523">
        <v>1.0</v>
      </c>
      <c r="F359" s="524" t="s">
        <v>156</v>
      </c>
      <c r="G359" s="545"/>
    </row>
    <row r="360">
      <c r="A360" s="538">
        <v>45692.0</v>
      </c>
      <c r="B360" s="514" t="s">
        <v>2792</v>
      </c>
      <c r="C360" s="515">
        <v>610.0</v>
      </c>
      <c r="D360" s="540" t="s">
        <v>456</v>
      </c>
      <c r="E360" s="541">
        <v>1.0</v>
      </c>
      <c r="F360" s="542" t="s">
        <v>39</v>
      </c>
      <c r="G360" s="540"/>
    </row>
    <row r="361">
      <c r="A361" s="526">
        <v>45692.0</v>
      </c>
      <c r="B361" s="520" t="s">
        <v>2792</v>
      </c>
      <c r="C361" s="557">
        <v>610.0</v>
      </c>
      <c r="D361" s="528" t="s">
        <v>351</v>
      </c>
      <c r="E361" s="529">
        <v>50.0</v>
      </c>
      <c r="F361" s="530" t="s">
        <v>34</v>
      </c>
      <c r="G361" s="528"/>
    </row>
    <row r="362">
      <c r="A362" s="538">
        <v>45692.0</v>
      </c>
      <c r="B362" s="514" t="s">
        <v>2792</v>
      </c>
      <c r="C362" s="515">
        <v>610.0</v>
      </c>
      <c r="D362" s="540" t="s">
        <v>459</v>
      </c>
      <c r="E362" s="541">
        <v>5.0</v>
      </c>
      <c r="F362" s="542" t="s">
        <v>34</v>
      </c>
      <c r="G362" s="540"/>
    </row>
    <row r="363">
      <c r="A363" s="535">
        <v>45692.0</v>
      </c>
      <c r="B363" s="520" t="s">
        <v>2792</v>
      </c>
      <c r="C363" s="521">
        <v>610.0</v>
      </c>
      <c r="D363" s="536" t="s">
        <v>2981</v>
      </c>
      <c r="E363" s="537">
        <v>2.0</v>
      </c>
      <c r="F363" s="547" t="s">
        <v>2982</v>
      </c>
      <c r="G363" s="528"/>
    </row>
    <row r="364">
      <c r="A364" s="538">
        <v>45692.0</v>
      </c>
      <c r="B364" s="514" t="s">
        <v>2792</v>
      </c>
      <c r="C364" s="515">
        <v>610.0</v>
      </c>
      <c r="D364" s="540" t="s">
        <v>2983</v>
      </c>
      <c r="E364" s="541">
        <v>8.0</v>
      </c>
      <c r="F364" s="542" t="s">
        <v>25</v>
      </c>
      <c r="G364" s="540"/>
    </row>
    <row r="365">
      <c r="A365" s="526">
        <v>45692.0</v>
      </c>
      <c r="B365" s="520" t="s">
        <v>2792</v>
      </c>
      <c r="C365" s="521">
        <v>610.0</v>
      </c>
      <c r="D365" s="528" t="s">
        <v>2984</v>
      </c>
      <c r="E365" s="529">
        <v>20.0</v>
      </c>
      <c r="F365" s="530" t="s">
        <v>25</v>
      </c>
      <c r="G365" s="528"/>
    </row>
    <row r="366">
      <c r="A366" s="538">
        <v>45692.0</v>
      </c>
      <c r="B366" s="514" t="s">
        <v>2792</v>
      </c>
      <c r="C366" s="539">
        <v>610.0</v>
      </c>
      <c r="D366" s="540" t="s">
        <v>615</v>
      </c>
      <c r="E366" s="541">
        <v>14.0</v>
      </c>
      <c r="F366" s="542" t="s">
        <v>156</v>
      </c>
      <c r="G366" s="540"/>
    </row>
    <row r="367">
      <c r="A367" s="526">
        <v>45692.0</v>
      </c>
      <c r="B367" s="520" t="s">
        <v>2792</v>
      </c>
      <c r="C367" s="563">
        <v>610.0</v>
      </c>
      <c r="D367" s="528" t="s">
        <v>354</v>
      </c>
      <c r="E367" s="529">
        <v>8.0</v>
      </c>
      <c r="F367" s="530" t="s">
        <v>981</v>
      </c>
      <c r="G367" s="528"/>
    </row>
    <row r="368">
      <c r="A368" s="538">
        <v>45692.0</v>
      </c>
      <c r="B368" s="514" t="s">
        <v>2792</v>
      </c>
      <c r="C368" s="539">
        <v>610.0</v>
      </c>
      <c r="D368" s="540" t="s">
        <v>2985</v>
      </c>
      <c r="E368" s="541">
        <v>2.0</v>
      </c>
      <c r="F368" s="542" t="s">
        <v>156</v>
      </c>
      <c r="G368" s="540"/>
    </row>
    <row r="369">
      <c r="A369" s="526">
        <v>45692.0</v>
      </c>
      <c r="B369" s="520" t="s">
        <v>2792</v>
      </c>
      <c r="C369" s="527">
        <v>610.0</v>
      </c>
      <c r="D369" s="528" t="s">
        <v>2986</v>
      </c>
      <c r="E369" s="529">
        <v>1.0</v>
      </c>
      <c r="F369" s="530" t="s">
        <v>156</v>
      </c>
      <c r="G369" s="528"/>
    </row>
    <row r="370">
      <c r="A370" s="538">
        <v>45692.0</v>
      </c>
      <c r="B370" s="514" t="s">
        <v>2792</v>
      </c>
      <c r="C370" s="539">
        <v>610.0</v>
      </c>
      <c r="D370" s="540" t="s">
        <v>2987</v>
      </c>
      <c r="E370" s="541">
        <v>5.0</v>
      </c>
      <c r="F370" s="542" t="s">
        <v>156</v>
      </c>
      <c r="G370" s="540"/>
    </row>
    <row r="371">
      <c r="A371" s="519">
        <v>45692.0</v>
      </c>
      <c r="B371" s="520" t="s">
        <v>2792</v>
      </c>
      <c r="C371" s="521">
        <v>611.0</v>
      </c>
      <c r="D371" s="581" t="s">
        <v>2988</v>
      </c>
      <c r="E371" s="523">
        <v>25.0</v>
      </c>
      <c r="F371" s="524" t="s">
        <v>74</v>
      </c>
      <c r="G371" s="545"/>
    </row>
    <row r="372">
      <c r="A372" s="513">
        <v>45692.0</v>
      </c>
      <c r="B372" s="514" t="s">
        <v>2792</v>
      </c>
      <c r="C372" s="515">
        <v>611.0</v>
      </c>
      <c r="D372" s="525" t="s">
        <v>469</v>
      </c>
      <c r="E372" s="517">
        <v>25.0</v>
      </c>
      <c r="F372" s="518" t="s">
        <v>156</v>
      </c>
      <c r="G372" s="550"/>
    </row>
    <row r="373">
      <c r="A373" s="519">
        <v>45692.0</v>
      </c>
      <c r="B373" s="520" t="s">
        <v>2792</v>
      </c>
      <c r="C373" s="521">
        <v>611.0</v>
      </c>
      <c r="D373" s="522" t="s">
        <v>471</v>
      </c>
      <c r="E373" s="523">
        <v>40.0</v>
      </c>
      <c r="F373" s="524" t="s">
        <v>156</v>
      </c>
      <c r="G373" s="545"/>
    </row>
    <row r="374">
      <c r="A374" s="513">
        <v>45692.0</v>
      </c>
      <c r="B374" s="514" t="s">
        <v>2792</v>
      </c>
      <c r="C374" s="515">
        <v>611.0</v>
      </c>
      <c r="D374" s="525" t="s">
        <v>470</v>
      </c>
      <c r="E374" s="517">
        <v>40.0</v>
      </c>
      <c r="F374" s="518" t="s">
        <v>156</v>
      </c>
      <c r="G374" s="550"/>
    </row>
    <row r="375">
      <c r="A375" s="526">
        <v>45692.0</v>
      </c>
      <c r="B375" s="520" t="s">
        <v>2792</v>
      </c>
      <c r="C375" s="521">
        <v>611.0</v>
      </c>
      <c r="D375" s="528" t="s">
        <v>350</v>
      </c>
      <c r="E375" s="529">
        <v>50.0</v>
      </c>
      <c r="F375" s="530" t="s">
        <v>34</v>
      </c>
      <c r="G375" s="528"/>
    </row>
    <row r="376">
      <c r="A376" s="533">
        <v>45692.0</v>
      </c>
      <c r="B376" s="514" t="s">
        <v>2792</v>
      </c>
      <c r="C376" s="515">
        <v>611.0</v>
      </c>
      <c r="D376" s="516" t="s">
        <v>426</v>
      </c>
      <c r="E376" s="534">
        <v>10.0</v>
      </c>
      <c r="F376" s="544" t="s">
        <v>156</v>
      </c>
      <c r="G376" s="540"/>
    </row>
    <row r="377">
      <c r="A377" s="526">
        <v>45692.0</v>
      </c>
      <c r="B377" s="520" t="s">
        <v>2792</v>
      </c>
      <c r="C377" s="527">
        <v>611.0</v>
      </c>
      <c r="D377" s="528" t="s">
        <v>2827</v>
      </c>
      <c r="E377" s="529">
        <v>10.0</v>
      </c>
      <c r="F377" s="530" t="s">
        <v>156</v>
      </c>
      <c r="G377" s="528"/>
    </row>
    <row r="378">
      <c r="A378" s="538">
        <v>45692.0</v>
      </c>
      <c r="B378" s="514" t="s">
        <v>2792</v>
      </c>
      <c r="C378" s="539">
        <v>611.0</v>
      </c>
      <c r="D378" s="540" t="s">
        <v>2989</v>
      </c>
      <c r="E378" s="541">
        <v>19.0</v>
      </c>
      <c r="F378" s="542" t="s">
        <v>156</v>
      </c>
      <c r="G378" s="540"/>
    </row>
    <row r="379">
      <c r="A379" s="526">
        <v>45692.0</v>
      </c>
      <c r="B379" s="520" t="s">
        <v>2792</v>
      </c>
      <c r="C379" s="521">
        <v>611.0</v>
      </c>
      <c r="D379" s="528" t="s">
        <v>465</v>
      </c>
      <c r="E379" s="529">
        <v>40.0</v>
      </c>
      <c r="F379" s="530" t="s">
        <v>156</v>
      </c>
      <c r="G379" s="528"/>
    </row>
    <row r="380">
      <c r="A380" s="538">
        <v>45692.0</v>
      </c>
      <c r="B380" s="514" t="s">
        <v>2792</v>
      </c>
      <c r="C380" s="539">
        <v>611.0</v>
      </c>
      <c r="D380" s="540" t="s">
        <v>2990</v>
      </c>
      <c r="E380" s="541">
        <v>15.0</v>
      </c>
      <c r="F380" s="542" t="s">
        <v>156</v>
      </c>
      <c r="G380" s="540"/>
    </row>
    <row r="381">
      <c r="A381" s="532">
        <v>45692.0</v>
      </c>
      <c r="B381" s="520" t="s">
        <v>2792</v>
      </c>
      <c r="C381" s="527">
        <v>611.0</v>
      </c>
      <c r="D381" s="531" t="s">
        <v>2991</v>
      </c>
      <c r="E381" s="529">
        <v>18.0</v>
      </c>
      <c r="F381" s="530" t="s">
        <v>156</v>
      </c>
      <c r="G381" s="528"/>
    </row>
    <row r="382">
      <c r="A382" s="549">
        <v>45692.0</v>
      </c>
      <c r="B382" s="514" t="s">
        <v>2792</v>
      </c>
      <c r="C382" s="515">
        <v>612.0</v>
      </c>
      <c r="D382" s="540" t="s">
        <v>2992</v>
      </c>
      <c r="E382" s="561">
        <v>1.0</v>
      </c>
      <c r="F382" s="564" t="s">
        <v>297</v>
      </c>
      <c r="G382" s="550"/>
    </row>
    <row r="383">
      <c r="A383" s="526">
        <v>45692.0</v>
      </c>
      <c r="B383" s="520" t="s">
        <v>2792</v>
      </c>
      <c r="C383" s="527">
        <v>612.0</v>
      </c>
      <c r="D383" s="528" t="s">
        <v>100</v>
      </c>
      <c r="E383" s="529">
        <v>2.0</v>
      </c>
      <c r="F383" s="530" t="s">
        <v>156</v>
      </c>
      <c r="G383" s="528"/>
    </row>
    <row r="384">
      <c r="A384" s="538">
        <v>45692.0</v>
      </c>
      <c r="B384" s="514" t="s">
        <v>2792</v>
      </c>
      <c r="C384" s="566">
        <v>612.0</v>
      </c>
      <c r="D384" s="540" t="s">
        <v>97</v>
      </c>
      <c r="E384" s="541">
        <v>2.0</v>
      </c>
      <c r="F384" s="542" t="s">
        <v>981</v>
      </c>
      <c r="G384" s="540"/>
    </row>
    <row r="385">
      <c r="A385" s="526">
        <v>45692.0</v>
      </c>
      <c r="B385" s="520" t="s">
        <v>2792</v>
      </c>
      <c r="C385" s="521">
        <v>652.0</v>
      </c>
      <c r="D385" s="528" t="s">
        <v>352</v>
      </c>
      <c r="E385" s="529">
        <v>50.0</v>
      </c>
      <c r="F385" s="530" t="s">
        <v>34</v>
      </c>
      <c r="G385" s="528"/>
    </row>
    <row r="386">
      <c r="A386" s="533">
        <v>45692.0</v>
      </c>
      <c r="B386" s="514" t="s">
        <v>2792</v>
      </c>
      <c r="C386" s="539">
        <v>652.0</v>
      </c>
      <c r="D386" s="516" t="s">
        <v>2993</v>
      </c>
      <c r="E386" s="534">
        <v>5.0</v>
      </c>
      <c r="F386" s="542" t="s">
        <v>156</v>
      </c>
      <c r="G386" s="540"/>
    </row>
    <row r="387">
      <c r="A387" s="519">
        <v>45696.0</v>
      </c>
      <c r="B387" s="520" t="s">
        <v>2792</v>
      </c>
      <c r="C387" s="521">
        <v>604.0</v>
      </c>
      <c r="D387" s="522" t="s">
        <v>2994</v>
      </c>
      <c r="E387" s="523">
        <v>1.0</v>
      </c>
      <c r="F387" s="524" t="s">
        <v>156</v>
      </c>
      <c r="G387" s="545"/>
    </row>
    <row r="388">
      <c r="A388" s="538">
        <v>45696.0</v>
      </c>
      <c r="B388" s="514" t="s">
        <v>2792</v>
      </c>
      <c r="C388" s="539">
        <v>631.0</v>
      </c>
      <c r="D388" s="540" t="s">
        <v>2995</v>
      </c>
      <c r="E388" s="541">
        <v>1.0</v>
      </c>
      <c r="F388" s="542" t="s">
        <v>156</v>
      </c>
      <c r="G388" s="540"/>
    </row>
    <row r="389">
      <c r="A389" s="532">
        <v>45698.0</v>
      </c>
      <c r="B389" s="520" t="s">
        <v>2792</v>
      </c>
      <c r="C389" s="527">
        <v>613.0</v>
      </c>
      <c r="D389" s="545" t="s">
        <v>2823</v>
      </c>
      <c r="E389" s="546">
        <v>15.0</v>
      </c>
      <c r="F389" s="553" t="s">
        <v>156</v>
      </c>
      <c r="G389" s="545"/>
    </row>
    <row r="390">
      <c r="A390" s="513">
        <v>45698.0</v>
      </c>
      <c r="B390" s="514" t="s">
        <v>2792</v>
      </c>
      <c r="C390" s="515">
        <v>613.0</v>
      </c>
      <c r="D390" s="580" t="s">
        <v>2996</v>
      </c>
      <c r="E390" s="517">
        <v>200.0</v>
      </c>
      <c r="F390" s="518" t="s">
        <v>74</v>
      </c>
      <c r="G390" s="550"/>
    </row>
    <row r="391">
      <c r="A391" s="519">
        <v>45698.0</v>
      </c>
      <c r="B391" s="520" t="s">
        <v>2792</v>
      </c>
      <c r="C391" s="521">
        <v>613.0</v>
      </c>
      <c r="D391" s="522" t="s">
        <v>281</v>
      </c>
      <c r="E391" s="523">
        <v>450.0</v>
      </c>
      <c r="F391" s="524" t="s">
        <v>74</v>
      </c>
      <c r="G391" s="545"/>
    </row>
    <row r="392">
      <c r="A392" s="513">
        <v>45698.0</v>
      </c>
      <c r="B392" s="514" t="s">
        <v>2792</v>
      </c>
      <c r="C392" s="515">
        <v>613.0</v>
      </c>
      <c r="D392" s="525" t="s">
        <v>2997</v>
      </c>
      <c r="E392" s="517">
        <v>900.0</v>
      </c>
      <c r="F392" s="518" t="s">
        <v>74</v>
      </c>
      <c r="G392" s="550"/>
    </row>
    <row r="393">
      <c r="A393" s="519">
        <v>45698.0</v>
      </c>
      <c r="B393" s="520" t="s">
        <v>2792</v>
      </c>
      <c r="C393" s="521">
        <v>613.0</v>
      </c>
      <c r="D393" s="522" t="s">
        <v>287</v>
      </c>
      <c r="E393" s="523">
        <v>1.0</v>
      </c>
      <c r="F393" s="524" t="s">
        <v>156</v>
      </c>
      <c r="G393" s="545"/>
    </row>
    <row r="394">
      <c r="A394" s="513">
        <v>45698.0</v>
      </c>
      <c r="B394" s="514" t="s">
        <v>2792</v>
      </c>
      <c r="C394" s="515">
        <v>613.0</v>
      </c>
      <c r="D394" s="525" t="s">
        <v>2998</v>
      </c>
      <c r="E394" s="517">
        <v>1.0</v>
      </c>
      <c r="F394" s="518" t="s">
        <v>156</v>
      </c>
      <c r="G394" s="550"/>
    </row>
    <row r="395">
      <c r="A395" s="519">
        <v>45698.0</v>
      </c>
      <c r="B395" s="520" t="s">
        <v>2792</v>
      </c>
      <c r="C395" s="521">
        <v>613.0</v>
      </c>
      <c r="D395" s="581" t="s">
        <v>288</v>
      </c>
      <c r="E395" s="523">
        <v>30.0</v>
      </c>
      <c r="F395" s="524" t="s">
        <v>156</v>
      </c>
      <c r="G395" s="545"/>
    </row>
    <row r="396">
      <c r="A396" s="513">
        <v>45698.0</v>
      </c>
      <c r="B396" s="514" t="s">
        <v>2792</v>
      </c>
      <c r="C396" s="515">
        <v>613.0</v>
      </c>
      <c r="D396" s="525" t="s">
        <v>2999</v>
      </c>
      <c r="E396" s="517">
        <v>1.0</v>
      </c>
      <c r="F396" s="518" t="s">
        <v>156</v>
      </c>
      <c r="G396" s="550"/>
    </row>
    <row r="397">
      <c r="A397" s="526">
        <v>45698.0</v>
      </c>
      <c r="B397" s="520" t="s">
        <v>2792</v>
      </c>
      <c r="C397" s="563">
        <v>613.0</v>
      </c>
      <c r="D397" s="528" t="s">
        <v>3000</v>
      </c>
      <c r="E397" s="529">
        <v>2.0</v>
      </c>
      <c r="F397" s="530" t="s">
        <v>156</v>
      </c>
      <c r="G397" s="528"/>
    </row>
    <row r="398">
      <c r="A398" s="538">
        <v>45698.0</v>
      </c>
      <c r="B398" s="514" t="s">
        <v>2792</v>
      </c>
      <c r="C398" s="539">
        <v>613.0</v>
      </c>
      <c r="D398" s="540" t="s">
        <v>3001</v>
      </c>
      <c r="E398" s="541">
        <v>2.0</v>
      </c>
      <c r="F398" s="542" t="s">
        <v>156</v>
      </c>
      <c r="G398" s="540"/>
    </row>
    <row r="399">
      <c r="A399" s="526">
        <v>45698.0</v>
      </c>
      <c r="B399" s="520" t="s">
        <v>2792</v>
      </c>
      <c r="C399" s="527">
        <v>613.0</v>
      </c>
      <c r="D399" s="528" t="s">
        <v>3002</v>
      </c>
      <c r="E399" s="529">
        <v>1.0</v>
      </c>
      <c r="F399" s="530" t="s">
        <v>156</v>
      </c>
      <c r="G399" s="528"/>
    </row>
    <row r="400">
      <c r="A400" s="538">
        <v>45698.0</v>
      </c>
      <c r="B400" s="514" t="s">
        <v>2792</v>
      </c>
      <c r="C400" s="566">
        <v>613.0</v>
      </c>
      <c r="D400" s="540" t="s">
        <v>647</v>
      </c>
      <c r="E400" s="541">
        <v>8.0</v>
      </c>
      <c r="F400" s="542" t="s">
        <v>156</v>
      </c>
      <c r="G400" s="540"/>
    </row>
    <row r="401">
      <c r="A401" s="526">
        <v>45698.0</v>
      </c>
      <c r="B401" s="520" t="s">
        <v>2792</v>
      </c>
      <c r="C401" s="557">
        <v>614.0</v>
      </c>
      <c r="D401" s="528" t="s">
        <v>3003</v>
      </c>
      <c r="E401" s="529">
        <v>100.0</v>
      </c>
      <c r="F401" s="530" t="s">
        <v>34</v>
      </c>
      <c r="G401" s="528"/>
    </row>
    <row r="402">
      <c r="A402" s="533">
        <v>45698.0</v>
      </c>
      <c r="B402" s="514" t="s">
        <v>2792</v>
      </c>
      <c r="C402" s="558">
        <v>614.0</v>
      </c>
      <c r="D402" s="516" t="s">
        <v>3004</v>
      </c>
      <c r="E402" s="534">
        <v>1.0</v>
      </c>
      <c r="F402" s="542" t="s">
        <v>156</v>
      </c>
      <c r="G402" s="540"/>
    </row>
    <row r="403">
      <c r="A403" s="526">
        <v>45698.0</v>
      </c>
      <c r="B403" s="520" t="s">
        <v>2792</v>
      </c>
      <c r="C403" s="563">
        <v>614.0</v>
      </c>
      <c r="D403" s="528" t="s">
        <v>3005</v>
      </c>
      <c r="E403" s="529">
        <v>2.0</v>
      </c>
      <c r="F403" s="530" t="s">
        <v>156</v>
      </c>
      <c r="G403" s="528"/>
    </row>
    <row r="404">
      <c r="A404" s="538">
        <v>45698.0</v>
      </c>
      <c r="B404" s="514" t="s">
        <v>2792</v>
      </c>
      <c r="C404" s="566">
        <v>614.0</v>
      </c>
      <c r="D404" s="540" t="s">
        <v>528</v>
      </c>
      <c r="E404" s="541">
        <v>2.0</v>
      </c>
      <c r="F404" s="542" t="s">
        <v>156</v>
      </c>
      <c r="G404" s="540"/>
    </row>
    <row r="405">
      <c r="A405" s="535">
        <v>45698.0</v>
      </c>
      <c r="B405" s="520" t="s">
        <v>2792</v>
      </c>
      <c r="C405" s="557">
        <v>615.0</v>
      </c>
      <c r="D405" s="536" t="s">
        <v>3006</v>
      </c>
      <c r="E405" s="537">
        <v>15.0</v>
      </c>
      <c r="F405" s="530" t="s">
        <v>156</v>
      </c>
      <c r="G405" s="528"/>
    </row>
    <row r="406">
      <c r="A406" s="533">
        <v>45698.0</v>
      </c>
      <c r="B406" s="514" t="s">
        <v>2792</v>
      </c>
      <c r="C406" s="558">
        <v>615.0</v>
      </c>
      <c r="D406" s="516" t="s">
        <v>3007</v>
      </c>
      <c r="E406" s="534">
        <v>5.0</v>
      </c>
      <c r="F406" s="544" t="s">
        <v>2869</v>
      </c>
      <c r="G406" s="540"/>
    </row>
    <row r="407">
      <c r="A407" s="532">
        <v>45698.0</v>
      </c>
      <c r="B407" s="520" t="s">
        <v>2792</v>
      </c>
      <c r="C407" s="527">
        <v>615.0</v>
      </c>
      <c r="D407" s="545" t="s">
        <v>404</v>
      </c>
      <c r="E407" s="546">
        <v>10.0</v>
      </c>
      <c r="F407" s="553" t="s">
        <v>2849</v>
      </c>
      <c r="G407" s="545"/>
    </row>
    <row r="408">
      <c r="A408" s="538">
        <v>45700.0</v>
      </c>
      <c r="B408" s="514" t="s">
        <v>2792</v>
      </c>
      <c r="C408" s="515">
        <v>284.0</v>
      </c>
      <c r="D408" s="540" t="s">
        <v>351</v>
      </c>
      <c r="E408" s="541">
        <v>50.0</v>
      </c>
      <c r="F408" s="542" t="s">
        <v>34</v>
      </c>
      <c r="G408" s="540"/>
    </row>
    <row r="409">
      <c r="A409" s="519">
        <v>45700.0</v>
      </c>
      <c r="B409" s="520" t="s">
        <v>2792</v>
      </c>
      <c r="C409" s="521">
        <v>601.0</v>
      </c>
      <c r="D409" s="522" t="s">
        <v>275</v>
      </c>
      <c r="E409" s="523">
        <v>1350.0</v>
      </c>
      <c r="F409" s="524" t="s">
        <v>74</v>
      </c>
      <c r="G409" s="545"/>
    </row>
    <row r="410">
      <c r="A410" s="538">
        <v>45703.0</v>
      </c>
      <c r="B410" s="514" t="s">
        <v>2792</v>
      </c>
      <c r="C410" s="515">
        <v>616.0</v>
      </c>
      <c r="D410" s="540" t="s">
        <v>352</v>
      </c>
      <c r="E410" s="541">
        <v>50.0</v>
      </c>
      <c r="F410" s="542" t="s">
        <v>34</v>
      </c>
      <c r="G410" s="540"/>
    </row>
    <row r="411">
      <c r="A411" s="526">
        <v>45703.0</v>
      </c>
      <c r="B411" s="520" t="s">
        <v>2792</v>
      </c>
      <c r="C411" s="521">
        <v>616.0</v>
      </c>
      <c r="D411" s="528" t="s">
        <v>349</v>
      </c>
      <c r="E411" s="529">
        <v>50.0</v>
      </c>
      <c r="F411" s="530" t="s">
        <v>34</v>
      </c>
      <c r="G411" s="528"/>
    </row>
    <row r="412">
      <c r="A412" s="538">
        <v>45703.0</v>
      </c>
      <c r="B412" s="514" t="s">
        <v>2792</v>
      </c>
      <c r="C412" s="515">
        <v>616.0</v>
      </c>
      <c r="D412" s="540" t="s">
        <v>348</v>
      </c>
      <c r="E412" s="541">
        <v>50.0</v>
      </c>
      <c r="F412" s="542" t="s">
        <v>34</v>
      </c>
      <c r="G412" s="540"/>
    </row>
    <row r="413">
      <c r="A413" s="526">
        <v>45703.0</v>
      </c>
      <c r="B413" s="520" t="s">
        <v>2792</v>
      </c>
      <c r="C413" s="527">
        <v>616.0</v>
      </c>
      <c r="D413" s="528" t="s">
        <v>3008</v>
      </c>
      <c r="E413" s="529">
        <v>2.0</v>
      </c>
      <c r="F413" s="530" t="s">
        <v>156</v>
      </c>
      <c r="G413" s="528"/>
    </row>
    <row r="414">
      <c r="A414" s="538">
        <v>45703.0</v>
      </c>
      <c r="B414" s="514" t="s">
        <v>2792</v>
      </c>
      <c r="C414" s="539">
        <v>616.0</v>
      </c>
      <c r="D414" s="540" t="s">
        <v>3009</v>
      </c>
      <c r="E414" s="541">
        <v>1.0</v>
      </c>
      <c r="F414" s="542" t="s">
        <v>156</v>
      </c>
      <c r="G414" s="540"/>
    </row>
    <row r="415">
      <c r="A415" s="526">
        <v>45703.0</v>
      </c>
      <c r="B415" s="520" t="s">
        <v>2792</v>
      </c>
      <c r="C415" s="563">
        <v>616.0</v>
      </c>
      <c r="D415" s="528" t="s">
        <v>3010</v>
      </c>
      <c r="E415" s="529">
        <v>1.0</v>
      </c>
      <c r="F415" s="530" t="s">
        <v>156</v>
      </c>
      <c r="G415" s="528"/>
    </row>
    <row r="416">
      <c r="A416" s="538">
        <v>45703.0</v>
      </c>
      <c r="B416" s="514" t="s">
        <v>2792</v>
      </c>
      <c r="C416" s="566">
        <v>616.0</v>
      </c>
      <c r="D416" s="540" t="s">
        <v>3011</v>
      </c>
      <c r="E416" s="541">
        <v>4.0</v>
      </c>
      <c r="F416" s="542" t="s">
        <v>156</v>
      </c>
      <c r="G416" s="540"/>
    </row>
    <row r="417">
      <c r="A417" s="526">
        <v>45703.0</v>
      </c>
      <c r="B417" s="520" t="s">
        <v>2792</v>
      </c>
      <c r="C417" s="563">
        <v>616.0</v>
      </c>
      <c r="D417" s="528" t="s">
        <v>541</v>
      </c>
      <c r="E417" s="529">
        <v>5.0</v>
      </c>
      <c r="F417" s="530" t="s">
        <v>156</v>
      </c>
      <c r="G417" s="528"/>
    </row>
    <row r="418">
      <c r="A418" s="549">
        <v>45703.0</v>
      </c>
      <c r="B418" s="514" t="s">
        <v>2792</v>
      </c>
      <c r="C418" s="539">
        <v>616.0</v>
      </c>
      <c r="D418" s="550" t="s">
        <v>3012</v>
      </c>
      <c r="E418" s="561">
        <v>6.0</v>
      </c>
      <c r="F418" s="564" t="s">
        <v>3013</v>
      </c>
      <c r="G418" s="550"/>
    </row>
    <row r="419">
      <c r="A419" s="526">
        <v>45706.0</v>
      </c>
      <c r="B419" s="520" t="s">
        <v>2792</v>
      </c>
      <c r="C419" s="521">
        <v>618.0</v>
      </c>
      <c r="D419" s="528" t="s">
        <v>3014</v>
      </c>
      <c r="E419" s="529">
        <v>7.0</v>
      </c>
      <c r="F419" s="530" t="s">
        <v>156</v>
      </c>
      <c r="G419" s="528"/>
    </row>
    <row r="420">
      <c r="A420" s="538">
        <v>45706.0</v>
      </c>
      <c r="B420" s="514" t="s">
        <v>2792</v>
      </c>
      <c r="C420" s="515">
        <v>618.0</v>
      </c>
      <c r="D420" s="540" t="s">
        <v>1022</v>
      </c>
      <c r="E420" s="541">
        <v>7.0</v>
      </c>
      <c r="F420" s="542" t="s">
        <v>156</v>
      </c>
      <c r="G420" s="540"/>
    </row>
    <row r="421">
      <c r="A421" s="526">
        <v>45706.0</v>
      </c>
      <c r="B421" s="520" t="s">
        <v>2792</v>
      </c>
      <c r="C421" s="521">
        <v>618.0</v>
      </c>
      <c r="D421" s="528" t="s">
        <v>3015</v>
      </c>
      <c r="E421" s="529">
        <v>7.0</v>
      </c>
      <c r="F421" s="530" t="s">
        <v>156</v>
      </c>
      <c r="G421" s="528"/>
    </row>
    <row r="422">
      <c r="A422" s="538">
        <v>45706.0</v>
      </c>
      <c r="B422" s="514" t="s">
        <v>2792</v>
      </c>
      <c r="C422" s="515">
        <v>618.0</v>
      </c>
      <c r="D422" s="540" t="s">
        <v>3016</v>
      </c>
      <c r="E422" s="541">
        <v>7.0</v>
      </c>
      <c r="F422" s="542" t="s">
        <v>156</v>
      </c>
      <c r="G422" s="540"/>
    </row>
    <row r="423">
      <c r="A423" s="526">
        <v>45706.0</v>
      </c>
      <c r="B423" s="520" t="s">
        <v>2792</v>
      </c>
      <c r="C423" s="527">
        <v>618.0</v>
      </c>
      <c r="D423" s="528" t="s">
        <v>3017</v>
      </c>
      <c r="E423" s="529">
        <v>5.0</v>
      </c>
      <c r="F423" s="530" t="s">
        <v>156</v>
      </c>
      <c r="G423" s="528"/>
    </row>
    <row r="424">
      <c r="A424" s="533">
        <v>45706.0</v>
      </c>
      <c r="B424" s="514" t="s">
        <v>2792</v>
      </c>
      <c r="C424" s="515">
        <v>618.0</v>
      </c>
      <c r="D424" s="540" t="s">
        <v>3018</v>
      </c>
      <c r="E424" s="541">
        <v>4.0</v>
      </c>
      <c r="F424" s="542" t="s">
        <v>165</v>
      </c>
      <c r="G424" s="540"/>
    </row>
    <row r="425">
      <c r="A425" s="535">
        <v>45706.0</v>
      </c>
      <c r="B425" s="520" t="s">
        <v>2792</v>
      </c>
      <c r="C425" s="521">
        <v>618.0</v>
      </c>
      <c r="D425" s="528" t="s">
        <v>3019</v>
      </c>
      <c r="E425" s="529">
        <v>1.0</v>
      </c>
      <c r="F425" s="530" t="s">
        <v>1451</v>
      </c>
      <c r="G425" s="528"/>
    </row>
    <row r="426">
      <c r="A426" s="533">
        <v>45706.0</v>
      </c>
      <c r="B426" s="514" t="s">
        <v>2792</v>
      </c>
      <c r="C426" s="515">
        <v>618.0</v>
      </c>
      <c r="D426" s="540" t="s">
        <v>686</v>
      </c>
      <c r="E426" s="541">
        <v>20.0</v>
      </c>
      <c r="F426" s="542" t="s">
        <v>165</v>
      </c>
      <c r="G426" s="540"/>
    </row>
    <row r="427">
      <c r="A427" s="535">
        <v>45706.0</v>
      </c>
      <c r="B427" s="520" t="s">
        <v>2792</v>
      </c>
      <c r="C427" s="521">
        <v>618.0</v>
      </c>
      <c r="D427" s="528" t="s">
        <v>687</v>
      </c>
      <c r="E427" s="529">
        <v>20.0</v>
      </c>
      <c r="F427" s="530" t="s">
        <v>165</v>
      </c>
      <c r="G427" s="528"/>
    </row>
    <row r="428">
      <c r="A428" s="533">
        <v>45706.0</v>
      </c>
      <c r="B428" s="514" t="s">
        <v>2792</v>
      </c>
      <c r="C428" s="515">
        <v>618.0</v>
      </c>
      <c r="D428" s="540" t="s">
        <v>3020</v>
      </c>
      <c r="E428" s="541">
        <v>20.0</v>
      </c>
      <c r="F428" s="542" t="s">
        <v>165</v>
      </c>
      <c r="G428" s="540"/>
    </row>
    <row r="429">
      <c r="A429" s="535">
        <v>45706.0</v>
      </c>
      <c r="B429" s="520" t="s">
        <v>2792</v>
      </c>
      <c r="C429" s="521">
        <v>618.0</v>
      </c>
      <c r="D429" s="528" t="s">
        <v>693</v>
      </c>
      <c r="E429" s="529">
        <v>20.0</v>
      </c>
      <c r="F429" s="530" t="s">
        <v>165</v>
      </c>
      <c r="G429" s="528"/>
    </row>
    <row r="430">
      <c r="A430" s="533">
        <v>45706.0</v>
      </c>
      <c r="B430" s="514" t="s">
        <v>2792</v>
      </c>
      <c r="C430" s="515">
        <v>618.0</v>
      </c>
      <c r="D430" s="543" t="s">
        <v>3021</v>
      </c>
      <c r="E430" s="541">
        <v>24.0</v>
      </c>
      <c r="F430" s="542" t="s">
        <v>165</v>
      </c>
      <c r="G430" s="540"/>
    </row>
    <row r="431">
      <c r="A431" s="535">
        <v>45706.0</v>
      </c>
      <c r="B431" s="520" t="s">
        <v>2792</v>
      </c>
      <c r="C431" s="521">
        <v>618.0</v>
      </c>
      <c r="D431" s="528" t="s">
        <v>691</v>
      </c>
      <c r="E431" s="529">
        <v>7.0</v>
      </c>
      <c r="F431" s="530" t="s">
        <v>1451</v>
      </c>
      <c r="G431" s="528"/>
    </row>
    <row r="432">
      <c r="A432" s="533">
        <v>45706.0</v>
      </c>
      <c r="B432" s="514" t="s">
        <v>2792</v>
      </c>
      <c r="C432" s="515">
        <v>619.0</v>
      </c>
      <c r="D432" s="550" t="s">
        <v>437</v>
      </c>
      <c r="E432" s="561">
        <v>2.0</v>
      </c>
      <c r="F432" s="564" t="s">
        <v>165</v>
      </c>
      <c r="G432" s="550"/>
    </row>
    <row r="433">
      <c r="A433" s="535">
        <v>45706.0</v>
      </c>
      <c r="B433" s="520" t="s">
        <v>2792</v>
      </c>
      <c r="C433" s="521">
        <v>619.0</v>
      </c>
      <c r="D433" s="545" t="s">
        <v>3022</v>
      </c>
      <c r="E433" s="546">
        <v>1.0</v>
      </c>
      <c r="F433" s="553" t="s">
        <v>65</v>
      </c>
      <c r="G433" s="545"/>
    </row>
    <row r="434">
      <c r="A434" s="533">
        <v>45706.0</v>
      </c>
      <c r="B434" s="514" t="s">
        <v>2792</v>
      </c>
      <c r="C434" s="515">
        <v>619.0</v>
      </c>
      <c r="D434" s="550" t="s">
        <v>704</v>
      </c>
      <c r="E434" s="561">
        <v>1.0</v>
      </c>
      <c r="F434" s="564" t="s">
        <v>65</v>
      </c>
      <c r="G434" s="550"/>
    </row>
    <row r="435">
      <c r="A435" s="535">
        <v>45706.0</v>
      </c>
      <c r="B435" s="520" t="s">
        <v>2792</v>
      </c>
      <c r="C435" s="521">
        <v>619.0</v>
      </c>
      <c r="D435" s="545" t="s">
        <v>3023</v>
      </c>
      <c r="E435" s="546">
        <v>20.0</v>
      </c>
      <c r="F435" s="553" t="s">
        <v>165</v>
      </c>
      <c r="G435" s="545"/>
    </row>
    <row r="436">
      <c r="A436" s="533">
        <v>45706.0</v>
      </c>
      <c r="B436" s="514" t="s">
        <v>2792</v>
      </c>
      <c r="C436" s="515">
        <v>619.0</v>
      </c>
      <c r="D436" s="550" t="s">
        <v>3024</v>
      </c>
      <c r="E436" s="561">
        <v>2.0</v>
      </c>
      <c r="F436" s="564" t="s">
        <v>165</v>
      </c>
      <c r="G436" s="550"/>
    </row>
    <row r="437">
      <c r="A437" s="535">
        <v>45706.0</v>
      </c>
      <c r="B437" s="520" t="s">
        <v>2792</v>
      </c>
      <c r="C437" s="521">
        <v>619.0</v>
      </c>
      <c r="D437" s="545" t="s">
        <v>700</v>
      </c>
      <c r="E437" s="546">
        <v>1.0</v>
      </c>
      <c r="F437" s="553" t="s">
        <v>65</v>
      </c>
      <c r="G437" s="545"/>
    </row>
    <row r="438">
      <c r="A438" s="533">
        <v>45706.0</v>
      </c>
      <c r="B438" s="514" t="s">
        <v>2792</v>
      </c>
      <c r="C438" s="515">
        <v>619.0</v>
      </c>
      <c r="D438" s="550" t="s">
        <v>3025</v>
      </c>
      <c r="E438" s="561">
        <v>1.0</v>
      </c>
      <c r="F438" s="564" t="s">
        <v>65</v>
      </c>
      <c r="G438" s="550"/>
    </row>
    <row r="439">
      <c r="A439" s="535">
        <v>45706.0</v>
      </c>
      <c r="B439" s="520" t="s">
        <v>2792</v>
      </c>
      <c r="C439" s="521">
        <v>619.0</v>
      </c>
      <c r="D439" s="545" t="s">
        <v>708</v>
      </c>
      <c r="E439" s="546">
        <v>2.0</v>
      </c>
      <c r="F439" s="553" t="s">
        <v>165</v>
      </c>
      <c r="G439" s="545"/>
    </row>
    <row r="440">
      <c r="A440" s="533">
        <v>45706.0</v>
      </c>
      <c r="B440" s="514" t="s">
        <v>2792</v>
      </c>
      <c r="C440" s="515">
        <v>619.0</v>
      </c>
      <c r="D440" s="550" t="s">
        <v>3026</v>
      </c>
      <c r="E440" s="561">
        <v>3.0</v>
      </c>
      <c r="F440" s="564" t="s">
        <v>165</v>
      </c>
      <c r="G440" s="550"/>
    </row>
    <row r="441">
      <c r="A441" s="535">
        <v>45706.0</v>
      </c>
      <c r="B441" s="520" t="s">
        <v>2792</v>
      </c>
      <c r="C441" s="557">
        <v>619.0</v>
      </c>
      <c r="D441" s="536" t="s">
        <v>3027</v>
      </c>
      <c r="E441" s="537">
        <v>1.0</v>
      </c>
      <c r="F441" s="547" t="s">
        <v>165</v>
      </c>
      <c r="G441" s="528"/>
    </row>
    <row r="442">
      <c r="A442" s="533">
        <v>45706.0</v>
      </c>
      <c r="B442" s="514" t="s">
        <v>2792</v>
      </c>
      <c r="C442" s="515">
        <v>619.0</v>
      </c>
      <c r="D442" s="550" t="s">
        <v>703</v>
      </c>
      <c r="E442" s="561">
        <v>1.0</v>
      </c>
      <c r="F442" s="564" t="s">
        <v>65</v>
      </c>
      <c r="G442" s="550"/>
    </row>
    <row r="443">
      <c r="A443" s="535">
        <v>45706.0</v>
      </c>
      <c r="B443" s="520" t="s">
        <v>2792</v>
      </c>
      <c r="C443" s="521">
        <v>619.0</v>
      </c>
      <c r="D443" s="545" t="s">
        <v>3028</v>
      </c>
      <c r="E443" s="546">
        <v>1.0</v>
      </c>
      <c r="F443" s="553" t="s">
        <v>65</v>
      </c>
      <c r="G443" s="545"/>
    </row>
    <row r="444">
      <c r="A444" s="533">
        <v>45706.0</v>
      </c>
      <c r="B444" s="514" t="s">
        <v>2792</v>
      </c>
      <c r="C444" s="515">
        <v>619.0</v>
      </c>
      <c r="D444" s="550" t="s">
        <v>702</v>
      </c>
      <c r="E444" s="561">
        <v>2.0</v>
      </c>
      <c r="F444" s="564" t="s">
        <v>165</v>
      </c>
      <c r="G444" s="550"/>
    </row>
    <row r="445">
      <c r="A445" s="535">
        <v>45706.0</v>
      </c>
      <c r="B445" s="520" t="s">
        <v>2792</v>
      </c>
      <c r="C445" s="521">
        <v>620.0</v>
      </c>
      <c r="D445" s="528" t="s">
        <v>436</v>
      </c>
      <c r="E445" s="529">
        <v>2.0</v>
      </c>
      <c r="F445" s="530" t="s">
        <v>156</v>
      </c>
      <c r="G445" s="528"/>
    </row>
    <row r="446">
      <c r="A446" s="533">
        <v>45706.0</v>
      </c>
      <c r="B446" s="514" t="s">
        <v>2792</v>
      </c>
      <c r="C446" s="515">
        <v>620.0</v>
      </c>
      <c r="D446" s="540" t="s">
        <v>303</v>
      </c>
      <c r="E446" s="541">
        <v>2.0</v>
      </c>
      <c r="F446" s="542" t="s">
        <v>156</v>
      </c>
      <c r="G446" s="540"/>
    </row>
    <row r="447">
      <c r="A447" s="535">
        <v>45706.0</v>
      </c>
      <c r="B447" s="520" t="s">
        <v>2792</v>
      </c>
      <c r="C447" s="521">
        <v>620.0</v>
      </c>
      <c r="D447" s="528" t="s">
        <v>3029</v>
      </c>
      <c r="E447" s="529">
        <v>1.0</v>
      </c>
      <c r="F447" s="530" t="s">
        <v>89</v>
      </c>
      <c r="G447" s="528"/>
    </row>
    <row r="448">
      <c r="A448" s="538">
        <v>45706.0</v>
      </c>
      <c r="B448" s="514" t="s">
        <v>2792</v>
      </c>
      <c r="C448" s="515">
        <v>620.0</v>
      </c>
      <c r="D448" s="540" t="s">
        <v>3030</v>
      </c>
      <c r="E448" s="541">
        <v>1.0</v>
      </c>
      <c r="F448" s="542" t="s">
        <v>156</v>
      </c>
      <c r="G448" s="540"/>
    </row>
    <row r="449">
      <c r="A449" s="526">
        <v>45706.0</v>
      </c>
      <c r="B449" s="520" t="s">
        <v>2792</v>
      </c>
      <c r="C449" s="521">
        <v>621.0</v>
      </c>
      <c r="D449" s="528" t="s">
        <v>3022</v>
      </c>
      <c r="E449" s="529">
        <v>200.0</v>
      </c>
      <c r="F449" s="530" t="s">
        <v>156</v>
      </c>
      <c r="G449" s="528"/>
    </row>
    <row r="450">
      <c r="A450" s="538">
        <v>45706.0</v>
      </c>
      <c r="B450" s="514" t="s">
        <v>2792</v>
      </c>
      <c r="C450" s="515">
        <v>621.0</v>
      </c>
      <c r="D450" s="540" t="s">
        <v>3031</v>
      </c>
      <c r="E450" s="541">
        <v>200.0</v>
      </c>
      <c r="F450" s="542" t="s">
        <v>156</v>
      </c>
      <c r="G450" s="540"/>
    </row>
    <row r="451">
      <c r="A451" s="526">
        <v>45707.0</v>
      </c>
      <c r="B451" s="520" t="s">
        <v>2792</v>
      </c>
      <c r="C451" s="521">
        <v>249.0</v>
      </c>
      <c r="D451" s="536" t="s">
        <v>2855</v>
      </c>
      <c r="E451" s="529">
        <v>5.0</v>
      </c>
      <c r="F451" s="530" t="s">
        <v>156</v>
      </c>
      <c r="G451" s="528"/>
    </row>
    <row r="452">
      <c r="A452" s="513">
        <v>45708.0</v>
      </c>
      <c r="B452" s="514" t="s">
        <v>2792</v>
      </c>
      <c r="C452" s="515">
        <v>622.0</v>
      </c>
      <c r="D452" s="580" t="s">
        <v>2988</v>
      </c>
      <c r="E452" s="517">
        <v>200.0</v>
      </c>
      <c r="F452" s="518" t="s">
        <v>74</v>
      </c>
      <c r="G452" s="550"/>
    </row>
    <row r="453">
      <c r="A453" s="519">
        <v>45708.0</v>
      </c>
      <c r="B453" s="520" t="s">
        <v>2792</v>
      </c>
      <c r="C453" s="521">
        <v>622.0</v>
      </c>
      <c r="D453" s="522" t="s">
        <v>490</v>
      </c>
      <c r="E453" s="523">
        <v>450.0</v>
      </c>
      <c r="F453" s="524" t="s">
        <v>74</v>
      </c>
      <c r="G453" s="545"/>
    </row>
    <row r="454">
      <c r="A454" s="513">
        <v>45708.0</v>
      </c>
      <c r="B454" s="514" t="s">
        <v>2792</v>
      </c>
      <c r="C454" s="515">
        <v>622.0</v>
      </c>
      <c r="D454" s="525" t="s">
        <v>275</v>
      </c>
      <c r="E454" s="517">
        <v>900.0</v>
      </c>
      <c r="F454" s="518" t="s">
        <v>74</v>
      </c>
      <c r="G454" s="550"/>
    </row>
    <row r="455">
      <c r="A455" s="519">
        <v>45708.0</v>
      </c>
      <c r="B455" s="520" t="s">
        <v>2792</v>
      </c>
      <c r="C455" s="521">
        <v>622.0</v>
      </c>
      <c r="D455" s="522" t="s">
        <v>511</v>
      </c>
      <c r="E455" s="523">
        <v>1.0</v>
      </c>
      <c r="F455" s="524" t="s">
        <v>156</v>
      </c>
      <c r="G455" s="545"/>
    </row>
    <row r="456">
      <c r="A456" s="513">
        <v>45708.0</v>
      </c>
      <c r="B456" s="514" t="s">
        <v>2792</v>
      </c>
      <c r="C456" s="515">
        <v>622.0</v>
      </c>
      <c r="D456" s="525" t="s">
        <v>279</v>
      </c>
      <c r="E456" s="517">
        <v>100.0</v>
      </c>
      <c r="F456" s="518" t="s">
        <v>156</v>
      </c>
      <c r="G456" s="550"/>
    </row>
    <row r="457">
      <c r="A457" s="526">
        <v>45708.0</v>
      </c>
      <c r="B457" s="520" t="s">
        <v>2792</v>
      </c>
      <c r="C457" s="521">
        <v>622.0</v>
      </c>
      <c r="D457" s="528" t="s">
        <v>2901</v>
      </c>
      <c r="E457" s="529">
        <v>5.0</v>
      </c>
      <c r="F457" s="530" t="s">
        <v>156</v>
      </c>
      <c r="G457" s="528"/>
    </row>
    <row r="458">
      <c r="A458" s="538">
        <v>45708.0</v>
      </c>
      <c r="B458" s="514" t="s">
        <v>2792</v>
      </c>
      <c r="C458" s="515">
        <v>622.0</v>
      </c>
      <c r="D458" s="540" t="s">
        <v>1262</v>
      </c>
      <c r="E458" s="541">
        <v>5.0</v>
      </c>
      <c r="F458" s="542" t="s">
        <v>156</v>
      </c>
      <c r="G458" s="540"/>
    </row>
    <row r="459">
      <c r="A459" s="526">
        <v>45708.0</v>
      </c>
      <c r="B459" s="520" t="s">
        <v>2792</v>
      </c>
      <c r="C459" s="521">
        <v>622.0</v>
      </c>
      <c r="D459" s="528" t="s">
        <v>2903</v>
      </c>
      <c r="E459" s="529">
        <v>10.0</v>
      </c>
      <c r="F459" s="530" t="s">
        <v>156</v>
      </c>
      <c r="G459" s="528"/>
    </row>
    <row r="460">
      <c r="A460" s="533">
        <v>45708.0</v>
      </c>
      <c r="B460" s="514" t="s">
        <v>2792</v>
      </c>
      <c r="C460" s="539">
        <v>622.0</v>
      </c>
      <c r="D460" s="516" t="s">
        <v>634</v>
      </c>
      <c r="E460" s="534">
        <v>1.0</v>
      </c>
      <c r="F460" s="542" t="s">
        <v>156</v>
      </c>
      <c r="G460" s="540"/>
    </row>
    <row r="461">
      <c r="A461" s="526">
        <v>45708.0</v>
      </c>
      <c r="B461" s="520" t="s">
        <v>2792</v>
      </c>
      <c r="C461" s="527">
        <v>622.0</v>
      </c>
      <c r="D461" s="528" t="s">
        <v>354</v>
      </c>
      <c r="E461" s="529">
        <v>4.0</v>
      </c>
      <c r="F461" s="530" t="s">
        <v>981</v>
      </c>
      <c r="G461" s="528"/>
    </row>
    <row r="462">
      <c r="A462" s="538">
        <v>45708.0</v>
      </c>
      <c r="B462" s="514" t="s">
        <v>2792</v>
      </c>
      <c r="C462" s="539">
        <v>622.0</v>
      </c>
      <c r="D462" s="540" t="s">
        <v>810</v>
      </c>
      <c r="E462" s="541">
        <v>1.0</v>
      </c>
      <c r="F462" s="542" t="s">
        <v>156</v>
      </c>
      <c r="G462" s="540"/>
    </row>
    <row r="463">
      <c r="A463" s="526">
        <v>45708.0</v>
      </c>
      <c r="B463" s="520" t="s">
        <v>2792</v>
      </c>
      <c r="C463" s="563">
        <v>622.0</v>
      </c>
      <c r="D463" s="528" t="s">
        <v>408</v>
      </c>
      <c r="E463" s="529">
        <v>10.0</v>
      </c>
      <c r="F463" s="530" t="s">
        <v>2869</v>
      </c>
      <c r="G463" s="528"/>
    </row>
    <row r="464">
      <c r="A464" s="538">
        <v>45708.0</v>
      </c>
      <c r="B464" s="514" t="s">
        <v>2792</v>
      </c>
      <c r="C464" s="539">
        <v>622.0</v>
      </c>
      <c r="D464" s="540" t="s">
        <v>438</v>
      </c>
      <c r="E464" s="541">
        <v>100.0</v>
      </c>
      <c r="F464" s="542" t="s">
        <v>156</v>
      </c>
      <c r="G464" s="540"/>
    </row>
    <row r="465">
      <c r="A465" s="519">
        <v>45708.0</v>
      </c>
      <c r="B465" s="520" t="s">
        <v>2792</v>
      </c>
      <c r="C465" s="521">
        <v>623.0</v>
      </c>
      <c r="D465" s="522" t="s">
        <v>2881</v>
      </c>
      <c r="E465" s="523">
        <v>150.0</v>
      </c>
      <c r="F465" s="524" t="s">
        <v>156</v>
      </c>
      <c r="G465" s="545"/>
    </row>
    <row r="466">
      <c r="A466" s="533">
        <v>45708.0</v>
      </c>
      <c r="B466" s="514" t="s">
        <v>2792</v>
      </c>
      <c r="C466" s="515">
        <v>623.0</v>
      </c>
      <c r="D466" s="516" t="s">
        <v>3032</v>
      </c>
      <c r="E466" s="534">
        <v>3.0</v>
      </c>
      <c r="F466" s="542" t="s">
        <v>156</v>
      </c>
      <c r="G466" s="540"/>
    </row>
    <row r="467">
      <c r="A467" s="535">
        <v>45708.0</v>
      </c>
      <c r="B467" s="520" t="s">
        <v>2792</v>
      </c>
      <c r="C467" s="521">
        <v>623.0</v>
      </c>
      <c r="D467" s="536" t="s">
        <v>3033</v>
      </c>
      <c r="E467" s="537">
        <v>2.0</v>
      </c>
      <c r="F467" s="530" t="s">
        <v>156</v>
      </c>
      <c r="G467" s="528"/>
    </row>
    <row r="468">
      <c r="A468" s="533">
        <v>45708.0</v>
      </c>
      <c r="B468" s="514" t="s">
        <v>2792</v>
      </c>
      <c r="C468" s="515">
        <v>623.0</v>
      </c>
      <c r="D468" s="516" t="s">
        <v>446</v>
      </c>
      <c r="E468" s="534">
        <v>20.0</v>
      </c>
      <c r="F468" s="542" t="s">
        <v>156</v>
      </c>
      <c r="G468" s="540"/>
    </row>
    <row r="469">
      <c r="A469" s="526">
        <v>45708.0</v>
      </c>
      <c r="B469" s="520" t="s">
        <v>2792</v>
      </c>
      <c r="C469" s="527">
        <v>623.0</v>
      </c>
      <c r="D469" s="528" t="s">
        <v>3034</v>
      </c>
      <c r="E469" s="529">
        <v>10.0</v>
      </c>
      <c r="F469" s="530" t="s">
        <v>156</v>
      </c>
      <c r="G469" s="528"/>
    </row>
    <row r="470">
      <c r="A470" s="538">
        <v>45708.0</v>
      </c>
      <c r="B470" s="514" t="s">
        <v>2792</v>
      </c>
      <c r="C470" s="539">
        <v>623.0</v>
      </c>
      <c r="D470" s="540" t="s">
        <v>3001</v>
      </c>
      <c r="E470" s="541">
        <v>5.0</v>
      </c>
      <c r="F470" s="542" t="s">
        <v>156</v>
      </c>
      <c r="G470" s="540"/>
    </row>
    <row r="471">
      <c r="A471" s="526">
        <v>45708.0</v>
      </c>
      <c r="B471" s="520" t="s">
        <v>2792</v>
      </c>
      <c r="C471" s="527">
        <v>623.0</v>
      </c>
      <c r="D471" s="528" t="s">
        <v>751</v>
      </c>
      <c r="E471" s="529">
        <v>10.0</v>
      </c>
      <c r="F471" s="530" t="s">
        <v>156</v>
      </c>
      <c r="G471" s="528"/>
    </row>
    <row r="472">
      <c r="A472" s="538">
        <v>45708.0</v>
      </c>
      <c r="B472" s="514" t="s">
        <v>2792</v>
      </c>
      <c r="C472" s="566">
        <v>623.0</v>
      </c>
      <c r="D472" s="540" t="s">
        <v>751</v>
      </c>
      <c r="E472" s="541">
        <v>1.0</v>
      </c>
      <c r="F472" s="542" t="s">
        <v>319</v>
      </c>
      <c r="G472" s="540"/>
    </row>
    <row r="473">
      <c r="A473" s="526">
        <v>45708.0</v>
      </c>
      <c r="B473" s="520" t="s">
        <v>2792</v>
      </c>
      <c r="C473" s="521">
        <v>623.0</v>
      </c>
      <c r="D473" s="528" t="s">
        <v>3035</v>
      </c>
      <c r="E473" s="529">
        <v>5.0</v>
      </c>
      <c r="F473" s="530" t="s">
        <v>156</v>
      </c>
      <c r="G473" s="528"/>
    </row>
    <row r="474">
      <c r="A474" s="538">
        <v>45708.0</v>
      </c>
      <c r="B474" s="514" t="s">
        <v>2792</v>
      </c>
      <c r="C474" s="515">
        <v>623.0</v>
      </c>
      <c r="D474" s="540" t="s">
        <v>407</v>
      </c>
      <c r="E474" s="541">
        <v>12.0</v>
      </c>
      <c r="F474" s="542" t="s">
        <v>156</v>
      </c>
      <c r="G474" s="540"/>
    </row>
    <row r="475">
      <c r="A475" s="519">
        <v>45715.0</v>
      </c>
      <c r="B475" s="520" t="s">
        <v>2792</v>
      </c>
      <c r="C475" s="521">
        <v>626.0</v>
      </c>
      <c r="D475" s="522" t="s">
        <v>3036</v>
      </c>
      <c r="E475" s="523">
        <v>340.0</v>
      </c>
      <c r="F475" s="524" t="s">
        <v>74</v>
      </c>
      <c r="G475" s="545"/>
    </row>
    <row r="476">
      <c r="A476" s="513">
        <v>45715.0</v>
      </c>
      <c r="B476" s="514" t="s">
        <v>2792</v>
      </c>
      <c r="C476" s="515">
        <v>626.0</v>
      </c>
      <c r="D476" s="525" t="s">
        <v>3037</v>
      </c>
      <c r="E476" s="517">
        <v>7.0</v>
      </c>
      <c r="F476" s="518" t="s">
        <v>156</v>
      </c>
      <c r="G476" s="550"/>
    </row>
    <row r="477">
      <c r="A477" s="526">
        <v>45715.0</v>
      </c>
      <c r="B477" s="520" t="s">
        <v>2792</v>
      </c>
      <c r="C477" s="521">
        <v>626.0</v>
      </c>
      <c r="D477" s="528" t="s">
        <v>351</v>
      </c>
      <c r="E477" s="529">
        <v>25.0</v>
      </c>
      <c r="F477" s="530" t="s">
        <v>34</v>
      </c>
      <c r="G477" s="528"/>
    </row>
    <row r="478">
      <c r="A478" s="538">
        <v>45715.0</v>
      </c>
      <c r="B478" s="514" t="s">
        <v>2792</v>
      </c>
      <c r="C478" s="515">
        <v>626.0</v>
      </c>
      <c r="D478" s="540" t="s">
        <v>350</v>
      </c>
      <c r="E478" s="541">
        <v>25.0</v>
      </c>
      <c r="F478" s="542" t="s">
        <v>34</v>
      </c>
      <c r="G478" s="540"/>
    </row>
    <row r="479">
      <c r="A479" s="535">
        <v>45715.0</v>
      </c>
      <c r="B479" s="520" t="s">
        <v>2792</v>
      </c>
      <c r="C479" s="521">
        <v>626.0</v>
      </c>
      <c r="D479" s="536" t="s">
        <v>418</v>
      </c>
      <c r="E479" s="537">
        <v>25.0</v>
      </c>
      <c r="F479" s="547" t="s">
        <v>34</v>
      </c>
      <c r="G479" s="528"/>
    </row>
    <row r="480">
      <c r="A480" s="533">
        <v>45715.0</v>
      </c>
      <c r="B480" s="514" t="s">
        <v>2792</v>
      </c>
      <c r="C480" s="515">
        <v>626.0</v>
      </c>
      <c r="D480" s="516" t="s">
        <v>152</v>
      </c>
      <c r="E480" s="534">
        <v>15.0</v>
      </c>
      <c r="F480" s="544" t="s">
        <v>74</v>
      </c>
      <c r="G480" s="540"/>
    </row>
    <row r="481">
      <c r="A481" s="535">
        <v>45715.0</v>
      </c>
      <c r="B481" s="520" t="s">
        <v>2792</v>
      </c>
      <c r="C481" s="521">
        <v>626.0</v>
      </c>
      <c r="D481" s="536" t="s">
        <v>116</v>
      </c>
      <c r="E481" s="537">
        <v>10.0</v>
      </c>
      <c r="F481" s="547" t="s">
        <v>156</v>
      </c>
      <c r="G481" s="528"/>
    </row>
    <row r="482">
      <c r="A482" s="538">
        <v>45715.0</v>
      </c>
      <c r="B482" s="514" t="s">
        <v>2792</v>
      </c>
      <c r="C482" s="539">
        <v>626.0</v>
      </c>
      <c r="D482" s="540" t="s">
        <v>2857</v>
      </c>
      <c r="E482" s="541">
        <v>1.0</v>
      </c>
      <c r="F482" s="542" t="s">
        <v>156</v>
      </c>
      <c r="G482" s="540"/>
    </row>
    <row r="483">
      <c r="A483" s="526">
        <v>45715.0</v>
      </c>
      <c r="B483" s="520" t="s">
        <v>2792</v>
      </c>
      <c r="C483" s="527">
        <v>626.0</v>
      </c>
      <c r="D483" s="528" t="s">
        <v>3038</v>
      </c>
      <c r="E483" s="529">
        <v>1.0</v>
      </c>
      <c r="F483" s="530" t="s">
        <v>156</v>
      </c>
      <c r="G483" s="528"/>
    </row>
    <row r="484">
      <c r="A484" s="538">
        <v>45715.0</v>
      </c>
      <c r="B484" s="514" t="s">
        <v>2792</v>
      </c>
      <c r="C484" s="539">
        <v>626.0</v>
      </c>
      <c r="D484" s="540" t="s">
        <v>97</v>
      </c>
      <c r="E484" s="541">
        <v>1.0</v>
      </c>
      <c r="F484" s="542" t="s">
        <v>981</v>
      </c>
      <c r="G484" s="540"/>
    </row>
    <row r="485">
      <c r="A485" s="526">
        <v>45715.0</v>
      </c>
      <c r="B485" s="520" t="s">
        <v>2792</v>
      </c>
      <c r="C485" s="527">
        <v>626.0</v>
      </c>
      <c r="D485" s="528" t="s">
        <v>3039</v>
      </c>
      <c r="E485" s="529">
        <v>5.0</v>
      </c>
      <c r="F485" s="530" t="s">
        <v>981</v>
      </c>
      <c r="G485" s="528"/>
    </row>
    <row r="486">
      <c r="A486" s="549">
        <v>45715.0</v>
      </c>
      <c r="B486" s="514" t="s">
        <v>2792</v>
      </c>
      <c r="C486" s="539">
        <v>627.0</v>
      </c>
      <c r="D486" s="550" t="s">
        <v>3040</v>
      </c>
      <c r="E486" s="561">
        <v>8.0</v>
      </c>
      <c r="F486" s="564" t="s">
        <v>156</v>
      </c>
      <c r="G486" s="550"/>
    </row>
    <row r="487">
      <c r="A487" s="519">
        <v>45715.0</v>
      </c>
      <c r="B487" s="520" t="s">
        <v>2792</v>
      </c>
      <c r="C487" s="521">
        <v>627.0</v>
      </c>
      <c r="D487" s="581" t="s">
        <v>3041</v>
      </c>
      <c r="E487" s="523">
        <v>50.0</v>
      </c>
      <c r="F487" s="524" t="s">
        <v>156</v>
      </c>
      <c r="G487" s="545"/>
    </row>
    <row r="488">
      <c r="A488" s="533">
        <v>45715.0</v>
      </c>
      <c r="B488" s="514" t="s">
        <v>2792</v>
      </c>
      <c r="C488" s="515">
        <v>627.0</v>
      </c>
      <c r="D488" s="516" t="s">
        <v>3042</v>
      </c>
      <c r="E488" s="534">
        <v>10.0</v>
      </c>
      <c r="F488" s="544" t="s">
        <v>156</v>
      </c>
      <c r="G488" s="540"/>
    </row>
    <row r="489">
      <c r="A489" s="535">
        <v>45715.0</v>
      </c>
      <c r="B489" s="520" t="s">
        <v>2792</v>
      </c>
      <c r="C489" s="521">
        <v>627.0</v>
      </c>
      <c r="D489" s="536" t="s">
        <v>3043</v>
      </c>
      <c r="E489" s="537">
        <v>6.0</v>
      </c>
      <c r="F489" s="547" t="s">
        <v>156</v>
      </c>
      <c r="G489" s="528"/>
    </row>
    <row r="490">
      <c r="A490" s="538">
        <v>45715.0</v>
      </c>
      <c r="B490" s="514" t="s">
        <v>2792</v>
      </c>
      <c r="C490" s="539">
        <v>627.0</v>
      </c>
      <c r="D490" s="540" t="s">
        <v>3044</v>
      </c>
      <c r="E490" s="541">
        <v>7.0</v>
      </c>
      <c r="F490" s="542" t="s">
        <v>156</v>
      </c>
      <c r="G490" s="540"/>
    </row>
    <row r="491">
      <c r="A491" s="526">
        <v>45715.0</v>
      </c>
      <c r="B491" s="520" t="s">
        <v>2792</v>
      </c>
      <c r="C491" s="527">
        <v>627.0</v>
      </c>
      <c r="D491" s="528" t="s">
        <v>3045</v>
      </c>
      <c r="E491" s="529">
        <v>7.0</v>
      </c>
      <c r="F491" s="530" t="s">
        <v>156</v>
      </c>
      <c r="G491" s="528"/>
    </row>
    <row r="492">
      <c r="A492" s="538">
        <v>45715.0</v>
      </c>
      <c r="B492" s="514" t="s">
        <v>2792</v>
      </c>
      <c r="C492" s="566">
        <v>627.0</v>
      </c>
      <c r="D492" s="540" t="s">
        <v>3046</v>
      </c>
      <c r="E492" s="541">
        <v>7.0</v>
      </c>
      <c r="F492" s="542" t="s">
        <v>156</v>
      </c>
      <c r="G492" s="540"/>
    </row>
    <row r="493">
      <c r="A493" s="535">
        <v>45715.0</v>
      </c>
      <c r="B493" s="520" t="s">
        <v>2792</v>
      </c>
      <c r="C493" s="527">
        <v>627.0</v>
      </c>
      <c r="D493" s="536" t="s">
        <v>3047</v>
      </c>
      <c r="E493" s="537">
        <v>5.0</v>
      </c>
      <c r="F493" s="547" t="s">
        <v>39</v>
      </c>
      <c r="G493" s="528"/>
    </row>
    <row r="494">
      <c r="A494" s="538">
        <v>45715.0</v>
      </c>
      <c r="B494" s="514" t="s">
        <v>2792</v>
      </c>
      <c r="C494" s="558">
        <v>628.0</v>
      </c>
      <c r="D494" s="540" t="s">
        <v>3048</v>
      </c>
      <c r="E494" s="582">
        <v>1.0</v>
      </c>
      <c r="F494" s="542" t="s">
        <v>156</v>
      </c>
      <c r="G494" s="540"/>
    </row>
    <row r="495">
      <c r="A495" s="535">
        <v>45715.0</v>
      </c>
      <c r="B495" s="520" t="s">
        <v>2792</v>
      </c>
      <c r="C495" s="521">
        <v>628.0</v>
      </c>
      <c r="D495" s="536" t="s">
        <v>3049</v>
      </c>
      <c r="E495" s="537">
        <v>4.0</v>
      </c>
      <c r="F495" s="547" t="s">
        <v>156</v>
      </c>
      <c r="G495" s="528"/>
    </row>
    <row r="496">
      <c r="A496" s="533">
        <v>45715.0</v>
      </c>
      <c r="B496" s="514" t="s">
        <v>2792</v>
      </c>
      <c r="C496" s="515">
        <v>628.0</v>
      </c>
      <c r="D496" s="516" t="s">
        <v>3050</v>
      </c>
      <c r="E496" s="534">
        <v>2.0</v>
      </c>
      <c r="F496" s="544" t="s">
        <v>156</v>
      </c>
      <c r="G496" s="540"/>
    </row>
    <row r="497">
      <c r="A497" s="535">
        <v>45715.0</v>
      </c>
      <c r="B497" s="520" t="s">
        <v>2792</v>
      </c>
      <c r="C497" s="521">
        <v>628.0</v>
      </c>
      <c r="D497" s="536" t="s">
        <v>3051</v>
      </c>
      <c r="E497" s="537">
        <v>45.0</v>
      </c>
      <c r="F497" s="547" t="s">
        <v>74</v>
      </c>
      <c r="G497" s="528"/>
    </row>
    <row r="498">
      <c r="A498" s="533">
        <v>45715.0</v>
      </c>
      <c r="B498" s="514" t="s">
        <v>2792</v>
      </c>
      <c r="C498" s="515">
        <v>628.0</v>
      </c>
      <c r="D498" s="516" t="s">
        <v>3052</v>
      </c>
      <c r="E498" s="534">
        <v>1.0</v>
      </c>
      <c r="F498" s="544" t="s">
        <v>156</v>
      </c>
      <c r="G498" s="540"/>
    </row>
    <row r="499">
      <c r="A499" s="535">
        <v>45715.0</v>
      </c>
      <c r="B499" s="520" t="s">
        <v>2792</v>
      </c>
      <c r="C499" s="521">
        <v>628.0</v>
      </c>
      <c r="D499" s="536" t="s">
        <v>3053</v>
      </c>
      <c r="E499" s="537">
        <v>1.0</v>
      </c>
      <c r="F499" s="547" t="s">
        <v>156</v>
      </c>
      <c r="G499" s="528"/>
    </row>
    <row r="500">
      <c r="A500" s="538">
        <v>45715.0</v>
      </c>
      <c r="B500" s="514" t="s">
        <v>2792</v>
      </c>
      <c r="C500" s="515">
        <v>628.0</v>
      </c>
      <c r="D500" s="540" t="s">
        <v>3054</v>
      </c>
      <c r="E500" s="541">
        <v>1.0</v>
      </c>
      <c r="F500" s="544" t="s">
        <v>156</v>
      </c>
      <c r="G500" s="540"/>
    </row>
    <row r="501">
      <c r="A501" s="526">
        <v>45715.0</v>
      </c>
      <c r="B501" s="520" t="s">
        <v>2792</v>
      </c>
      <c r="C501" s="527">
        <v>628.0</v>
      </c>
      <c r="D501" s="528" t="s">
        <v>61</v>
      </c>
      <c r="E501" s="529">
        <v>4.0</v>
      </c>
      <c r="F501" s="530" t="s">
        <v>156</v>
      </c>
      <c r="G501" s="528"/>
    </row>
    <row r="502">
      <c r="A502" s="538">
        <v>45715.0</v>
      </c>
      <c r="B502" s="514" t="s">
        <v>2792</v>
      </c>
      <c r="C502" s="539">
        <v>628.0</v>
      </c>
      <c r="D502" s="540" t="s">
        <v>3055</v>
      </c>
      <c r="E502" s="541">
        <v>3.0</v>
      </c>
      <c r="F502" s="542" t="s">
        <v>156</v>
      </c>
      <c r="G502" s="540"/>
    </row>
    <row r="503">
      <c r="A503" s="526">
        <v>45715.0</v>
      </c>
      <c r="B503" s="520" t="s">
        <v>2792</v>
      </c>
      <c r="C503" s="563">
        <v>628.0</v>
      </c>
      <c r="D503" s="528" t="s">
        <v>3056</v>
      </c>
      <c r="E503" s="529">
        <v>1.0</v>
      </c>
      <c r="F503" s="530" t="s">
        <v>156</v>
      </c>
      <c r="G503" s="528"/>
    </row>
    <row r="504">
      <c r="A504" s="533">
        <v>45715.0</v>
      </c>
      <c r="B504" s="514" t="s">
        <v>2792</v>
      </c>
      <c r="C504" s="515">
        <v>629.0</v>
      </c>
      <c r="D504" s="516" t="s">
        <v>3057</v>
      </c>
      <c r="E504" s="534">
        <v>10.0</v>
      </c>
      <c r="F504" s="544" t="s">
        <v>156</v>
      </c>
      <c r="G504" s="540"/>
    </row>
    <row r="505">
      <c r="A505" s="535">
        <v>45715.0</v>
      </c>
      <c r="B505" s="520" t="s">
        <v>2792</v>
      </c>
      <c r="C505" s="521">
        <v>629.0</v>
      </c>
      <c r="D505" s="536" t="s">
        <v>736</v>
      </c>
      <c r="E505" s="537">
        <v>10.0</v>
      </c>
      <c r="F505" s="547" t="s">
        <v>156</v>
      </c>
      <c r="G505" s="528"/>
    </row>
    <row r="506">
      <c r="A506" s="533">
        <v>45715.0</v>
      </c>
      <c r="B506" s="514" t="s">
        <v>2792</v>
      </c>
      <c r="C506" s="515">
        <v>629.0</v>
      </c>
      <c r="D506" s="516" t="s">
        <v>3058</v>
      </c>
      <c r="E506" s="534">
        <v>7.0</v>
      </c>
      <c r="F506" s="544" t="s">
        <v>156</v>
      </c>
      <c r="G506" s="540"/>
    </row>
    <row r="507">
      <c r="A507" s="535">
        <v>45715.0</v>
      </c>
      <c r="B507" s="520" t="s">
        <v>2792</v>
      </c>
      <c r="C507" s="527">
        <v>629.0</v>
      </c>
      <c r="D507" s="536" t="s">
        <v>3059</v>
      </c>
      <c r="E507" s="537">
        <v>7.0</v>
      </c>
      <c r="F507" s="530" t="s">
        <v>156</v>
      </c>
      <c r="G507" s="528"/>
    </row>
    <row r="508">
      <c r="A508" s="533">
        <v>45715.0</v>
      </c>
      <c r="B508" s="514" t="s">
        <v>2792</v>
      </c>
      <c r="C508" s="539">
        <v>629.0</v>
      </c>
      <c r="D508" s="516" t="s">
        <v>3060</v>
      </c>
      <c r="E508" s="534">
        <v>7.0</v>
      </c>
      <c r="F508" s="542" t="s">
        <v>156</v>
      </c>
      <c r="G508" s="540"/>
    </row>
    <row r="509">
      <c r="A509" s="526">
        <v>45715.0</v>
      </c>
      <c r="B509" s="520" t="s">
        <v>2792</v>
      </c>
      <c r="C509" s="527">
        <v>629.0</v>
      </c>
      <c r="D509" s="528" t="s">
        <v>3061</v>
      </c>
      <c r="E509" s="529">
        <v>7.0</v>
      </c>
      <c r="F509" s="530" t="s">
        <v>156</v>
      </c>
      <c r="G509" s="528"/>
    </row>
    <row r="510">
      <c r="A510" s="549">
        <v>45719.0</v>
      </c>
      <c r="B510" s="514" t="s">
        <v>2792</v>
      </c>
      <c r="C510" s="539">
        <v>630.0</v>
      </c>
      <c r="D510" s="550" t="s">
        <v>1555</v>
      </c>
      <c r="E510" s="583">
        <v>2.0</v>
      </c>
      <c r="F510" s="544" t="s">
        <v>156</v>
      </c>
      <c r="G510" s="540"/>
    </row>
    <row r="511">
      <c r="A511" s="526">
        <v>45719.0</v>
      </c>
      <c r="B511" s="520" t="s">
        <v>2792</v>
      </c>
      <c r="C511" s="527">
        <v>630.0</v>
      </c>
      <c r="D511" s="528" t="s">
        <v>615</v>
      </c>
      <c r="E511" s="529">
        <v>20.0</v>
      </c>
      <c r="F511" s="530" t="s">
        <v>156</v>
      </c>
      <c r="G511" s="528"/>
    </row>
    <row r="512">
      <c r="A512" s="538">
        <v>45719.0</v>
      </c>
      <c r="B512" s="514" t="s">
        <v>2792</v>
      </c>
      <c r="C512" s="539">
        <v>630.0</v>
      </c>
      <c r="D512" s="540" t="s">
        <v>3062</v>
      </c>
      <c r="E512" s="541">
        <v>8.0</v>
      </c>
      <c r="F512" s="542" t="s">
        <v>156</v>
      </c>
      <c r="G512" s="540"/>
    </row>
    <row r="513">
      <c r="A513" s="526">
        <v>45719.0</v>
      </c>
      <c r="B513" s="520" t="s">
        <v>2792</v>
      </c>
      <c r="C513" s="527">
        <v>630.0</v>
      </c>
      <c r="D513" s="528" t="s">
        <v>3063</v>
      </c>
      <c r="E513" s="529">
        <v>1.0</v>
      </c>
      <c r="F513" s="530" t="s">
        <v>25</v>
      </c>
      <c r="G513" s="528"/>
    </row>
    <row r="514">
      <c r="A514" s="538">
        <v>45719.0</v>
      </c>
      <c r="B514" s="514" t="s">
        <v>2792</v>
      </c>
      <c r="C514" s="539">
        <v>630.0</v>
      </c>
      <c r="D514" s="540" t="s">
        <v>2951</v>
      </c>
      <c r="E514" s="541">
        <v>10.0</v>
      </c>
      <c r="F514" s="542" t="s">
        <v>156</v>
      </c>
      <c r="G514" s="540"/>
    </row>
    <row r="515">
      <c r="A515" s="526">
        <v>45719.0</v>
      </c>
      <c r="B515" s="520" t="s">
        <v>2792</v>
      </c>
      <c r="C515" s="527">
        <v>630.0</v>
      </c>
      <c r="D515" s="528" t="s">
        <v>715</v>
      </c>
      <c r="E515" s="529">
        <v>25.0</v>
      </c>
      <c r="F515" s="530" t="s">
        <v>156</v>
      </c>
      <c r="G515" s="528"/>
    </row>
    <row r="516">
      <c r="A516" s="538">
        <v>45719.0</v>
      </c>
      <c r="B516" s="514" t="s">
        <v>2792</v>
      </c>
      <c r="C516" s="539">
        <v>630.0</v>
      </c>
      <c r="D516" s="540" t="s">
        <v>3064</v>
      </c>
      <c r="E516" s="541">
        <v>30.0</v>
      </c>
      <c r="F516" s="542" t="s">
        <v>156</v>
      </c>
      <c r="G516" s="540"/>
    </row>
    <row r="517">
      <c r="A517" s="526">
        <v>45719.0</v>
      </c>
      <c r="B517" s="520" t="s">
        <v>2792</v>
      </c>
      <c r="C517" s="527">
        <v>630.0</v>
      </c>
      <c r="D517" s="528" t="s">
        <v>3065</v>
      </c>
      <c r="E517" s="529">
        <v>3.0</v>
      </c>
      <c r="F517" s="530" t="s">
        <v>981</v>
      </c>
      <c r="G517" s="528"/>
    </row>
    <row r="518">
      <c r="A518" s="538">
        <v>45724.0</v>
      </c>
      <c r="B518" s="514" t="s">
        <v>2792</v>
      </c>
      <c r="C518" s="539">
        <v>631.0</v>
      </c>
      <c r="D518" s="540" t="s">
        <v>2827</v>
      </c>
      <c r="E518" s="541">
        <v>5.0</v>
      </c>
      <c r="F518" s="542" t="s">
        <v>156</v>
      </c>
      <c r="G518" s="540"/>
    </row>
    <row r="519">
      <c r="A519" s="526">
        <v>45724.0</v>
      </c>
      <c r="B519" s="520" t="s">
        <v>2792</v>
      </c>
      <c r="C519" s="521">
        <v>631.0</v>
      </c>
      <c r="D519" s="528" t="s">
        <v>1437</v>
      </c>
      <c r="E519" s="529">
        <v>15.0</v>
      </c>
      <c r="F519" s="530" t="s">
        <v>156</v>
      </c>
      <c r="G519" s="528"/>
    </row>
    <row r="520">
      <c r="A520" s="538">
        <v>45724.0</v>
      </c>
      <c r="B520" s="514" t="s">
        <v>2792</v>
      </c>
      <c r="C520" s="515">
        <v>631.0</v>
      </c>
      <c r="D520" s="540" t="s">
        <v>407</v>
      </c>
      <c r="E520" s="541">
        <v>30.0</v>
      </c>
      <c r="F520" s="542" t="s">
        <v>156</v>
      </c>
      <c r="G520" s="540"/>
    </row>
    <row r="521">
      <c r="A521" s="526">
        <v>45724.0</v>
      </c>
      <c r="B521" s="520" t="s">
        <v>2792</v>
      </c>
      <c r="C521" s="527">
        <v>631.0</v>
      </c>
      <c r="D521" s="528" t="s">
        <v>3066</v>
      </c>
      <c r="E521" s="529">
        <v>3.0</v>
      </c>
      <c r="F521" s="530" t="s">
        <v>156</v>
      </c>
      <c r="G521" s="528"/>
    </row>
    <row r="522">
      <c r="A522" s="538">
        <v>45724.0</v>
      </c>
      <c r="B522" s="514" t="s">
        <v>2792</v>
      </c>
      <c r="C522" s="539">
        <v>631.0</v>
      </c>
      <c r="D522" s="540" t="s">
        <v>3067</v>
      </c>
      <c r="E522" s="541">
        <v>2.0</v>
      </c>
      <c r="F522" s="542" t="s">
        <v>156</v>
      </c>
      <c r="G522" s="540"/>
    </row>
    <row r="523">
      <c r="A523" s="526">
        <v>45724.0</v>
      </c>
      <c r="B523" s="520" t="s">
        <v>2792</v>
      </c>
      <c r="C523" s="527">
        <v>631.0</v>
      </c>
      <c r="D523" s="528" t="s">
        <v>3068</v>
      </c>
      <c r="E523" s="529">
        <v>500.0</v>
      </c>
      <c r="F523" s="530" t="s">
        <v>3069</v>
      </c>
      <c r="G523" s="528"/>
    </row>
    <row r="524">
      <c r="A524" s="513">
        <v>45724.0</v>
      </c>
      <c r="B524" s="514" t="s">
        <v>2792</v>
      </c>
      <c r="C524" s="515">
        <v>632.0</v>
      </c>
      <c r="D524" s="525" t="s">
        <v>454</v>
      </c>
      <c r="E524" s="517">
        <v>1.0</v>
      </c>
      <c r="F524" s="518" t="s">
        <v>156</v>
      </c>
      <c r="G524" s="550"/>
    </row>
    <row r="525">
      <c r="A525" s="519">
        <v>45724.0</v>
      </c>
      <c r="B525" s="520" t="s">
        <v>2792</v>
      </c>
      <c r="C525" s="521">
        <v>632.0</v>
      </c>
      <c r="D525" s="522" t="s">
        <v>345</v>
      </c>
      <c r="E525" s="523">
        <v>50.0</v>
      </c>
      <c r="F525" s="524" t="s">
        <v>156</v>
      </c>
      <c r="G525" s="545"/>
    </row>
    <row r="526">
      <c r="A526" s="533">
        <v>45724.0</v>
      </c>
      <c r="B526" s="514" t="s">
        <v>2792</v>
      </c>
      <c r="C526" s="515">
        <v>632.0</v>
      </c>
      <c r="D526" s="516" t="s">
        <v>28</v>
      </c>
      <c r="E526" s="534">
        <v>10.0</v>
      </c>
      <c r="F526" s="544" t="s">
        <v>156</v>
      </c>
      <c r="G526" s="540"/>
    </row>
    <row r="527">
      <c r="A527" s="526">
        <v>45724.0</v>
      </c>
      <c r="B527" s="520" t="s">
        <v>2792</v>
      </c>
      <c r="C527" s="527">
        <v>632.0</v>
      </c>
      <c r="D527" s="528" t="s">
        <v>608</v>
      </c>
      <c r="E527" s="529">
        <v>1.0</v>
      </c>
      <c r="F527" s="530" t="s">
        <v>156</v>
      </c>
      <c r="G527" s="528"/>
    </row>
    <row r="528">
      <c r="A528" s="538">
        <v>45724.0</v>
      </c>
      <c r="B528" s="514" t="s">
        <v>2792</v>
      </c>
      <c r="C528" s="539">
        <v>632.0</v>
      </c>
      <c r="D528" s="540" t="s">
        <v>354</v>
      </c>
      <c r="E528" s="541">
        <v>3.0</v>
      </c>
      <c r="F528" s="542" t="s">
        <v>156</v>
      </c>
      <c r="G528" s="540"/>
    </row>
    <row r="529">
      <c r="A529" s="526">
        <v>45724.0</v>
      </c>
      <c r="B529" s="520" t="s">
        <v>2792</v>
      </c>
      <c r="C529" s="527">
        <v>632.0</v>
      </c>
      <c r="D529" s="528" t="s">
        <v>151</v>
      </c>
      <c r="E529" s="529">
        <v>1.0</v>
      </c>
      <c r="F529" s="530" t="s">
        <v>156</v>
      </c>
      <c r="G529" s="528"/>
    </row>
    <row r="530">
      <c r="A530" s="513">
        <v>45724.0</v>
      </c>
      <c r="B530" s="514" t="s">
        <v>2792</v>
      </c>
      <c r="C530" s="515">
        <v>633.0</v>
      </c>
      <c r="D530" s="525" t="s">
        <v>3070</v>
      </c>
      <c r="E530" s="517">
        <v>5.0</v>
      </c>
      <c r="F530" s="518" t="s">
        <v>156</v>
      </c>
      <c r="G530" s="550"/>
    </row>
    <row r="531">
      <c r="A531" s="526">
        <v>45724.0</v>
      </c>
      <c r="B531" s="520" t="s">
        <v>2792</v>
      </c>
      <c r="C531" s="521">
        <v>633.0</v>
      </c>
      <c r="D531" s="528" t="s">
        <v>2918</v>
      </c>
      <c r="E531" s="529">
        <v>1.0</v>
      </c>
      <c r="F531" s="530" t="s">
        <v>2819</v>
      </c>
      <c r="G531" s="528"/>
    </row>
    <row r="532">
      <c r="A532" s="538">
        <v>45724.0</v>
      </c>
      <c r="B532" s="514" t="s">
        <v>2792</v>
      </c>
      <c r="C532" s="539">
        <v>633.0</v>
      </c>
      <c r="D532" s="540" t="s">
        <v>85</v>
      </c>
      <c r="E532" s="541">
        <v>1.0</v>
      </c>
      <c r="F532" s="542" t="s">
        <v>156</v>
      </c>
      <c r="G532" s="540"/>
    </row>
    <row r="533">
      <c r="A533" s="526">
        <v>45724.0</v>
      </c>
      <c r="B533" s="520" t="s">
        <v>2792</v>
      </c>
      <c r="C533" s="563">
        <v>633.0</v>
      </c>
      <c r="D533" s="528" t="s">
        <v>809</v>
      </c>
      <c r="E533" s="529">
        <v>1.0</v>
      </c>
      <c r="F533" s="530" t="s">
        <v>156</v>
      </c>
      <c r="G533" s="528"/>
    </row>
    <row r="534">
      <c r="A534" s="538">
        <v>45728.0</v>
      </c>
      <c r="B534" s="514" t="s">
        <v>2792</v>
      </c>
      <c r="C534" s="515">
        <v>638.0</v>
      </c>
      <c r="D534" s="540" t="s">
        <v>351</v>
      </c>
      <c r="E534" s="541">
        <v>50.0</v>
      </c>
      <c r="F534" s="542" t="s">
        <v>34</v>
      </c>
      <c r="G534" s="540"/>
    </row>
    <row r="535">
      <c r="A535" s="526">
        <v>45729.0</v>
      </c>
      <c r="B535" s="520" t="s">
        <v>2792</v>
      </c>
      <c r="C535" s="527">
        <v>635.0</v>
      </c>
      <c r="D535" s="528" t="s">
        <v>3071</v>
      </c>
      <c r="E535" s="529">
        <v>10.0</v>
      </c>
      <c r="F535" s="530" t="s">
        <v>156</v>
      </c>
      <c r="G535" s="528"/>
    </row>
    <row r="536">
      <c r="A536" s="513">
        <v>45729.0</v>
      </c>
      <c r="B536" s="514" t="s">
        <v>2792</v>
      </c>
      <c r="C536" s="515">
        <v>636.0</v>
      </c>
      <c r="D536" s="580" t="s">
        <v>735</v>
      </c>
      <c r="E536" s="517">
        <v>1.0</v>
      </c>
      <c r="F536" s="584"/>
      <c r="G536" s="585"/>
    </row>
    <row r="537">
      <c r="A537" s="526">
        <v>45729.0</v>
      </c>
      <c r="B537" s="520" t="s">
        <v>2792</v>
      </c>
      <c r="C537" s="521">
        <v>636.0</v>
      </c>
      <c r="D537" s="528" t="s">
        <v>351</v>
      </c>
      <c r="E537" s="529">
        <v>10.0</v>
      </c>
      <c r="F537" s="530" t="s">
        <v>34</v>
      </c>
      <c r="G537" s="528"/>
    </row>
    <row r="538">
      <c r="A538" s="538">
        <v>45729.0</v>
      </c>
      <c r="B538" s="514" t="s">
        <v>2792</v>
      </c>
      <c r="C538" s="566">
        <v>636.0</v>
      </c>
      <c r="D538" s="540" t="s">
        <v>3072</v>
      </c>
      <c r="E538" s="541">
        <v>2.0</v>
      </c>
      <c r="F538" s="542" t="s">
        <v>156</v>
      </c>
      <c r="G538" s="540"/>
    </row>
    <row r="539">
      <c r="A539" s="526">
        <v>45729.0</v>
      </c>
      <c r="B539" s="520" t="s">
        <v>2792</v>
      </c>
      <c r="C539" s="521">
        <v>636.0</v>
      </c>
      <c r="D539" s="528" t="s">
        <v>914</v>
      </c>
      <c r="E539" s="529">
        <v>12.0</v>
      </c>
      <c r="F539" s="530" t="s">
        <v>981</v>
      </c>
      <c r="G539" s="528"/>
    </row>
    <row r="540">
      <c r="A540" s="533">
        <v>45730.0</v>
      </c>
      <c r="B540" s="514" t="s">
        <v>2792</v>
      </c>
      <c r="C540" s="515">
        <v>637.0</v>
      </c>
      <c r="D540" s="516" t="s">
        <v>3073</v>
      </c>
      <c r="E540" s="534">
        <v>210.0</v>
      </c>
      <c r="F540" s="544" t="s">
        <v>74</v>
      </c>
      <c r="G540" s="540"/>
    </row>
    <row r="541">
      <c r="A541" s="535">
        <v>45730.0</v>
      </c>
      <c r="B541" s="520" t="s">
        <v>2792</v>
      </c>
      <c r="C541" s="521">
        <v>637.0</v>
      </c>
      <c r="D541" s="536" t="s">
        <v>3074</v>
      </c>
      <c r="E541" s="537">
        <v>65.0</v>
      </c>
      <c r="F541" s="547" t="s">
        <v>74</v>
      </c>
      <c r="G541" s="528"/>
    </row>
    <row r="542">
      <c r="A542" s="538">
        <v>45730.0</v>
      </c>
      <c r="B542" s="514" t="s">
        <v>2792</v>
      </c>
      <c r="C542" s="539">
        <v>637.0</v>
      </c>
      <c r="D542" s="540" t="s">
        <v>3075</v>
      </c>
      <c r="E542" s="541">
        <v>1.0</v>
      </c>
      <c r="F542" s="542" t="s">
        <v>156</v>
      </c>
      <c r="G542" s="540"/>
    </row>
    <row r="543">
      <c r="A543" s="526">
        <v>45737.0</v>
      </c>
      <c r="B543" s="520" t="s">
        <v>2792</v>
      </c>
      <c r="C543" s="527">
        <v>628.0</v>
      </c>
      <c r="D543" s="528" t="s">
        <v>3076</v>
      </c>
      <c r="E543" s="529">
        <v>1.0</v>
      </c>
      <c r="F543" s="530" t="s">
        <v>156</v>
      </c>
      <c r="G543" s="528"/>
    </row>
    <row r="544">
      <c r="A544" s="513">
        <v>45737.0</v>
      </c>
      <c r="B544" s="514" t="s">
        <v>2792</v>
      </c>
      <c r="C544" s="515">
        <v>638.0</v>
      </c>
      <c r="D544" s="525" t="s">
        <v>3077</v>
      </c>
      <c r="E544" s="517">
        <v>30.0</v>
      </c>
      <c r="F544" s="518" t="s">
        <v>156</v>
      </c>
      <c r="G544" s="550"/>
    </row>
    <row r="545">
      <c r="A545" s="535">
        <v>45737.0</v>
      </c>
      <c r="B545" s="520" t="s">
        <v>2792</v>
      </c>
      <c r="C545" s="521">
        <v>638.0</v>
      </c>
      <c r="D545" s="522" t="s">
        <v>3078</v>
      </c>
      <c r="E545" s="523">
        <v>24.0</v>
      </c>
      <c r="F545" s="524" t="s">
        <v>156</v>
      </c>
      <c r="G545" s="545"/>
    </row>
    <row r="546">
      <c r="A546" s="533">
        <v>45737.0</v>
      </c>
      <c r="B546" s="514" t="s">
        <v>2792</v>
      </c>
      <c r="C546" s="515">
        <v>638.0</v>
      </c>
      <c r="D546" s="525" t="s">
        <v>279</v>
      </c>
      <c r="E546" s="517">
        <v>70.0</v>
      </c>
      <c r="F546" s="518" t="s">
        <v>156</v>
      </c>
      <c r="G546" s="550"/>
    </row>
    <row r="547">
      <c r="A547" s="519">
        <v>45737.0</v>
      </c>
      <c r="B547" s="520" t="s">
        <v>2792</v>
      </c>
      <c r="C547" s="521">
        <v>638.0</v>
      </c>
      <c r="D547" s="522" t="s">
        <v>495</v>
      </c>
      <c r="E547" s="523">
        <v>30.0</v>
      </c>
      <c r="F547" s="524" t="s">
        <v>156</v>
      </c>
      <c r="G547" s="545"/>
    </row>
    <row r="548">
      <c r="A548" s="538">
        <v>45737.0</v>
      </c>
      <c r="B548" s="514" t="s">
        <v>2792</v>
      </c>
      <c r="C548" s="515">
        <v>638.0</v>
      </c>
      <c r="D548" s="540" t="s">
        <v>767</v>
      </c>
      <c r="E548" s="541">
        <v>1.0</v>
      </c>
      <c r="F548" s="542" t="s">
        <v>39</v>
      </c>
      <c r="G548" s="540"/>
    </row>
    <row r="549">
      <c r="A549" s="526">
        <v>45737.0</v>
      </c>
      <c r="B549" s="520" t="s">
        <v>2792</v>
      </c>
      <c r="C549" s="521">
        <v>638.0</v>
      </c>
      <c r="D549" s="528" t="s">
        <v>766</v>
      </c>
      <c r="E549" s="529">
        <v>1.0</v>
      </c>
      <c r="F549" s="530" t="s">
        <v>39</v>
      </c>
      <c r="G549" s="528"/>
    </row>
    <row r="550">
      <c r="A550" s="538">
        <v>45737.0</v>
      </c>
      <c r="B550" s="514" t="s">
        <v>2792</v>
      </c>
      <c r="C550" s="515">
        <v>638.0</v>
      </c>
      <c r="D550" s="540" t="s">
        <v>349</v>
      </c>
      <c r="E550" s="541">
        <v>150.0</v>
      </c>
      <c r="F550" s="542" t="s">
        <v>34</v>
      </c>
      <c r="G550" s="540"/>
    </row>
    <row r="551">
      <c r="A551" s="535">
        <v>45737.0</v>
      </c>
      <c r="B551" s="520" t="s">
        <v>2792</v>
      </c>
      <c r="C551" s="521">
        <v>638.0</v>
      </c>
      <c r="D551" s="536" t="s">
        <v>3079</v>
      </c>
      <c r="E551" s="537">
        <v>20.0</v>
      </c>
      <c r="F551" s="547" t="s">
        <v>156</v>
      </c>
      <c r="G551" s="528"/>
    </row>
    <row r="552">
      <c r="A552" s="538">
        <v>45737.0</v>
      </c>
      <c r="B552" s="514" t="s">
        <v>2792</v>
      </c>
      <c r="C552" s="515">
        <v>638.0</v>
      </c>
      <c r="D552" s="540" t="s">
        <v>739</v>
      </c>
      <c r="E552" s="541">
        <v>100.0</v>
      </c>
      <c r="F552" s="542" t="s">
        <v>156</v>
      </c>
      <c r="G552" s="540"/>
    </row>
    <row r="553">
      <c r="A553" s="526">
        <v>45737.0</v>
      </c>
      <c r="B553" s="520" t="s">
        <v>2792</v>
      </c>
      <c r="C553" s="521">
        <v>638.0</v>
      </c>
      <c r="D553" s="528" t="s">
        <v>764</v>
      </c>
      <c r="E553" s="529">
        <v>30.0</v>
      </c>
      <c r="F553" s="530" t="s">
        <v>156</v>
      </c>
      <c r="G553" s="528"/>
    </row>
    <row r="554">
      <c r="A554" s="538">
        <v>45737.0</v>
      </c>
      <c r="B554" s="514" t="s">
        <v>2792</v>
      </c>
      <c r="C554" s="515">
        <v>638.0</v>
      </c>
      <c r="D554" s="540" t="s">
        <v>3080</v>
      </c>
      <c r="E554" s="541">
        <v>20.0</v>
      </c>
      <c r="F554" s="542" t="s">
        <v>156</v>
      </c>
      <c r="G554" s="540"/>
    </row>
    <row r="555">
      <c r="A555" s="519">
        <v>45737.0</v>
      </c>
      <c r="B555" s="520" t="s">
        <v>2792</v>
      </c>
      <c r="C555" s="521">
        <v>639.0</v>
      </c>
      <c r="D555" s="581" t="s">
        <v>3081</v>
      </c>
      <c r="E555" s="523">
        <v>6.0</v>
      </c>
      <c r="F555" s="524" t="s">
        <v>156</v>
      </c>
      <c r="G555" s="545"/>
    </row>
    <row r="556">
      <c r="A556" s="513">
        <v>45737.0</v>
      </c>
      <c r="B556" s="514" t="s">
        <v>2792</v>
      </c>
      <c r="C556" s="515">
        <v>639.0</v>
      </c>
      <c r="D556" s="580" t="s">
        <v>287</v>
      </c>
      <c r="E556" s="517">
        <v>5.0</v>
      </c>
      <c r="F556" s="518" t="s">
        <v>156</v>
      </c>
      <c r="G556" s="550"/>
    </row>
    <row r="557">
      <c r="A557" s="519">
        <v>45737.0</v>
      </c>
      <c r="B557" s="520" t="s">
        <v>2792</v>
      </c>
      <c r="C557" s="521">
        <v>639.0</v>
      </c>
      <c r="D557" s="581" t="s">
        <v>517</v>
      </c>
      <c r="E557" s="523">
        <v>5.0</v>
      </c>
      <c r="F557" s="524" t="s">
        <v>156</v>
      </c>
      <c r="G557" s="545"/>
    </row>
    <row r="558">
      <c r="A558" s="513">
        <v>45737.0</v>
      </c>
      <c r="B558" s="514" t="s">
        <v>2792</v>
      </c>
      <c r="C558" s="515">
        <v>639.0</v>
      </c>
      <c r="D558" s="580" t="s">
        <v>760</v>
      </c>
      <c r="E558" s="517">
        <v>5.0</v>
      </c>
      <c r="F558" s="518" t="s">
        <v>156</v>
      </c>
      <c r="G558" s="550"/>
    </row>
    <row r="559">
      <c r="A559" s="519">
        <v>45737.0</v>
      </c>
      <c r="B559" s="520" t="s">
        <v>2792</v>
      </c>
      <c r="C559" s="521">
        <v>639.0</v>
      </c>
      <c r="D559" s="581" t="s">
        <v>515</v>
      </c>
      <c r="E559" s="523">
        <v>5.0</v>
      </c>
      <c r="F559" s="524" t="s">
        <v>156</v>
      </c>
      <c r="G559" s="545"/>
    </row>
    <row r="560">
      <c r="A560" s="513">
        <v>45737.0</v>
      </c>
      <c r="B560" s="514" t="s">
        <v>2792</v>
      </c>
      <c r="C560" s="515">
        <v>639.0</v>
      </c>
      <c r="D560" s="580" t="s">
        <v>761</v>
      </c>
      <c r="E560" s="517">
        <v>1.0</v>
      </c>
      <c r="F560" s="518" t="s">
        <v>156</v>
      </c>
      <c r="G560" s="550"/>
    </row>
    <row r="561">
      <c r="A561" s="519">
        <v>45737.0</v>
      </c>
      <c r="B561" s="520" t="s">
        <v>2792</v>
      </c>
      <c r="C561" s="521">
        <v>639.0</v>
      </c>
      <c r="D561" s="581" t="s">
        <v>512</v>
      </c>
      <c r="E561" s="523">
        <v>23.0</v>
      </c>
      <c r="F561" s="524" t="s">
        <v>156</v>
      </c>
      <c r="G561" s="545"/>
    </row>
    <row r="562">
      <c r="A562" s="513">
        <v>45737.0</v>
      </c>
      <c r="B562" s="514" t="s">
        <v>2792</v>
      </c>
      <c r="C562" s="515">
        <v>639.0</v>
      </c>
      <c r="D562" s="580" t="s">
        <v>3082</v>
      </c>
      <c r="E562" s="517">
        <v>2.0</v>
      </c>
      <c r="F562" s="518" t="s">
        <v>156</v>
      </c>
      <c r="G562" s="550"/>
    </row>
    <row r="563">
      <c r="A563" s="532">
        <v>45737.0</v>
      </c>
      <c r="B563" s="520" t="s">
        <v>2792</v>
      </c>
      <c r="C563" s="527">
        <v>639.0</v>
      </c>
      <c r="D563" s="586" t="s">
        <v>3083</v>
      </c>
      <c r="E563" s="546">
        <v>30.0</v>
      </c>
      <c r="F563" s="547" t="s">
        <v>74</v>
      </c>
      <c r="G563" s="528"/>
    </row>
    <row r="564">
      <c r="A564" s="538">
        <v>45737.0</v>
      </c>
      <c r="B564" s="514" t="s">
        <v>2792</v>
      </c>
      <c r="C564" s="515">
        <v>640.0</v>
      </c>
      <c r="D564" s="540" t="s">
        <v>350</v>
      </c>
      <c r="E564" s="541">
        <v>25.0</v>
      </c>
      <c r="F564" s="542" t="s">
        <v>34</v>
      </c>
      <c r="G564" s="540"/>
    </row>
    <row r="565">
      <c r="A565" s="532">
        <v>45737.0</v>
      </c>
      <c r="B565" s="520" t="s">
        <v>2792</v>
      </c>
      <c r="C565" s="527">
        <v>640.0</v>
      </c>
      <c r="D565" s="545" t="s">
        <v>1555</v>
      </c>
      <c r="E565" s="546">
        <v>2.0</v>
      </c>
      <c r="F565" s="547" t="s">
        <v>156</v>
      </c>
      <c r="G565" s="528"/>
    </row>
    <row r="566">
      <c r="A566" s="538">
        <v>45737.0</v>
      </c>
      <c r="B566" s="514" t="s">
        <v>2792</v>
      </c>
      <c r="C566" s="539">
        <v>640.0</v>
      </c>
      <c r="D566" s="540" t="s">
        <v>1562</v>
      </c>
      <c r="E566" s="541">
        <v>3.0</v>
      </c>
      <c r="F566" s="542" t="s">
        <v>981</v>
      </c>
      <c r="G566" s="540"/>
    </row>
    <row r="567">
      <c r="A567" s="519">
        <v>45739.0</v>
      </c>
      <c r="B567" s="520" t="s">
        <v>2792</v>
      </c>
      <c r="C567" s="521">
        <v>297.0</v>
      </c>
      <c r="D567" s="522" t="s">
        <v>929</v>
      </c>
      <c r="E567" s="523">
        <v>5.0</v>
      </c>
      <c r="F567" s="524" t="s">
        <v>156</v>
      </c>
      <c r="G567" s="545"/>
    </row>
    <row r="568">
      <c r="A568" s="533">
        <v>45741.0</v>
      </c>
      <c r="B568" s="514" t="s">
        <v>2792</v>
      </c>
      <c r="C568" s="539">
        <v>647.0</v>
      </c>
      <c r="D568" s="516" t="s">
        <v>3084</v>
      </c>
      <c r="E568" s="534">
        <v>10.0</v>
      </c>
      <c r="F568" s="542" t="s">
        <v>156</v>
      </c>
      <c r="G568" s="540"/>
    </row>
    <row r="569">
      <c r="A569" s="526">
        <v>45744.0</v>
      </c>
      <c r="B569" s="520" t="s">
        <v>2792</v>
      </c>
      <c r="C569" s="521">
        <v>649.0</v>
      </c>
      <c r="D569" s="528" t="s">
        <v>351</v>
      </c>
      <c r="E569" s="529">
        <v>100.0</v>
      </c>
      <c r="F569" s="530" t="s">
        <v>34</v>
      </c>
      <c r="G569" s="528"/>
    </row>
    <row r="570">
      <c r="A570" s="538">
        <v>45749.0</v>
      </c>
      <c r="B570" s="514" t="s">
        <v>2792</v>
      </c>
      <c r="C570" s="515">
        <v>652.0</v>
      </c>
      <c r="D570" s="540" t="s">
        <v>764</v>
      </c>
      <c r="E570" s="541">
        <v>90.0</v>
      </c>
      <c r="F570" s="542" t="s">
        <v>156</v>
      </c>
      <c r="G570" s="540"/>
    </row>
    <row r="571">
      <c r="A571" s="526">
        <v>45754.0</v>
      </c>
      <c r="B571" s="520" t="s">
        <v>2792</v>
      </c>
      <c r="C571" s="521">
        <v>639.0</v>
      </c>
      <c r="D571" s="528" t="s">
        <v>3085</v>
      </c>
      <c r="E571" s="529">
        <v>1.0</v>
      </c>
      <c r="F571" s="530" t="s">
        <v>156</v>
      </c>
      <c r="G571" s="528"/>
    </row>
    <row r="572">
      <c r="A572" s="538">
        <v>45754.0</v>
      </c>
      <c r="B572" s="514" t="s">
        <v>2792</v>
      </c>
      <c r="C572" s="515">
        <v>653.0</v>
      </c>
      <c r="D572" s="540" t="s">
        <v>3086</v>
      </c>
      <c r="E572" s="541">
        <v>10.0</v>
      </c>
      <c r="F572" s="542" t="s">
        <v>39</v>
      </c>
      <c r="G572" s="540"/>
    </row>
    <row r="573">
      <c r="A573" s="535">
        <v>45754.0</v>
      </c>
      <c r="B573" s="520" t="s">
        <v>2792</v>
      </c>
      <c r="C573" s="521">
        <v>653.0</v>
      </c>
      <c r="D573" s="536" t="s">
        <v>330</v>
      </c>
      <c r="E573" s="537">
        <v>5.0</v>
      </c>
      <c r="F573" s="547" t="s">
        <v>156</v>
      </c>
      <c r="G573" s="528"/>
    </row>
    <row r="574">
      <c r="A574" s="538">
        <v>45754.0</v>
      </c>
      <c r="B574" s="514" t="s">
        <v>2792</v>
      </c>
      <c r="C574" s="539">
        <v>653.0</v>
      </c>
      <c r="D574" s="540" t="s">
        <v>3087</v>
      </c>
      <c r="E574" s="541">
        <v>3.0</v>
      </c>
      <c r="F574" s="542" t="s">
        <v>156</v>
      </c>
      <c r="G574" s="540"/>
    </row>
    <row r="575">
      <c r="A575" s="526">
        <v>45754.0</v>
      </c>
      <c r="B575" s="520" t="s">
        <v>2792</v>
      </c>
      <c r="C575" s="527">
        <v>653.0</v>
      </c>
      <c r="D575" s="528" t="s">
        <v>3088</v>
      </c>
      <c r="E575" s="529">
        <v>10.0</v>
      </c>
      <c r="F575" s="530" t="s">
        <v>156</v>
      </c>
      <c r="G575" s="528"/>
    </row>
    <row r="576">
      <c r="A576" s="538">
        <v>45754.0</v>
      </c>
      <c r="B576" s="514" t="s">
        <v>2792</v>
      </c>
      <c r="C576" s="539">
        <v>653.0</v>
      </c>
      <c r="D576" s="540" t="s">
        <v>3089</v>
      </c>
      <c r="E576" s="541">
        <v>5.0</v>
      </c>
      <c r="F576" s="542" t="s">
        <v>156</v>
      </c>
      <c r="G576" s="540"/>
    </row>
    <row r="577">
      <c r="A577" s="526">
        <v>45754.0</v>
      </c>
      <c r="B577" s="520" t="s">
        <v>2792</v>
      </c>
      <c r="C577" s="527">
        <v>653.0</v>
      </c>
      <c r="D577" s="528" t="s">
        <v>54</v>
      </c>
      <c r="E577" s="529">
        <v>10.0</v>
      </c>
      <c r="F577" s="530" t="s">
        <v>156</v>
      </c>
      <c r="G577" s="528"/>
    </row>
    <row r="578">
      <c r="A578" s="538">
        <v>45754.0</v>
      </c>
      <c r="B578" s="514" t="s">
        <v>2792</v>
      </c>
      <c r="C578" s="539">
        <v>653.0</v>
      </c>
      <c r="D578" s="540" t="s">
        <v>3090</v>
      </c>
      <c r="E578" s="541">
        <v>7.0</v>
      </c>
      <c r="F578" s="542" t="s">
        <v>156</v>
      </c>
      <c r="G578" s="540"/>
    </row>
    <row r="579">
      <c r="A579" s="526">
        <v>45754.0</v>
      </c>
      <c r="B579" s="520" t="s">
        <v>2792</v>
      </c>
      <c r="C579" s="527">
        <v>653.0</v>
      </c>
      <c r="D579" s="528" t="s">
        <v>168</v>
      </c>
      <c r="E579" s="529">
        <v>5.0</v>
      </c>
      <c r="F579" s="530" t="s">
        <v>156</v>
      </c>
      <c r="G579" s="528"/>
    </row>
    <row r="580">
      <c r="A580" s="538">
        <v>45754.0</v>
      </c>
      <c r="B580" s="514" t="s">
        <v>2792</v>
      </c>
      <c r="C580" s="539">
        <v>653.0</v>
      </c>
      <c r="D580" s="540" t="s">
        <v>3091</v>
      </c>
      <c r="E580" s="541">
        <v>5.0</v>
      </c>
      <c r="F580" s="542" t="s">
        <v>156</v>
      </c>
      <c r="G580" s="540"/>
    </row>
    <row r="581">
      <c r="A581" s="532">
        <v>45754.0</v>
      </c>
      <c r="B581" s="520" t="s">
        <v>2792</v>
      </c>
      <c r="C581" s="521">
        <v>653.0</v>
      </c>
      <c r="D581" s="545" t="s">
        <v>397</v>
      </c>
      <c r="E581" s="546">
        <v>10.0</v>
      </c>
      <c r="F581" s="530" t="s">
        <v>34</v>
      </c>
      <c r="G581" s="528"/>
    </row>
    <row r="582">
      <c r="A582" s="587">
        <v>45754.0</v>
      </c>
      <c r="B582" s="514" t="s">
        <v>2792</v>
      </c>
      <c r="C582" s="588">
        <v>653.0</v>
      </c>
      <c r="D582" s="550" t="s">
        <v>2906</v>
      </c>
      <c r="E582" s="589">
        <v>500.0</v>
      </c>
      <c r="F582" s="564" t="s">
        <v>156</v>
      </c>
      <c r="G582" s="550"/>
    </row>
    <row r="583">
      <c r="A583" s="519">
        <v>45754.0</v>
      </c>
      <c r="B583" s="520" t="s">
        <v>2792</v>
      </c>
      <c r="C583" s="521">
        <v>654.0</v>
      </c>
      <c r="D583" s="536" t="s">
        <v>490</v>
      </c>
      <c r="E583" s="523">
        <v>1350.0</v>
      </c>
      <c r="F583" s="524" t="s">
        <v>74</v>
      </c>
      <c r="G583" s="545"/>
    </row>
    <row r="584">
      <c r="A584" s="513">
        <v>45754.0</v>
      </c>
      <c r="B584" s="514" t="s">
        <v>2792</v>
      </c>
      <c r="C584" s="515">
        <v>654.0</v>
      </c>
      <c r="D584" s="580" t="s">
        <v>275</v>
      </c>
      <c r="E584" s="517">
        <v>2250.0</v>
      </c>
      <c r="F584" s="518" t="s">
        <v>74</v>
      </c>
      <c r="G584" s="550"/>
    </row>
    <row r="585">
      <c r="A585" s="526">
        <v>45754.0</v>
      </c>
      <c r="B585" s="520" t="s">
        <v>2792</v>
      </c>
      <c r="C585" s="521">
        <v>654.0</v>
      </c>
      <c r="D585" s="528" t="s">
        <v>871</v>
      </c>
      <c r="E585" s="529">
        <v>10.0</v>
      </c>
      <c r="F585" s="530" t="s">
        <v>34</v>
      </c>
      <c r="G585" s="528"/>
    </row>
    <row r="586">
      <c r="A586" s="538">
        <v>45754.0</v>
      </c>
      <c r="B586" s="514" t="s">
        <v>2792</v>
      </c>
      <c r="C586" s="539">
        <v>654.0</v>
      </c>
      <c r="D586" s="540" t="s">
        <v>85</v>
      </c>
      <c r="E586" s="541">
        <v>4.0</v>
      </c>
      <c r="F586" s="542" t="s">
        <v>156</v>
      </c>
      <c r="G586" s="540"/>
    </row>
    <row r="587">
      <c r="A587" s="526">
        <v>45754.0</v>
      </c>
      <c r="B587" s="520" t="s">
        <v>2792</v>
      </c>
      <c r="C587" s="527">
        <v>654.0</v>
      </c>
      <c r="D587" s="528" t="s">
        <v>645</v>
      </c>
      <c r="E587" s="529">
        <v>2.0</v>
      </c>
      <c r="F587" s="530" t="s">
        <v>981</v>
      </c>
      <c r="G587" s="528"/>
    </row>
    <row r="588">
      <c r="A588" s="549">
        <v>45754.0</v>
      </c>
      <c r="B588" s="514" t="s">
        <v>2792</v>
      </c>
      <c r="C588" s="539">
        <v>654.0</v>
      </c>
      <c r="D588" s="550" t="s">
        <v>3092</v>
      </c>
      <c r="E588" s="561">
        <v>4.0</v>
      </c>
      <c r="F588" s="542" t="s">
        <v>156</v>
      </c>
      <c r="G588" s="540"/>
    </row>
    <row r="589">
      <c r="A589" s="526">
        <v>45754.0</v>
      </c>
      <c r="B589" s="520" t="s">
        <v>2792</v>
      </c>
      <c r="C589" s="527">
        <v>654.0</v>
      </c>
      <c r="D589" s="528" t="s">
        <v>681</v>
      </c>
      <c r="E589" s="529">
        <v>4.0</v>
      </c>
      <c r="F589" s="530" t="s">
        <v>156</v>
      </c>
      <c r="G589" s="528"/>
    </row>
    <row r="590">
      <c r="A590" s="549">
        <v>45754.0</v>
      </c>
      <c r="B590" s="514" t="s">
        <v>2792</v>
      </c>
      <c r="C590" s="539">
        <v>654.0</v>
      </c>
      <c r="D590" s="540" t="s">
        <v>2991</v>
      </c>
      <c r="E590" s="541">
        <v>400.0</v>
      </c>
      <c r="F590" s="542" t="s">
        <v>156</v>
      </c>
      <c r="G590" s="540"/>
    </row>
    <row r="591">
      <c r="A591" s="532">
        <v>45754.0</v>
      </c>
      <c r="B591" s="520" t="s">
        <v>2792</v>
      </c>
      <c r="C591" s="527">
        <v>654.0</v>
      </c>
      <c r="D591" s="528" t="s">
        <v>2922</v>
      </c>
      <c r="E591" s="529">
        <v>50.0</v>
      </c>
      <c r="F591" s="530" t="s">
        <v>156</v>
      </c>
      <c r="G591" s="528"/>
    </row>
    <row r="592">
      <c r="A592" s="549">
        <v>45754.0</v>
      </c>
      <c r="B592" s="514" t="s">
        <v>2792</v>
      </c>
      <c r="C592" s="539">
        <v>654.0</v>
      </c>
      <c r="D592" s="540" t="s">
        <v>2921</v>
      </c>
      <c r="E592" s="541">
        <v>50.0</v>
      </c>
      <c r="F592" s="542" t="s">
        <v>156</v>
      </c>
      <c r="G592" s="540"/>
    </row>
    <row r="593">
      <c r="A593" s="519">
        <v>45754.0</v>
      </c>
      <c r="B593" s="520" t="s">
        <v>2792</v>
      </c>
      <c r="C593" s="521">
        <v>655.0</v>
      </c>
      <c r="D593" s="581" t="s">
        <v>915</v>
      </c>
      <c r="E593" s="523">
        <v>1.0</v>
      </c>
      <c r="F593" s="524" t="s">
        <v>156</v>
      </c>
      <c r="G593" s="545"/>
    </row>
    <row r="594">
      <c r="A594" s="513">
        <v>45754.0</v>
      </c>
      <c r="B594" s="514" t="s">
        <v>2792</v>
      </c>
      <c r="C594" s="515">
        <v>655.0</v>
      </c>
      <c r="D594" s="525" t="s">
        <v>3093</v>
      </c>
      <c r="E594" s="517">
        <v>15.0</v>
      </c>
      <c r="F594" s="518" t="s">
        <v>156</v>
      </c>
      <c r="G594" s="550"/>
    </row>
    <row r="595">
      <c r="A595" s="535">
        <v>45754.0</v>
      </c>
      <c r="B595" s="520" t="s">
        <v>2792</v>
      </c>
      <c r="C595" s="521">
        <v>655.0</v>
      </c>
      <c r="D595" s="536" t="s">
        <v>1189</v>
      </c>
      <c r="E595" s="537">
        <v>30.0</v>
      </c>
      <c r="F595" s="524" t="s">
        <v>156</v>
      </c>
      <c r="G595" s="545"/>
    </row>
    <row r="596">
      <c r="A596" s="513">
        <v>45754.0</v>
      </c>
      <c r="B596" s="514" t="s">
        <v>2792</v>
      </c>
      <c r="C596" s="515">
        <v>655.0</v>
      </c>
      <c r="D596" s="525" t="s">
        <v>3094</v>
      </c>
      <c r="E596" s="517">
        <v>1.0</v>
      </c>
      <c r="F596" s="518" t="s">
        <v>156</v>
      </c>
      <c r="G596" s="550"/>
    </row>
    <row r="597">
      <c r="A597" s="519">
        <v>45754.0</v>
      </c>
      <c r="B597" s="520" t="s">
        <v>2792</v>
      </c>
      <c r="C597" s="521">
        <v>655.0</v>
      </c>
      <c r="D597" s="522" t="s">
        <v>3095</v>
      </c>
      <c r="E597" s="523">
        <v>3.0</v>
      </c>
      <c r="F597" s="524" t="s">
        <v>156</v>
      </c>
      <c r="G597" s="545"/>
    </row>
    <row r="598">
      <c r="A598" s="538">
        <v>45754.0</v>
      </c>
      <c r="B598" s="514" t="s">
        <v>2792</v>
      </c>
      <c r="C598" s="539">
        <v>655.0</v>
      </c>
      <c r="D598" s="540" t="s">
        <v>3096</v>
      </c>
      <c r="E598" s="541">
        <v>20.0</v>
      </c>
      <c r="F598" s="542" t="s">
        <v>156</v>
      </c>
      <c r="G598" s="540"/>
    </row>
    <row r="599">
      <c r="A599" s="526">
        <v>45754.0</v>
      </c>
      <c r="B599" s="520" t="s">
        <v>2792</v>
      </c>
      <c r="C599" s="527">
        <v>655.0</v>
      </c>
      <c r="D599" s="528" t="s">
        <v>3097</v>
      </c>
      <c r="E599" s="529">
        <v>30.0</v>
      </c>
      <c r="F599" s="530" t="s">
        <v>156</v>
      </c>
      <c r="G599" s="528"/>
    </row>
    <row r="600">
      <c r="A600" s="538">
        <v>45754.0</v>
      </c>
      <c r="B600" s="514" t="s">
        <v>2792</v>
      </c>
      <c r="C600" s="539">
        <v>655.0</v>
      </c>
      <c r="D600" s="540" t="s">
        <v>3098</v>
      </c>
      <c r="E600" s="541">
        <v>30.0</v>
      </c>
      <c r="F600" s="542" t="s">
        <v>156</v>
      </c>
      <c r="G600" s="540"/>
    </row>
    <row r="601">
      <c r="A601" s="526">
        <v>45754.0</v>
      </c>
      <c r="B601" s="520" t="s">
        <v>2792</v>
      </c>
      <c r="C601" s="527">
        <v>655.0</v>
      </c>
      <c r="D601" s="528" t="s">
        <v>3099</v>
      </c>
      <c r="E601" s="529">
        <v>38.0</v>
      </c>
      <c r="F601" s="530" t="s">
        <v>156</v>
      </c>
      <c r="G601" s="528"/>
    </row>
    <row r="602">
      <c r="A602" s="538">
        <v>45754.0</v>
      </c>
      <c r="B602" s="514" t="s">
        <v>2792</v>
      </c>
      <c r="C602" s="539">
        <v>655.0</v>
      </c>
      <c r="D602" s="540" t="s">
        <v>3100</v>
      </c>
      <c r="E602" s="541">
        <v>30.0</v>
      </c>
      <c r="F602" s="542" t="s">
        <v>156</v>
      </c>
      <c r="G602" s="540"/>
    </row>
    <row r="603">
      <c r="A603" s="526">
        <v>45754.0</v>
      </c>
      <c r="B603" s="520" t="s">
        <v>2792</v>
      </c>
      <c r="C603" s="527">
        <v>655.0</v>
      </c>
      <c r="D603" s="528" t="s">
        <v>3101</v>
      </c>
      <c r="E603" s="529">
        <v>30.0</v>
      </c>
      <c r="F603" s="530" t="s">
        <v>156</v>
      </c>
      <c r="G603" s="528"/>
    </row>
    <row r="604">
      <c r="A604" s="538">
        <v>45754.0</v>
      </c>
      <c r="B604" s="514" t="s">
        <v>2792</v>
      </c>
      <c r="C604" s="539">
        <v>655.0</v>
      </c>
      <c r="D604" s="540" t="s">
        <v>1143</v>
      </c>
      <c r="E604" s="541">
        <v>68.0</v>
      </c>
      <c r="F604" s="542" t="s">
        <v>156</v>
      </c>
      <c r="G604" s="540"/>
    </row>
    <row r="605">
      <c r="A605" s="519">
        <v>45754.0</v>
      </c>
      <c r="B605" s="520" t="s">
        <v>2792</v>
      </c>
      <c r="C605" s="521">
        <v>656.0</v>
      </c>
      <c r="D605" s="522" t="s">
        <v>3102</v>
      </c>
      <c r="E605" s="523">
        <v>100.0</v>
      </c>
      <c r="F605" s="524" t="s">
        <v>156</v>
      </c>
      <c r="G605" s="545"/>
    </row>
    <row r="606">
      <c r="A606" s="538">
        <v>45754.0</v>
      </c>
      <c r="B606" s="514" t="s">
        <v>2792</v>
      </c>
      <c r="C606" s="515">
        <v>656.0</v>
      </c>
      <c r="D606" s="540" t="s">
        <v>739</v>
      </c>
      <c r="E606" s="541">
        <v>80.0</v>
      </c>
      <c r="F606" s="542" t="s">
        <v>156</v>
      </c>
      <c r="G606" s="540"/>
    </row>
    <row r="607">
      <c r="A607" s="526">
        <v>45754.0</v>
      </c>
      <c r="B607" s="520" t="s">
        <v>2792</v>
      </c>
      <c r="C607" s="527">
        <v>656.0</v>
      </c>
      <c r="D607" s="528" t="s">
        <v>647</v>
      </c>
      <c r="E607" s="529">
        <v>12.0</v>
      </c>
      <c r="F607" s="530" t="s">
        <v>156</v>
      </c>
      <c r="G607" s="528"/>
    </row>
    <row r="608">
      <c r="A608" s="538">
        <v>45754.0</v>
      </c>
      <c r="B608" s="514" t="s">
        <v>2792</v>
      </c>
      <c r="C608" s="539">
        <v>656.0</v>
      </c>
      <c r="D608" s="540" t="s">
        <v>3103</v>
      </c>
      <c r="E608" s="541">
        <v>10.0</v>
      </c>
      <c r="F608" s="542" t="s">
        <v>156</v>
      </c>
      <c r="G608" s="540"/>
    </row>
    <row r="609">
      <c r="A609" s="526">
        <v>45754.0</v>
      </c>
      <c r="B609" s="520" t="s">
        <v>2792</v>
      </c>
      <c r="C609" s="527">
        <v>656.0</v>
      </c>
      <c r="D609" s="528" t="s">
        <v>3092</v>
      </c>
      <c r="E609" s="529">
        <v>30.0</v>
      </c>
      <c r="F609" s="530" t="s">
        <v>156</v>
      </c>
      <c r="G609" s="528"/>
    </row>
    <row r="610">
      <c r="A610" s="538">
        <v>45754.0</v>
      </c>
      <c r="B610" s="514" t="s">
        <v>2792</v>
      </c>
      <c r="C610" s="539">
        <v>656.0</v>
      </c>
      <c r="D610" s="540" t="s">
        <v>3104</v>
      </c>
      <c r="E610" s="541">
        <v>3.0</v>
      </c>
      <c r="F610" s="542" t="s">
        <v>156</v>
      </c>
      <c r="G610" s="540"/>
    </row>
    <row r="611">
      <c r="A611" s="526">
        <v>45754.0</v>
      </c>
      <c r="B611" s="520" t="s">
        <v>2792</v>
      </c>
      <c r="C611" s="527">
        <v>656.0</v>
      </c>
      <c r="D611" s="528" t="s">
        <v>3105</v>
      </c>
      <c r="E611" s="529">
        <v>18.0</v>
      </c>
      <c r="F611" s="530" t="s">
        <v>156</v>
      </c>
      <c r="G611" s="528"/>
    </row>
    <row r="612">
      <c r="A612" s="538">
        <v>45754.0</v>
      </c>
      <c r="B612" s="514" t="s">
        <v>2792</v>
      </c>
      <c r="C612" s="539">
        <v>656.0</v>
      </c>
      <c r="D612" s="540" t="s">
        <v>3106</v>
      </c>
      <c r="E612" s="541">
        <v>6.0</v>
      </c>
      <c r="F612" s="542" t="s">
        <v>156</v>
      </c>
      <c r="G612" s="540"/>
    </row>
    <row r="613">
      <c r="A613" s="526">
        <v>45754.0</v>
      </c>
      <c r="B613" s="520" t="s">
        <v>2792</v>
      </c>
      <c r="C613" s="527">
        <v>656.0</v>
      </c>
      <c r="D613" s="528" t="s">
        <v>714</v>
      </c>
      <c r="E613" s="529">
        <v>15.0</v>
      </c>
      <c r="F613" s="530" t="s">
        <v>981</v>
      </c>
      <c r="G613" s="528"/>
    </row>
    <row r="614">
      <c r="A614" s="538">
        <v>45754.0</v>
      </c>
      <c r="B614" s="514" t="s">
        <v>2792</v>
      </c>
      <c r="C614" s="539">
        <v>656.0</v>
      </c>
      <c r="D614" s="540" t="s">
        <v>3107</v>
      </c>
      <c r="E614" s="541">
        <v>5.0</v>
      </c>
      <c r="F614" s="542" t="s">
        <v>156</v>
      </c>
      <c r="G614" s="540"/>
    </row>
    <row r="615">
      <c r="A615" s="526">
        <v>45754.0</v>
      </c>
      <c r="B615" s="520" t="s">
        <v>2792</v>
      </c>
      <c r="C615" s="527">
        <v>656.0</v>
      </c>
      <c r="D615" s="528" t="s">
        <v>3108</v>
      </c>
      <c r="E615" s="529">
        <v>3.0</v>
      </c>
      <c r="F615" s="530" t="s">
        <v>156</v>
      </c>
      <c r="G615" s="528"/>
    </row>
    <row r="616">
      <c r="A616" s="538">
        <v>45754.0</v>
      </c>
      <c r="B616" s="514" t="s">
        <v>2792</v>
      </c>
      <c r="C616" s="539">
        <v>656.0</v>
      </c>
      <c r="D616" s="540" t="s">
        <v>785</v>
      </c>
      <c r="E616" s="541">
        <v>6.0</v>
      </c>
      <c r="F616" s="542" t="s">
        <v>156</v>
      </c>
      <c r="G616" s="540"/>
    </row>
    <row r="617">
      <c r="A617" s="535">
        <v>45754.0</v>
      </c>
      <c r="B617" s="520" t="s">
        <v>2792</v>
      </c>
      <c r="C617" s="521">
        <v>661.0</v>
      </c>
      <c r="D617" s="522" t="s">
        <v>3109</v>
      </c>
      <c r="E617" s="523">
        <v>130.0</v>
      </c>
      <c r="F617" s="524" t="s">
        <v>74</v>
      </c>
      <c r="G617" s="545"/>
    </row>
    <row r="618">
      <c r="A618" s="513">
        <v>45754.0</v>
      </c>
      <c r="B618" s="514" t="s">
        <v>2792</v>
      </c>
      <c r="C618" s="515">
        <v>661.0</v>
      </c>
      <c r="D618" s="525" t="s">
        <v>3110</v>
      </c>
      <c r="E618" s="517">
        <v>110.0</v>
      </c>
      <c r="F618" s="518" t="s">
        <v>74</v>
      </c>
      <c r="G618" s="550"/>
    </row>
    <row r="619">
      <c r="A619" s="532">
        <v>45758.0</v>
      </c>
      <c r="B619" s="520" t="s">
        <v>2792</v>
      </c>
      <c r="C619" s="527">
        <v>659.0</v>
      </c>
      <c r="D619" s="586" t="s">
        <v>1555</v>
      </c>
      <c r="E619" s="546">
        <v>2.0</v>
      </c>
      <c r="F619" s="547" t="s">
        <v>156</v>
      </c>
      <c r="G619" s="528"/>
    </row>
    <row r="620">
      <c r="A620" s="538">
        <v>45758.0</v>
      </c>
      <c r="B620" s="514" t="s">
        <v>2792</v>
      </c>
      <c r="C620" s="515">
        <v>660.0</v>
      </c>
      <c r="D620" s="540" t="s">
        <v>3111</v>
      </c>
      <c r="E620" s="541">
        <v>11.22</v>
      </c>
      <c r="F620" s="542" t="s">
        <v>34</v>
      </c>
      <c r="G620" s="540"/>
    </row>
    <row r="621">
      <c r="A621" s="532">
        <v>45758.0</v>
      </c>
      <c r="B621" s="520" t="s">
        <v>2792</v>
      </c>
      <c r="C621" s="521">
        <v>660.0</v>
      </c>
      <c r="D621" s="545" t="s">
        <v>3112</v>
      </c>
      <c r="E621" s="546">
        <v>60.0</v>
      </c>
      <c r="F621" s="530" t="s">
        <v>156</v>
      </c>
      <c r="G621" s="528"/>
    </row>
    <row r="622">
      <c r="A622" s="538">
        <v>45758.0</v>
      </c>
      <c r="B622" s="514" t="s">
        <v>2792</v>
      </c>
      <c r="C622" s="515">
        <v>660.0</v>
      </c>
      <c r="D622" s="540" t="s">
        <v>3113</v>
      </c>
      <c r="E622" s="541">
        <v>50.0</v>
      </c>
      <c r="F622" s="542" t="s">
        <v>34</v>
      </c>
      <c r="G622" s="540"/>
    </row>
    <row r="623">
      <c r="A623" s="526">
        <v>45758.0</v>
      </c>
      <c r="B623" s="520" t="s">
        <v>2792</v>
      </c>
      <c r="C623" s="527">
        <v>660.0</v>
      </c>
      <c r="D623" s="545" t="s">
        <v>3114</v>
      </c>
      <c r="E623" s="546">
        <v>15.0</v>
      </c>
      <c r="F623" s="553" t="s">
        <v>156</v>
      </c>
      <c r="G623" s="545"/>
    </row>
    <row r="624">
      <c r="A624" s="513">
        <v>45760.0</v>
      </c>
      <c r="B624" s="514" t="s">
        <v>2792</v>
      </c>
      <c r="C624" s="515">
        <v>801.0</v>
      </c>
      <c r="D624" s="525" t="s">
        <v>3115</v>
      </c>
      <c r="E624" s="517">
        <v>250.0</v>
      </c>
      <c r="F624" s="518" t="s">
        <v>74</v>
      </c>
      <c r="G624" s="550"/>
    </row>
    <row r="625">
      <c r="A625" s="526">
        <v>45764.0</v>
      </c>
      <c r="B625" s="520" t="s">
        <v>2792</v>
      </c>
      <c r="C625" s="521">
        <v>665.0</v>
      </c>
      <c r="D625" s="528" t="s">
        <v>350</v>
      </c>
      <c r="E625" s="529">
        <v>50.0</v>
      </c>
      <c r="F625" s="530" t="s">
        <v>34</v>
      </c>
      <c r="G625" s="528"/>
    </row>
    <row r="626">
      <c r="A626" s="538">
        <v>45764.0</v>
      </c>
      <c r="B626" s="514" t="s">
        <v>2792</v>
      </c>
      <c r="C626" s="515">
        <v>665.0</v>
      </c>
      <c r="D626" s="540" t="s">
        <v>349</v>
      </c>
      <c r="E626" s="541">
        <v>50.0</v>
      </c>
      <c r="F626" s="542" t="s">
        <v>34</v>
      </c>
      <c r="G626" s="540"/>
    </row>
    <row r="627">
      <c r="A627" s="526">
        <v>45768.0</v>
      </c>
      <c r="B627" s="520" t="s">
        <v>2792</v>
      </c>
      <c r="C627" s="527">
        <v>663.0</v>
      </c>
      <c r="D627" s="528" t="s">
        <v>2902</v>
      </c>
      <c r="E627" s="529">
        <v>2.0</v>
      </c>
      <c r="F627" s="530" t="s">
        <v>156</v>
      </c>
      <c r="G627" s="528"/>
    </row>
    <row r="628">
      <c r="A628" s="533">
        <v>45768.0</v>
      </c>
      <c r="B628" s="514" t="s">
        <v>2792</v>
      </c>
      <c r="C628" s="515">
        <v>663.0</v>
      </c>
      <c r="D628" s="516" t="s">
        <v>3116</v>
      </c>
      <c r="E628" s="534">
        <v>3.0</v>
      </c>
      <c r="F628" s="544" t="s">
        <v>156</v>
      </c>
      <c r="G628" s="540"/>
    </row>
    <row r="629">
      <c r="A629" s="532">
        <v>45768.0</v>
      </c>
      <c r="B629" s="520" t="s">
        <v>2792</v>
      </c>
      <c r="C629" s="527">
        <v>663.0</v>
      </c>
      <c r="D629" s="545" t="s">
        <v>347</v>
      </c>
      <c r="E629" s="546">
        <v>4.0</v>
      </c>
      <c r="F629" s="547" t="s">
        <v>156</v>
      </c>
      <c r="G629" s="528"/>
    </row>
    <row r="630">
      <c r="A630" s="549">
        <v>45768.0</v>
      </c>
      <c r="B630" s="514" t="s">
        <v>2792</v>
      </c>
      <c r="C630" s="539">
        <v>663.0</v>
      </c>
      <c r="D630" s="550" t="s">
        <v>309</v>
      </c>
      <c r="E630" s="561">
        <v>5.0</v>
      </c>
      <c r="F630" s="544" t="s">
        <v>156</v>
      </c>
      <c r="G630" s="540"/>
    </row>
    <row r="631">
      <c r="A631" s="535">
        <v>45768.0</v>
      </c>
      <c r="B631" s="520" t="s">
        <v>2792</v>
      </c>
      <c r="C631" s="521">
        <v>663.0</v>
      </c>
      <c r="D631" s="536" t="s">
        <v>88</v>
      </c>
      <c r="E631" s="537">
        <v>10.0</v>
      </c>
      <c r="F631" s="547" t="s">
        <v>156</v>
      </c>
      <c r="G631" s="528"/>
    </row>
    <row r="632">
      <c r="A632" s="533">
        <v>45768.0</v>
      </c>
      <c r="B632" s="514" t="s">
        <v>2792</v>
      </c>
      <c r="C632" s="515">
        <v>663.0</v>
      </c>
      <c r="D632" s="516" t="s">
        <v>3117</v>
      </c>
      <c r="E632" s="534">
        <v>4.0</v>
      </c>
      <c r="F632" s="544" t="s">
        <v>156</v>
      </c>
      <c r="G632" s="540"/>
    </row>
    <row r="633">
      <c r="A633" s="526">
        <v>45768.0</v>
      </c>
      <c r="B633" s="520" t="s">
        <v>2792</v>
      </c>
      <c r="C633" s="521">
        <v>663.0</v>
      </c>
      <c r="D633" s="528" t="s">
        <v>3118</v>
      </c>
      <c r="E633" s="529">
        <v>10.0</v>
      </c>
      <c r="F633" s="547" t="s">
        <v>156</v>
      </c>
      <c r="G633" s="528"/>
    </row>
    <row r="634">
      <c r="A634" s="533">
        <v>45768.0</v>
      </c>
      <c r="B634" s="514" t="s">
        <v>2792</v>
      </c>
      <c r="C634" s="515">
        <v>663.0</v>
      </c>
      <c r="D634" s="516" t="s">
        <v>736</v>
      </c>
      <c r="E634" s="534">
        <v>10.0</v>
      </c>
      <c r="F634" s="544" t="s">
        <v>156</v>
      </c>
      <c r="G634" s="540"/>
    </row>
    <row r="635">
      <c r="A635" s="535">
        <v>45768.0</v>
      </c>
      <c r="B635" s="520" t="s">
        <v>2792</v>
      </c>
      <c r="C635" s="527">
        <v>663.0</v>
      </c>
      <c r="D635" s="536" t="s">
        <v>3119</v>
      </c>
      <c r="E635" s="537">
        <v>20.0</v>
      </c>
      <c r="F635" s="547" t="s">
        <v>156</v>
      </c>
      <c r="G635" s="528"/>
    </row>
    <row r="636">
      <c r="A636" s="538">
        <v>45768.0</v>
      </c>
      <c r="B636" s="514" t="s">
        <v>2792</v>
      </c>
      <c r="C636" s="515">
        <v>664.0</v>
      </c>
      <c r="D636" s="540" t="s">
        <v>351</v>
      </c>
      <c r="E636" s="541">
        <v>50.0</v>
      </c>
      <c r="F636" s="542" t="s">
        <v>34</v>
      </c>
      <c r="G636" s="540"/>
    </row>
    <row r="637">
      <c r="A637" s="526">
        <v>45768.0</v>
      </c>
      <c r="B637" s="520" t="s">
        <v>2792</v>
      </c>
      <c r="C637" s="521">
        <v>664.0</v>
      </c>
      <c r="D637" s="528" t="s">
        <v>350</v>
      </c>
      <c r="E637" s="529">
        <v>50.0</v>
      </c>
      <c r="F637" s="530" t="s">
        <v>34</v>
      </c>
      <c r="G637" s="528"/>
    </row>
    <row r="638">
      <c r="A638" s="538">
        <v>45768.0</v>
      </c>
      <c r="B638" s="514" t="s">
        <v>2792</v>
      </c>
      <c r="C638" s="515">
        <v>664.0</v>
      </c>
      <c r="D638" s="540" t="s">
        <v>349</v>
      </c>
      <c r="E638" s="541">
        <v>50.0</v>
      </c>
      <c r="F638" s="542" t="s">
        <v>34</v>
      </c>
      <c r="G638" s="540"/>
    </row>
    <row r="639">
      <c r="A639" s="526">
        <v>45768.0</v>
      </c>
      <c r="B639" s="520" t="s">
        <v>2792</v>
      </c>
      <c r="C639" s="521">
        <v>664.0</v>
      </c>
      <c r="D639" s="528" t="s">
        <v>3120</v>
      </c>
      <c r="E639" s="529">
        <v>100.0</v>
      </c>
      <c r="F639" s="530" t="s">
        <v>156</v>
      </c>
      <c r="G639" s="528"/>
    </row>
    <row r="640">
      <c r="A640" s="538">
        <v>45768.0</v>
      </c>
      <c r="B640" s="514" t="s">
        <v>2792</v>
      </c>
      <c r="C640" s="515">
        <v>664.0</v>
      </c>
      <c r="D640" s="540" t="s">
        <v>3121</v>
      </c>
      <c r="E640" s="541">
        <v>400.0</v>
      </c>
      <c r="F640" s="542" t="s">
        <v>156</v>
      </c>
      <c r="G640" s="540"/>
    </row>
    <row r="641">
      <c r="A641" s="526">
        <v>45768.0</v>
      </c>
      <c r="B641" s="520" t="s">
        <v>2792</v>
      </c>
      <c r="C641" s="521">
        <v>664.0</v>
      </c>
      <c r="D641" s="528" t="s">
        <v>2853</v>
      </c>
      <c r="E641" s="529">
        <v>250.0</v>
      </c>
      <c r="F641" s="530" t="s">
        <v>156</v>
      </c>
      <c r="G641" s="528"/>
    </row>
    <row r="642">
      <c r="A642" s="538">
        <v>45768.0</v>
      </c>
      <c r="B642" s="514" t="s">
        <v>2792</v>
      </c>
      <c r="C642" s="515">
        <v>664.0</v>
      </c>
      <c r="D642" s="540" t="s">
        <v>3122</v>
      </c>
      <c r="E642" s="541">
        <v>400.0</v>
      </c>
      <c r="F642" s="542" t="s">
        <v>156</v>
      </c>
      <c r="G642" s="540"/>
    </row>
    <row r="643">
      <c r="A643" s="535">
        <v>45768.0</v>
      </c>
      <c r="B643" s="520" t="s">
        <v>2792</v>
      </c>
      <c r="C643" s="521">
        <v>664.0</v>
      </c>
      <c r="D643" s="536" t="s">
        <v>426</v>
      </c>
      <c r="E643" s="537">
        <v>20.0</v>
      </c>
      <c r="F643" s="547" t="s">
        <v>156</v>
      </c>
      <c r="G643" s="528"/>
    </row>
    <row r="644">
      <c r="A644" s="533">
        <v>45768.0</v>
      </c>
      <c r="B644" s="514" t="s">
        <v>2792</v>
      </c>
      <c r="C644" s="515">
        <v>664.0</v>
      </c>
      <c r="D644" s="516" t="s">
        <v>3123</v>
      </c>
      <c r="E644" s="534">
        <v>2.0</v>
      </c>
      <c r="F644" s="544" t="s">
        <v>156</v>
      </c>
      <c r="G644" s="540"/>
    </row>
    <row r="645">
      <c r="A645" s="526">
        <v>45768.0</v>
      </c>
      <c r="B645" s="520" t="s">
        <v>2792</v>
      </c>
      <c r="C645" s="521">
        <v>664.0</v>
      </c>
      <c r="D645" s="528" t="s">
        <v>3124</v>
      </c>
      <c r="E645" s="529">
        <v>3.0</v>
      </c>
      <c r="F645" s="530" t="s">
        <v>156</v>
      </c>
      <c r="G645" s="528"/>
    </row>
    <row r="646">
      <c r="A646" s="538">
        <v>45768.0</v>
      </c>
      <c r="B646" s="514" t="s">
        <v>2792</v>
      </c>
      <c r="C646" s="539">
        <v>664.0</v>
      </c>
      <c r="D646" s="540" t="s">
        <v>85</v>
      </c>
      <c r="E646" s="541">
        <v>1.0</v>
      </c>
      <c r="F646" s="542" t="s">
        <v>156</v>
      </c>
      <c r="G646" s="540"/>
    </row>
    <row r="647">
      <c r="A647" s="526">
        <v>45768.0</v>
      </c>
      <c r="B647" s="520" t="s">
        <v>2792</v>
      </c>
      <c r="C647" s="527">
        <v>664.0</v>
      </c>
      <c r="D647" s="528" t="s">
        <v>2858</v>
      </c>
      <c r="E647" s="529">
        <v>1.0</v>
      </c>
      <c r="F647" s="530" t="s">
        <v>156</v>
      </c>
      <c r="G647" s="528"/>
    </row>
    <row r="648">
      <c r="A648" s="538">
        <v>45768.0</v>
      </c>
      <c r="B648" s="514" t="s">
        <v>2792</v>
      </c>
      <c r="C648" s="539">
        <v>664.0</v>
      </c>
      <c r="D648" s="540" t="s">
        <v>3125</v>
      </c>
      <c r="E648" s="541">
        <v>30.0</v>
      </c>
      <c r="F648" s="542" t="s">
        <v>156</v>
      </c>
      <c r="G648" s="540"/>
    </row>
    <row r="649">
      <c r="A649" s="526">
        <v>45768.0</v>
      </c>
      <c r="B649" s="520" t="s">
        <v>2792</v>
      </c>
      <c r="C649" s="527">
        <v>664.0</v>
      </c>
      <c r="D649" s="528" t="s">
        <v>3126</v>
      </c>
      <c r="E649" s="529">
        <v>1.0</v>
      </c>
      <c r="F649" s="530" t="s">
        <v>156</v>
      </c>
      <c r="G649" s="528"/>
    </row>
    <row r="650">
      <c r="A650" s="513">
        <v>45768.0</v>
      </c>
      <c r="B650" s="514" t="s">
        <v>2792</v>
      </c>
      <c r="C650" s="515">
        <v>666.0</v>
      </c>
      <c r="D650" s="525" t="s">
        <v>478</v>
      </c>
      <c r="E650" s="517">
        <v>50.0</v>
      </c>
      <c r="F650" s="518" t="s">
        <v>156</v>
      </c>
      <c r="G650" s="550"/>
    </row>
    <row r="651">
      <c r="A651" s="519">
        <v>45768.0</v>
      </c>
      <c r="B651" s="520" t="s">
        <v>2792</v>
      </c>
      <c r="C651" s="521">
        <v>666.0</v>
      </c>
      <c r="D651" s="522" t="s">
        <v>3127</v>
      </c>
      <c r="E651" s="523">
        <v>50.0</v>
      </c>
      <c r="F651" s="524" t="s">
        <v>156</v>
      </c>
      <c r="G651" s="545"/>
    </row>
    <row r="652">
      <c r="A652" s="513">
        <v>45768.0</v>
      </c>
      <c r="B652" s="514" t="s">
        <v>2792</v>
      </c>
      <c r="C652" s="515">
        <v>666.0</v>
      </c>
      <c r="D652" s="525" t="s">
        <v>283</v>
      </c>
      <c r="E652" s="517">
        <v>30.0</v>
      </c>
      <c r="F652" s="518" t="s">
        <v>156</v>
      </c>
      <c r="G652" s="550"/>
    </row>
    <row r="653">
      <c r="A653" s="526">
        <v>45768.0</v>
      </c>
      <c r="B653" s="520" t="s">
        <v>2792</v>
      </c>
      <c r="C653" s="527">
        <v>666.0</v>
      </c>
      <c r="D653" s="528" t="s">
        <v>446</v>
      </c>
      <c r="E653" s="529">
        <v>20.0</v>
      </c>
      <c r="F653" s="530" t="s">
        <v>156</v>
      </c>
      <c r="G653" s="528"/>
    </row>
    <row r="654">
      <c r="A654" s="538">
        <v>45768.0</v>
      </c>
      <c r="B654" s="514" t="s">
        <v>2792</v>
      </c>
      <c r="C654" s="566">
        <v>666.0</v>
      </c>
      <c r="D654" s="540" t="s">
        <v>3128</v>
      </c>
      <c r="E654" s="541">
        <v>14.4</v>
      </c>
      <c r="F654" s="542" t="s">
        <v>1673</v>
      </c>
      <c r="G654" s="540"/>
    </row>
    <row r="655">
      <c r="A655" s="526">
        <v>45768.0</v>
      </c>
      <c r="B655" s="520" t="s">
        <v>2792</v>
      </c>
      <c r="C655" s="527">
        <v>666.0</v>
      </c>
      <c r="D655" s="528" t="s">
        <v>3129</v>
      </c>
      <c r="E655" s="529">
        <v>4.0</v>
      </c>
      <c r="F655" s="530" t="s">
        <v>156</v>
      </c>
      <c r="G655" s="528"/>
    </row>
    <row r="656">
      <c r="A656" s="538">
        <v>45771.0</v>
      </c>
      <c r="B656" s="514" t="s">
        <v>2792</v>
      </c>
      <c r="C656" s="515">
        <v>671.0</v>
      </c>
      <c r="D656" s="540" t="s">
        <v>3130</v>
      </c>
      <c r="E656" s="541">
        <v>6.0</v>
      </c>
      <c r="F656" s="542" t="s">
        <v>156</v>
      </c>
      <c r="G656" s="540"/>
    </row>
    <row r="657">
      <c r="A657" s="535">
        <v>45772.0</v>
      </c>
      <c r="B657" s="520" t="s">
        <v>2792</v>
      </c>
      <c r="C657" s="527">
        <v>670.0</v>
      </c>
      <c r="D657" s="536" t="s">
        <v>3131</v>
      </c>
      <c r="E657" s="537">
        <v>2.0</v>
      </c>
      <c r="F657" s="530" t="s">
        <v>156</v>
      </c>
      <c r="G657" s="528"/>
    </row>
    <row r="658">
      <c r="A658" s="538">
        <v>45772.0</v>
      </c>
      <c r="B658" s="514" t="s">
        <v>2792</v>
      </c>
      <c r="C658" s="539">
        <v>670.0</v>
      </c>
      <c r="D658" s="540" t="s">
        <v>608</v>
      </c>
      <c r="E658" s="541">
        <v>6.0</v>
      </c>
      <c r="F658" s="542" t="s">
        <v>156</v>
      </c>
      <c r="G658" s="540"/>
    </row>
    <row r="659">
      <c r="A659" s="526">
        <v>45772.0</v>
      </c>
      <c r="B659" s="520" t="s">
        <v>2792</v>
      </c>
      <c r="C659" s="527">
        <v>670.0</v>
      </c>
      <c r="D659" s="528" t="s">
        <v>3001</v>
      </c>
      <c r="E659" s="529">
        <v>24.0</v>
      </c>
      <c r="F659" s="530" t="s">
        <v>156</v>
      </c>
      <c r="G659" s="528"/>
    </row>
    <row r="660">
      <c r="A660" s="533">
        <v>45772.0</v>
      </c>
      <c r="B660" s="514" t="s">
        <v>2792</v>
      </c>
      <c r="C660" s="539">
        <v>670.0</v>
      </c>
      <c r="D660" s="516" t="s">
        <v>633</v>
      </c>
      <c r="E660" s="534">
        <v>2.0</v>
      </c>
      <c r="F660" s="542" t="s">
        <v>156</v>
      </c>
      <c r="G660" s="540"/>
    </row>
    <row r="661">
      <c r="A661" s="526">
        <v>45772.0</v>
      </c>
      <c r="B661" s="520" t="s">
        <v>2792</v>
      </c>
      <c r="C661" s="527">
        <v>670.0</v>
      </c>
      <c r="D661" s="528" t="s">
        <v>3132</v>
      </c>
      <c r="E661" s="529">
        <v>6.0</v>
      </c>
      <c r="F661" s="530" t="s">
        <v>156</v>
      </c>
      <c r="G661" s="528"/>
    </row>
    <row r="662">
      <c r="A662" s="533">
        <v>45772.0</v>
      </c>
      <c r="B662" s="514" t="s">
        <v>2792</v>
      </c>
      <c r="C662" s="539">
        <v>670.0</v>
      </c>
      <c r="D662" s="516" t="s">
        <v>3133</v>
      </c>
      <c r="E662" s="534">
        <v>4.0</v>
      </c>
      <c r="F662" s="542" t="s">
        <v>156</v>
      </c>
      <c r="G662" s="540"/>
    </row>
    <row r="663">
      <c r="A663" s="526">
        <v>45772.0</v>
      </c>
      <c r="B663" s="520" t="s">
        <v>2792</v>
      </c>
      <c r="C663" s="527">
        <v>670.0</v>
      </c>
      <c r="D663" s="528" t="s">
        <v>634</v>
      </c>
      <c r="E663" s="529">
        <v>3.0</v>
      </c>
      <c r="F663" s="530" t="s">
        <v>156</v>
      </c>
      <c r="G663" s="528"/>
    </row>
    <row r="664">
      <c r="A664" s="538">
        <v>45772.0</v>
      </c>
      <c r="B664" s="514" t="s">
        <v>2792</v>
      </c>
      <c r="C664" s="539">
        <v>670.0</v>
      </c>
      <c r="D664" s="540" t="s">
        <v>3034</v>
      </c>
      <c r="E664" s="541">
        <v>20.0</v>
      </c>
      <c r="F664" s="542" t="s">
        <v>156</v>
      </c>
      <c r="G664" s="540"/>
    </row>
    <row r="665">
      <c r="A665" s="526">
        <v>45772.0</v>
      </c>
      <c r="B665" s="520" t="s">
        <v>2792</v>
      </c>
      <c r="C665" s="521">
        <v>671.0</v>
      </c>
      <c r="D665" s="528" t="s">
        <v>352</v>
      </c>
      <c r="E665" s="529">
        <v>25.0</v>
      </c>
      <c r="F665" s="530" t="s">
        <v>34</v>
      </c>
      <c r="G665" s="528"/>
    </row>
    <row r="666">
      <c r="A666" s="538">
        <v>45772.0</v>
      </c>
      <c r="B666" s="514" t="s">
        <v>2792</v>
      </c>
      <c r="C666" s="515">
        <v>671.0</v>
      </c>
      <c r="D666" s="540" t="s">
        <v>350</v>
      </c>
      <c r="E666" s="541">
        <v>50.0</v>
      </c>
      <c r="F666" s="542" t="s">
        <v>34</v>
      </c>
      <c r="G666" s="540"/>
    </row>
    <row r="667">
      <c r="A667" s="526">
        <v>45772.0</v>
      </c>
      <c r="B667" s="520" t="s">
        <v>2792</v>
      </c>
      <c r="C667" s="521">
        <v>671.0</v>
      </c>
      <c r="D667" s="528" t="s">
        <v>349</v>
      </c>
      <c r="E667" s="529">
        <v>25.0</v>
      </c>
      <c r="F667" s="530" t="s">
        <v>34</v>
      </c>
      <c r="G667" s="528"/>
    </row>
    <row r="668">
      <c r="A668" s="538">
        <v>45772.0</v>
      </c>
      <c r="B668" s="514" t="s">
        <v>2792</v>
      </c>
      <c r="C668" s="515">
        <v>671.0</v>
      </c>
      <c r="D668" s="540" t="s">
        <v>348</v>
      </c>
      <c r="E668" s="541">
        <v>25.0</v>
      </c>
      <c r="F668" s="542" t="s">
        <v>34</v>
      </c>
      <c r="G668" s="540"/>
    </row>
    <row r="669">
      <c r="A669" s="526">
        <v>45772.0</v>
      </c>
      <c r="B669" s="520" t="s">
        <v>2792</v>
      </c>
      <c r="C669" s="527">
        <v>671.0</v>
      </c>
      <c r="D669" s="528" t="s">
        <v>3134</v>
      </c>
      <c r="E669" s="537">
        <v>1.0</v>
      </c>
      <c r="F669" s="547" t="s">
        <v>3135</v>
      </c>
      <c r="G669" s="528"/>
    </row>
    <row r="670">
      <c r="A670" s="533">
        <v>45772.0</v>
      </c>
      <c r="B670" s="514" t="s">
        <v>2792</v>
      </c>
      <c r="C670" s="539">
        <v>671.0</v>
      </c>
      <c r="D670" s="516" t="s">
        <v>3136</v>
      </c>
      <c r="E670" s="534">
        <v>100.0</v>
      </c>
      <c r="F670" s="544" t="s">
        <v>1168</v>
      </c>
      <c r="G670" s="540"/>
    </row>
    <row r="671">
      <c r="A671" s="526">
        <v>45772.0</v>
      </c>
      <c r="B671" s="520" t="s">
        <v>2792</v>
      </c>
      <c r="C671" s="521">
        <v>671.0</v>
      </c>
      <c r="D671" s="528" t="s">
        <v>1290</v>
      </c>
      <c r="E671" s="529">
        <v>8.0</v>
      </c>
      <c r="F671" s="530" t="s">
        <v>981</v>
      </c>
      <c r="G671" s="528"/>
    </row>
    <row r="672">
      <c r="A672" s="549">
        <v>45772.0</v>
      </c>
      <c r="B672" s="514" t="s">
        <v>2792</v>
      </c>
      <c r="C672" s="515">
        <v>671.0</v>
      </c>
      <c r="D672" s="550" t="s">
        <v>3137</v>
      </c>
      <c r="E672" s="541">
        <v>60.0</v>
      </c>
      <c r="F672" s="542" t="s">
        <v>34</v>
      </c>
      <c r="G672" s="540"/>
    </row>
    <row r="673">
      <c r="A673" s="532">
        <v>45772.0</v>
      </c>
      <c r="B673" s="520" t="s">
        <v>2792</v>
      </c>
      <c r="C673" s="521">
        <v>671.0</v>
      </c>
      <c r="D673" s="545" t="s">
        <v>3138</v>
      </c>
      <c r="E673" s="546">
        <v>5.0</v>
      </c>
      <c r="F673" s="530" t="s">
        <v>34</v>
      </c>
      <c r="G673" s="528"/>
    </row>
    <row r="674">
      <c r="A674" s="538">
        <v>45772.0</v>
      </c>
      <c r="B674" s="514" t="s">
        <v>2792</v>
      </c>
      <c r="C674" s="515">
        <v>671.0</v>
      </c>
      <c r="D674" s="540" t="s">
        <v>3139</v>
      </c>
      <c r="E674" s="541">
        <v>5.0</v>
      </c>
      <c r="F674" s="542" t="s">
        <v>34</v>
      </c>
      <c r="G674" s="540"/>
    </row>
    <row r="675">
      <c r="A675" s="526">
        <v>45772.0</v>
      </c>
      <c r="B675" s="520" t="s">
        <v>2792</v>
      </c>
      <c r="C675" s="527">
        <v>671.0</v>
      </c>
      <c r="D675" s="528" t="s">
        <v>3140</v>
      </c>
      <c r="E675" s="529">
        <v>2.0</v>
      </c>
      <c r="F675" s="530" t="s">
        <v>156</v>
      </c>
      <c r="G675" s="528"/>
    </row>
    <row r="676">
      <c r="A676" s="533">
        <v>45772.0</v>
      </c>
      <c r="B676" s="514" t="s">
        <v>2792</v>
      </c>
      <c r="C676" s="558">
        <v>672.0</v>
      </c>
      <c r="D676" s="516" t="s">
        <v>408</v>
      </c>
      <c r="E676" s="534">
        <v>4.0</v>
      </c>
      <c r="F676" s="544" t="s">
        <v>2869</v>
      </c>
      <c r="G676" s="540"/>
    </row>
    <row r="677">
      <c r="A677" s="535">
        <v>45772.0</v>
      </c>
      <c r="B677" s="520" t="s">
        <v>2792</v>
      </c>
      <c r="C677" s="557">
        <v>672.0</v>
      </c>
      <c r="D677" s="536" t="s">
        <v>3006</v>
      </c>
      <c r="E677" s="537">
        <v>4.0</v>
      </c>
      <c r="F677" s="530" t="s">
        <v>156</v>
      </c>
      <c r="G677" s="528"/>
    </row>
    <row r="678">
      <c r="A678" s="549">
        <v>45772.0</v>
      </c>
      <c r="B678" s="514" t="s">
        <v>2792</v>
      </c>
      <c r="C678" s="539">
        <v>674.0</v>
      </c>
      <c r="D678" s="550" t="s">
        <v>3141</v>
      </c>
      <c r="E678" s="561">
        <v>10.0</v>
      </c>
      <c r="F678" s="564" t="s">
        <v>3142</v>
      </c>
      <c r="G678" s="550"/>
    </row>
    <row r="679">
      <c r="A679" s="526">
        <v>45772.0</v>
      </c>
      <c r="B679" s="520" t="s">
        <v>2792</v>
      </c>
      <c r="C679" s="527">
        <v>675.0</v>
      </c>
      <c r="D679" s="528" t="s">
        <v>3143</v>
      </c>
      <c r="E679" s="529">
        <v>10.0</v>
      </c>
      <c r="F679" s="530" t="s">
        <v>156</v>
      </c>
      <c r="G679" s="528"/>
    </row>
    <row r="680">
      <c r="A680" s="538">
        <v>45772.0</v>
      </c>
      <c r="B680" s="514" t="s">
        <v>2792</v>
      </c>
      <c r="C680" s="539">
        <v>675.0</v>
      </c>
      <c r="D680" s="540" t="s">
        <v>903</v>
      </c>
      <c r="E680" s="541">
        <v>50.0</v>
      </c>
      <c r="F680" s="542" t="s">
        <v>156</v>
      </c>
      <c r="G680" s="540"/>
    </row>
    <row r="681">
      <c r="A681" s="526">
        <v>45772.0</v>
      </c>
      <c r="B681" s="520" t="s">
        <v>2792</v>
      </c>
      <c r="C681" s="527">
        <v>675.0</v>
      </c>
      <c r="D681" s="528" t="s">
        <v>775</v>
      </c>
      <c r="E681" s="529">
        <v>30.0</v>
      </c>
      <c r="F681" s="530" t="s">
        <v>156</v>
      </c>
      <c r="G681" s="528"/>
    </row>
    <row r="682">
      <c r="A682" s="538">
        <v>45772.0</v>
      </c>
      <c r="B682" s="514" t="s">
        <v>2792</v>
      </c>
      <c r="C682" s="539">
        <v>675.0</v>
      </c>
      <c r="D682" s="540" t="s">
        <v>3144</v>
      </c>
      <c r="E682" s="541">
        <v>30.0</v>
      </c>
      <c r="F682" s="542" t="s">
        <v>156</v>
      </c>
      <c r="G682" s="540"/>
    </row>
    <row r="683">
      <c r="A683" s="526">
        <v>45772.0</v>
      </c>
      <c r="B683" s="520" t="s">
        <v>2792</v>
      </c>
      <c r="C683" s="527">
        <v>675.0</v>
      </c>
      <c r="D683" s="528" t="s">
        <v>3145</v>
      </c>
      <c r="E683" s="529">
        <v>50.0</v>
      </c>
      <c r="F683" s="530" t="s">
        <v>156</v>
      </c>
      <c r="G683" s="528"/>
    </row>
    <row r="684">
      <c r="A684" s="513">
        <v>45775.0</v>
      </c>
      <c r="B684" s="514" t="s">
        <v>2792</v>
      </c>
      <c r="C684" s="515">
        <v>605.0</v>
      </c>
      <c r="D684" s="525" t="s">
        <v>286</v>
      </c>
      <c r="E684" s="517">
        <v>2.0</v>
      </c>
      <c r="F684" s="518" t="s">
        <v>156</v>
      </c>
      <c r="G684" s="550"/>
    </row>
    <row r="685">
      <c r="A685" s="519">
        <v>45776.0</v>
      </c>
      <c r="B685" s="520" t="s">
        <v>2792</v>
      </c>
      <c r="C685" s="521">
        <v>677.0</v>
      </c>
      <c r="D685" s="581" t="s">
        <v>915</v>
      </c>
      <c r="E685" s="523">
        <v>1.0</v>
      </c>
      <c r="F685" s="524" t="s">
        <v>156</v>
      </c>
      <c r="G685" s="545"/>
    </row>
    <row r="686">
      <c r="A686" s="513">
        <v>45776.0</v>
      </c>
      <c r="B686" s="514" t="s">
        <v>2792</v>
      </c>
      <c r="C686" s="515">
        <v>677.0</v>
      </c>
      <c r="D686" s="580" t="s">
        <v>3146</v>
      </c>
      <c r="E686" s="517">
        <v>1.0</v>
      </c>
      <c r="F686" s="518" t="s">
        <v>156</v>
      </c>
      <c r="G686" s="550"/>
    </row>
    <row r="687">
      <c r="A687" s="535">
        <v>45778.0</v>
      </c>
      <c r="B687" s="520" t="s">
        <v>2792</v>
      </c>
      <c r="C687" s="521">
        <v>679.0</v>
      </c>
      <c r="D687" s="528" t="s">
        <v>3122</v>
      </c>
      <c r="E687" s="537">
        <v>200.0</v>
      </c>
      <c r="F687" s="530" t="s">
        <v>156</v>
      </c>
      <c r="G687" s="528"/>
    </row>
    <row r="688">
      <c r="A688" s="533">
        <v>45778.0</v>
      </c>
      <c r="B688" s="514" t="s">
        <v>2792</v>
      </c>
      <c r="C688" s="515">
        <v>679.0</v>
      </c>
      <c r="D688" s="540" t="s">
        <v>3121</v>
      </c>
      <c r="E688" s="534">
        <v>200.0</v>
      </c>
      <c r="F688" s="542" t="s">
        <v>156</v>
      </c>
      <c r="G688" s="540"/>
    </row>
    <row r="689">
      <c r="A689" s="526">
        <v>45778.0</v>
      </c>
      <c r="B689" s="520" t="s">
        <v>2792</v>
      </c>
      <c r="C689" s="521">
        <v>679.0</v>
      </c>
      <c r="D689" s="528" t="s">
        <v>2853</v>
      </c>
      <c r="E689" s="529">
        <v>200.0</v>
      </c>
      <c r="F689" s="530" t="s">
        <v>156</v>
      </c>
      <c r="G689" s="528"/>
    </row>
    <row r="690">
      <c r="A690" s="538">
        <v>45778.0</v>
      </c>
      <c r="B690" s="514" t="s">
        <v>2792</v>
      </c>
      <c r="C690" s="539">
        <v>679.0</v>
      </c>
      <c r="D690" s="540" t="s">
        <v>3147</v>
      </c>
      <c r="E690" s="541">
        <v>30.0</v>
      </c>
      <c r="F690" s="542" t="s">
        <v>156</v>
      </c>
      <c r="G690" s="540"/>
    </row>
    <row r="691">
      <c r="A691" s="526">
        <v>45786.0</v>
      </c>
      <c r="B691" s="520" t="s">
        <v>2792</v>
      </c>
      <c r="C691" s="521">
        <v>682.0</v>
      </c>
      <c r="D691" s="528" t="s">
        <v>352</v>
      </c>
      <c r="E691" s="529">
        <v>25.0</v>
      </c>
      <c r="F691" s="530" t="s">
        <v>34</v>
      </c>
      <c r="G691" s="528"/>
    </row>
    <row r="692">
      <c r="A692" s="538">
        <v>45786.0</v>
      </c>
      <c r="B692" s="514" t="s">
        <v>2792</v>
      </c>
      <c r="C692" s="515">
        <v>682.0</v>
      </c>
      <c r="D692" s="550" t="s">
        <v>351</v>
      </c>
      <c r="E692" s="561">
        <v>25.0</v>
      </c>
      <c r="F692" s="542" t="s">
        <v>34</v>
      </c>
      <c r="G692" s="540"/>
    </row>
    <row r="693">
      <c r="A693" s="526">
        <v>45786.0</v>
      </c>
      <c r="B693" s="520" t="s">
        <v>2792</v>
      </c>
      <c r="C693" s="521">
        <v>682.0</v>
      </c>
      <c r="D693" s="528" t="s">
        <v>349</v>
      </c>
      <c r="E693" s="529">
        <v>25.0</v>
      </c>
      <c r="F693" s="530" t="s">
        <v>34</v>
      </c>
      <c r="G693" s="528"/>
    </row>
    <row r="694">
      <c r="A694" s="538">
        <v>45786.0</v>
      </c>
      <c r="B694" s="514" t="s">
        <v>2792</v>
      </c>
      <c r="C694" s="515">
        <v>682.0</v>
      </c>
      <c r="D694" s="540" t="s">
        <v>350</v>
      </c>
      <c r="E694" s="541">
        <v>25.0</v>
      </c>
      <c r="F694" s="542" t="s">
        <v>34</v>
      </c>
      <c r="G694" s="540"/>
    </row>
    <row r="695">
      <c r="A695" s="532">
        <v>45786.0</v>
      </c>
      <c r="B695" s="520" t="s">
        <v>2792</v>
      </c>
      <c r="C695" s="521">
        <v>683.0</v>
      </c>
      <c r="D695" s="545" t="s">
        <v>351</v>
      </c>
      <c r="E695" s="546">
        <v>25.0</v>
      </c>
      <c r="F695" s="530" t="s">
        <v>34</v>
      </c>
      <c r="G695" s="528"/>
    </row>
    <row r="696">
      <c r="A696" s="549">
        <v>45786.0</v>
      </c>
      <c r="B696" s="514" t="s">
        <v>2792</v>
      </c>
      <c r="C696" s="515">
        <v>683.0</v>
      </c>
      <c r="D696" s="540" t="s">
        <v>3148</v>
      </c>
      <c r="E696" s="541">
        <v>2.0</v>
      </c>
      <c r="F696" s="542" t="s">
        <v>156</v>
      </c>
      <c r="G696" s="540"/>
    </row>
    <row r="697">
      <c r="A697" s="532">
        <v>45786.0</v>
      </c>
      <c r="B697" s="520" t="s">
        <v>2792</v>
      </c>
      <c r="C697" s="521">
        <v>683.0</v>
      </c>
      <c r="D697" s="528" t="s">
        <v>3149</v>
      </c>
      <c r="E697" s="529">
        <v>1.0</v>
      </c>
      <c r="F697" s="530" t="s">
        <v>156</v>
      </c>
      <c r="G697" s="528"/>
    </row>
    <row r="698">
      <c r="A698" s="538">
        <v>45790.0</v>
      </c>
      <c r="B698" s="514" t="s">
        <v>2792</v>
      </c>
      <c r="C698" s="515">
        <v>682.0</v>
      </c>
      <c r="D698" s="540" t="s">
        <v>3111</v>
      </c>
      <c r="E698" s="541">
        <v>10.0</v>
      </c>
      <c r="F698" s="542" t="s">
        <v>34</v>
      </c>
      <c r="G698" s="540"/>
    </row>
    <row r="699">
      <c r="A699" s="519">
        <v>45790.0</v>
      </c>
      <c r="B699" s="520" t="s">
        <v>2792</v>
      </c>
      <c r="C699" s="521">
        <v>684.0</v>
      </c>
      <c r="D699" s="581" t="s">
        <v>518</v>
      </c>
      <c r="E699" s="523">
        <v>1.0</v>
      </c>
      <c r="F699" s="524" t="s">
        <v>156</v>
      </c>
      <c r="G699" s="545"/>
    </row>
    <row r="700">
      <c r="A700" s="513">
        <v>45790.0</v>
      </c>
      <c r="B700" s="514" t="s">
        <v>2792</v>
      </c>
      <c r="C700" s="515">
        <v>684.0</v>
      </c>
      <c r="D700" s="580" t="s">
        <v>3150</v>
      </c>
      <c r="E700" s="517">
        <v>450.0</v>
      </c>
      <c r="F700" s="518" t="s">
        <v>74</v>
      </c>
      <c r="G700" s="550"/>
    </row>
    <row r="701">
      <c r="A701" s="519">
        <v>45790.0</v>
      </c>
      <c r="B701" s="520" t="s">
        <v>2792</v>
      </c>
      <c r="C701" s="521">
        <v>684.0</v>
      </c>
      <c r="D701" s="581" t="s">
        <v>3151</v>
      </c>
      <c r="E701" s="523">
        <v>100.0</v>
      </c>
      <c r="F701" s="524" t="s">
        <v>156</v>
      </c>
      <c r="G701" s="545"/>
    </row>
    <row r="702">
      <c r="A702" s="513">
        <v>45790.0</v>
      </c>
      <c r="B702" s="514" t="s">
        <v>2792</v>
      </c>
      <c r="C702" s="515">
        <v>684.0</v>
      </c>
      <c r="D702" s="580" t="s">
        <v>3152</v>
      </c>
      <c r="E702" s="517">
        <v>20.0</v>
      </c>
      <c r="F702" s="518" t="s">
        <v>156</v>
      </c>
      <c r="G702" s="550"/>
    </row>
    <row r="703">
      <c r="A703" s="519">
        <v>45790.0</v>
      </c>
      <c r="B703" s="520" t="s">
        <v>2792</v>
      </c>
      <c r="C703" s="521">
        <v>684.0</v>
      </c>
      <c r="D703" s="581" t="s">
        <v>3153</v>
      </c>
      <c r="E703" s="523">
        <v>30.0</v>
      </c>
      <c r="F703" s="524" t="s">
        <v>156</v>
      </c>
      <c r="G703" s="545"/>
    </row>
    <row r="704">
      <c r="A704" s="513">
        <v>45790.0</v>
      </c>
      <c r="B704" s="514" t="s">
        <v>2792</v>
      </c>
      <c r="C704" s="515">
        <v>684.0</v>
      </c>
      <c r="D704" s="580" t="s">
        <v>346</v>
      </c>
      <c r="E704" s="517">
        <v>100.0</v>
      </c>
      <c r="F704" s="518" t="s">
        <v>156</v>
      </c>
      <c r="G704" s="550"/>
    </row>
    <row r="705">
      <c r="A705" s="519">
        <v>45790.0</v>
      </c>
      <c r="B705" s="520" t="s">
        <v>2792</v>
      </c>
      <c r="C705" s="521">
        <v>684.0</v>
      </c>
      <c r="D705" s="581" t="s">
        <v>3154</v>
      </c>
      <c r="E705" s="523">
        <v>60.0</v>
      </c>
      <c r="F705" s="524" t="s">
        <v>156</v>
      </c>
      <c r="G705" s="545"/>
    </row>
    <row r="706">
      <c r="A706" s="513">
        <v>45790.0</v>
      </c>
      <c r="B706" s="514" t="s">
        <v>2792</v>
      </c>
      <c r="C706" s="515">
        <v>684.0</v>
      </c>
      <c r="D706" s="580" t="s">
        <v>3155</v>
      </c>
      <c r="E706" s="517">
        <v>100.0</v>
      </c>
      <c r="F706" s="518" t="s">
        <v>156</v>
      </c>
      <c r="G706" s="550"/>
    </row>
    <row r="707">
      <c r="A707" s="519">
        <v>45790.0</v>
      </c>
      <c r="B707" s="520" t="s">
        <v>2792</v>
      </c>
      <c r="C707" s="521">
        <v>684.0</v>
      </c>
      <c r="D707" s="581" t="s">
        <v>477</v>
      </c>
      <c r="E707" s="523">
        <v>1.0</v>
      </c>
      <c r="F707" s="524" t="s">
        <v>156</v>
      </c>
      <c r="G707" s="545"/>
    </row>
    <row r="708">
      <c r="A708" s="538">
        <v>45790.0</v>
      </c>
      <c r="B708" s="514" t="s">
        <v>2792</v>
      </c>
      <c r="C708" s="515">
        <v>684.0</v>
      </c>
      <c r="D708" s="540" t="s">
        <v>3156</v>
      </c>
      <c r="E708" s="541">
        <v>2.0</v>
      </c>
      <c r="F708" s="542" t="s">
        <v>2819</v>
      </c>
      <c r="G708" s="540"/>
    </row>
    <row r="709">
      <c r="A709" s="526">
        <v>45790.0</v>
      </c>
      <c r="B709" s="520" t="s">
        <v>2792</v>
      </c>
      <c r="C709" s="527">
        <v>684.0</v>
      </c>
      <c r="D709" s="528" t="s">
        <v>3157</v>
      </c>
      <c r="E709" s="537">
        <v>1.0</v>
      </c>
      <c r="F709" s="547" t="s">
        <v>3135</v>
      </c>
      <c r="G709" s="528"/>
    </row>
    <row r="710">
      <c r="A710" s="538">
        <v>45790.0</v>
      </c>
      <c r="B710" s="514" t="s">
        <v>2792</v>
      </c>
      <c r="C710" s="539">
        <v>684.0</v>
      </c>
      <c r="D710" s="540" t="s">
        <v>3158</v>
      </c>
      <c r="E710" s="541">
        <v>5.0</v>
      </c>
      <c r="F710" s="542" t="s">
        <v>981</v>
      </c>
      <c r="G710" s="540"/>
    </row>
    <row r="711">
      <c r="A711" s="519">
        <v>45790.0</v>
      </c>
      <c r="B711" s="520" t="s">
        <v>2792</v>
      </c>
      <c r="C711" s="521">
        <v>685.0</v>
      </c>
      <c r="D711" s="522" t="s">
        <v>722</v>
      </c>
      <c r="E711" s="523">
        <v>300.0</v>
      </c>
      <c r="F711" s="524" t="s">
        <v>74</v>
      </c>
      <c r="G711" s="545"/>
    </row>
    <row r="712">
      <c r="A712" s="533">
        <v>45790.0</v>
      </c>
      <c r="B712" s="514" t="s">
        <v>2792</v>
      </c>
      <c r="C712" s="539">
        <v>685.0</v>
      </c>
      <c r="D712" s="516" t="s">
        <v>3159</v>
      </c>
      <c r="E712" s="534">
        <v>1.0</v>
      </c>
      <c r="F712" s="542" t="s">
        <v>156</v>
      </c>
      <c r="G712" s="540"/>
    </row>
    <row r="713">
      <c r="A713" s="526">
        <v>45790.0</v>
      </c>
      <c r="B713" s="520" t="s">
        <v>2792</v>
      </c>
      <c r="C713" s="563">
        <v>685.0</v>
      </c>
      <c r="D713" s="528" t="s">
        <v>3160</v>
      </c>
      <c r="E713" s="529">
        <v>2.0</v>
      </c>
      <c r="F713" s="530" t="s">
        <v>156</v>
      </c>
      <c r="G713" s="528"/>
    </row>
    <row r="714">
      <c r="A714" s="533">
        <v>45790.0</v>
      </c>
      <c r="B714" s="514" t="s">
        <v>2792</v>
      </c>
      <c r="C714" s="558">
        <v>685.0</v>
      </c>
      <c r="D714" s="516" t="s">
        <v>3161</v>
      </c>
      <c r="E714" s="534">
        <v>2.0</v>
      </c>
      <c r="F714" s="542" t="s">
        <v>25</v>
      </c>
      <c r="G714" s="540"/>
    </row>
    <row r="715">
      <c r="A715" s="535">
        <v>45790.0</v>
      </c>
      <c r="B715" s="520" t="s">
        <v>2792</v>
      </c>
      <c r="C715" s="557">
        <v>685.0</v>
      </c>
      <c r="D715" s="536" t="s">
        <v>3162</v>
      </c>
      <c r="E715" s="537">
        <v>100.0</v>
      </c>
      <c r="F715" s="530" t="s">
        <v>156</v>
      </c>
      <c r="G715" s="528"/>
    </row>
    <row r="716">
      <c r="A716" s="533">
        <v>45790.0</v>
      </c>
      <c r="B716" s="514" t="s">
        <v>2792</v>
      </c>
      <c r="C716" s="558">
        <v>685.0</v>
      </c>
      <c r="D716" s="516" t="s">
        <v>3163</v>
      </c>
      <c r="E716" s="534">
        <v>2.0</v>
      </c>
      <c r="F716" s="542" t="s">
        <v>156</v>
      </c>
      <c r="G716" s="540"/>
    </row>
    <row r="717">
      <c r="A717" s="590">
        <v>45790.0</v>
      </c>
      <c r="B717" s="520" t="s">
        <v>2792</v>
      </c>
      <c r="C717" s="557">
        <v>685.0</v>
      </c>
      <c r="D717" s="536" t="s">
        <v>939</v>
      </c>
      <c r="E717" s="537">
        <v>25.0</v>
      </c>
      <c r="F717" s="591" t="s">
        <v>156</v>
      </c>
      <c r="G717" s="528"/>
    </row>
    <row r="718">
      <c r="A718" s="592">
        <v>45790.0</v>
      </c>
      <c r="B718" s="514" t="s">
        <v>2792</v>
      </c>
      <c r="C718" s="558">
        <v>685.0</v>
      </c>
      <c r="D718" s="516" t="s">
        <v>940</v>
      </c>
      <c r="E718" s="534">
        <v>10.0</v>
      </c>
      <c r="F718" s="593" t="s">
        <v>156</v>
      </c>
      <c r="G718" s="540"/>
    </row>
    <row r="719">
      <c r="A719" s="590">
        <v>45790.0</v>
      </c>
      <c r="B719" s="520" t="s">
        <v>2792</v>
      </c>
      <c r="C719" s="557">
        <v>685.0</v>
      </c>
      <c r="D719" s="536" t="s">
        <v>941</v>
      </c>
      <c r="E719" s="537">
        <v>20.0</v>
      </c>
      <c r="F719" s="591" t="s">
        <v>156</v>
      </c>
      <c r="G719" s="528"/>
    </row>
    <row r="720">
      <c r="A720" s="594">
        <v>45794.0</v>
      </c>
      <c r="B720" s="514" t="s">
        <v>2792</v>
      </c>
      <c r="C720" s="588">
        <v>690.0</v>
      </c>
      <c r="D720" s="550" t="s">
        <v>2906</v>
      </c>
      <c r="E720" s="589">
        <v>150.0</v>
      </c>
      <c r="F720" s="560" t="s">
        <v>156</v>
      </c>
      <c r="G720" s="550"/>
    </row>
    <row r="721">
      <c r="A721" s="595">
        <v>45798.0</v>
      </c>
      <c r="B721" s="520" t="s">
        <v>2792</v>
      </c>
      <c r="C721" s="527">
        <v>667.0</v>
      </c>
      <c r="D721" s="528" t="s">
        <v>3164</v>
      </c>
      <c r="E721" s="529">
        <v>1.0</v>
      </c>
      <c r="F721" s="591" t="s">
        <v>156</v>
      </c>
      <c r="G721" s="528"/>
    </row>
    <row r="722">
      <c r="A722" s="596">
        <v>45798.0</v>
      </c>
      <c r="B722" s="514" t="s">
        <v>2792</v>
      </c>
      <c r="C722" s="515">
        <v>691.0</v>
      </c>
      <c r="D722" s="525" t="s">
        <v>501</v>
      </c>
      <c r="E722" s="517">
        <v>2.0</v>
      </c>
      <c r="F722" s="580" t="s">
        <v>156</v>
      </c>
      <c r="G722" s="550"/>
    </row>
    <row r="723">
      <c r="A723" s="597">
        <v>45798.0</v>
      </c>
      <c r="B723" s="520" t="s">
        <v>2792</v>
      </c>
      <c r="C723" s="521">
        <v>691.0</v>
      </c>
      <c r="D723" s="522" t="s">
        <v>3165</v>
      </c>
      <c r="E723" s="523">
        <v>5.0</v>
      </c>
      <c r="F723" s="581" t="s">
        <v>156</v>
      </c>
      <c r="G723" s="545"/>
    </row>
    <row r="724">
      <c r="A724" s="598">
        <v>45798.0</v>
      </c>
      <c r="B724" s="514" t="s">
        <v>2792</v>
      </c>
      <c r="C724" s="515">
        <v>691.0</v>
      </c>
      <c r="D724" s="540" t="s">
        <v>456</v>
      </c>
      <c r="E724" s="541">
        <v>1.0</v>
      </c>
      <c r="F724" s="593" t="s">
        <v>39</v>
      </c>
      <c r="G724" s="540"/>
    </row>
    <row r="725">
      <c r="A725" s="595">
        <v>45798.0</v>
      </c>
      <c r="B725" s="520" t="s">
        <v>2792</v>
      </c>
      <c r="C725" s="521">
        <v>691.0</v>
      </c>
      <c r="D725" s="528" t="s">
        <v>3166</v>
      </c>
      <c r="E725" s="529">
        <v>2.0</v>
      </c>
      <c r="F725" s="591" t="s">
        <v>39</v>
      </c>
      <c r="G725" s="528"/>
    </row>
    <row r="726">
      <c r="A726" s="592">
        <v>45798.0</v>
      </c>
      <c r="B726" s="514" t="s">
        <v>2792</v>
      </c>
      <c r="C726" s="515">
        <v>691.0</v>
      </c>
      <c r="D726" s="516" t="s">
        <v>1059</v>
      </c>
      <c r="E726" s="534">
        <v>1.0</v>
      </c>
      <c r="F726" s="599" t="s">
        <v>156</v>
      </c>
      <c r="G726" s="540"/>
    </row>
    <row r="727">
      <c r="A727" s="595">
        <v>45798.0</v>
      </c>
      <c r="B727" s="520" t="s">
        <v>2792</v>
      </c>
      <c r="C727" s="521">
        <v>691.0</v>
      </c>
      <c r="D727" s="528" t="s">
        <v>3167</v>
      </c>
      <c r="E727" s="529">
        <v>40.0</v>
      </c>
      <c r="F727" s="591" t="s">
        <v>156</v>
      </c>
      <c r="G727" s="528"/>
    </row>
    <row r="728">
      <c r="A728" s="598">
        <v>45798.0</v>
      </c>
      <c r="B728" s="514" t="s">
        <v>2792</v>
      </c>
      <c r="C728" s="515">
        <v>691.0</v>
      </c>
      <c r="D728" s="540" t="s">
        <v>1011</v>
      </c>
      <c r="E728" s="541">
        <v>10.0</v>
      </c>
      <c r="F728" s="593" t="s">
        <v>25</v>
      </c>
      <c r="G728" s="540"/>
    </row>
    <row r="729">
      <c r="A729" s="595">
        <v>45798.0</v>
      </c>
      <c r="B729" s="520" t="s">
        <v>2792</v>
      </c>
      <c r="C729" s="521">
        <v>691.0</v>
      </c>
      <c r="D729" s="528" t="s">
        <v>3168</v>
      </c>
      <c r="E729" s="529">
        <v>18.0</v>
      </c>
      <c r="F729" s="591" t="s">
        <v>156</v>
      </c>
      <c r="G729" s="528"/>
    </row>
    <row r="730">
      <c r="A730" s="600">
        <v>45798.0</v>
      </c>
      <c r="B730" s="514" t="s">
        <v>2792</v>
      </c>
      <c r="C730" s="539">
        <v>691.0</v>
      </c>
      <c r="D730" s="550" t="s">
        <v>2991</v>
      </c>
      <c r="E730" s="561">
        <v>300.0</v>
      </c>
      <c r="F730" s="593" t="s">
        <v>156</v>
      </c>
      <c r="G730" s="540"/>
    </row>
    <row r="731">
      <c r="A731" s="595">
        <v>45798.0</v>
      </c>
      <c r="B731" s="520" t="s">
        <v>2792</v>
      </c>
      <c r="C731" s="557">
        <v>691.0</v>
      </c>
      <c r="D731" s="528" t="s">
        <v>1010</v>
      </c>
      <c r="E731" s="529">
        <v>3.0</v>
      </c>
      <c r="F731" s="591" t="s">
        <v>156</v>
      </c>
      <c r="G731" s="528"/>
    </row>
    <row r="732">
      <c r="A732" s="592">
        <v>45798.0</v>
      </c>
      <c r="B732" s="514" t="s">
        <v>2792</v>
      </c>
      <c r="C732" s="515">
        <v>692.0</v>
      </c>
      <c r="D732" s="516" t="s">
        <v>907</v>
      </c>
      <c r="E732" s="534">
        <v>1.0</v>
      </c>
      <c r="F732" s="599" t="s">
        <v>3135</v>
      </c>
      <c r="G732" s="540"/>
    </row>
    <row r="733">
      <c r="A733" s="595">
        <v>45798.0</v>
      </c>
      <c r="B733" s="520" t="s">
        <v>2792</v>
      </c>
      <c r="C733" s="521">
        <v>692.0</v>
      </c>
      <c r="D733" s="528" t="s">
        <v>995</v>
      </c>
      <c r="E733" s="529">
        <v>6.0</v>
      </c>
      <c r="F733" s="591" t="s">
        <v>156</v>
      </c>
      <c r="G733" s="528"/>
    </row>
    <row r="734">
      <c r="A734" s="598">
        <v>45798.0</v>
      </c>
      <c r="B734" s="514" t="s">
        <v>2792</v>
      </c>
      <c r="C734" s="515">
        <v>692.0</v>
      </c>
      <c r="D734" s="540" t="s">
        <v>997</v>
      </c>
      <c r="E734" s="541">
        <v>4.0</v>
      </c>
      <c r="F734" s="593" t="s">
        <v>3169</v>
      </c>
      <c r="G734" s="540"/>
    </row>
    <row r="735">
      <c r="A735" s="595">
        <v>45798.0</v>
      </c>
      <c r="B735" s="520" t="s">
        <v>2792</v>
      </c>
      <c r="C735" s="527">
        <v>692.0</v>
      </c>
      <c r="D735" s="528" t="s">
        <v>85</v>
      </c>
      <c r="E735" s="529">
        <v>1.0</v>
      </c>
      <c r="F735" s="591" t="s">
        <v>156</v>
      </c>
      <c r="G735" s="528"/>
    </row>
    <row r="736">
      <c r="A736" s="598">
        <v>45798.0</v>
      </c>
      <c r="B736" s="514" t="s">
        <v>2792</v>
      </c>
      <c r="C736" s="539">
        <v>692.0</v>
      </c>
      <c r="D736" s="540" t="s">
        <v>903</v>
      </c>
      <c r="E736" s="541">
        <v>50.0</v>
      </c>
      <c r="F736" s="593" t="s">
        <v>156</v>
      </c>
      <c r="G736" s="540"/>
    </row>
    <row r="737">
      <c r="A737" s="595">
        <v>45798.0</v>
      </c>
      <c r="B737" s="520" t="s">
        <v>2792</v>
      </c>
      <c r="C737" s="527">
        <v>692.0</v>
      </c>
      <c r="D737" s="528" t="s">
        <v>712</v>
      </c>
      <c r="E737" s="529">
        <v>5.0</v>
      </c>
      <c r="F737" s="591" t="s">
        <v>156</v>
      </c>
      <c r="G737" s="528"/>
    </row>
    <row r="738">
      <c r="A738" s="598">
        <v>45798.0</v>
      </c>
      <c r="B738" s="514" t="s">
        <v>2792</v>
      </c>
      <c r="C738" s="539">
        <v>692.0</v>
      </c>
      <c r="D738" s="540" t="s">
        <v>2858</v>
      </c>
      <c r="E738" s="541">
        <v>1.0</v>
      </c>
      <c r="F738" s="593" t="s">
        <v>156</v>
      </c>
      <c r="G738" s="540"/>
    </row>
    <row r="739">
      <c r="A739" s="595">
        <v>45798.0</v>
      </c>
      <c r="B739" s="520" t="s">
        <v>2792</v>
      </c>
      <c r="C739" s="527">
        <v>692.0</v>
      </c>
      <c r="D739" s="528" t="s">
        <v>3170</v>
      </c>
      <c r="E739" s="529">
        <v>2.0</v>
      </c>
      <c r="F739" s="591" t="s">
        <v>156</v>
      </c>
      <c r="G739" s="528"/>
    </row>
    <row r="740">
      <c r="A740" s="598">
        <v>45798.0</v>
      </c>
      <c r="B740" s="514" t="s">
        <v>2792</v>
      </c>
      <c r="C740" s="539">
        <v>692.0</v>
      </c>
      <c r="D740" s="540" t="s">
        <v>782</v>
      </c>
      <c r="E740" s="541">
        <v>35.0</v>
      </c>
      <c r="F740" s="593" t="s">
        <v>156</v>
      </c>
      <c r="G740" s="540"/>
    </row>
    <row r="741">
      <c r="A741" s="595">
        <v>45798.0</v>
      </c>
      <c r="B741" s="520" t="s">
        <v>2792</v>
      </c>
      <c r="C741" s="527">
        <v>692.0</v>
      </c>
      <c r="D741" s="528" t="s">
        <v>2953</v>
      </c>
      <c r="E741" s="529">
        <v>5.0</v>
      </c>
      <c r="F741" s="591" t="s">
        <v>156</v>
      </c>
      <c r="G741" s="528"/>
    </row>
    <row r="742">
      <c r="A742" s="598">
        <v>45798.0</v>
      </c>
      <c r="B742" s="514" t="s">
        <v>2792</v>
      </c>
      <c r="C742" s="539">
        <v>692.0</v>
      </c>
      <c r="D742" s="540" t="s">
        <v>3171</v>
      </c>
      <c r="E742" s="541">
        <v>2.0</v>
      </c>
      <c r="F742" s="593" t="s">
        <v>156</v>
      </c>
      <c r="G742" s="540"/>
    </row>
    <row r="743">
      <c r="A743" s="595">
        <v>45798.0</v>
      </c>
      <c r="B743" s="520" t="s">
        <v>2792</v>
      </c>
      <c r="C743" s="527">
        <v>692.0</v>
      </c>
      <c r="D743" s="528" t="s">
        <v>2929</v>
      </c>
      <c r="E743" s="529">
        <v>1.0</v>
      </c>
      <c r="F743" s="591" t="s">
        <v>156</v>
      </c>
      <c r="G743" s="528"/>
    </row>
    <row r="744">
      <c r="A744" s="598">
        <v>45798.0</v>
      </c>
      <c r="B744" s="514" t="s">
        <v>2792</v>
      </c>
      <c r="C744" s="539">
        <v>692.0</v>
      </c>
      <c r="D744" s="540" t="s">
        <v>653</v>
      </c>
      <c r="E744" s="541">
        <v>5.0</v>
      </c>
      <c r="F744" s="593" t="s">
        <v>156</v>
      </c>
      <c r="G744" s="540"/>
    </row>
    <row r="745">
      <c r="A745" s="595">
        <v>45798.0</v>
      </c>
      <c r="B745" s="520" t="s">
        <v>2792</v>
      </c>
      <c r="C745" s="527">
        <v>692.0</v>
      </c>
      <c r="D745" s="528" t="s">
        <v>996</v>
      </c>
      <c r="E745" s="529">
        <v>4.0</v>
      </c>
      <c r="F745" s="591" t="s">
        <v>3169</v>
      </c>
      <c r="G745" s="528"/>
    </row>
    <row r="746">
      <c r="A746" s="600">
        <v>45798.0</v>
      </c>
      <c r="B746" s="514" t="s">
        <v>2792</v>
      </c>
      <c r="C746" s="539">
        <v>692.0</v>
      </c>
      <c r="D746" s="550" t="s">
        <v>3172</v>
      </c>
      <c r="E746" s="561">
        <v>40.0</v>
      </c>
      <c r="F746" s="560" t="s">
        <v>156</v>
      </c>
      <c r="G746" s="550"/>
    </row>
    <row r="747">
      <c r="A747" s="595">
        <v>45798.0</v>
      </c>
      <c r="B747" s="520" t="s">
        <v>2792</v>
      </c>
      <c r="C747" s="527">
        <v>693.0</v>
      </c>
      <c r="D747" s="528" t="s">
        <v>3173</v>
      </c>
      <c r="E747" s="529">
        <v>10.0</v>
      </c>
      <c r="F747" s="591" t="s">
        <v>156</v>
      </c>
      <c r="G747" s="528"/>
    </row>
    <row r="748">
      <c r="A748" s="598">
        <v>45798.0</v>
      </c>
      <c r="B748" s="514" t="s">
        <v>2792</v>
      </c>
      <c r="C748" s="539">
        <v>693.0</v>
      </c>
      <c r="D748" s="540" t="s">
        <v>3174</v>
      </c>
      <c r="E748" s="541">
        <v>2.0</v>
      </c>
      <c r="F748" s="593" t="s">
        <v>319</v>
      </c>
      <c r="G748" s="540"/>
    </row>
    <row r="749">
      <c r="A749" s="595">
        <v>45798.0</v>
      </c>
      <c r="B749" s="520" t="s">
        <v>2792</v>
      </c>
      <c r="C749" s="527">
        <v>693.0</v>
      </c>
      <c r="D749" s="528" t="s">
        <v>3175</v>
      </c>
      <c r="E749" s="529">
        <v>8.0</v>
      </c>
      <c r="F749" s="591" t="s">
        <v>156</v>
      </c>
      <c r="G749" s="528"/>
    </row>
    <row r="750">
      <c r="A750" s="598">
        <v>45798.0</v>
      </c>
      <c r="B750" s="514" t="s">
        <v>2792</v>
      </c>
      <c r="C750" s="539">
        <v>693.0</v>
      </c>
      <c r="D750" s="540" t="s">
        <v>2959</v>
      </c>
      <c r="E750" s="541">
        <v>2.0</v>
      </c>
      <c r="F750" s="593" t="s">
        <v>156</v>
      </c>
      <c r="G750" s="540"/>
    </row>
    <row r="751">
      <c r="A751" s="595">
        <v>45798.0</v>
      </c>
      <c r="B751" s="520" t="s">
        <v>2792</v>
      </c>
      <c r="C751" s="527">
        <v>693.0</v>
      </c>
      <c r="D751" s="528" t="s">
        <v>3176</v>
      </c>
      <c r="E751" s="529">
        <v>3.0</v>
      </c>
      <c r="F751" s="591" t="s">
        <v>156</v>
      </c>
      <c r="G751" s="528"/>
    </row>
    <row r="752">
      <c r="A752" s="598">
        <v>45798.0</v>
      </c>
      <c r="B752" s="514" t="s">
        <v>2792</v>
      </c>
      <c r="C752" s="515">
        <v>694.0</v>
      </c>
      <c r="D752" s="540" t="s">
        <v>3014</v>
      </c>
      <c r="E752" s="541">
        <v>1.0</v>
      </c>
      <c r="F752" s="593" t="s">
        <v>319</v>
      </c>
      <c r="G752" s="540"/>
    </row>
    <row r="753">
      <c r="A753" s="595">
        <v>45798.0</v>
      </c>
      <c r="B753" s="520" t="s">
        <v>2792</v>
      </c>
      <c r="C753" s="521">
        <v>694.0</v>
      </c>
      <c r="D753" s="528" t="s">
        <v>1022</v>
      </c>
      <c r="E753" s="529">
        <v>1.0</v>
      </c>
      <c r="F753" s="591" t="s">
        <v>156</v>
      </c>
      <c r="G753" s="528"/>
    </row>
    <row r="754">
      <c r="A754" s="600">
        <v>45798.0</v>
      </c>
      <c r="B754" s="514" t="s">
        <v>2792</v>
      </c>
      <c r="C754" s="515">
        <v>694.0</v>
      </c>
      <c r="D754" s="550" t="s">
        <v>3177</v>
      </c>
      <c r="E754" s="561">
        <v>3.0</v>
      </c>
      <c r="F754" s="593" t="s">
        <v>156</v>
      </c>
      <c r="G754" s="540"/>
    </row>
    <row r="755">
      <c r="A755" s="595">
        <v>45798.0</v>
      </c>
      <c r="B755" s="520" t="s">
        <v>2792</v>
      </c>
      <c r="C755" s="521">
        <v>694.0</v>
      </c>
      <c r="D755" s="528" t="s">
        <v>3178</v>
      </c>
      <c r="E755" s="529">
        <v>8.0</v>
      </c>
      <c r="F755" s="591" t="s">
        <v>156</v>
      </c>
      <c r="G755" s="528"/>
    </row>
    <row r="756">
      <c r="A756" s="600">
        <v>45798.0</v>
      </c>
      <c r="B756" s="514" t="s">
        <v>2792</v>
      </c>
      <c r="C756" s="515">
        <v>694.0</v>
      </c>
      <c r="D756" s="550" t="s">
        <v>923</v>
      </c>
      <c r="E756" s="561">
        <v>10.0</v>
      </c>
      <c r="F756" s="560" t="s">
        <v>74</v>
      </c>
      <c r="G756" s="550"/>
    </row>
    <row r="757">
      <c r="A757" s="595">
        <v>45798.0</v>
      </c>
      <c r="B757" s="520" t="s">
        <v>2792</v>
      </c>
      <c r="C757" s="521">
        <v>694.0</v>
      </c>
      <c r="D757" s="528" t="s">
        <v>3179</v>
      </c>
      <c r="E757" s="529">
        <v>10.0</v>
      </c>
      <c r="F757" s="591" t="s">
        <v>156</v>
      </c>
      <c r="G757" s="528"/>
    </row>
    <row r="758">
      <c r="A758" s="598">
        <v>45798.0</v>
      </c>
      <c r="B758" s="514" t="s">
        <v>2792</v>
      </c>
      <c r="C758" s="515">
        <v>694.0</v>
      </c>
      <c r="D758" s="540" t="s">
        <v>3015</v>
      </c>
      <c r="E758" s="541">
        <v>1.0</v>
      </c>
      <c r="F758" s="593" t="s">
        <v>156</v>
      </c>
      <c r="G758" s="540"/>
    </row>
    <row r="759">
      <c r="A759" s="601">
        <v>45798.0</v>
      </c>
      <c r="B759" s="520" t="s">
        <v>2792</v>
      </c>
      <c r="C759" s="521">
        <v>694.0</v>
      </c>
      <c r="D759" s="545" t="s">
        <v>3180</v>
      </c>
      <c r="E759" s="546">
        <v>1.0</v>
      </c>
      <c r="F759" s="591" t="s">
        <v>156</v>
      </c>
      <c r="G759" s="528"/>
    </row>
    <row r="760">
      <c r="A760" s="600">
        <v>45798.0</v>
      </c>
      <c r="B760" s="514" t="s">
        <v>2792</v>
      </c>
      <c r="C760" s="539">
        <v>694.0</v>
      </c>
      <c r="D760" s="550" t="s">
        <v>1362</v>
      </c>
      <c r="E760" s="561">
        <v>4.0</v>
      </c>
      <c r="F760" s="593" t="s">
        <v>156</v>
      </c>
      <c r="G760" s="540"/>
    </row>
    <row r="761">
      <c r="A761" s="601">
        <v>45798.0</v>
      </c>
      <c r="B761" s="520" t="s">
        <v>2792</v>
      </c>
      <c r="C761" s="527">
        <v>694.0</v>
      </c>
      <c r="D761" s="545" t="s">
        <v>3181</v>
      </c>
      <c r="E761" s="546">
        <v>12.0</v>
      </c>
      <c r="F761" s="591" t="s">
        <v>156</v>
      </c>
      <c r="G761" s="528"/>
    </row>
    <row r="762">
      <c r="A762" s="598">
        <v>45798.0</v>
      </c>
      <c r="B762" s="514" t="s">
        <v>2792</v>
      </c>
      <c r="C762" s="558">
        <v>694.0</v>
      </c>
      <c r="D762" s="540" t="s">
        <v>436</v>
      </c>
      <c r="E762" s="541">
        <v>2.0</v>
      </c>
      <c r="F762" s="593" t="s">
        <v>156</v>
      </c>
      <c r="G762" s="540"/>
    </row>
    <row r="763">
      <c r="A763" s="595">
        <v>45798.0</v>
      </c>
      <c r="B763" s="520" t="s">
        <v>2792</v>
      </c>
      <c r="C763" s="557">
        <v>694.0</v>
      </c>
      <c r="D763" s="528" t="s">
        <v>303</v>
      </c>
      <c r="E763" s="529">
        <v>2.0</v>
      </c>
      <c r="F763" s="591" t="s">
        <v>156</v>
      </c>
      <c r="G763" s="528"/>
    </row>
    <row r="764">
      <c r="A764" s="598">
        <v>45798.0</v>
      </c>
      <c r="B764" s="514" t="s">
        <v>2792</v>
      </c>
      <c r="C764" s="558">
        <v>695.0</v>
      </c>
      <c r="D764" s="540" t="s">
        <v>1027</v>
      </c>
      <c r="E764" s="541">
        <v>3.0</v>
      </c>
      <c r="F764" s="593" t="s">
        <v>156</v>
      </c>
      <c r="G764" s="540"/>
    </row>
    <row r="765">
      <c r="A765" s="595">
        <v>45798.0</v>
      </c>
      <c r="B765" s="520" t="s">
        <v>2792</v>
      </c>
      <c r="C765" s="557">
        <v>695.0</v>
      </c>
      <c r="D765" s="528" t="s">
        <v>1025</v>
      </c>
      <c r="E765" s="529">
        <v>2.0</v>
      </c>
      <c r="F765" s="591" t="s">
        <v>156</v>
      </c>
      <c r="G765" s="528"/>
    </row>
    <row r="766">
      <c r="A766" s="598">
        <v>45798.0</v>
      </c>
      <c r="B766" s="514" t="s">
        <v>2792</v>
      </c>
      <c r="C766" s="558">
        <v>695.0</v>
      </c>
      <c r="D766" s="540" t="s">
        <v>1024</v>
      </c>
      <c r="E766" s="541">
        <v>1.0</v>
      </c>
      <c r="F766" s="593" t="s">
        <v>156</v>
      </c>
      <c r="G766" s="540"/>
    </row>
    <row r="767">
      <c r="A767" s="595">
        <v>45798.0</v>
      </c>
      <c r="B767" s="520" t="s">
        <v>2792</v>
      </c>
      <c r="C767" s="557">
        <v>695.0</v>
      </c>
      <c r="D767" s="528" t="s">
        <v>463</v>
      </c>
      <c r="E767" s="529">
        <v>12.0</v>
      </c>
      <c r="F767" s="591" t="s">
        <v>156</v>
      </c>
      <c r="G767" s="528"/>
    </row>
    <row r="768">
      <c r="A768" s="598">
        <v>45798.0</v>
      </c>
      <c r="B768" s="514" t="s">
        <v>2792</v>
      </c>
      <c r="C768" s="558">
        <v>695.0</v>
      </c>
      <c r="D768" s="540" t="s">
        <v>1026</v>
      </c>
      <c r="E768" s="541">
        <v>1.0</v>
      </c>
      <c r="F768" s="593" t="s">
        <v>156</v>
      </c>
      <c r="G768" s="540"/>
    </row>
    <row r="769">
      <c r="A769" s="595">
        <v>45798.0</v>
      </c>
      <c r="B769" s="520" t="s">
        <v>2792</v>
      </c>
      <c r="C769" s="557">
        <v>695.0</v>
      </c>
      <c r="D769" s="528" t="s">
        <v>435</v>
      </c>
      <c r="E769" s="529">
        <v>12.0</v>
      </c>
      <c r="F769" s="591" t="s">
        <v>156</v>
      </c>
      <c r="G769" s="528"/>
    </row>
    <row r="770">
      <c r="A770" s="598">
        <v>45798.0</v>
      </c>
      <c r="B770" s="514" t="s">
        <v>2792</v>
      </c>
      <c r="C770" s="558">
        <v>695.0</v>
      </c>
      <c r="D770" s="540" t="s">
        <v>1029</v>
      </c>
      <c r="E770" s="541">
        <v>12.0</v>
      </c>
      <c r="F770" s="593" t="s">
        <v>156</v>
      </c>
      <c r="G770" s="540"/>
    </row>
    <row r="771">
      <c r="A771" s="595">
        <v>45798.0</v>
      </c>
      <c r="B771" s="520" t="s">
        <v>2792</v>
      </c>
      <c r="C771" s="557">
        <v>695.0</v>
      </c>
      <c r="D771" s="528" t="s">
        <v>686</v>
      </c>
      <c r="E771" s="529">
        <v>12.0</v>
      </c>
      <c r="F771" s="591" t="s">
        <v>156</v>
      </c>
      <c r="G771" s="528"/>
    </row>
    <row r="772">
      <c r="A772" s="598">
        <v>45798.0</v>
      </c>
      <c r="B772" s="514" t="s">
        <v>2792</v>
      </c>
      <c r="C772" s="558">
        <v>695.0</v>
      </c>
      <c r="D772" s="540" t="s">
        <v>1023</v>
      </c>
      <c r="E772" s="541">
        <v>1.0</v>
      </c>
      <c r="F772" s="593" t="s">
        <v>156</v>
      </c>
      <c r="G772" s="540"/>
    </row>
    <row r="773">
      <c r="A773" s="595">
        <v>45798.0</v>
      </c>
      <c r="B773" s="520" t="s">
        <v>2792</v>
      </c>
      <c r="C773" s="557">
        <v>695.0</v>
      </c>
      <c r="D773" s="528" t="s">
        <v>687</v>
      </c>
      <c r="E773" s="529">
        <v>12.0</v>
      </c>
      <c r="F773" s="591" t="s">
        <v>156</v>
      </c>
      <c r="G773" s="528"/>
    </row>
    <row r="774">
      <c r="A774" s="598">
        <v>45798.0</v>
      </c>
      <c r="B774" s="514" t="s">
        <v>2792</v>
      </c>
      <c r="C774" s="558">
        <v>695.0</v>
      </c>
      <c r="D774" s="540" t="s">
        <v>3182</v>
      </c>
      <c r="E774" s="541">
        <v>1.0</v>
      </c>
      <c r="F774" s="593" t="s">
        <v>156</v>
      </c>
      <c r="G774" s="540"/>
    </row>
    <row r="775">
      <c r="A775" s="595">
        <v>45799.0</v>
      </c>
      <c r="B775" s="520" t="s">
        <v>2792</v>
      </c>
      <c r="C775" s="527">
        <v>699.0</v>
      </c>
      <c r="D775" s="528" t="s">
        <v>3183</v>
      </c>
      <c r="E775" s="529">
        <v>20.0</v>
      </c>
      <c r="F775" s="591" t="s">
        <v>156</v>
      </c>
      <c r="G775" s="528"/>
    </row>
    <row r="776">
      <c r="A776" s="600">
        <v>45804.0</v>
      </c>
      <c r="B776" s="514" t="s">
        <v>2792</v>
      </c>
      <c r="C776" s="539">
        <v>627.0</v>
      </c>
      <c r="D776" s="550" t="s">
        <v>3184</v>
      </c>
      <c r="E776" s="561">
        <v>10.0</v>
      </c>
      <c r="F776" s="599" t="s">
        <v>156</v>
      </c>
      <c r="G776" s="540"/>
    </row>
    <row r="777">
      <c r="A777" s="595">
        <v>45804.0</v>
      </c>
      <c r="B777" s="520" t="s">
        <v>2792</v>
      </c>
      <c r="C777" s="563">
        <v>627.0</v>
      </c>
      <c r="D777" s="528" t="s">
        <v>3185</v>
      </c>
      <c r="E777" s="529">
        <v>2.0</v>
      </c>
      <c r="F777" s="591" t="s">
        <v>156</v>
      </c>
      <c r="G777" s="528"/>
    </row>
    <row r="778">
      <c r="A778" s="600">
        <v>45804.0</v>
      </c>
      <c r="B778" s="514" t="s">
        <v>2792</v>
      </c>
      <c r="C778" s="539">
        <v>627.0</v>
      </c>
      <c r="D778" s="550" t="s">
        <v>119</v>
      </c>
      <c r="E778" s="561">
        <v>1.0</v>
      </c>
      <c r="F778" s="599" t="s">
        <v>120</v>
      </c>
      <c r="G778" s="540"/>
    </row>
    <row r="779">
      <c r="A779" s="601">
        <v>45805.0</v>
      </c>
      <c r="B779" s="520" t="s">
        <v>2792</v>
      </c>
      <c r="C779" s="527">
        <v>1202.0</v>
      </c>
      <c r="D779" s="545" t="s">
        <v>3186</v>
      </c>
      <c r="E779" s="546">
        <v>6.0</v>
      </c>
      <c r="F779" s="545" t="s">
        <v>156</v>
      </c>
      <c r="G779" s="545"/>
    </row>
    <row r="780">
      <c r="A780" s="600">
        <v>45805.0</v>
      </c>
      <c r="B780" s="514" t="s">
        <v>2792</v>
      </c>
      <c r="C780" s="539">
        <v>1202.0</v>
      </c>
      <c r="D780" s="550" t="s">
        <v>3187</v>
      </c>
      <c r="E780" s="561">
        <v>2.0</v>
      </c>
      <c r="F780" s="550" t="s">
        <v>156</v>
      </c>
      <c r="G780" s="550"/>
    </row>
    <row r="781">
      <c r="A781" s="601">
        <v>45805.0</v>
      </c>
      <c r="B781" s="520" t="s">
        <v>2792</v>
      </c>
      <c r="C781" s="527">
        <v>1202.0</v>
      </c>
      <c r="D781" s="545" t="s">
        <v>3188</v>
      </c>
      <c r="E781" s="546">
        <v>20.0</v>
      </c>
      <c r="F781" s="545" t="s">
        <v>156</v>
      </c>
      <c r="G781" s="545"/>
    </row>
    <row r="782">
      <c r="A782" s="600">
        <v>45807.0</v>
      </c>
      <c r="B782" s="514" t="s">
        <v>2792</v>
      </c>
      <c r="C782" s="539">
        <v>1204.0</v>
      </c>
      <c r="D782" s="550" t="s">
        <v>3189</v>
      </c>
      <c r="E782" s="561">
        <v>10.0</v>
      </c>
      <c r="F782" s="550" t="s">
        <v>156</v>
      </c>
      <c r="G782" s="550"/>
    </row>
    <row r="783">
      <c r="A783" s="601">
        <v>45809.0</v>
      </c>
      <c r="B783" s="520" t="s">
        <v>2792</v>
      </c>
      <c r="C783" s="527">
        <v>1207.0</v>
      </c>
      <c r="D783" s="545" t="s">
        <v>3190</v>
      </c>
      <c r="E783" s="546">
        <v>4.0</v>
      </c>
      <c r="F783" s="545" t="s">
        <v>156</v>
      </c>
      <c r="G783" s="545"/>
    </row>
    <row r="784">
      <c r="A784" s="600">
        <v>45809.0</v>
      </c>
      <c r="B784" s="514" t="s">
        <v>2792</v>
      </c>
      <c r="C784" s="539">
        <v>1207.0</v>
      </c>
      <c r="D784" s="550" t="s">
        <v>3191</v>
      </c>
      <c r="E784" s="561">
        <v>1.0</v>
      </c>
      <c r="F784" s="550" t="s">
        <v>89</v>
      </c>
      <c r="G784" s="550"/>
    </row>
    <row r="785">
      <c r="A785" s="601">
        <v>45809.0</v>
      </c>
      <c r="B785" s="520" t="s">
        <v>2792</v>
      </c>
      <c r="C785" s="527">
        <v>1207.0</v>
      </c>
      <c r="D785" s="545" t="s">
        <v>415</v>
      </c>
      <c r="E785" s="546">
        <v>1.0</v>
      </c>
      <c r="F785" s="545" t="s">
        <v>89</v>
      </c>
      <c r="G785" s="545"/>
    </row>
    <row r="786">
      <c r="A786" s="600">
        <v>45809.0</v>
      </c>
      <c r="B786" s="514" t="s">
        <v>2792</v>
      </c>
      <c r="C786" s="539">
        <v>1207.0</v>
      </c>
      <c r="D786" s="550" t="s">
        <v>3192</v>
      </c>
      <c r="E786" s="561">
        <v>3.0</v>
      </c>
      <c r="F786" s="550" t="s">
        <v>156</v>
      </c>
      <c r="G786" s="550"/>
    </row>
    <row r="787">
      <c r="A787" s="601">
        <v>45810.0</v>
      </c>
      <c r="B787" s="520" t="s">
        <v>2792</v>
      </c>
      <c r="C787" s="527">
        <v>1214.0</v>
      </c>
      <c r="D787" s="545" t="s">
        <v>3193</v>
      </c>
      <c r="E787" s="546">
        <v>15.0</v>
      </c>
      <c r="F787" s="545" t="s">
        <v>74</v>
      </c>
      <c r="G787" s="545"/>
    </row>
    <row r="788">
      <c r="A788" s="600">
        <v>45810.0</v>
      </c>
      <c r="B788" s="514" t="s">
        <v>2792</v>
      </c>
      <c r="C788" s="539">
        <v>1214.0</v>
      </c>
      <c r="D788" s="550" t="s">
        <v>3194</v>
      </c>
      <c r="E788" s="561">
        <v>4.0</v>
      </c>
      <c r="F788" s="550" t="s">
        <v>156</v>
      </c>
      <c r="G788" s="550"/>
    </row>
    <row r="789">
      <c r="A789" s="601">
        <v>45810.0</v>
      </c>
      <c r="B789" s="520" t="s">
        <v>2792</v>
      </c>
      <c r="C789" s="527">
        <v>1214.0</v>
      </c>
      <c r="D789" s="545" t="s">
        <v>3195</v>
      </c>
      <c r="E789" s="546">
        <v>6.0</v>
      </c>
      <c r="F789" s="545" t="s">
        <v>156</v>
      </c>
      <c r="G789" s="545"/>
    </row>
    <row r="790">
      <c r="A790" s="600">
        <v>45810.0</v>
      </c>
      <c r="B790" s="514" t="s">
        <v>2792</v>
      </c>
      <c r="C790" s="539">
        <v>1214.0</v>
      </c>
      <c r="D790" s="550" t="s">
        <v>658</v>
      </c>
      <c r="E790" s="561">
        <v>10.0</v>
      </c>
      <c r="F790" s="550" t="s">
        <v>156</v>
      </c>
      <c r="G790" s="550"/>
    </row>
    <row r="791">
      <c r="A791" s="601">
        <v>45810.0</v>
      </c>
      <c r="B791" s="520" t="s">
        <v>2792</v>
      </c>
      <c r="C791" s="527">
        <v>1214.0</v>
      </c>
      <c r="D791" s="545" t="s">
        <v>1059</v>
      </c>
      <c r="E791" s="546">
        <v>1.0</v>
      </c>
      <c r="F791" s="545" t="s">
        <v>89</v>
      </c>
      <c r="G791" s="545"/>
    </row>
    <row r="792">
      <c r="A792" s="600">
        <v>45810.0</v>
      </c>
      <c r="B792" s="514" t="s">
        <v>2792</v>
      </c>
      <c r="C792" s="539">
        <v>1214.0</v>
      </c>
      <c r="D792" s="550" t="s">
        <v>3196</v>
      </c>
      <c r="E792" s="561">
        <v>40.0</v>
      </c>
      <c r="F792" s="550" t="s">
        <v>156</v>
      </c>
      <c r="G792" s="550"/>
    </row>
    <row r="793">
      <c r="A793" s="601">
        <v>45810.0</v>
      </c>
      <c r="B793" s="520" t="s">
        <v>2792</v>
      </c>
      <c r="C793" s="527">
        <v>1214.0</v>
      </c>
      <c r="D793" s="545" t="s">
        <v>3197</v>
      </c>
      <c r="E793" s="546">
        <v>18.0</v>
      </c>
      <c r="F793" s="545" t="s">
        <v>156</v>
      </c>
      <c r="G793" s="545"/>
    </row>
    <row r="794">
      <c r="A794" s="600">
        <v>45810.0</v>
      </c>
      <c r="B794" s="514" t="s">
        <v>2792</v>
      </c>
      <c r="C794" s="539">
        <v>1214.0</v>
      </c>
      <c r="D794" s="550" t="s">
        <v>3198</v>
      </c>
      <c r="E794" s="561">
        <v>1.0</v>
      </c>
      <c r="F794" s="550" t="s">
        <v>1062</v>
      </c>
      <c r="G794" s="550"/>
    </row>
    <row r="795">
      <c r="A795" s="601">
        <v>45813.0</v>
      </c>
      <c r="B795" s="520" t="s">
        <v>2792</v>
      </c>
      <c r="C795" s="527">
        <v>1211.0</v>
      </c>
      <c r="D795" s="545" t="s">
        <v>1555</v>
      </c>
      <c r="E795" s="546">
        <v>8.0</v>
      </c>
      <c r="F795" s="545" t="s">
        <v>156</v>
      </c>
      <c r="G795" s="545"/>
    </row>
    <row r="796">
      <c r="A796" s="600">
        <v>45813.0</v>
      </c>
      <c r="B796" s="514" t="s">
        <v>2792</v>
      </c>
      <c r="C796" s="539">
        <v>1213.0</v>
      </c>
      <c r="D796" s="550" t="s">
        <v>3199</v>
      </c>
      <c r="E796" s="561">
        <v>100.0</v>
      </c>
      <c r="F796" s="550" t="s">
        <v>156</v>
      </c>
      <c r="G796" s="550"/>
    </row>
    <row r="797">
      <c r="A797" s="601">
        <v>45813.0</v>
      </c>
      <c r="B797" s="520" t="s">
        <v>2792</v>
      </c>
      <c r="C797" s="527">
        <v>1213.0</v>
      </c>
      <c r="D797" s="545" t="s">
        <v>3141</v>
      </c>
      <c r="E797" s="546">
        <v>6.0</v>
      </c>
      <c r="F797" s="586" t="s">
        <v>3142</v>
      </c>
      <c r="G797" s="545"/>
    </row>
    <row r="798">
      <c r="A798" s="600">
        <v>45818.0</v>
      </c>
      <c r="B798" s="514" t="s">
        <v>2792</v>
      </c>
      <c r="C798" s="539">
        <v>1215.0</v>
      </c>
      <c r="D798" s="550" t="s">
        <v>3200</v>
      </c>
      <c r="E798" s="561">
        <v>4.0</v>
      </c>
      <c r="F798" s="550" t="s">
        <v>156</v>
      </c>
      <c r="G798" s="550"/>
    </row>
    <row r="799">
      <c r="A799" s="601">
        <v>45818.0</v>
      </c>
      <c r="B799" s="520" t="s">
        <v>2792</v>
      </c>
      <c r="C799" s="527">
        <v>1215.0</v>
      </c>
      <c r="D799" s="545" t="s">
        <v>3201</v>
      </c>
      <c r="E799" s="546">
        <v>450.0</v>
      </c>
      <c r="F799" s="545" t="s">
        <v>74</v>
      </c>
      <c r="G799" s="545"/>
    </row>
    <row r="800">
      <c r="A800" s="600">
        <v>45818.0</v>
      </c>
      <c r="B800" s="514" t="s">
        <v>2792</v>
      </c>
      <c r="C800" s="539">
        <v>1215.0</v>
      </c>
      <c r="D800" s="550" t="s">
        <v>3202</v>
      </c>
      <c r="E800" s="561">
        <v>450.0</v>
      </c>
      <c r="F800" s="550" t="s">
        <v>74</v>
      </c>
      <c r="G800" s="550"/>
    </row>
    <row r="801">
      <c r="A801" s="601">
        <v>45818.0</v>
      </c>
      <c r="B801" s="520" t="s">
        <v>2792</v>
      </c>
      <c r="C801" s="527">
        <v>1215.0</v>
      </c>
      <c r="D801" s="545" t="s">
        <v>512</v>
      </c>
      <c r="E801" s="546">
        <v>8.0</v>
      </c>
      <c r="F801" s="545" t="s">
        <v>156</v>
      </c>
      <c r="G801" s="545"/>
    </row>
    <row r="802">
      <c r="A802" s="600">
        <v>45818.0</v>
      </c>
      <c r="B802" s="514" t="s">
        <v>2792</v>
      </c>
      <c r="C802" s="539">
        <v>1215.0</v>
      </c>
      <c r="D802" s="550" t="s">
        <v>951</v>
      </c>
      <c r="E802" s="561">
        <v>3.0</v>
      </c>
      <c r="F802" s="550" t="s">
        <v>156</v>
      </c>
      <c r="G802" s="550"/>
    </row>
    <row r="803">
      <c r="A803" s="601">
        <v>45818.0</v>
      </c>
      <c r="B803" s="520" t="s">
        <v>2792</v>
      </c>
      <c r="C803" s="527">
        <v>1215.0</v>
      </c>
      <c r="D803" s="545" t="s">
        <v>3203</v>
      </c>
      <c r="E803" s="546">
        <v>20.0</v>
      </c>
      <c r="F803" s="545" t="s">
        <v>156</v>
      </c>
      <c r="G803" s="545"/>
    </row>
    <row r="804">
      <c r="A804" s="600">
        <v>45818.0</v>
      </c>
      <c r="B804" s="514" t="s">
        <v>2792</v>
      </c>
      <c r="C804" s="539">
        <v>1215.0</v>
      </c>
      <c r="D804" s="550" t="s">
        <v>1529</v>
      </c>
      <c r="E804" s="561">
        <v>10.0</v>
      </c>
      <c r="F804" s="550" t="s">
        <v>981</v>
      </c>
      <c r="G804" s="550"/>
    </row>
    <row r="805">
      <c r="A805" s="601">
        <v>45818.0</v>
      </c>
      <c r="B805" s="520" t="s">
        <v>2792</v>
      </c>
      <c r="C805" s="527">
        <v>1215.0</v>
      </c>
      <c r="D805" s="545" t="s">
        <v>3204</v>
      </c>
      <c r="E805" s="546">
        <v>5.0</v>
      </c>
      <c r="F805" s="545" t="s">
        <v>981</v>
      </c>
      <c r="G805" s="545"/>
    </row>
    <row r="806">
      <c r="A806" s="600">
        <v>45818.0</v>
      </c>
      <c r="B806" s="514" t="s">
        <v>2792</v>
      </c>
      <c r="C806" s="539">
        <v>1215.0</v>
      </c>
      <c r="D806" s="550" t="s">
        <v>3205</v>
      </c>
      <c r="E806" s="561">
        <v>10.0</v>
      </c>
      <c r="F806" s="550" t="s">
        <v>156</v>
      </c>
      <c r="G806" s="550"/>
    </row>
    <row r="807">
      <c r="A807" s="601">
        <v>45818.0</v>
      </c>
      <c r="B807" s="520" t="s">
        <v>2792</v>
      </c>
      <c r="C807" s="527">
        <v>1215.0</v>
      </c>
      <c r="D807" s="545" t="s">
        <v>3206</v>
      </c>
      <c r="E807" s="546">
        <v>4.0</v>
      </c>
      <c r="F807" s="545" t="s">
        <v>156</v>
      </c>
      <c r="G807" s="545"/>
    </row>
    <row r="808">
      <c r="A808" s="600">
        <v>45818.0</v>
      </c>
      <c r="B808" s="514" t="s">
        <v>2792</v>
      </c>
      <c r="C808" s="539">
        <v>1215.0</v>
      </c>
      <c r="D808" s="550" t="s">
        <v>3207</v>
      </c>
      <c r="E808" s="561">
        <v>50.0</v>
      </c>
      <c r="F808" s="550" t="s">
        <v>156</v>
      </c>
      <c r="G808" s="550"/>
    </row>
    <row r="809">
      <c r="A809" s="601">
        <v>45818.0</v>
      </c>
      <c r="B809" s="520" t="s">
        <v>2792</v>
      </c>
      <c r="C809" s="527">
        <v>1215.0</v>
      </c>
      <c r="D809" s="545" t="s">
        <v>3183</v>
      </c>
      <c r="E809" s="546">
        <v>20.0</v>
      </c>
      <c r="F809" s="545" t="s">
        <v>156</v>
      </c>
      <c r="G809" s="545"/>
    </row>
    <row r="810">
      <c r="A810" s="600">
        <v>45818.0</v>
      </c>
      <c r="B810" s="514" t="s">
        <v>2792</v>
      </c>
      <c r="C810" s="539">
        <v>1215.0</v>
      </c>
      <c r="D810" s="550" t="s">
        <v>3200</v>
      </c>
      <c r="E810" s="561">
        <v>4.0</v>
      </c>
      <c r="F810" s="550" t="s">
        <v>156</v>
      </c>
      <c r="G810" s="550"/>
    </row>
    <row r="811">
      <c r="A811" s="601">
        <v>45818.0</v>
      </c>
      <c r="B811" s="520" t="s">
        <v>2792</v>
      </c>
      <c r="C811" s="527">
        <v>1215.0</v>
      </c>
      <c r="D811" s="545" t="s">
        <v>3201</v>
      </c>
      <c r="E811" s="546">
        <v>450.0</v>
      </c>
      <c r="F811" s="545" t="s">
        <v>74</v>
      </c>
      <c r="G811" s="545"/>
    </row>
    <row r="812">
      <c r="A812" s="600">
        <v>45818.0</v>
      </c>
      <c r="B812" s="514" t="s">
        <v>2792</v>
      </c>
      <c r="C812" s="539">
        <v>1215.0</v>
      </c>
      <c r="D812" s="550" t="s">
        <v>3202</v>
      </c>
      <c r="E812" s="561">
        <v>450.0</v>
      </c>
      <c r="F812" s="550" t="s">
        <v>74</v>
      </c>
      <c r="G812" s="550"/>
    </row>
    <row r="813">
      <c r="A813" s="601">
        <v>45818.0</v>
      </c>
      <c r="B813" s="520" t="s">
        <v>2792</v>
      </c>
      <c r="C813" s="527">
        <v>1215.0</v>
      </c>
      <c r="D813" s="545" t="s">
        <v>512</v>
      </c>
      <c r="E813" s="546">
        <v>8.0</v>
      </c>
      <c r="F813" s="545" t="s">
        <v>156</v>
      </c>
      <c r="G813" s="545"/>
    </row>
    <row r="814">
      <c r="A814" s="600">
        <v>45818.0</v>
      </c>
      <c r="B814" s="514" t="s">
        <v>2792</v>
      </c>
      <c r="C814" s="539">
        <v>1215.0</v>
      </c>
      <c r="D814" s="550" t="s">
        <v>951</v>
      </c>
      <c r="E814" s="561">
        <v>3.0</v>
      </c>
      <c r="F814" s="550" t="s">
        <v>156</v>
      </c>
      <c r="G814" s="550"/>
    </row>
    <row r="815">
      <c r="A815" s="601">
        <v>45818.0</v>
      </c>
      <c r="B815" s="520" t="s">
        <v>2792</v>
      </c>
      <c r="C815" s="527">
        <v>1215.0</v>
      </c>
      <c r="D815" s="545" t="s">
        <v>3203</v>
      </c>
      <c r="E815" s="546">
        <v>20.0</v>
      </c>
      <c r="F815" s="545" t="s">
        <v>156</v>
      </c>
      <c r="G815" s="545"/>
    </row>
    <row r="816">
      <c r="A816" s="600">
        <v>45818.0</v>
      </c>
      <c r="B816" s="514" t="s">
        <v>2792</v>
      </c>
      <c r="C816" s="539">
        <v>1215.0</v>
      </c>
      <c r="D816" s="550" t="s">
        <v>1529</v>
      </c>
      <c r="E816" s="561">
        <v>10.0</v>
      </c>
      <c r="F816" s="550" t="s">
        <v>981</v>
      </c>
      <c r="G816" s="550"/>
    </row>
    <row r="817">
      <c r="A817" s="601">
        <v>45818.0</v>
      </c>
      <c r="B817" s="520" t="s">
        <v>2792</v>
      </c>
      <c r="C817" s="527">
        <v>1215.0</v>
      </c>
      <c r="D817" s="545" t="s">
        <v>3204</v>
      </c>
      <c r="E817" s="546">
        <v>5.0</v>
      </c>
      <c r="F817" s="545" t="s">
        <v>981</v>
      </c>
      <c r="G817" s="545"/>
    </row>
    <row r="818">
      <c r="A818" s="600">
        <v>45818.0</v>
      </c>
      <c r="B818" s="514" t="s">
        <v>2792</v>
      </c>
      <c r="C818" s="539">
        <v>1215.0</v>
      </c>
      <c r="D818" s="550" t="s">
        <v>3205</v>
      </c>
      <c r="E818" s="561">
        <v>10.0</v>
      </c>
      <c r="F818" s="550" t="s">
        <v>156</v>
      </c>
      <c r="G818" s="550"/>
    </row>
    <row r="819">
      <c r="A819" s="601">
        <v>45818.0</v>
      </c>
      <c r="B819" s="520" t="s">
        <v>2792</v>
      </c>
      <c r="C819" s="527">
        <v>1215.0</v>
      </c>
      <c r="D819" s="545" t="s">
        <v>3206</v>
      </c>
      <c r="E819" s="546">
        <v>4.0</v>
      </c>
      <c r="F819" s="545" t="s">
        <v>156</v>
      </c>
      <c r="G819" s="545"/>
    </row>
    <row r="820">
      <c r="A820" s="600">
        <v>45818.0</v>
      </c>
      <c r="B820" s="514" t="s">
        <v>2792</v>
      </c>
      <c r="C820" s="539">
        <v>1215.0</v>
      </c>
      <c r="D820" s="550" t="s">
        <v>3207</v>
      </c>
      <c r="E820" s="561">
        <v>50.0</v>
      </c>
      <c r="F820" s="550" t="s">
        <v>156</v>
      </c>
      <c r="G820" s="550"/>
    </row>
    <row r="821">
      <c r="A821" s="601">
        <v>45818.0</v>
      </c>
      <c r="B821" s="520" t="s">
        <v>2792</v>
      </c>
      <c r="C821" s="527">
        <v>1215.0</v>
      </c>
      <c r="D821" s="545" t="s">
        <v>3183</v>
      </c>
      <c r="E821" s="546">
        <v>20.0</v>
      </c>
      <c r="F821" s="545" t="s">
        <v>156</v>
      </c>
      <c r="G821" s="545"/>
    </row>
    <row r="822">
      <c r="A822" s="600">
        <v>45818.0</v>
      </c>
      <c r="B822" s="514" t="s">
        <v>2792</v>
      </c>
      <c r="C822" s="539">
        <v>1216.0</v>
      </c>
      <c r="D822" s="550" t="s">
        <v>2226</v>
      </c>
      <c r="E822" s="561">
        <v>10.0</v>
      </c>
      <c r="F822" s="550" t="s">
        <v>156</v>
      </c>
      <c r="G822" s="550"/>
    </row>
    <row r="823">
      <c r="A823" s="601">
        <v>45818.0</v>
      </c>
      <c r="B823" s="520" t="s">
        <v>2792</v>
      </c>
      <c r="C823" s="527">
        <v>1216.0</v>
      </c>
      <c r="D823" s="545" t="s">
        <v>3188</v>
      </c>
      <c r="E823" s="546">
        <v>20.0</v>
      </c>
      <c r="F823" s="545" t="s">
        <v>156</v>
      </c>
      <c r="G823" s="545"/>
    </row>
    <row r="824">
      <c r="A824" s="600">
        <v>45818.0</v>
      </c>
      <c r="B824" s="514" t="s">
        <v>2792</v>
      </c>
      <c r="C824" s="539">
        <v>1216.0</v>
      </c>
      <c r="D824" s="550" t="s">
        <v>85</v>
      </c>
      <c r="E824" s="561">
        <v>10.0</v>
      </c>
      <c r="F824" s="550" t="s">
        <v>156</v>
      </c>
      <c r="G824" s="550"/>
    </row>
    <row r="825">
      <c r="A825" s="601">
        <v>45818.0</v>
      </c>
      <c r="B825" s="520" t="s">
        <v>2792</v>
      </c>
      <c r="C825" s="527">
        <v>1216.0</v>
      </c>
      <c r="D825" s="545" t="s">
        <v>2225</v>
      </c>
      <c r="E825" s="546">
        <v>20.0</v>
      </c>
      <c r="F825" s="545" t="s">
        <v>156</v>
      </c>
      <c r="G825" s="545"/>
    </row>
    <row r="826">
      <c r="A826" s="600">
        <v>45818.0</v>
      </c>
      <c r="B826" s="514" t="s">
        <v>2792</v>
      </c>
      <c r="C826" s="539">
        <v>1216.0</v>
      </c>
      <c r="D826" s="550" t="s">
        <v>628</v>
      </c>
      <c r="E826" s="561">
        <v>50.0</v>
      </c>
      <c r="F826" s="550" t="s">
        <v>34</v>
      </c>
      <c r="G826" s="550"/>
    </row>
    <row r="827">
      <c r="A827" s="601">
        <v>45818.0</v>
      </c>
      <c r="B827" s="520" t="s">
        <v>2792</v>
      </c>
      <c r="C827" s="527">
        <v>1216.0</v>
      </c>
      <c r="D827" s="545" t="s">
        <v>3208</v>
      </c>
      <c r="E827" s="546">
        <v>50.0</v>
      </c>
      <c r="F827" s="545" t="s">
        <v>34</v>
      </c>
      <c r="G827" s="545"/>
    </row>
    <row r="828">
      <c r="A828" s="600">
        <v>45818.0</v>
      </c>
      <c r="B828" s="514" t="s">
        <v>2792</v>
      </c>
      <c r="C828" s="539">
        <v>1216.0</v>
      </c>
      <c r="D828" s="550" t="s">
        <v>623</v>
      </c>
      <c r="E828" s="561">
        <v>50.0</v>
      </c>
      <c r="F828" s="550" t="s">
        <v>34</v>
      </c>
      <c r="G828" s="550"/>
    </row>
    <row r="829">
      <c r="A829" s="601">
        <v>45818.0</v>
      </c>
      <c r="B829" s="520" t="s">
        <v>2792</v>
      </c>
      <c r="C829" s="527">
        <v>1216.0</v>
      </c>
      <c r="D829" s="545" t="s">
        <v>3209</v>
      </c>
      <c r="E829" s="546">
        <v>50.0</v>
      </c>
      <c r="F829" s="545" t="s">
        <v>34</v>
      </c>
      <c r="G829" s="545"/>
    </row>
    <row r="830">
      <c r="A830" s="600">
        <v>45818.0</v>
      </c>
      <c r="B830" s="514" t="s">
        <v>2792</v>
      </c>
      <c r="C830" s="539">
        <v>1216.0</v>
      </c>
      <c r="D830" s="550" t="s">
        <v>3210</v>
      </c>
      <c r="E830" s="561">
        <v>50.0</v>
      </c>
      <c r="F830" s="550" t="s">
        <v>34</v>
      </c>
      <c r="G830" s="550"/>
    </row>
    <row r="831">
      <c r="A831" s="601">
        <v>45818.0</v>
      </c>
      <c r="B831" s="520" t="s">
        <v>2792</v>
      </c>
      <c r="C831" s="527">
        <v>1216.0</v>
      </c>
      <c r="D831" s="545" t="s">
        <v>3211</v>
      </c>
      <c r="E831" s="546">
        <v>50.0</v>
      </c>
      <c r="F831" s="545" t="s">
        <v>34</v>
      </c>
      <c r="G831" s="545"/>
    </row>
    <row r="832">
      <c r="A832" s="600">
        <v>45818.0</v>
      </c>
      <c r="B832" s="514" t="s">
        <v>2792</v>
      </c>
      <c r="C832" s="539">
        <v>1216.0</v>
      </c>
      <c r="D832" s="514" t="s">
        <v>3212</v>
      </c>
      <c r="E832" s="561">
        <v>10.0</v>
      </c>
      <c r="F832" s="550" t="s">
        <v>156</v>
      </c>
      <c r="G832" s="514" t="s">
        <v>572</v>
      </c>
    </row>
    <row r="833">
      <c r="A833" s="601">
        <v>45821.0</v>
      </c>
      <c r="B833" s="520" t="s">
        <v>2792</v>
      </c>
      <c r="C833" s="527">
        <v>1220.0</v>
      </c>
      <c r="D833" s="545" t="s">
        <v>3213</v>
      </c>
      <c r="E833" s="546">
        <v>16.0</v>
      </c>
      <c r="F833" s="545" t="s">
        <v>3142</v>
      </c>
      <c r="G833" s="545"/>
    </row>
    <row r="834">
      <c r="A834" s="600">
        <v>45823.0</v>
      </c>
      <c r="B834" s="514" t="s">
        <v>2792</v>
      </c>
      <c r="C834" s="539">
        <v>1223.0</v>
      </c>
      <c r="D834" s="550" t="s">
        <v>3214</v>
      </c>
      <c r="E834" s="561">
        <v>6.0</v>
      </c>
      <c r="F834" s="550" t="s">
        <v>3142</v>
      </c>
      <c r="G834" s="550"/>
    </row>
    <row r="835">
      <c r="A835" s="601">
        <v>45824.0</v>
      </c>
      <c r="B835" s="520" t="s">
        <v>2792</v>
      </c>
      <c r="C835" s="527">
        <v>1224.0</v>
      </c>
      <c r="D835" s="545" t="s">
        <v>3215</v>
      </c>
      <c r="E835" s="546">
        <v>6.0</v>
      </c>
      <c r="F835" s="545" t="s">
        <v>981</v>
      </c>
      <c r="G835" s="545"/>
    </row>
    <row r="836">
      <c r="A836" s="600">
        <v>45824.0</v>
      </c>
      <c r="B836" s="514" t="s">
        <v>2792</v>
      </c>
      <c r="C836" s="539">
        <v>1224.0</v>
      </c>
      <c r="D836" s="550" t="s">
        <v>3216</v>
      </c>
      <c r="E836" s="561">
        <v>4.0</v>
      </c>
      <c r="F836" s="550" t="s">
        <v>156</v>
      </c>
      <c r="G836" s="550"/>
    </row>
    <row r="837">
      <c r="A837" s="601">
        <v>45824.0</v>
      </c>
      <c r="B837" s="520" t="s">
        <v>2792</v>
      </c>
      <c r="C837" s="527">
        <v>1224.0</v>
      </c>
      <c r="D837" s="545" t="s">
        <v>3217</v>
      </c>
      <c r="E837" s="546">
        <v>2.0</v>
      </c>
      <c r="F837" s="545" t="s">
        <v>156</v>
      </c>
      <c r="G837" s="545"/>
    </row>
    <row r="838">
      <c r="A838" s="600">
        <v>45824.0</v>
      </c>
      <c r="B838" s="514" t="s">
        <v>2792</v>
      </c>
      <c r="C838" s="539">
        <v>1224.0</v>
      </c>
      <c r="D838" s="550" t="s">
        <v>3218</v>
      </c>
      <c r="E838" s="561">
        <v>1.0</v>
      </c>
      <c r="F838" s="550" t="s">
        <v>89</v>
      </c>
      <c r="G838" s="550"/>
    </row>
    <row r="839">
      <c r="A839" s="601">
        <v>45824.0</v>
      </c>
      <c r="B839" s="520" t="s">
        <v>2792</v>
      </c>
      <c r="C839" s="527">
        <v>1224.0</v>
      </c>
      <c r="D839" s="545" t="s">
        <v>1122</v>
      </c>
      <c r="E839" s="546">
        <v>4.0</v>
      </c>
      <c r="F839" s="545" t="s">
        <v>156</v>
      </c>
      <c r="G839" s="545"/>
    </row>
    <row r="840">
      <c r="A840" s="600">
        <v>45824.0</v>
      </c>
      <c r="B840" s="514" t="s">
        <v>2792</v>
      </c>
      <c r="C840" s="539">
        <v>1224.0</v>
      </c>
      <c r="D840" s="550" t="s">
        <v>3219</v>
      </c>
      <c r="E840" s="561">
        <v>10.0</v>
      </c>
      <c r="F840" s="550" t="s">
        <v>156</v>
      </c>
      <c r="G840" s="550"/>
    </row>
    <row r="841">
      <c r="A841" s="601">
        <v>45824.0</v>
      </c>
      <c r="B841" s="520" t="s">
        <v>2792</v>
      </c>
      <c r="C841" s="527">
        <v>1224.0</v>
      </c>
      <c r="D841" s="545" t="s">
        <v>3220</v>
      </c>
      <c r="E841" s="546">
        <v>10.0</v>
      </c>
      <c r="F841" s="545" t="s">
        <v>89</v>
      </c>
      <c r="G841" s="545"/>
    </row>
    <row r="842">
      <c r="A842" s="600">
        <v>45824.0</v>
      </c>
      <c r="B842" s="514" t="s">
        <v>2792</v>
      </c>
      <c r="C842" s="539">
        <v>1224.0</v>
      </c>
      <c r="D842" s="550" t="s">
        <v>3221</v>
      </c>
      <c r="E842" s="561">
        <v>50.0</v>
      </c>
      <c r="F842" s="550" t="s">
        <v>156</v>
      </c>
      <c r="G842" s="550"/>
    </row>
    <row r="843">
      <c r="A843" s="601">
        <v>45824.0</v>
      </c>
      <c r="B843" s="520" t="s">
        <v>2792</v>
      </c>
      <c r="C843" s="527">
        <v>1224.0</v>
      </c>
      <c r="D843" s="545" t="s">
        <v>1135</v>
      </c>
      <c r="E843" s="546">
        <v>10.0</v>
      </c>
      <c r="F843" s="545" t="s">
        <v>156</v>
      </c>
      <c r="G843" s="545"/>
    </row>
    <row r="844">
      <c r="A844" s="600">
        <v>45827.0</v>
      </c>
      <c r="B844" s="514" t="s">
        <v>2792</v>
      </c>
      <c r="C844" s="539">
        <v>1227.0</v>
      </c>
      <c r="D844" s="550" t="s">
        <v>3222</v>
      </c>
      <c r="E844" s="561">
        <v>1.0</v>
      </c>
      <c r="F844" s="550" t="s">
        <v>89</v>
      </c>
      <c r="G844" s="550"/>
    </row>
    <row r="845">
      <c r="A845" s="601">
        <v>45827.0</v>
      </c>
      <c r="B845" s="520" t="s">
        <v>2792</v>
      </c>
      <c r="C845" s="527">
        <v>1227.0</v>
      </c>
      <c r="D845" s="545" t="s">
        <v>3223</v>
      </c>
      <c r="E845" s="546">
        <v>1.0</v>
      </c>
      <c r="F845" s="545" t="s">
        <v>89</v>
      </c>
      <c r="G845" s="545"/>
    </row>
    <row r="846">
      <c r="A846" s="600">
        <v>45830.0</v>
      </c>
      <c r="B846" s="514" t="s">
        <v>2792</v>
      </c>
      <c r="C846" s="539">
        <v>1229.0</v>
      </c>
      <c r="D846" s="550" t="s">
        <v>3224</v>
      </c>
      <c r="E846" s="561">
        <v>1.0</v>
      </c>
      <c r="F846" s="550" t="s">
        <v>319</v>
      </c>
      <c r="G846" s="550"/>
    </row>
    <row r="847">
      <c r="A847" s="601">
        <v>45830.0</v>
      </c>
      <c r="B847" s="520" t="s">
        <v>2792</v>
      </c>
      <c r="C847" s="527">
        <v>1231.0</v>
      </c>
      <c r="D847" s="545" t="s">
        <v>3225</v>
      </c>
      <c r="E847" s="546">
        <v>1.0</v>
      </c>
      <c r="F847" s="545" t="s">
        <v>89</v>
      </c>
      <c r="G847" s="545"/>
    </row>
    <row r="848">
      <c r="A848" s="600">
        <v>45830.0</v>
      </c>
      <c r="B848" s="514" t="s">
        <v>2792</v>
      </c>
      <c r="C848" s="539">
        <v>1231.0</v>
      </c>
      <c r="D848" s="550" t="s">
        <v>3226</v>
      </c>
      <c r="E848" s="561">
        <v>15.0</v>
      </c>
      <c r="F848" s="550" t="s">
        <v>156</v>
      </c>
      <c r="G848" s="550"/>
    </row>
    <row r="849">
      <c r="A849" s="601">
        <v>45830.0</v>
      </c>
      <c r="B849" s="520" t="s">
        <v>2792</v>
      </c>
      <c r="C849" s="527">
        <v>1236.0</v>
      </c>
      <c r="D849" s="545" t="s">
        <v>3213</v>
      </c>
      <c r="E849" s="546">
        <v>29.0</v>
      </c>
      <c r="F849" s="545" t="s">
        <v>3142</v>
      </c>
      <c r="G849" s="545"/>
    </row>
    <row r="850">
      <c r="A850" s="600">
        <v>45836.0</v>
      </c>
      <c r="B850" s="514" t="s">
        <v>2792</v>
      </c>
      <c r="C850" s="539">
        <v>1239.0</v>
      </c>
      <c r="D850" s="550" t="s">
        <v>3227</v>
      </c>
      <c r="E850" s="561">
        <v>2.0</v>
      </c>
      <c r="F850" s="550" t="s">
        <v>89</v>
      </c>
      <c r="G850" s="550"/>
    </row>
    <row r="851">
      <c r="A851" s="601">
        <v>45836.0</v>
      </c>
      <c r="B851" s="520" t="s">
        <v>2792</v>
      </c>
      <c r="C851" s="527">
        <v>1239.0</v>
      </c>
      <c r="D851" s="545" t="s">
        <v>532</v>
      </c>
      <c r="E851" s="546">
        <v>2.0</v>
      </c>
      <c r="F851" s="545" t="s">
        <v>156</v>
      </c>
      <c r="G851" s="545"/>
    </row>
    <row r="852">
      <c r="A852" s="600">
        <v>45836.0</v>
      </c>
      <c r="B852" s="514" t="s">
        <v>2792</v>
      </c>
      <c r="C852" s="539">
        <v>1239.0</v>
      </c>
      <c r="D852" s="550" t="s">
        <v>3216</v>
      </c>
      <c r="E852" s="561">
        <v>2.0</v>
      </c>
      <c r="F852" s="550" t="s">
        <v>156</v>
      </c>
      <c r="G852" s="550"/>
    </row>
    <row r="853">
      <c r="A853" s="601">
        <v>45836.0</v>
      </c>
      <c r="B853" s="520" t="s">
        <v>2792</v>
      </c>
      <c r="C853" s="527">
        <v>1239.0</v>
      </c>
      <c r="D853" s="545" t="s">
        <v>1122</v>
      </c>
      <c r="E853" s="546">
        <v>2.0</v>
      </c>
      <c r="F853" s="545" t="s">
        <v>156</v>
      </c>
      <c r="G853" s="545"/>
    </row>
    <row r="854">
      <c r="A854" s="600">
        <v>45836.0</v>
      </c>
      <c r="B854" s="514" t="s">
        <v>2792</v>
      </c>
      <c r="C854" s="539">
        <v>1239.0</v>
      </c>
      <c r="D854" s="550" t="s">
        <v>3228</v>
      </c>
      <c r="E854" s="561">
        <v>1.0</v>
      </c>
      <c r="F854" s="550" t="s">
        <v>89</v>
      </c>
      <c r="G854" s="550"/>
    </row>
    <row r="855">
      <c r="A855" s="601">
        <v>45836.0</v>
      </c>
      <c r="B855" s="520" t="s">
        <v>2792</v>
      </c>
      <c r="C855" s="527">
        <v>1239.0</v>
      </c>
      <c r="D855" s="545" t="s">
        <v>3229</v>
      </c>
      <c r="E855" s="546">
        <v>1.0</v>
      </c>
      <c r="F855" s="545" t="s">
        <v>156</v>
      </c>
      <c r="G855" s="545"/>
    </row>
    <row r="856">
      <c r="A856" s="600">
        <v>45837.0</v>
      </c>
      <c r="B856" s="514" t="s">
        <v>2792</v>
      </c>
      <c r="C856" s="539">
        <v>1240.0</v>
      </c>
      <c r="D856" s="550" t="s">
        <v>3230</v>
      </c>
      <c r="E856" s="561">
        <v>2.0</v>
      </c>
      <c r="F856" s="550" t="s">
        <v>156</v>
      </c>
      <c r="G856" s="550"/>
    </row>
    <row r="857">
      <c r="A857" s="601">
        <v>45837.0</v>
      </c>
      <c r="B857" s="520" t="s">
        <v>2792</v>
      </c>
      <c r="C857" s="527">
        <v>1240.0</v>
      </c>
      <c r="D857" s="545" t="s">
        <v>3231</v>
      </c>
      <c r="E857" s="546">
        <v>2.0</v>
      </c>
      <c r="F857" s="545" t="s">
        <v>156</v>
      </c>
      <c r="G857" s="545"/>
    </row>
    <row r="858">
      <c r="A858" s="600">
        <v>45841.0</v>
      </c>
      <c r="B858" s="514" t="s">
        <v>2792</v>
      </c>
      <c r="C858" s="539">
        <v>1244.0</v>
      </c>
      <c r="D858" s="550" t="s">
        <v>3232</v>
      </c>
      <c r="E858" s="561">
        <v>1.0</v>
      </c>
      <c r="F858" s="550" t="s">
        <v>89</v>
      </c>
      <c r="G858" s="550"/>
    </row>
    <row r="859">
      <c r="A859" s="601">
        <v>45846.0</v>
      </c>
      <c r="B859" s="520" t="s">
        <v>2792</v>
      </c>
      <c r="C859" s="527">
        <v>1247.0</v>
      </c>
      <c r="D859" s="545" t="s">
        <v>3233</v>
      </c>
      <c r="E859" s="546">
        <v>3.0</v>
      </c>
      <c r="F859" s="545" t="s">
        <v>981</v>
      </c>
      <c r="G859" s="545"/>
    </row>
    <row r="860">
      <c r="A860" s="600">
        <v>45846.0</v>
      </c>
      <c r="B860" s="514" t="s">
        <v>2792</v>
      </c>
      <c r="C860" s="539">
        <v>1247.0</v>
      </c>
      <c r="D860" s="550" t="s">
        <v>3234</v>
      </c>
      <c r="E860" s="561">
        <v>1.0</v>
      </c>
      <c r="F860" s="550" t="s">
        <v>89</v>
      </c>
      <c r="G860" s="550"/>
    </row>
    <row r="861">
      <c r="A861" s="601">
        <v>45846.0</v>
      </c>
      <c r="B861" s="520" t="s">
        <v>2792</v>
      </c>
      <c r="C861" s="527">
        <v>1247.0</v>
      </c>
      <c r="D861" s="545" t="s">
        <v>3235</v>
      </c>
      <c r="E861" s="546">
        <v>1.0</v>
      </c>
      <c r="F861" s="545" t="s">
        <v>89</v>
      </c>
      <c r="G861" s="545"/>
    </row>
    <row r="862">
      <c r="A862" s="600">
        <v>45846.0</v>
      </c>
      <c r="B862" s="514" t="s">
        <v>2792</v>
      </c>
      <c r="C862" s="539">
        <v>1247.0</v>
      </c>
      <c r="D862" s="550" t="s">
        <v>3233</v>
      </c>
      <c r="E862" s="561">
        <v>3.0</v>
      </c>
      <c r="F862" s="550" t="s">
        <v>981</v>
      </c>
      <c r="G862" s="550"/>
    </row>
    <row r="863">
      <c r="A863" s="601">
        <v>45846.0</v>
      </c>
      <c r="B863" s="520" t="s">
        <v>2792</v>
      </c>
      <c r="C863" s="527">
        <v>1247.0</v>
      </c>
      <c r="D863" s="545" t="s">
        <v>3234</v>
      </c>
      <c r="E863" s="546">
        <v>1.0</v>
      </c>
      <c r="F863" s="545" t="s">
        <v>89</v>
      </c>
      <c r="G863" s="545"/>
    </row>
    <row r="864">
      <c r="A864" s="600">
        <v>45846.0</v>
      </c>
      <c r="B864" s="514" t="s">
        <v>2792</v>
      </c>
      <c r="C864" s="539">
        <v>1247.0</v>
      </c>
      <c r="D864" s="550" t="s">
        <v>3235</v>
      </c>
      <c r="E864" s="561">
        <v>1.0</v>
      </c>
      <c r="F864" s="550" t="s">
        <v>89</v>
      </c>
      <c r="G864" s="550"/>
    </row>
    <row r="865">
      <c r="A865" s="595">
        <v>45851.0</v>
      </c>
      <c r="B865" s="520" t="s">
        <v>2792</v>
      </c>
      <c r="C865" s="563">
        <v>801.0</v>
      </c>
      <c r="D865" s="528" t="s">
        <v>3236</v>
      </c>
      <c r="E865" s="529">
        <v>2.0</v>
      </c>
      <c r="F865" s="591" t="s">
        <v>156</v>
      </c>
      <c r="G865" s="528"/>
    </row>
    <row r="866">
      <c r="A866" s="598">
        <v>45851.0</v>
      </c>
      <c r="B866" s="514" t="s">
        <v>2792</v>
      </c>
      <c r="C866" s="566">
        <v>801.0</v>
      </c>
      <c r="D866" s="540" t="s">
        <v>1197</v>
      </c>
      <c r="E866" s="541">
        <v>1.0</v>
      </c>
      <c r="F866" s="593" t="s">
        <v>3237</v>
      </c>
      <c r="G866" s="540"/>
    </row>
    <row r="867">
      <c r="A867" s="595">
        <v>45851.0</v>
      </c>
      <c r="B867" s="520" t="s">
        <v>2792</v>
      </c>
      <c r="C867" s="563">
        <v>801.0</v>
      </c>
      <c r="D867" s="528" t="s">
        <v>1198</v>
      </c>
      <c r="E867" s="529">
        <v>1.0</v>
      </c>
      <c r="F867" s="591" t="s">
        <v>3237</v>
      </c>
      <c r="G867" s="528"/>
    </row>
    <row r="868">
      <c r="A868" s="598">
        <v>45851.0</v>
      </c>
      <c r="B868" s="514" t="s">
        <v>2792</v>
      </c>
      <c r="C868" s="566">
        <v>801.0</v>
      </c>
      <c r="D868" s="540" t="s">
        <v>1194</v>
      </c>
      <c r="E868" s="541">
        <v>1.0</v>
      </c>
      <c r="F868" s="593" t="s">
        <v>156</v>
      </c>
      <c r="G868" s="540"/>
    </row>
    <row r="869">
      <c r="A869" s="590">
        <v>45851.0</v>
      </c>
      <c r="B869" s="520" t="s">
        <v>2792</v>
      </c>
      <c r="C869" s="557">
        <v>801.0</v>
      </c>
      <c r="D869" s="536" t="s">
        <v>3006</v>
      </c>
      <c r="E869" s="537">
        <v>10.0</v>
      </c>
      <c r="F869" s="591" t="s">
        <v>156</v>
      </c>
      <c r="G869" s="528"/>
    </row>
    <row r="870">
      <c r="A870" s="598">
        <v>45851.0</v>
      </c>
      <c r="B870" s="514" t="s">
        <v>2792</v>
      </c>
      <c r="C870" s="566">
        <v>802.0</v>
      </c>
      <c r="D870" s="540" t="s">
        <v>2865</v>
      </c>
      <c r="E870" s="541">
        <v>3.0</v>
      </c>
      <c r="F870" s="593" t="s">
        <v>1662</v>
      </c>
      <c r="G870" s="540"/>
    </row>
    <row r="871">
      <c r="A871" s="597">
        <v>45852.0</v>
      </c>
      <c r="B871" s="520" t="s">
        <v>2792</v>
      </c>
      <c r="C871" s="521">
        <v>806.0</v>
      </c>
      <c r="D871" s="522" t="s">
        <v>3238</v>
      </c>
      <c r="E871" s="523">
        <v>3.0</v>
      </c>
      <c r="F871" s="581" t="s">
        <v>156</v>
      </c>
      <c r="G871" s="545"/>
    </row>
    <row r="872">
      <c r="A872" s="596">
        <v>45852.0</v>
      </c>
      <c r="B872" s="514" t="s">
        <v>2792</v>
      </c>
      <c r="C872" s="515">
        <v>806.0</v>
      </c>
      <c r="D872" s="525" t="s">
        <v>3239</v>
      </c>
      <c r="E872" s="517">
        <v>3.0</v>
      </c>
      <c r="F872" s="580" t="s">
        <v>156</v>
      </c>
      <c r="G872" s="550"/>
    </row>
    <row r="873">
      <c r="A873" s="590">
        <v>45852.0</v>
      </c>
      <c r="B873" s="520" t="s">
        <v>2792</v>
      </c>
      <c r="C873" s="521">
        <v>806.0</v>
      </c>
      <c r="D873" s="528" t="s">
        <v>3240</v>
      </c>
      <c r="E873" s="529">
        <v>6.0</v>
      </c>
      <c r="F873" s="591" t="s">
        <v>156</v>
      </c>
      <c r="G873" s="528"/>
    </row>
    <row r="874">
      <c r="A874" s="592">
        <v>45852.0</v>
      </c>
      <c r="B874" s="514" t="s">
        <v>2792</v>
      </c>
      <c r="C874" s="515">
        <v>806.0</v>
      </c>
      <c r="D874" s="540" t="s">
        <v>3241</v>
      </c>
      <c r="E874" s="541">
        <v>6.0</v>
      </c>
      <c r="F874" s="593" t="s">
        <v>156</v>
      </c>
      <c r="G874" s="540"/>
    </row>
    <row r="875">
      <c r="A875" s="590">
        <v>45852.0</v>
      </c>
      <c r="B875" s="520" t="s">
        <v>2792</v>
      </c>
      <c r="C875" s="521">
        <v>806.0</v>
      </c>
      <c r="D875" s="528" t="s">
        <v>3242</v>
      </c>
      <c r="E875" s="529">
        <v>3.0</v>
      </c>
      <c r="F875" s="591" t="s">
        <v>156</v>
      </c>
      <c r="G875" s="528"/>
    </row>
    <row r="876">
      <c r="A876" s="592">
        <v>45852.0</v>
      </c>
      <c r="B876" s="514" t="s">
        <v>2792</v>
      </c>
      <c r="C876" s="515">
        <v>806.0</v>
      </c>
      <c r="D876" s="540" t="s">
        <v>3243</v>
      </c>
      <c r="E876" s="541">
        <v>3.0</v>
      </c>
      <c r="F876" s="593" t="s">
        <v>156</v>
      </c>
      <c r="G876" s="540"/>
    </row>
    <row r="877">
      <c r="A877" s="590">
        <v>45858.0</v>
      </c>
      <c r="B877" s="520" t="s">
        <v>2792</v>
      </c>
      <c r="C877" s="521">
        <v>808.0</v>
      </c>
      <c r="D877" s="528" t="s">
        <v>3244</v>
      </c>
      <c r="E877" s="529">
        <v>1.0</v>
      </c>
      <c r="F877" s="591" t="s">
        <v>89</v>
      </c>
      <c r="G877" s="528"/>
    </row>
    <row r="878">
      <c r="A878" s="592">
        <v>45858.0</v>
      </c>
      <c r="B878" s="514" t="s">
        <v>2792</v>
      </c>
      <c r="C878" s="515">
        <v>808.0</v>
      </c>
      <c r="D878" s="540" t="s">
        <v>1207</v>
      </c>
      <c r="E878" s="541">
        <v>1.0</v>
      </c>
      <c r="F878" s="593" t="s">
        <v>319</v>
      </c>
      <c r="G878" s="540"/>
    </row>
    <row r="879">
      <c r="A879" s="590">
        <v>45858.0</v>
      </c>
      <c r="B879" s="520" t="s">
        <v>2792</v>
      </c>
      <c r="C879" s="521">
        <v>808.0</v>
      </c>
      <c r="D879" s="545" t="s">
        <v>1208</v>
      </c>
      <c r="E879" s="546">
        <v>1.0</v>
      </c>
      <c r="F879" s="586" t="s">
        <v>319</v>
      </c>
      <c r="G879" s="545"/>
    </row>
    <row r="880">
      <c r="A880" s="592">
        <v>45858.0</v>
      </c>
      <c r="B880" s="514" t="s">
        <v>2792</v>
      </c>
      <c r="C880" s="515">
        <v>808.0</v>
      </c>
      <c r="D880" s="550" t="s">
        <v>3245</v>
      </c>
      <c r="E880" s="561">
        <v>3.0</v>
      </c>
      <c r="F880" s="560" t="s">
        <v>156</v>
      </c>
      <c r="G880" s="550"/>
    </row>
    <row r="881">
      <c r="A881" s="590">
        <v>45858.0</v>
      </c>
      <c r="B881" s="520" t="s">
        <v>2792</v>
      </c>
      <c r="C881" s="521">
        <v>808.0</v>
      </c>
      <c r="D881" s="545" t="s">
        <v>3246</v>
      </c>
      <c r="E881" s="546">
        <v>1.0</v>
      </c>
      <c r="F881" s="586" t="s">
        <v>319</v>
      </c>
      <c r="G881" s="545"/>
    </row>
    <row r="882">
      <c r="A882" s="592">
        <v>45860.0</v>
      </c>
      <c r="B882" s="514" t="s">
        <v>2792</v>
      </c>
      <c r="C882" s="558">
        <v>810.0</v>
      </c>
      <c r="D882" s="516" t="s">
        <v>3247</v>
      </c>
      <c r="E882" s="534">
        <v>1.0</v>
      </c>
      <c r="F882" s="593" t="s">
        <v>156</v>
      </c>
      <c r="G882" s="540"/>
    </row>
    <row r="883">
      <c r="A883" s="590">
        <v>45860.0</v>
      </c>
      <c r="B883" s="520" t="s">
        <v>2792</v>
      </c>
      <c r="C883" s="557">
        <v>810.0</v>
      </c>
      <c r="D883" s="536" t="s">
        <v>3248</v>
      </c>
      <c r="E883" s="537">
        <v>1.0</v>
      </c>
      <c r="F883" s="591" t="s">
        <v>156</v>
      </c>
      <c r="G883" s="528"/>
    </row>
    <row r="884">
      <c r="A884" s="596">
        <v>45864.0</v>
      </c>
      <c r="B884" s="514" t="s">
        <v>2792</v>
      </c>
      <c r="C884" s="515">
        <v>811.0</v>
      </c>
      <c r="D884" s="525" t="s">
        <v>3249</v>
      </c>
      <c r="E884" s="517">
        <v>2.0</v>
      </c>
      <c r="F884" s="580" t="s">
        <v>156</v>
      </c>
      <c r="G884" s="550"/>
    </row>
    <row r="885">
      <c r="A885" s="597">
        <v>45864.0</v>
      </c>
      <c r="B885" s="520" t="s">
        <v>2792</v>
      </c>
      <c r="C885" s="521">
        <v>811.0</v>
      </c>
      <c r="D885" s="522" t="s">
        <v>511</v>
      </c>
      <c r="E885" s="523">
        <v>2.0</v>
      </c>
      <c r="F885" s="581" t="s">
        <v>156</v>
      </c>
      <c r="G885" s="545"/>
    </row>
    <row r="886">
      <c r="A886" s="596">
        <v>45864.0</v>
      </c>
      <c r="B886" s="514" t="s">
        <v>2792</v>
      </c>
      <c r="C886" s="515">
        <v>811.0</v>
      </c>
      <c r="D886" s="580" t="s">
        <v>287</v>
      </c>
      <c r="E886" s="517">
        <v>2.0</v>
      </c>
      <c r="F886" s="580" t="s">
        <v>156</v>
      </c>
      <c r="G886" s="550"/>
    </row>
    <row r="887">
      <c r="A887" s="597">
        <v>45864.0</v>
      </c>
      <c r="B887" s="520" t="s">
        <v>2792</v>
      </c>
      <c r="C887" s="521">
        <v>811.0</v>
      </c>
      <c r="D887" s="581" t="s">
        <v>517</v>
      </c>
      <c r="E887" s="523">
        <v>4.0</v>
      </c>
      <c r="F887" s="581" t="s">
        <v>156</v>
      </c>
      <c r="G887" s="545"/>
    </row>
    <row r="888">
      <c r="A888" s="596">
        <v>45864.0</v>
      </c>
      <c r="B888" s="514" t="s">
        <v>2792</v>
      </c>
      <c r="C888" s="515">
        <v>811.0</v>
      </c>
      <c r="D888" s="525" t="s">
        <v>438</v>
      </c>
      <c r="E888" s="517">
        <v>5.0</v>
      </c>
      <c r="F888" s="580" t="s">
        <v>156</v>
      </c>
      <c r="G888" s="550"/>
    </row>
    <row r="889">
      <c r="A889" s="597">
        <v>45864.0</v>
      </c>
      <c r="B889" s="520" t="s">
        <v>2792</v>
      </c>
      <c r="C889" s="521">
        <v>811.0</v>
      </c>
      <c r="D889" s="522" t="s">
        <v>491</v>
      </c>
      <c r="E889" s="523">
        <v>10.0</v>
      </c>
      <c r="F889" s="581" t="s">
        <v>156</v>
      </c>
      <c r="G889" s="545"/>
    </row>
    <row r="890">
      <c r="A890" s="596">
        <v>45864.0</v>
      </c>
      <c r="B890" s="514" t="s">
        <v>2792</v>
      </c>
      <c r="C890" s="515">
        <v>811.0</v>
      </c>
      <c r="D890" s="580" t="s">
        <v>1250</v>
      </c>
      <c r="E890" s="517">
        <v>2.0</v>
      </c>
      <c r="F890" s="580" t="s">
        <v>156</v>
      </c>
      <c r="G890" s="550"/>
    </row>
    <row r="891">
      <c r="A891" s="590">
        <v>45864.0</v>
      </c>
      <c r="B891" s="520" t="s">
        <v>2792</v>
      </c>
      <c r="C891" s="521">
        <v>811.0</v>
      </c>
      <c r="D891" s="536" t="s">
        <v>3250</v>
      </c>
      <c r="E891" s="537">
        <v>10.0</v>
      </c>
      <c r="F891" s="581" t="s">
        <v>156</v>
      </c>
      <c r="G891" s="545"/>
    </row>
    <row r="892">
      <c r="A892" s="596">
        <v>45864.0</v>
      </c>
      <c r="B892" s="514" t="s">
        <v>2792</v>
      </c>
      <c r="C892" s="515">
        <v>811.0</v>
      </c>
      <c r="D892" s="580" t="s">
        <v>761</v>
      </c>
      <c r="E892" s="517">
        <v>2.0</v>
      </c>
      <c r="F892" s="580" t="s">
        <v>156</v>
      </c>
      <c r="G892" s="550"/>
    </row>
    <row r="893">
      <c r="A893" s="595">
        <v>45864.0</v>
      </c>
      <c r="B893" s="520" t="s">
        <v>2792</v>
      </c>
      <c r="C893" s="521">
        <v>811.0</v>
      </c>
      <c r="D893" s="528" t="s">
        <v>351</v>
      </c>
      <c r="E893" s="529">
        <v>25.0</v>
      </c>
      <c r="F893" s="591" t="s">
        <v>34</v>
      </c>
      <c r="G893" s="528"/>
    </row>
    <row r="894">
      <c r="A894" s="598">
        <v>45864.0</v>
      </c>
      <c r="B894" s="514" t="s">
        <v>2792</v>
      </c>
      <c r="C894" s="515">
        <v>811.0</v>
      </c>
      <c r="D894" s="540" t="s">
        <v>350</v>
      </c>
      <c r="E894" s="541">
        <v>25.0</v>
      </c>
      <c r="F894" s="593" t="s">
        <v>34</v>
      </c>
      <c r="G894" s="540"/>
    </row>
    <row r="895">
      <c r="A895" s="595">
        <v>45864.0</v>
      </c>
      <c r="B895" s="520" t="s">
        <v>2792</v>
      </c>
      <c r="C895" s="521">
        <v>811.0</v>
      </c>
      <c r="D895" s="528" t="s">
        <v>349</v>
      </c>
      <c r="E895" s="529">
        <v>25.0</v>
      </c>
      <c r="F895" s="591" t="s">
        <v>34</v>
      </c>
      <c r="G895" s="528"/>
    </row>
    <row r="896">
      <c r="A896" s="598">
        <v>45864.0</v>
      </c>
      <c r="B896" s="514" t="s">
        <v>2792</v>
      </c>
      <c r="C896" s="515">
        <v>811.0</v>
      </c>
      <c r="D896" s="540" t="s">
        <v>348</v>
      </c>
      <c r="E896" s="541">
        <v>25.0</v>
      </c>
      <c r="F896" s="593" t="s">
        <v>34</v>
      </c>
      <c r="G896" s="540"/>
    </row>
    <row r="897">
      <c r="A897" s="595">
        <v>45864.0</v>
      </c>
      <c r="B897" s="520" t="s">
        <v>2792</v>
      </c>
      <c r="C897" s="521">
        <v>811.0</v>
      </c>
      <c r="D897" s="528" t="s">
        <v>3251</v>
      </c>
      <c r="E897" s="529">
        <v>7.0</v>
      </c>
      <c r="F897" s="591" t="s">
        <v>34</v>
      </c>
      <c r="G897" s="528"/>
    </row>
    <row r="898">
      <c r="A898" s="596">
        <v>45864.0</v>
      </c>
      <c r="B898" s="514" t="s">
        <v>2792</v>
      </c>
      <c r="C898" s="515">
        <v>812.0</v>
      </c>
      <c r="D898" s="525" t="s">
        <v>3115</v>
      </c>
      <c r="E898" s="517">
        <v>180.0</v>
      </c>
      <c r="F898" s="580" t="s">
        <v>74</v>
      </c>
      <c r="G898" s="550"/>
    </row>
    <row r="899">
      <c r="A899" s="597">
        <v>45864.0</v>
      </c>
      <c r="B899" s="520" t="s">
        <v>2792</v>
      </c>
      <c r="C899" s="521">
        <v>812.0</v>
      </c>
      <c r="D899" s="522" t="s">
        <v>281</v>
      </c>
      <c r="E899" s="523">
        <v>270.0</v>
      </c>
      <c r="F899" s="581" t="s">
        <v>74</v>
      </c>
      <c r="G899" s="545"/>
    </row>
    <row r="900">
      <c r="A900" s="596">
        <v>45864.0</v>
      </c>
      <c r="B900" s="514" t="s">
        <v>2792</v>
      </c>
      <c r="C900" s="515">
        <v>812.0</v>
      </c>
      <c r="D900" s="580" t="s">
        <v>275</v>
      </c>
      <c r="E900" s="517">
        <v>270.0</v>
      </c>
      <c r="F900" s="580" t="s">
        <v>74</v>
      </c>
      <c r="G900" s="550"/>
    </row>
    <row r="901">
      <c r="A901" s="597">
        <v>45864.0</v>
      </c>
      <c r="B901" s="520" t="s">
        <v>2792</v>
      </c>
      <c r="C901" s="521">
        <v>812.0</v>
      </c>
      <c r="D901" s="581" t="s">
        <v>3252</v>
      </c>
      <c r="E901" s="523">
        <v>90.0</v>
      </c>
      <c r="F901" s="581" t="s">
        <v>74</v>
      </c>
      <c r="G901" s="545"/>
    </row>
    <row r="902">
      <c r="A902" s="596">
        <v>45864.0</v>
      </c>
      <c r="B902" s="514" t="s">
        <v>2792</v>
      </c>
      <c r="C902" s="515">
        <v>812.0</v>
      </c>
      <c r="D902" s="580" t="s">
        <v>3253</v>
      </c>
      <c r="E902" s="517">
        <v>1.0</v>
      </c>
      <c r="F902" s="580" t="s">
        <v>156</v>
      </c>
      <c r="G902" s="550"/>
    </row>
    <row r="903">
      <c r="A903" s="590">
        <v>45864.0</v>
      </c>
      <c r="B903" s="520" t="s">
        <v>2792</v>
      </c>
      <c r="C903" s="557">
        <v>812.0</v>
      </c>
      <c r="D903" s="536" t="s">
        <v>3254</v>
      </c>
      <c r="E903" s="602">
        <v>1.0</v>
      </c>
      <c r="F903" s="581" t="s">
        <v>156</v>
      </c>
      <c r="G903" s="545"/>
    </row>
    <row r="904">
      <c r="A904" s="592">
        <v>45865.0</v>
      </c>
      <c r="B904" s="514" t="s">
        <v>2792</v>
      </c>
      <c r="C904" s="515">
        <v>627.0</v>
      </c>
      <c r="D904" s="516" t="s">
        <v>3255</v>
      </c>
      <c r="E904" s="534">
        <v>1.0</v>
      </c>
      <c r="F904" s="599" t="s">
        <v>3256</v>
      </c>
      <c r="G904" s="540"/>
    </row>
    <row r="905">
      <c r="A905" s="595">
        <v>45869.0</v>
      </c>
      <c r="B905" s="520" t="s">
        <v>2792</v>
      </c>
      <c r="C905" s="521">
        <v>814.0</v>
      </c>
      <c r="D905" s="528" t="s">
        <v>914</v>
      </c>
      <c r="E905" s="529">
        <v>10.0</v>
      </c>
      <c r="F905" s="591" t="s">
        <v>981</v>
      </c>
      <c r="G905" s="528"/>
    </row>
    <row r="906">
      <c r="A906" s="598">
        <v>45869.0</v>
      </c>
      <c r="B906" s="514" t="s">
        <v>2792</v>
      </c>
      <c r="C906" s="539">
        <v>814.0</v>
      </c>
      <c r="D906" s="540" t="s">
        <v>3257</v>
      </c>
      <c r="E906" s="541">
        <v>3.0</v>
      </c>
      <c r="F906" s="593" t="s">
        <v>981</v>
      </c>
      <c r="G906" s="540"/>
    </row>
    <row r="907">
      <c r="A907" s="595">
        <v>45872.0</v>
      </c>
      <c r="B907" s="520" t="s">
        <v>2792</v>
      </c>
      <c r="C907" s="527">
        <v>632.0</v>
      </c>
      <c r="D907" s="528" t="s">
        <v>2856</v>
      </c>
      <c r="E907" s="529">
        <v>1.0</v>
      </c>
      <c r="F907" s="591" t="s">
        <v>156</v>
      </c>
      <c r="G907" s="528"/>
    </row>
    <row r="908">
      <c r="A908" s="592">
        <v>45872.0</v>
      </c>
      <c r="B908" s="514" t="s">
        <v>2792</v>
      </c>
      <c r="C908" s="539">
        <v>632.0</v>
      </c>
      <c r="D908" s="540" t="s">
        <v>607</v>
      </c>
      <c r="E908" s="534">
        <v>1.0</v>
      </c>
      <c r="F908" s="599" t="s">
        <v>156</v>
      </c>
      <c r="G908" s="540"/>
    </row>
    <row r="909">
      <c r="A909" s="590">
        <v>45872.0</v>
      </c>
      <c r="B909" s="520" t="s">
        <v>2792</v>
      </c>
      <c r="C909" s="527">
        <v>632.0</v>
      </c>
      <c r="D909" s="536" t="s">
        <v>633</v>
      </c>
      <c r="E909" s="537">
        <v>1.0</v>
      </c>
      <c r="F909" s="603" t="s">
        <v>156</v>
      </c>
      <c r="G909" s="528"/>
    </row>
    <row r="910">
      <c r="A910" s="592">
        <v>45872.0</v>
      </c>
      <c r="B910" s="514" t="s">
        <v>2792</v>
      </c>
      <c r="C910" s="539">
        <v>632.0</v>
      </c>
      <c r="D910" s="516" t="s">
        <v>3258</v>
      </c>
      <c r="E910" s="534">
        <v>1.0</v>
      </c>
      <c r="F910" s="599" t="s">
        <v>156</v>
      </c>
      <c r="G910" s="540"/>
    </row>
    <row r="911">
      <c r="A911" s="590">
        <v>45872.0</v>
      </c>
      <c r="B911" s="520" t="s">
        <v>2792</v>
      </c>
      <c r="C911" s="527">
        <v>632.0</v>
      </c>
      <c r="D911" s="536" t="s">
        <v>3259</v>
      </c>
      <c r="E911" s="537">
        <v>1.0</v>
      </c>
      <c r="F911" s="603" t="s">
        <v>156</v>
      </c>
      <c r="G911" s="528"/>
    </row>
    <row r="912">
      <c r="A912" s="596">
        <v>45873.0</v>
      </c>
      <c r="B912" s="514" t="s">
        <v>2792</v>
      </c>
      <c r="C912" s="515">
        <v>816.0</v>
      </c>
      <c r="D912" s="525" t="s">
        <v>3239</v>
      </c>
      <c r="E912" s="517">
        <v>3.0</v>
      </c>
      <c r="F912" s="580" t="s">
        <v>156</v>
      </c>
      <c r="G912" s="550"/>
    </row>
    <row r="913">
      <c r="A913" s="597">
        <v>45873.0</v>
      </c>
      <c r="B913" s="520" t="s">
        <v>2792</v>
      </c>
      <c r="C913" s="521">
        <v>816.0</v>
      </c>
      <c r="D913" s="522" t="s">
        <v>2991</v>
      </c>
      <c r="E913" s="523">
        <v>146.0</v>
      </c>
      <c r="F913" s="581" t="s">
        <v>156</v>
      </c>
      <c r="G913" s="545"/>
    </row>
    <row r="914">
      <c r="A914" s="598">
        <v>45876.0</v>
      </c>
      <c r="B914" s="514" t="s">
        <v>2792</v>
      </c>
      <c r="C914" s="539">
        <v>1247.0</v>
      </c>
      <c r="D914" s="540" t="s">
        <v>3260</v>
      </c>
      <c r="E914" s="541">
        <v>1.0</v>
      </c>
      <c r="F914" s="593" t="s">
        <v>156</v>
      </c>
      <c r="G914" s="540"/>
    </row>
    <row r="915">
      <c r="A915" s="595">
        <v>45876.0</v>
      </c>
      <c r="B915" s="520" t="s">
        <v>2792</v>
      </c>
      <c r="C915" s="563">
        <v>1247.0</v>
      </c>
      <c r="D915" s="528" t="s">
        <v>3261</v>
      </c>
      <c r="E915" s="529">
        <v>1.0</v>
      </c>
      <c r="F915" s="591" t="s">
        <v>156</v>
      </c>
      <c r="G915" s="528"/>
    </row>
    <row r="916">
      <c r="A916" s="600">
        <v>45877.0</v>
      </c>
      <c r="B916" s="514" t="s">
        <v>2792</v>
      </c>
      <c r="C916" s="539">
        <v>817.0</v>
      </c>
      <c r="D916" s="550" t="s">
        <v>3040</v>
      </c>
      <c r="E916" s="561">
        <v>5.0</v>
      </c>
      <c r="F916" s="560" t="s">
        <v>156</v>
      </c>
      <c r="G916" s="550"/>
    </row>
    <row r="917">
      <c r="A917" s="595">
        <v>45877.0</v>
      </c>
      <c r="B917" s="520" t="s">
        <v>2792</v>
      </c>
      <c r="C917" s="521">
        <v>817.0</v>
      </c>
      <c r="D917" s="528" t="s">
        <v>1262</v>
      </c>
      <c r="E917" s="529">
        <v>5.0</v>
      </c>
      <c r="F917" s="604"/>
      <c r="G917" s="568"/>
    </row>
    <row r="918">
      <c r="A918" s="598">
        <v>45877.0</v>
      </c>
      <c r="B918" s="514" t="s">
        <v>2792</v>
      </c>
      <c r="C918" s="515">
        <v>817.0</v>
      </c>
      <c r="D918" s="540" t="s">
        <v>3130</v>
      </c>
      <c r="E918" s="541">
        <v>30.0</v>
      </c>
      <c r="F918" s="593" t="s">
        <v>156</v>
      </c>
      <c r="G918" s="540"/>
    </row>
    <row r="919">
      <c r="A919" s="590">
        <v>45877.0</v>
      </c>
      <c r="B919" s="520" t="s">
        <v>2792</v>
      </c>
      <c r="C919" s="521">
        <v>817.0</v>
      </c>
      <c r="D919" s="536" t="s">
        <v>3262</v>
      </c>
      <c r="E919" s="537">
        <v>5.0</v>
      </c>
      <c r="F919" s="603" t="s">
        <v>156</v>
      </c>
      <c r="G919" s="528"/>
    </row>
    <row r="920">
      <c r="A920" s="592">
        <v>45877.0</v>
      </c>
      <c r="B920" s="514" t="s">
        <v>2792</v>
      </c>
      <c r="C920" s="515">
        <v>817.0</v>
      </c>
      <c r="D920" s="516" t="s">
        <v>299</v>
      </c>
      <c r="E920" s="534">
        <v>10.0</v>
      </c>
      <c r="F920" s="599" t="s">
        <v>156</v>
      </c>
      <c r="G920" s="540"/>
    </row>
    <row r="921">
      <c r="A921" s="601">
        <v>45877.0</v>
      </c>
      <c r="B921" s="520" t="s">
        <v>2792</v>
      </c>
      <c r="C921" s="527">
        <v>817.0</v>
      </c>
      <c r="D921" s="545" t="s">
        <v>88</v>
      </c>
      <c r="E921" s="537">
        <v>10.0</v>
      </c>
      <c r="F921" s="603" t="s">
        <v>156</v>
      </c>
      <c r="G921" s="528"/>
    </row>
    <row r="922">
      <c r="A922" s="592">
        <v>45877.0</v>
      </c>
      <c r="B922" s="514" t="s">
        <v>2792</v>
      </c>
      <c r="C922" s="515">
        <v>817.0</v>
      </c>
      <c r="D922" s="540" t="s">
        <v>736</v>
      </c>
      <c r="E922" s="534">
        <v>15.0</v>
      </c>
      <c r="F922" s="599" t="s">
        <v>156</v>
      </c>
      <c r="G922" s="540"/>
    </row>
    <row r="923">
      <c r="A923" s="590">
        <v>45877.0</v>
      </c>
      <c r="B923" s="520" t="s">
        <v>2792</v>
      </c>
      <c r="C923" s="527">
        <v>817.0</v>
      </c>
      <c r="D923" s="536" t="s">
        <v>3131</v>
      </c>
      <c r="E923" s="537">
        <v>1.0</v>
      </c>
      <c r="F923" s="591" t="s">
        <v>156</v>
      </c>
      <c r="G923" s="528"/>
    </row>
    <row r="924">
      <c r="A924" s="598">
        <v>45877.0</v>
      </c>
      <c r="B924" s="514" t="s">
        <v>2792</v>
      </c>
      <c r="C924" s="515">
        <v>817.0</v>
      </c>
      <c r="D924" s="540" t="s">
        <v>1290</v>
      </c>
      <c r="E924" s="541">
        <v>30.0</v>
      </c>
      <c r="F924" s="593" t="s">
        <v>981</v>
      </c>
      <c r="G924" s="540"/>
    </row>
    <row r="925">
      <c r="A925" s="595">
        <v>45877.0</v>
      </c>
      <c r="B925" s="520" t="s">
        <v>2792</v>
      </c>
      <c r="C925" s="527">
        <v>817.0</v>
      </c>
      <c r="D925" s="528" t="s">
        <v>3263</v>
      </c>
      <c r="E925" s="529">
        <v>5.0</v>
      </c>
      <c r="F925" s="591" t="s">
        <v>156</v>
      </c>
      <c r="G925" s="528"/>
    </row>
    <row r="926">
      <c r="A926" s="592">
        <v>45877.0</v>
      </c>
      <c r="B926" s="514" t="s">
        <v>2792</v>
      </c>
      <c r="C926" s="515">
        <v>818.0</v>
      </c>
      <c r="D926" s="516" t="s">
        <v>3250</v>
      </c>
      <c r="E926" s="534">
        <v>20.0</v>
      </c>
      <c r="F926" s="580" t="s">
        <v>156</v>
      </c>
      <c r="G926" s="550"/>
    </row>
    <row r="927">
      <c r="A927" s="590">
        <v>45877.0</v>
      </c>
      <c r="B927" s="520" t="s">
        <v>2792</v>
      </c>
      <c r="C927" s="521">
        <v>818.0</v>
      </c>
      <c r="D927" s="536" t="s">
        <v>3264</v>
      </c>
      <c r="E927" s="537">
        <v>5.0</v>
      </c>
      <c r="F927" s="603" t="s">
        <v>405</v>
      </c>
      <c r="G927" s="528"/>
    </row>
    <row r="928">
      <c r="A928" s="592">
        <v>45877.0</v>
      </c>
      <c r="B928" s="514" t="s">
        <v>2792</v>
      </c>
      <c r="C928" s="515">
        <v>818.0</v>
      </c>
      <c r="D928" s="516" t="s">
        <v>3265</v>
      </c>
      <c r="E928" s="534">
        <v>5.0</v>
      </c>
      <c r="F928" s="599" t="s">
        <v>405</v>
      </c>
      <c r="G928" s="540"/>
    </row>
    <row r="929">
      <c r="A929" s="590">
        <v>45877.0</v>
      </c>
      <c r="B929" s="520" t="s">
        <v>2792</v>
      </c>
      <c r="C929" s="521">
        <v>818.0</v>
      </c>
      <c r="D929" s="536" t="s">
        <v>3266</v>
      </c>
      <c r="E929" s="537">
        <v>5.0</v>
      </c>
      <c r="F929" s="603" t="s">
        <v>405</v>
      </c>
      <c r="G929" s="528"/>
    </row>
    <row r="930">
      <c r="A930" s="592">
        <v>45877.0</v>
      </c>
      <c r="B930" s="514" t="s">
        <v>2792</v>
      </c>
      <c r="C930" s="515">
        <v>818.0</v>
      </c>
      <c r="D930" s="516" t="s">
        <v>3033</v>
      </c>
      <c r="E930" s="534">
        <v>2.0</v>
      </c>
      <c r="F930" s="593" t="s">
        <v>156</v>
      </c>
      <c r="G930" s="540"/>
    </row>
    <row r="931">
      <c r="A931" s="590">
        <v>45877.0</v>
      </c>
      <c r="B931" s="520" t="s">
        <v>2792</v>
      </c>
      <c r="C931" s="521">
        <v>818.0</v>
      </c>
      <c r="D931" s="536" t="s">
        <v>418</v>
      </c>
      <c r="E931" s="537">
        <v>46.5</v>
      </c>
      <c r="F931" s="603" t="s">
        <v>34</v>
      </c>
      <c r="G931" s="528"/>
    </row>
    <row r="932">
      <c r="A932" s="592">
        <v>45877.0</v>
      </c>
      <c r="B932" s="514" t="s">
        <v>2792</v>
      </c>
      <c r="C932" s="515">
        <v>818.0</v>
      </c>
      <c r="D932" s="540" t="s">
        <v>943</v>
      </c>
      <c r="E932" s="541">
        <v>20.0</v>
      </c>
      <c r="F932" s="593" t="s">
        <v>156</v>
      </c>
      <c r="G932" s="540"/>
    </row>
    <row r="933">
      <c r="A933" s="590">
        <v>45877.0</v>
      </c>
      <c r="B933" s="520" t="s">
        <v>2792</v>
      </c>
      <c r="C933" s="521">
        <v>818.0</v>
      </c>
      <c r="D933" s="528" t="s">
        <v>3183</v>
      </c>
      <c r="E933" s="529">
        <v>20.0</v>
      </c>
      <c r="F933" s="591" t="s">
        <v>156</v>
      </c>
      <c r="G933" s="528"/>
    </row>
    <row r="934">
      <c r="A934" s="598">
        <v>45877.0</v>
      </c>
      <c r="B934" s="514" t="s">
        <v>2792</v>
      </c>
      <c r="C934" s="539">
        <v>818.0</v>
      </c>
      <c r="D934" s="540" t="s">
        <v>3257</v>
      </c>
      <c r="E934" s="541">
        <v>2.0</v>
      </c>
      <c r="F934" s="593" t="s">
        <v>981</v>
      </c>
      <c r="G934" s="540"/>
    </row>
    <row r="935">
      <c r="A935" s="595">
        <v>45877.0</v>
      </c>
      <c r="B935" s="520" t="s">
        <v>2792</v>
      </c>
      <c r="C935" s="527">
        <v>818.0</v>
      </c>
      <c r="D935" s="528" t="s">
        <v>2991</v>
      </c>
      <c r="E935" s="529">
        <v>104.0</v>
      </c>
      <c r="F935" s="591" t="s">
        <v>156</v>
      </c>
      <c r="G935" s="528"/>
    </row>
    <row r="936">
      <c r="A936" s="600">
        <v>45877.0</v>
      </c>
      <c r="B936" s="514" t="s">
        <v>2792</v>
      </c>
      <c r="C936" s="539">
        <v>819.0</v>
      </c>
      <c r="D936" s="550" t="s">
        <v>270</v>
      </c>
      <c r="E936" s="561">
        <v>44.0</v>
      </c>
      <c r="F936" s="560" t="s">
        <v>34</v>
      </c>
      <c r="G936" s="550"/>
    </row>
    <row r="937">
      <c r="A937" s="590">
        <v>45877.0</v>
      </c>
      <c r="B937" s="520" t="s">
        <v>2792</v>
      </c>
      <c r="C937" s="521">
        <v>819.0</v>
      </c>
      <c r="D937" s="536" t="s">
        <v>1269</v>
      </c>
      <c r="E937" s="537">
        <v>100.0</v>
      </c>
      <c r="F937" s="603" t="s">
        <v>2849</v>
      </c>
      <c r="G937" s="528"/>
    </row>
    <row r="938">
      <c r="A938" s="598">
        <v>45877.0</v>
      </c>
      <c r="B938" s="514" t="s">
        <v>2792</v>
      </c>
      <c r="C938" s="515">
        <v>819.0</v>
      </c>
      <c r="D938" s="540" t="s">
        <v>3267</v>
      </c>
      <c r="E938" s="541">
        <v>10.0</v>
      </c>
      <c r="F938" s="593" t="s">
        <v>25</v>
      </c>
      <c r="G938" s="540"/>
    </row>
    <row r="939">
      <c r="A939" s="595">
        <v>45877.0</v>
      </c>
      <c r="B939" s="520" t="s">
        <v>2792</v>
      </c>
      <c r="C939" s="521">
        <v>819.0</v>
      </c>
      <c r="D939" s="528" t="s">
        <v>3268</v>
      </c>
      <c r="E939" s="529">
        <v>4.0</v>
      </c>
      <c r="F939" s="591" t="s">
        <v>156</v>
      </c>
      <c r="G939" s="528"/>
    </row>
    <row r="940">
      <c r="A940" s="598">
        <v>45877.0</v>
      </c>
      <c r="B940" s="514" t="s">
        <v>2792</v>
      </c>
      <c r="C940" s="558">
        <v>819.0</v>
      </c>
      <c r="D940" s="540" t="s">
        <v>871</v>
      </c>
      <c r="E940" s="541">
        <v>12.0</v>
      </c>
      <c r="F940" s="593" t="s">
        <v>34</v>
      </c>
      <c r="G940" s="540"/>
    </row>
    <row r="941">
      <c r="A941" s="590">
        <v>45877.0</v>
      </c>
      <c r="B941" s="520" t="s">
        <v>2792</v>
      </c>
      <c r="C941" s="521">
        <v>820.0</v>
      </c>
      <c r="D941" s="528" t="s">
        <v>3089</v>
      </c>
      <c r="E941" s="529">
        <v>10.0</v>
      </c>
      <c r="F941" s="591" t="s">
        <v>156</v>
      </c>
      <c r="G941" s="528"/>
    </row>
    <row r="942">
      <c r="A942" s="592">
        <v>45877.0</v>
      </c>
      <c r="B942" s="514" t="s">
        <v>2792</v>
      </c>
      <c r="C942" s="515">
        <v>820.0</v>
      </c>
      <c r="D942" s="540" t="s">
        <v>1914</v>
      </c>
      <c r="E942" s="541">
        <v>10.0</v>
      </c>
      <c r="F942" s="593" t="s">
        <v>156</v>
      </c>
      <c r="G942" s="540"/>
    </row>
    <row r="943">
      <c r="A943" s="590">
        <v>45877.0</v>
      </c>
      <c r="B943" s="520" t="s">
        <v>2792</v>
      </c>
      <c r="C943" s="521">
        <v>820.0</v>
      </c>
      <c r="D943" s="528" t="s">
        <v>3269</v>
      </c>
      <c r="E943" s="529">
        <v>10.0</v>
      </c>
      <c r="F943" s="591" t="s">
        <v>156</v>
      </c>
      <c r="G943" s="528"/>
    </row>
    <row r="944">
      <c r="A944" s="592">
        <v>45877.0</v>
      </c>
      <c r="B944" s="514" t="s">
        <v>2792</v>
      </c>
      <c r="C944" s="515">
        <v>820.0</v>
      </c>
      <c r="D944" s="540" t="s">
        <v>3270</v>
      </c>
      <c r="E944" s="541">
        <v>10.0</v>
      </c>
      <c r="F944" s="593" t="s">
        <v>156</v>
      </c>
      <c r="G944" s="540"/>
    </row>
    <row r="945">
      <c r="A945" s="590">
        <v>45877.0</v>
      </c>
      <c r="B945" s="520" t="s">
        <v>2792</v>
      </c>
      <c r="C945" s="557">
        <v>820.0</v>
      </c>
      <c r="D945" s="536" t="s">
        <v>3271</v>
      </c>
      <c r="E945" s="537">
        <v>1.0</v>
      </c>
      <c r="F945" s="591" t="s">
        <v>156</v>
      </c>
      <c r="G945" s="528"/>
    </row>
    <row r="946">
      <c r="A946" s="598">
        <v>45877.0</v>
      </c>
      <c r="B946" s="514" t="s">
        <v>2792</v>
      </c>
      <c r="C946" s="515">
        <v>821.0</v>
      </c>
      <c r="D946" s="540" t="s">
        <v>2850</v>
      </c>
      <c r="E946" s="541">
        <v>1.0</v>
      </c>
      <c r="F946" s="593" t="s">
        <v>156</v>
      </c>
      <c r="G946" s="540"/>
    </row>
    <row r="947">
      <c r="A947" s="595">
        <v>45877.0</v>
      </c>
      <c r="B947" s="520" t="s">
        <v>2792</v>
      </c>
      <c r="C947" s="557">
        <v>822.0</v>
      </c>
      <c r="D947" s="528" t="s">
        <v>2909</v>
      </c>
      <c r="E947" s="529">
        <v>1.0</v>
      </c>
      <c r="F947" s="591" t="s">
        <v>156</v>
      </c>
      <c r="G947" s="528"/>
    </row>
    <row r="948">
      <c r="A948" s="592">
        <v>45877.0</v>
      </c>
      <c r="B948" s="514" t="s">
        <v>2792</v>
      </c>
      <c r="C948" s="558">
        <v>822.0</v>
      </c>
      <c r="D948" s="516" t="s">
        <v>408</v>
      </c>
      <c r="E948" s="534">
        <v>10.0</v>
      </c>
      <c r="F948" s="599" t="s">
        <v>2869</v>
      </c>
      <c r="G948" s="540"/>
    </row>
    <row r="949">
      <c r="A949" s="595">
        <v>45889.0</v>
      </c>
      <c r="B949" s="520" t="s">
        <v>2792</v>
      </c>
      <c r="C949" s="521">
        <v>826.0</v>
      </c>
      <c r="D949" s="528" t="s">
        <v>2853</v>
      </c>
      <c r="E949" s="529">
        <v>4000.0</v>
      </c>
      <c r="F949" s="591" t="s">
        <v>156</v>
      </c>
      <c r="G949" s="528"/>
    </row>
    <row r="950">
      <c r="A950" s="598">
        <v>45889.0</v>
      </c>
      <c r="B950" s="514" t="s">
        <v>2792</v>
      </c>
      <c r="C950" s="515">
        <v>826.0</v>
      </c>
      <c r="D950" s="550" t="s">
        <v>3121</v>
      </c>
      <c r="E950" s="561">
        <v>4000.0</v>
      </c>
      <c r="F950" s="560" t="s">
        <v>156</v>
      </c>
      <c r="G950" s="550"/>
    </row>
    <row r="951">
      <c r="A951" s="595">
        <v>45889.0</v>
      </c>
      <c r="B951" s="520" t="s">
        <v>2792</v>
      </c>
      <c r="C951" s="521">
        <v>826.0</v>
      </c>
      <c r="D951" s="545" t="s">
        <v>3122</v>
      </c>
      <c r="E951" s="546">
        <v>4000.0</v>
      </c>
      <c r="F951" s="586" t="s">
        <v>156</v>
      </c>
      <c r="G951" s="545"/>
    </row>
    <row r="952">
      <c r="A952" s="600">
        <v>45889.0</v>
      </c>
      <c r="B952" s="514" t="s">
        <v>2792</v>
      </c>
      <c r="C952" s="539">
        <v>826.0</v>
      </c>
      <c r="D952" s="550" t="s">
        <v>3272</v>
      </c>
      <c r="E952" s="561">
        <v>5.0</v>
      </c>
      <c r="F952" s="560" t="s">
        <v>156</v>
      </c>
      <c r="G952" s="550"/>
    </row>
    <row r="953">
      <c r="A953" s="601">
        <v>45889.0</v>
      </c>
      <c r="B953" s="520" t="s">
        <v>2792</v>
      </c>
      <c r="C953" s="527">
        <v>826.0</v>
      </c>
      <c r="D953" s="545" t="s">
        <v>3273</v>
      </c>
      <c r="E953" s="546">
        <v>3.0</v>
      </c>
      <c r="F953" s="586" t="s">
        <v>156</v>
      </c>
      <c r="G953" s="545"/>
    </row>
    <row r="954">
      <c r="A954" s="600">
        <v>45889.0</v>
      </c>
      <c r="B954" s="514" t="s">
        <v>2792</v>
      </c>
      <c r="C954" s="539">
        <v>826.0</v>
      </c>
      <c r="D954" s="550" t="s">
        <v>541</v>
      </c>
      <c r="E954" s="561">
        <v>6.0</v>
      </c>
      <c r="F954" s="560" t="s">
        <v>156</v>
      </c>
      <c r="G954" s="550"/>
    </row>
    <row r="955">
      <c r="A955" s="601">
        <v>45889.0</v>
      </c>
      <c r="B955" s="520" t="s">
        <v>2792</v>
      </c>
      <c r="C955" s="527">
        <v>826.0</v>
      </c>
      <c r="D955" s="545" t="s">
        <v>823</v>
      </c>
      <c r="E955" s="546">
        <v>6.0</v>
      </c>
      <c r="F955" s="586" t="s">
        <v>2869</v>
      </c>
      <c r="G955" s="545"/>
    </row>
    <row r="956">
      <c r="A956" s="600">
        <v>45889.0</v>
      </c>
      <c r="B956" s="514" t="s">
        <v>2792</v>
      </c>
      <c r="C956" s="539">
        <v>826.0</v>
      </c>
      <c r="D956" s="550" t="s">
        <v>1362</v>
      </c>
      <c r="E956" s="561">
        <v>4.0</v>
      </c>
      <c r="F956" s="560" t="s">
        <v>156</v>
      </c>
      <c r="G956" s="550"/>
    </row>
    <row r="957">
      <c r="A957" s="601">
        <v>45889.0</v>
      </c>
      <c r="B957" s="520" t="s">
        <v>2792</v>
      </c>
      <c r="C957" s="527">
        <v>826.0</v>
      </c>
      <c r="D957" s="545" t="s">
        <v>997</v>
      </c>
      <c r="E957" s="546">
        <v>3.0</v>
      </c>
      <c r="F957" s="586" t="s">
        <v>156</v>
      </c>
      <c r="G957" s="545"/>
    </row>
    <row r="958">
      <c r="A958" s="600">
        <v>45889.0</v>
      </c>
      <c r="B958" s="514" t="s">
        <v>2792</v>
      </c>
      <c r="C958" s="539">
        <v>826.0</v>
      </c>
      <c r="D958" s="550" t="s">
        <v>1364</v>
      </c>
      <c r="E958" s="561">
        <v>12.0</v>
      </c>
      <c r="F958" s="560" t="s">
        <v>156</v>
      </c>
      <c r="G958" s="550"/>
    </row>
    <row r="959">
      <c r="A959" s="601">
        <v>45889.0</v>
      </c>
      <c r="B959" s="520" t="s">
        <v>2792</v>
      </c>
      <c r="C959" s="527">
        <v>826.0</v>
      </c>
      <c r="D959" s="545" t="s">
        <v>3274</v>
      </c>
      <c r="E959" s="546">
        <v>15.0</v>
      </c>
      <c r="F959" s="586" t="s">
        <v>1662</v>
      </c>
      <c r="G959" s="545"/>
    </row>
    <row r="960">
      <c r="A960" s="598">
        <v>45889.0</v>
      </c>
      <c r="B960" s="514" t="s">
        <v>2792</v>
      </c>
      <c r="C960" s="558">
        <v>827.0</v>
      </c>
      <c r="D960" s="540" t="s">
        <v>351</v>
      </c>
      <c r="E960" s="541">
        <v>25.0</v>
      </c>
      <c r="F960" s="593" t="s">
        <v>34</v>
      </c>
      <c r="G960" s="540"/>
    </row>
    <row r="961">
      <c r="A961" s="595">
        <v>45889.0</v>
      </c>
      <c r="B961" s="520" t="s">
        <v>2792</v>
      </c>
      <c r="C961" s="557">
        <v>827.0</v>
      </c>
      <c r="D961" s="528" t="s">
        <v>350</v>
      </c>
      <c r="E961" s="546">
        <v>25.0</v>
      </c>
      <c r="F961" s="591" t="s">
        <v>34</v>
      </c>
      <c r="G961" s="528"/>
    </row>
    <row r="962">
      <c r="A962" s="598">
        <v>45889.0</v>
      </c>
      <c r="B962" s="514" t="s">
        <v>2792</v>
      </c>
      <c r="C962" s="558">
        <v>827.0</v>
      </c>
      <c r="D962" s="550" t="s">
        <v>349</v>
      </c>
      <c r="E962" s="561">
        <v>25.0</v>
      </c>
      <c r="F962" s="593" t="s">
        <v>34</v>
      </c>
      <c r="G962" s="540"/>
    </row>
    <row r="963">
      <c r="A963" s="595">
        <v>45889.0</v>
      </c>
      <c r="B963" s="520" t="s">
        <v>2792</v>
      </c>
      <c r="C963" s="557">
        <v>827.0</v>
      </c>
      <c r="D963" s="545" t="s">
        <v>348</v>
      </c>
      <c r="E963" s="546">
        <v>25.0</v>
      </c>
      <c r="F963" s="591" t="s">
        <v>34</v>
      </c>
      <c r="G963" s="528"/>
    </row>
    <row r="964">
      <c r="A964" s="598">
        <v>45889.0</v>
      </c>
      <c r="B964" s="514" t="s">
        <v>2792</v>
      </c>
      <c r="C964" s="558">
        <v>827.0</v>
      </c>
      <c r="D964" s="550" t="s">
        <v>2972</v>
      </c>
      <c r="E964" s="561">
        <v>25.0</v>
      </c>
      <c r="F964" s="593" t="s">
        <v>34</v>
      </c>
      <c r="G964" s="540"/>
    </row>
    <row r="965">
      <c r="A965" s="595">
        <v>45889.0</v>
      </c>
      <c r="B965" s="520" t="s">
        <v>2792</v>
      </c>
      <c r="C965" s="557">
        <v>827.0</v>
      </c>
      <c r="D965" s="545" t="s">
        <v>352</v>
      </c>
      <c r="E965" s="546">
        <v>25.0</v>
      </c>
      <c r="F965" s="591" t="s">
        <v>34</v>
      </c>
      <c r="G965" s="528"/>
    </row>
    <row r="966">
      <c r="A966" s="600">
        <v>45889.0</v>
      </c>
      <c r="B966" s="514" t="s">
        <v>2792</v>
      </c>
      <c r="C966" s="515">
        <v>827.0</v>
      </c>
      <c r="D966" s="550" t="s">
        <v>1262</v>
      </c>
      <c r="E966" s="561">
        <v>50.0</v>
      </c>
      <c r="F966" s="560" t="s">
        <v>156</v>
      </c>
      <c r="G966" s="550"/>
    </row>
    <row r="967">
      <c r="A967" s="601">
        <v>45889.0</v>
      </c>
      <c r="B967" s="520" t="s">
        <v>2792</v>
      </c>
      <c r="C967" s="521">
        <v>827.0</v>
      </c>
      <c r="D967" s="545" t="s">
        <v>2871</v>
      </c>
      <c r="E967" s="546">
        <v>10.0</v>
      </c>
      <c r="F967" s="586" t="s">
        <v>156</v>
      </c>
      <c r="G967" s="545"/>
    </row>
    <row r="968">
      <c r="A968" s="600">
        <v>45889.0</v>
      </c>
      <c r="B968" s="514" t="s">
        <v>2792</v>
      </c>
      <c r="C968" s="515">
        <v>827.0</v>
      </c>
      <c r="D968" s="550" t="s">
        <v>258</v>
      </c>
      <c r="E968" s="561">
        <v>10.0</v>
      </c>
      <c r="F968" s="560" t="s">
        <v>156</v>
      </c>
      <c r="G968" s="550"/>
    </row>
    <row r="969">
      <c r="A969" s="601">
        <v>45889.0</v>
      </c>
      <c r="B969" s="520" t="s">
        <v>2792</v>
      </c>
      <c r="C969" s="521">
        <v>827.0</v>
      </c>
      <c r="D969" s="545" t="s">
        <v>3275</v>
      </c>
      <c r="E969" s="546">
        <v>2.0</v>
      </c>
      <c r="F969" s="586" t="s">
        <v>981</v>
      </c>
      <c r="G969" s="545"/>
    </row>
    <row r="970">
      <c r="A970" s="600">
        <v>45889.0</v>
      </c>
      <c r="B970" s="514" t="s">
        <v>2792</v>
      </c>
      <c r="C970" s="515">
        <v>827.0</v>
      </c>
      <c r="D970" s="550" t="s">
        <v>736</v>
      </c>
      <c r="E970" s="561">
        <v>30.0</v>
      </c>
      <c r="F970" s="560" t="s">
        <v>156</v>
      </c>
      <c r="G970" s="550"/>
    </row>
    <row r="971">
      <c r="A971" s="601">
        <v>45889.0</v>
      </c>
      <c r="B971" s="520" t="s">
        <v>2792</v>
      </c>
      <c r="C971" s="521">
        <v>827.0</v>
      </c>
      <c r="D971" s="545" t="s">
        <v>299</v>
      </c>
      <c r="E971" s="546">
        <v>30.0</v>
      </c>
      <c r="F971" s="586" t="s">
        <v>156</v>
      </c>
      <c r="G971" s="545"/>
    </row>
    <row r="972">
      <c r="A972" s="600">
        <v>45889.0</v>
      </c>
      <c r="B972" s="514" t="s">
        <v>2792</v>
      </c>
      <c r="C972" s="515">
        <v>827.0</v>
      </c>
      <c r="D972" s="550" t="s">
        <v>28</v>
      </c>
      <c r="E972" s="561">
        <v>5.0</v>
      </c>
      <c r="F972" s="560" t="s">
        <v>156</v>
      </c>
      <c r="G972" s="550"/>
    </row>
    <row r="973">
      <c r="A973" s="601">
        <v>45889.0</v>
      </c>
      <c r="B973" s="520" t="s">
        <v>2792</v>
      </c>
      <c r="C973" s="521">
        <v>827.0</v>
      </c>
      <c r="D973" s="545" t="s">
        <v>1405</v>
      </c>
      <c r="E973" s="546">
        <v>20.0</v>
      </c>
      <c r="F973" s="586" t="s">
        <v>156</v>
      </c>
      <c r="G973" s="545"/>
    </row>
    <row r="974">
      <c r="A974" s="600">
        <v>45889.0</v>
      </c>
      <c r="B974" s="514" t="s">
        <v>2792</v>
      </c>
      <c r="C974" s="515">
        <v>827.0</v>
      </c>
      <c r="D974" s="550" t="s">
        <v>803</v>
      </c>
      <c r="E974" s="561">
        <v>10.0</v>
      </c>
      <c r="F974" s="560" t="s">
        <v>34</v>
      </c>
      <c r="G974" s="550"/>
    </row>
    <row r="975">
      <c r="A975" s="601">
        <v>45889.0</v>
      </c>
      <c r="B975" s="520" t="s">
        <v>2792</v>
      </c>
      <c r="C975" s="521">
        <v>827.0</v>
      </c>
      <c r="D975" s="545" t="s">
        <v>3276</v>
      </c>
      <c r="E975" s="546">
        <v>71.0</v>
      </c>
      <c r="F975" s="586" t="s">
        <v>2849</v>
      </c>
      <c r="G975" s="545"/>
    </row>
    <row r="976">
      <c r="A976" s="600">
        <v>45889.0</v>
      </c>
      <c r="B976" s="514" t="s">
        <v>2792</v>
      </c>
      <c r="C976" s="515">
        <v>827.0</v>
      </c>
      <c r="D976" s="550" t="s">
        <v>3277</v>
      </c>
      <c r="E976" s="561">
        <v>50.0</v>
      </c>
      <c r="F976" s="560" t="s">
        <v>156</v>
      </c>
      <c r="G976" s="550"/>
    </row>
    <row r="977">
      <c r="A977" s="597">
        <v>45889.0</v>
      </c>
      <c r="B977" s="520" t="s">
        <v>2792</v>
      </c>
      <c r="C977" s="521">
        <v>828.0</v>
      </c>
      <c r="D977" s="581" t="s">
        <v>279</v>
      </c>
      <c r="E977" s="523">
        <v>100.0</v>
      </c>
      <c r="F977" s="581" t="s">
        <v>156</v>
      </c>
      <c r="G977" s="545"/>
    </row>
    <row r="978">
      <c r="A978" s="596">
        <v>45889.0</v>
      </c>
      <c r="B978" s="514" t="s">
        <v>2792</v>
      </c>
      <c r="C978" s="515">
        <v>828.0</v>
      </c>
      <c r="D978" s="580" t="s">
        <v>438</v>
      </c>
      <c r="E978" s="517">
        <v>100.0</v>
      </c>
      <c r="F978" s="580" t="s">
        <v>156</v>
      </c>
      <c r="G978" s="550"/>
    </row>
    <row r="979">
      <c r="A979" s="597">
        <v>45889.0</v>
      </c>
      <c r="B979" s="520" t="s">
        <v>2792</v>
      </c>
      <c r="C979" s="521">
        <v>828.0</v>
      </c>
      <c r="D979" s="581" t="s">
        <v>929</v>
      </c>
      <c r="E979" s="523">
        <v>100.0</v>
      </c>
      <c r="F979" s="581" t="s">
        <v>156</v>
      </c>
      <c r="G979" s="545"/>
    </row>
    <row r="980">
      <c r="A980" s="596">
        <v>45889.0</v>
      </c>
      <c r="B980" s="514" t="s">
        <v>2792</v>
      </c>
      <c r="C980" s="515">
        <v>828.0</v>
      </c>
      <c r="D980" s="580" t="s">
        <v>928</v>
      </c>
      <c r="E980" s="517">
        <v>100.0</v>
      </c>
      <c r="F980" s="580" t="s">
        <v>156</v>
      </c>
      <c r="G980" s="550"/>
    </row>
    <row r="981">
      <c r="A981" s="597">
        <v>45889.0</v>
      </c>
      <c r="B981" s="520" t="s">
        <v>2792</v>
      </c>
      <c r="C981" s="521">
        <v>828.0</v>
      </c>
      <c r="D981" s="581" t="s">
        <v>3278</v>
      </c>
      <c r="E981" s="523">
        <v>100.0</v>
      </c>
      <c r="F981" s="581" t="s">
        <v>156</v>
      </c>
      <c r="G981" s="545"/>
    </row>
    <row r="982">
      <c r="A982" s="596">
        <v>45889.0</v>
      </c>
      <c r="B982" s="514" t="s">
        <v>2792</v>
      </c>
      <c r="C982" s="515">
        <v>828.0</v>
      </c>
      <c r="D982" s="580" t="s">
        <v>512</v>
      </c>
      <c r="E982" s="517">
        <v>33.0</v>
      </c>
      <c r="F982" s="580" t="s">
        <v>156</v>
      </c>
      <c r="G982" s="550"/>
    </row>
    <row r="983">
      <c r="A983" s="597">
        <v>45889.0</v>
      </c>
      <c r="B983" s="520" t="s">
        <v>2792</v>
      </c>
      <c r="C983" s="521">
        <v>828.0</v>
      </c>
      <c r="D983" s="581" t="s">
        <v>1423</v>
      </c>
      <c r="E983" s="523">
        <v>1.0</v>
      </c>
      <c r="F983" s="581" t="s">
        <v>156</v>
      </c>
      <c r="G983" s="545"/>
    </row>
    <row r="984">
      <c r="A984" s="600">
        <v>45889.0</v>
      </c>
      <c r="B984" s="514" t="s">
        <v>2792</v>
      </c>
      <c r="C984" s="539">
        <v>828.0</v>
      </c>
      <c r="D984" s="550" t="s">
        <v>939</v>
      </c>
      <c r="E984" s="561">
        <v>30.0</v>
      </c>
      <c r="F984" s="560" t="s">
        <v>156</v>
      </c>
      <c r="G984" s="550"/>
    </row>
    <row r="985">
      <c r="A985" s="601">
        <v>45889.0</v>
      </c>
      <c r="B985" s="520" t="s">
        <v>2792</v>
      </c>
      <c r="C985" s="527">
        <v>828.0</v>
      </c>
      <c r="D985" s="545" t="s">
        <v>3279</v>
      </c>
      <c r="E985" s="546">
        <v>20.0</v>
      </c>
      <c r="F985" s="586" t="s">
        <v>156</v>
      </c>
      <c r="G985" s="545"/>
    </row>
    <row r="986">
      <c r="A986" s="600">
        <v>45889.0</v>
      </c>
      <c r="B986" s="514" t="s">
        <v>2792</v>
      </c>
      <c r="C986" s="539">
        <v>828.0</v>
      </c>
      <c r="D986" s="550" t="s">
        <v>3280</v>
      </c>
      <c r="E986" s="561">
        <v>1.0</v>
      </c>
      <c r="F986" s="560" t="s">
        <v>156</v>
      </c>
      <c r="G986" s="550"/>
    </row>
    <row r="987">
      <c r="A987" s="601">
        <v>45889.0</v>
      </c>
      <c r="B987" s="520" t="s">
        <v>2792</v>
      </c>
      <c r="C987" s="527">
        <v>828.0</v>
      </c>
      <c r="D987" s="545" t="s">
        <v>3281</v>
      </c>
      <c r="E987" s="546">
        <v>20.0</v>
      </c>
      <c r="F987" s="586" t="s">
        <v>156</v>
      </c>
      <c r="G987" s="545"/>
    </row>
    <row r="988">
      <c r="A988" s="600">
        <v>45889.0</v>
      </c>
      <c r="B988" s="514" t="s">
        <v>2792</v>
      </c>
      <c r="C988" s="539">
        <v>828.0</v>
      </c>
      <c r="D988" s="550" t="s">
        <v>3210</v>
      </c>
      <c r="E988" s="561">
        <v>50.0</v>
      </c>
      <c r="F988" s="560" t="s">
        <v>1673</v>
      </c>
      <c r="G988" s="550"/>
    </row>
    <row r="989">
      <c r="A989" s="601">
        <v>45889.0</v>
      </c>
      <c r="B989" s="520" t="s">
        <v>2792</v>
      </c>
      <c r="C989" s="527">
        <v>828.0</v>
      </c>
      <c r="D989" s="545" t="s">
        <v>3282</v>
      </c>
      <c r="E989" s="546">
        <v>14.0</v>
      </c>
      <c r="F989" s="586" t="s">
        <v>1478</v>
      </c>
      <c r="G989" s="545"/>
    </row>
    <row r="990">
      <c r="A990" s="600">
        <v>45889.0</v>
      </c>
      <c r="B990" s="514" t="s">
        <v>2792</v>
      </c>
      <c r="C990" s="539">
        <v>828.0</v>
      </c>
      <c r="D990" s="550" t="s">
        <v>3283</v>
      </c>
      <c r="E990" s="561">
        <v>11.0</v>
      </c>
      <c r="F990" s="560" t="s">
        <v>1478</v>
      </c>
      <c r="G990" s="550"/>
    </row>
    <row r="991">
      <c r="A991" s="595">
        <v>45889.0</v>
      </c>
      <c r="B991" s="520" t="s">
        <v>2792</v>
      </c>
      <c r="C991" s="563">
        <v>829.0</v>
      </c>
      <c r="D991" s="528" t="s">
        <v>3284</v>
      </c>
      <c r="E991" s="529">
        <v>3.0</v>
      </c>
      <c r="F991" s="591" t="s">
        <v>319</v>
      </c>
      <c r="G991" s="528"/>
    </row>
    <row r="992">
      <c r="A992" s="598">
        <v>45889.0</v>
      </c>
      <c r="B992" s="514" t="s">
        <v>2792</v>
      </c>
      <c r="C992" s="566">
        <v>829.0</v>
      </c>
      <c r="D992" s="540" t="s">
        <v>3285</v>
      </c>
      <c r="E992" s="541">
        <v>30.0</v>
      </c>
      <c r="F992" s="593" t="s">
        <v>156</v>
      </c>
      <c r="G992" s="540"/>
    </row>
    <row r="993">
      <c r="A993" s="595">
        <v>45889.0</v>
      </c>
      <c r="B993" s="520" t="s">
        <v>2792</v>
      </c>
      <c r="C993" s="563">
        <v>829.0</v>
      </c>
      <c r="D993" s="528" t="s">
        <v>3286</v>
      </c>
      <c r="E993" s="529">
        <v>30.0</v>
      </c>
      <c r="F993" s="591" t="s">
        <v>156</v>
      </c>
      <c r="G993" s="528"/>
    </row>
    <row r="994">
      <c r="A994" s="598">
        <v>45889.0</v>
      </c>
      <c r="B994" s="514" t="s">
        <v>2792</v>
      </c>
      <c r="C994" s="566">
        <v>829.0</v>
      </c>
      <c r="D994" s="540" t="s">
        <v>1371</v>
      </c>
      <c r="E994" s="541">
        <v>30.0</v>
      </c>
      <c r="F994" s="593" t="s">
        <v>156</v>
      </c>
      <c r="G994" s="540"/>
    </row>
    <row r="995">
      <c r="A995" s="595">
        <v>45889.0</v>
      </c>
      <c r="B995" s="520" t="s">
        <v>2792</v>
      </c>
      <c r="C995" s="563">
        <v>829.0</v>
      </c>
      <c r="D995" s="528" t="s">
        <v>3287</v>
      </c>
      <c r="E995" s="529">
        <v>10.0</v>
      </c>
      <c r="F995" s="591" t="s">
        <v>156</v>
      </c>
      <c r="G995" s="528"/>
    </row>
    <row r="996">
      <c r="A996" s="598">
        <v>45893.0</v>
      </c>
      <c r="B996" s="514" t="s">
        <v>2792</v>
      </c>
      <c r="C996" s="566">
        <v>830.0</v>
      </c>
      <c r="D996" s="540" t="s">
        <v>299</v>
      </c>
      <c r="E996" s="541">
        <v>4.0</v>
      </c>
      <c r="F996" s="593" t="s">
        <v>156</v>
      </c>
      <c r="G996" s="540"/>
    </row>
    <row r="997">
      <c r="A997" s="595">
        <v>45893.0</v>
      </c>
      <c r="B997" s="520" t="s">
        <v>2792</v>
      </c>
      <c r="C997" s="563">
        <v>830.0</v>
      </c>
      <c r="D997" s="545" t="s">
        <v>914</v>
      </c>
      <c r="E997" s="546">
        <v>12.0</v>
      </c>
      <c r="F997" s="586" t="s">
        <v>981</v>
      </c>
      <c r="G997" s="545"/>
    </row>
    <row r="998">
      <c r="A998" s="598">
        <v>45893.0</v>
      </c>
      <c r="B998" s="514" t="s">
        <v>2792</v>
      </c>
      <c r="C998" s="566">
        <v>830.0</v>
      </c>
      <c r="D998" s="550" t="s">
        <v>1269</v>
      </c>
      <c r="E998" s="561">
        <v>28.0</v>
      </c>
      <c r="F998" s="560" t="s">
        <v>405</v>
      </c>
      <c r="G998" s="550"/>
    </row>
    <row r="999">
      <c r="A999" s="595">
        <v>45893.0</v>
      </c>
      <c r="B999" s="520" t="s">
        <v>2792</v>
      </c>
      <c r="C999" s="563">
        <v>830.0</v>
      </c>
      <c r="D999" s="545" t="s">
        <v>1416</v>
      </c>
      <c r="E999" s="546">
        <v>2.0</v>
      </c>
      <c r="F999" s="586" t="s">
        <v>156</v>
      </c>
      <c r="G999" s="545"/>
    </row>
    <row r="1000">
      <c r="A1000" s="598">
        <v>45893.0</v>
      </c>
      <c r="B1000" s="514" t="s">
        <v>2792</v>
      </c>
      <c r="C1000" s="566">
        <v>830.0</v>
      </c>
      <c r="D1000" s="550" t="s">
        <v>736</v>
      </c>
      <c r="E1000" s="561">
        <v>2.0</v>
      </c>
      <c r="F1000" s="560" t="s">
        <v>156</v>
      </c>
      <c r="G1000" s="550"/>
    </row>
    <row r="1001">
      <c r="A1001" s="595">
        <v>45893.0</v>
      </c>
      <c r="B1001" s="520" t="s">
        <v>2792</v>
      </c>
      <c r="C1001" s="563">
        <v>830.0</v>
      </c>
      <c r="D1001" s="545" t="s">
        <v>229</v>
      </c>
      <c r="E1001" s="546">
        <v>4.0</v>
      </c>
      <c r="F1001" s="586" t="s">
        <v>156</v>
      </c>
      <c r="G1001" s="545"/>
    </row>
    <row r="1002">
      <c r="A1002" s="598">
        <v>45893.0</v>
      </c>
      <c r="B1002" s="514" t="s">
        <v>2792</v>
      </c>
      <c r="C1002" s="566">
        <v>830.0</v>
      </c>
      <c r="D1002" s="550" t="s">
        <v>3288</v>
      </c>
      <c r="E1002" s="561">
        <v>200.0</v>
      </c>
      <c r="F1002" s="560" t="s">
        <v>74</v>
      </c>
      <c r="G1002" s="550"/>
    </row>
    <row r="1003">
      <c r="A1003" s="595">
        <v>45893.0</v>
      </c>
      <c r="B1003" s="520" t="s">
        <v>2792</v>
      </c>
      <c r="C1003" s="563">
        <v>831.0</v>
      </c>
      <c r="D1003" s="545" t="s">
        <v>229</v>
      </c>
      <c r="E1003" s="546">
        <v>10.0</v>
      </c>
      <c r="F1003" s="586" t="s">
        <v>156</v>
      </c>
      <c r="G1003" s="545"/>
    </row>
    <row r="1004">
      <c r="A1004" s="598">
        <v>45893.0</v>
      </c>
      <c r="B1004" s="514" t="s">
        <v>2792</v>
      </c>
      <c r="C1004" s="566">
        <v>831.0</v>
      </c>
      <c r="D1004" s="550" t="s">
        <v>3289</v>
      </c>
      <c r="E1004" s="561">
        <v>2.0</v>
      </c>
      <c r="F1004" s="560" t="s">
        <v>156</v>
      </c>
      <c r="G1004" s="550"/>
    </row>
    <row r="1005">
      <c r="A1005" s="605">
        <v>45893.0</v>
      </c>
      <c r="B1005" s="520" t="s">
        <v>2792</v>
      </c>
      <c r="C1005" s="606">
        <v>831.0</v>
      </c>
      <c r="D1005" s="545" t="s">
        <v>3290</v>
      </c>
      <c r="E1005" s="607">
        <v>700.0</v>
      </c>
      <c r="F1005" s="586" t="s">
        <v>156</v>
      </c>
      <c r="G1005" s="545"/>
    </row>
    <row r="1006">
      <c r="A1006" s="608">
        <v>45893.0</v>
      </c>
      <c r="B1006" s="514" t="s">
        <v>2792</v>
      </c>
      <c r="C1006" s="588">
        <v>831.0</v>
      </c>
      <c r="D1006" s="550" t="s">
        <v>2906</v>
      </c>
      <c r="E1006" s="561">
        <v>1050.0</v>
      </c>
      <c r="F1006" s="560" t="s">
        <v>156</v>
      </c>
      <c r="G1006" s="550"/>
    </row>
    <row r="1007">
      <c r="A1007" s="605">
        <v>45893.0</v>
      </c>
      <c r="B1007" s="520" t="s">
        <v>2792</v>
      </c>
      <c r="C1007" s="606">
        <v>831.0</v>
      </c>
      <c r="D1007" s="545" t="s">
        <v>1562</v>
      </c>
      <c r="E1007" s="546">
        <v>4.0</v>
      </c>
      <c r="F1007" s="586" t="s">
        <v>1478</v>
      </c>
      <c r="G1007" s="545"/>
    </row>
    <row r="1008">
      <c r="A1008" s="608">
        <v>45893.0</v>
      </c>
      <c r="B1008" s="514" t="s">
        <v>2792</v>
      </c>
      <c r="C1008" s="588">
        <v>831.0</v>
      </c>
      <c r="D1008" s="550" t="s">
        <v>1559</v>
      </c>
      <c r="E1008" s="561">
        <v>3.0</v>
      </c>
      <c r="F1008" s="560" t="s">
        <v>1478</v>
      </c>
      <c r="G1008" s="550"/>
    </row>
    <row r="1009">
      <c r="A1009" s="595">
        <v>45893.0</v>
      </c>
      <c r="B1009" s="520" t="s">
        <v>2792</v>
      </c>
      <c r="C1009" s="563">
        <v>832.0</v>
      </c>
      <c r="D1009" s="545" t="s">
        <v>3291</v>
      </c>
      <c r="E1009" s="546">
        <v>5.0</v>
      </c>
      <c r="F1009" s="586" t="s">
        <v>156</v>
      </c>
      <c r="G1009" s="545"/>
    </row>
    <row r="1010">
      <c r="A1010" s="598">
        <v>45893.0</v>
      </c>
      <c r="B1010" s="514" t="s">
        <v>2792</v>
      </c>
      <c r="C1010" s="566">
        <v>832.0</v>
      </c>
      <c r="D1010" s="550" t="s">
        <v>3292</v>
      </c>
      <c r="E1010" s="561">
        <v>2.0</v>
      </c>
      <c r="F1010" s="560" t="s">
        <v>156</v>
      </c>
      <c r="G1010" s="550"/>
    </row>
    <row r="1011">
      <c r="A1011" s="595">
        <v>45897.0</v>
      </c>
      <c r="B1011" s="520" t="s">
        <v>2792</v>
      </c>
      <c r="C1011" s="563">
        <v>833.0</v>
      </c>
      <c r="D1011" s="545" t="s">
        <v>3293</v>
      </c>
      <c r="E1011" s="546">
        <v>2.0</v>
      </c>
      <c r="F1011" s="586" t="s">
        <v>1451</v>
      </c>
      <c r="G1011" s="545"/>
    </row>
    <row r="1012">
      <c r="A1012" s="598">
        <v>45897.0</v>
      </c>
      <c r="B1012" s="514" t="s">
        <v>2792</v>
      </c>
      <c r="C1012" s="566">
        <v>833.0</v>
      </c>
      <c r="D1012" s="550" t="s">
        <v>3294</v>
      </c>
      <c r="E1012" s="561">
        <v>2.0</v>
      </c>
      <c r="F1012" s="560" t="s">
        <v>1451</v>
      </c>
      <c r="G1012" s="550"/>
    </row>
    <row r="1013">
      <c r="A1013" s="595">
        <v>45897.0</v>
      </c>
      <c r="B1013" s="520" t="s">
        <v>2792</v>
      </c>
      <c r="C1013" s="563">
        <v>833.0</v>
      </c>
      <c r="D1013" s="545" t="s">
        <v>635</v>
      </c>
      <c r="E1013" s="546">
        <v>2.0</v>
      </c>
      <c r="F1013" s="586" t="s">
        <v>1451</v>
      </c>
      <c r="G1013" s="545"/>
    </row>
    <row r="1014">
      <c r="A1014" s="598">
        <v>45897.0</v>
      </c>
      <c r="B1014" s="514" t="s">
        <v>2792</v>
      </c>
      <c r="C1014" s="566">
        <v>833.0</v>
      </c>
      <c r="D1014" s="550" t="s">
        <v>3295</v>
      </c>
      <c r="E1014" s="561">
        <v>2.0</v>
      </c>
      <c r="F1014" s="560" t="s">
        <v>156</v>
      </c>
      <c r="G1014" s="550"/>
    </row>
    <row r="1015">
      <c r="A1015" s="595">
        <v>45897.0</v>
      </c>
      <c r="B1015" s="520" t="s">
        <v>2792</v>
      </c>
      <c r="C1015" s="563">
        <v>833.0</v>
      </c>
      <c r="D1015" s="545" t="s">
        <v>3296</v>
      </c>
      <c r="E1015" s="546">
        <v>2.0</v>
      </c>
      <c r="F1015" s="586" t="s">
        <v>156</v>
      </c>
      <c r="G1015" s="545"/>
    </row>
    <row r="1016">
      <c r="A1016" s="598">
        <v>45897.0</v>
      </c>
      <c r="B1016" s="514" t="s">
        <v>2792</v>
      </c>
      <c r="C1016" s="566">
        <v>833.0</v>
      </c>
      <c r="D1016" s="550" t="s">
        <v>3297</v>
      </c>
      <c r="E1016" s="561">
        <v>1.0</v>
      </c>
      <c r="F1016" s="560" t="s">
        <v>1451</v>
      </c>
      <c r="G1016" s="550"/>
    </row>
    <row r="1017">
      <c r="A1017" s="595">
        <v>45897.0</v>
      </c>
      <c r="B1017" s="520" t="s">
        <v>2792</v>
      </c>
      <c r="C1017" s="563">
        <v>833.0</v>
      </c>
      <c r="D1017" s="545" t="s">
        <v>3298</v>
      </c>
      <c r="E1017" s="546">
        <v>170.0</v>
      </c>
      <c r="F1017" s="586" t="s">
        <v>74</v>
      </c>
      <c r="G1017" s="545"/>
    </row>
    <row r="1018">
      <c r="A1018" s="598">
        <v>45897.0</v>
      </c>
      <c r="B1018" s="514" t="s">
        <v>2792</v>
      </c>
      <c r="C1018" s="566">
        <v>833.0</v>
      </c>
      <c r="D1018" s="550" t="s">
        <v>436</v>
      </c>
      <c r="E1018" s="561">
        <v>4.0</v>
      </c>
      <c r="F1018" s="560" t="s">
        <v>156</v>
      </c>
      <c r="G1018" s="550"/>
    </row>
    <row r="1019">
      <c r="A1019" s="595">
        <v>45897.0</v>
      </c>
      <c r="B1019" s="520" t="s">
        <v>2792</v>
      </c>
      <c r="C1019" s="563">
        <v>834.0</v>
      </c>
      <c r="D1019" s="545" t="s">
        <v>3299</v>
      </c>
      <c r="E1019" s="546">
        <v>180.0</v>
      </c>
      <c r="F1019" s="586" t="s">
        <v>74</v>
      </c>
      <c r="G1019" s="545"/>
    </row>
    <row r="1020">
      <c r="A1020" s="598">
        <v>45897.0</v>
      </c>
      <c r="B1020" s="514" t="s">
        <v>2792</v>
      </c>
      <c r="C1020" s="566">
        <v>834.0</v>
      </c>
      <c r="D1020" s="550" t="s">
        <v>3300</v>
      </c>
      <c r="E1020" s="561">
        <v>180.0</v>
      </c>
      <c r="F1020" s="560" t="s">
        <v>74</v>
      </c>
      <c r="G1020" s="550"/>
    </row>
    <row r="1021">
      <c r="A1021" s="595">
        <v>45897.0</v>
      </c>
      <c r="B1021" s="520" t="s">
        <v>2792</v>
      </c>
      <c r="C1021" s="563">
        <v>834.0</v>
      </c>
      <c r="D1021" s="545" t="s">
        <v>3301</v>
      </c>
      <c r="E1021" s="546">
        <v>2.0</v>
      </c>
      <c r="F1021" s="586" t="s">
        <v>156</v>
      </c>
      <c r="G1021" s="545"/>
    </row>
    <row r="1022">
      <c r="A1022" s="598">
        <v>45897.0</v>
      </c>
      <c r="B1022" s="514" t="s">
        <v>2792</v>
      </c>
      <c r="C1022" s="566">
        <v>834.0</v>
      </c>
      <c r="D1022" s="550" t="s">
        <v>996</v>
      </c>
      <c r="E1022" s="561">
        <v>2.0</v>
      </c>
      <c r="F1022" s="560" t="s">
        <v>156</v>
      </c>
      <c r="G1022" s="550"/>
    </row>
    <row r="1023">
      <c r="A1023" s="595">
        <v>45897.0</v>
      </c>
      <c r="B1023" s="520" t="s">
        <v>2792</v>
      </c>
      <c r="C1023" s="563">
        <v>834.0</v>
      </c>
      <c r="D1023" s="545" t="s">
        <v>995</v>
      </c>
      <c r="E1023" s="546">
        <v>2.0</v>
      </c>
      <c r="F1023" s="586" t="s">
        <v>156</v>
      </c>
      <c r="G1023" s="545"/>
    </row>
    <row r="1024">
      <c r="A1024" s="598">
        <v>45897.0</v>
      </c>
      <c r="B1024" s="514" t="s">
        <v>2792</v>
      </c>
      <c r="C1024" s="566">
        <v>834.0</v>
      </c>
      <c r="D1024" s="550" t="s">
        <v>3302</v>
      </c>
      <c r="E1024" s="561">
        <v>180.0</v>
      </c>
      <c r="F1024" s="560" t="s">
        <v>74</v>
      </c>
      <c r="G1024" s="550"/>
    </row>
    <row r="1025">
      <c r="A1025" s="595">
        <v>45897.0</v>
      </c>
      <c r="B1025" s="520" t="s">
        <v>2792</v>
      </c>
      <c r="C1025" s="563">
        <v>834.0</v>
      </c>
      <c r="D1025" s="545" t="s">
        <v>1189</v>
      </c>
      <c r="E1025" s="546">
        <v>60.0</v>
      </c>
      <c r="F1025" s="586" t="s">
        <v>156</v>
      </c>
      <c r="G1025" s="545"/>
    </row>
    <row r="1026">
      <c r="A1026" s="598">
        <v>45897.0</v>
      </c>
      <c r="B1026" s="514" t="s">
        <v>2792</v>
      </c>
      <c r="C1026" s="566">
        <v>834.0</v>
      </c>
      <c r="D1026" s="550" t="s">
        <v>3303</v>
      </c>
      <c r="E1026" s="561">
        <v>8.0</v>
      </c>
      <c r="F1026" s="560" t="s">
        <v>156</v>
      </c>
      <c r="G1026" s="550"/>
    </row>
    <row r="1027">
      <c r="A1027" s="595">
        <v>45897.0</v>
      </c>
      <c r="B1027" s="520" t="s">
        <v>2792</v>
      </c>
      <c r="C1027" s="563">
        <v>834.0</v>
      </c>
      <c r="D1027" s="545" t="s">
        <v>3304</v>
      </c>
      <c r="E1027" s="546">
        <v>3.0</v>
      </c>
      <c r="F1027" s="586" t="s">
        <v>156</v>
      </c>
      <c r="G1027" s="545"/>
    </row>
    <row r="1028">
      <c r="A1028" s="598">
        <v>45897.0</v>
      </c>
      <c r="B1028" s="514" t="s">
        <v>2792</v>
      </c>
      <c r="C1028" s="566">
        <v>835.0</v>
      </c>
      <c r="D1028" s="550" t="s">
        <v>1582</v>
      </c>
      <c r="E1028" s="561">
        <v>4.0</v>
      </c>
      <c r="F1028" s="560" t="s">
        <v>156</v>
      </c>
      <c r="G1028" s="550"/>
    </row>
    <row r="1029">
      <c r="A1029" s="595">
        <v>45897.0</v>
      </c>
      <c r="B1029" s="520" t="s">
        <v>2792</v>
      </c>
      <c r="C1029" s="563">
        <v>835.0</v>
      </c>
      <c r="D1029" s="545" t="s">
        <v>3305</v>
      </c>
      <c r="E1029" s="546">
        <v>7.0</v>
      </c>
      <c r="F1029" s="586" t="s">
        <v>156</v>
      </c>
      <c r="G1029" s="545"/>
    </row>
    <row r="1030">
      <c r="A1030" s="598">
        <v>45897.0</v>
      </c>
      <c r="B1030" s="514" t="s">
        <v>2792</v>
      </c>
      <c r="C1030" s="566">
        <v>835.0</v>
      </c>
      <c r="D1030" s="550" t="s">
        <v>3306</v>
      </c>
      <c r="E1030" s="561">
        <v>2.0</v>
      </c>
      <c r="F1030" s="560" t="s">
        <v>156</v>
      </c>
      <c r="G1030" s="550"/>
    </row>
    <row r="1031">
      <c r="A1031" s="595">
        <v>45902.0</v>
      </c>
      <c r="B1031" s="520" t="s">
        <v>2792</v>
      </c>
      <c r="C1031" s="563">
        <v>836.0</v>
      </c>
      <c r="D1031" s="545" t="s">
        <v>739</v>
      </c>
      <c r="E1031" s="546">
        <v>410.0</v>
      </c>
      <c r="F1031" s="586" t="s">
        <v>156</v>
      </c>
      <c r="G1031" s="545"/>
    </row>
    <row r="1032">
      <c r="A1032" s="598">
        <v>45902.0</v>
      </c>
      <c r="B1032" s="514" t="s">
        <v>2792</v>
      </c>
      <c r="C1032" s="566">
        <v>836.0</v>
      </c>
      <c r="D1032" s="550" t="s">
        <v>352</v>
      </c>
      <c r="E1032" s="561">
        <v>200.0</v>
      </c>
      <c r="F1032" s="560" t="s">
        <v>34</v>
      </c>
      <c r="G1032" s="550"/>
    </row>
    <row r="1033">
      <c r="A1033" s="595">
        <v>45902.0</v>
      </c>
      <c r="B1033" s="520" t="s">
        <v>2792</v>
      </c>
      <c r="C1033" s="563">
        <v>836.0</v>
      </c>
      <c r="D1033" s="545" t="s">
        <v>351</v>
      </c>
      <c r="E1033" s="546">
        <v>200.0</v>
      </c>
      <c r="F1033" s="586" t="s">
        <v>34</v>
      </c>
      <c r="G1033" s="545"/>
    </row>
    <row r="1034">
      <c r="A1034" s="598">
        <v>45902.0</v>
      </c>
      <c r="B1034" s="514" t="s">
        <v>2792</v>
      </c>
      <c r="C1034" s="566">
        <v>836.0</v>
      </c>
      <c r="D1034" s="550" t="s">
        <v>350</v>
      </c>
      <c r="E1034" s="561">
        <v>200.0</v>
      </c>
      <c r="F1034" s="560" t="s">
        <v>34</v>
      </c>
      <c r="G1034" s="550"/>
    </row>
    <row r="1035">
      <c r="A1035" s="595">
        <v>45902.0</v>
      </c>
      <c r="B1035" s="520" t="s">
        <v>2792</v>
      </c>
      <c r="C1035" s="563">
        <v>836.0</v>
      </c>
      <c r="D1035" s="545" t="s">
        <v>3210</v>
      </c>
      <c r="E1035" s="546">
        <v>200.0</v>
      </c>
      <c r="F1035" s="586" t="s">
        <v>34</v>
      </c>
      <c r="G1035" s="545"/>
    </row>
    <row r="1036">
      <c r="A1036" s="598">
        <v>45902.0</v>
      </c>
      <c r="B1036" s="514" t="s">
        <v>2792</v>
      </c>
      <c r="C1036" s="566">
        <v>836.0</v>
      </c>
      <c r="D1036" s="550" t="s">
        <v>348</v>
      </c>
      <c r="E1036" s="561">
        <v>200.0</v>
      </c>
      <c r="F1036" s="560" t="s">
        <v>34</v>
      </c>
      <c r="G1036" s="550"/>
    </row>
    <row r="1037">
      <c r="A1037" s="595">
        <v>45902.0</v>
      </c>
      <c r="B1037" s="520" t="s">
        <v>2792</v>
      </c>
      <c r="C1037" s="563">
        <v>836.0</v>
      </c>
      <c r="D1037" s="545" t="s">
        <v>871</v>
      </c>
      <c r="E1037" s="546">
        <v>24.0</v>
      </c>
      <c r="F1037" s="586" t="s">
        <v>1673</v>
      </c>
      <c r="G1037" s="545"/>
    </row>
    <row r="1038">
      <c r="A1038" s="598">
        <v>45902.0</v>
      </c>
      <c r="B1038" s="514" t="s">
        <v>2792</v>
      </c>
      <c r="C1038" s="566">
        <v>836.0</v>
      </c>
      <c r="D1038" s="550" t="s">
        <v>1011</v>
      </c>
      <c r="E1038" s="561">
        <v>20.0</v>
      </c>
      <c r="F1038" s="560" t="s">
        <v>25</v>
      </c>
      <c r="G1038" s="550"/>
    </row>
    <row r="1039">
      <c r="A1039" s="595">
        <v>45902.0</v>
      </c>
      <c r="B1039" s="520" t="s">
        <v>2792</v>
      </c>
      <c r="C1039" s="563">
        <v>836.0</v>
      </c>
      <c r="D1039" s="545" t="s">
        <v>1430</v>
      </c>
      <c r="E1039" s="546">
        <v>50.0</v>
      </c>
      <c r="F1039" s="586" t="s">
        <v>156</v>
      </c>
      <c r="G1039" s="545"/>
    </row>
    <row r="1040">
      <c r="A1040" s="598">
        <v>45902.0</v>
      </c>
      <c r="B1040" s="514" t="s">
        <v>2792</v>
      </c>
      <c r="C1040" s="539">
        <v>837.0</v>
      </c>
      <c r="D1040" s="550" t="s">
        <v>1513</v>
      </c>
      <c r="E1040" s="561">
        <v>30.0</v>
      </c>
      <c r="F1040" s="560" t="s">
        <v>156</v>
      </c>
      <c r="G1040" s="550"/>
    </row>
    <row r="1041">
      <c r="A1041" s="595">
        <v>45902.0</v>
      </c>
      <c r="B1041" s="520" t="s">
        <v>2792</v>
      </c>
      <c r="C1041" s="527">
        <v>837.0</v>
      </c>
      <c r="D1041" s="545" t="s">
        <v>3307</v>
      </c>
      <c r="E1041" s="546">
        <v>8.0</v>
      </c>
      <c r="F1041" s="586" t="s">
        <v>156</v>
      </c>
      <c r="G1041" s="545"/>
    </row>
    <row r="1042">
      <c r="A1042" s="598">
        <v>45902.0</v>
      </c>
      <c r="B1042" s="514" t="s">
        <v>2792</v>
      </c>
      <c r="C1042" s="539">
        <v>837.0</v>
      </c>
      <c r="D1042" s="550" t="s">
        <v>2951</v>
      </c>
      <c r="E1042" s="561">
        <v>10.0</v>
      </c>
      <c r="F1042" s="560" t="s">
        <v>156</v>
      </c>
      <c r="G1042" s="550"/>
    </row>
    <row r="1043">
      <c r="A1043" s="595">
        <v>45902.0</v>
      </c>
      <c r="B1043" s="520" t="s">
        <v>2792</v>
      </c>
      <c r="C1043" s="527">
        <v>837.0</v>
      </c>
      <c r="D1043" s="545" t="s">
        <v>3308</v>
      </c>
      <c r="E1043" s="546">
        <v>40.0</v>
      </c>
      <c r="F1043" s="586" t="s">
        <v>156</v>
      </c>
      <c r="G1043" s="545"/>
    </row>
    <row r="1044">
      <c r="A1044" s="598">
        <v>45902.0</v>
      </c>
      <c r="B1044" s="514" t="s">
        <v>2792</v>
      </c>
      <c r="C1044" s="539">
        <v>837.0</v>
      </c>
      <c r="D1044" s="550" t="s">
        <v>3309</v>
      </c>
      <c r="E1044" s="561">
        <v>40.0</v>
      </c>
      <c r="F1044" s="560" t="s">
        <v>156</v>
      </c>
      <c r="G1044" s="550"/>
    </row>
    <row r="1045">
      <c r="A1045" s="595">
        <v>45902.0</v>
      </c>
      <c r="B1045" s="520" t="s">
        <v>2792</v>
      </c>
      <c r="C1045" s="527">
        <v>837.0</v>
      </c>
      <c r="D1045" s="545" t="s">
        <v>3310</v>
      </c>
      <c r="E1045" s="546">
        <v>1.0</v>
      </c>
      <c r="F1045" s="586" t="s">
        <v>25</v>
      </c>
      <c r="G1045" s="545"/>
    </row>
    <row r="1046">
      <c r="A1046" s="598">
        <v>45902.0</v>
      </c>
      <c r="B1046" s="514" t="s">
        <v>2792</v>
      </c>
      <c r="C1046" s="539">
        <v>837.0</v>
      </c>
      <c r="D1046" s="550" t="s">
        <v>3311</v>
      </c>
      <c r="E1046" s="561">
        <v>40.0</v>
      </c>
      <c r="F1046" s="560" t="s">
        <v>156</v>
      </c>
      <c r="G1046" s="550"/>
    </row>
    <row r="1047">
      <c r="A1047" s="595">
        <v>45902.0</v>
      </c>
      <c r="B1047" s="520" t="s">
        <v>2792</v>
      </c>
      <c r="C1047" s="527">
        <v>837.0</v>
      </c>
      <c r="D1047" s="545" t="s">
        <v>3183</v>
      </c>
      <c r="E1047" s="546">
        <v>20.0</v>
      </c>
      <c r="F1047" s="586" t="s">
        <v>156</v>
      </c>
      <c r="G1047" s="545"/>
    </row>
    <row r="1048">
      <c r="A1048" s="598">
        <v>45902.0</v>
      </c>
      <c r="B1048" s="514" t="s">
        <v>2792</v>
      </c>
      <c r="C1048" s="539">
        <v>837.0</v>
      </c>
      <c r="D1048" s="550" t="s">
        <v>782</v>
      </c>
      <c r="E1048" s="561">
        <v>40.0</v>
      </c>
      <c r="F1048" s="560" t="s">
        <v>156</v>
      </c>
      <c r="G1048" s="550"/>
    </row>
    <row r="1049">
      <c r="A1049" s="595">
        <v>45902.0</v>
      </c>
      <c r="B1049" s="520" t="s">
        <v>2792</v>
      </c>
      <c r="C1049" s="527">
        <v>837.0</v>
      </c>
      <c r="D1049" s="545" t="s">
        <v>3226</v>
      </c>
      <c r="E1049" s="546">
        <v>30.0</v>
      </c>
      <c r="F1049" s="586" t="s">
        <v>156</v>
      </c>
      <c r="G1049" s="545"/>
    </row>
    <row r="1050">
      <c r="A1050" s="600">
        <v>45902.0</v>
      </c>
      <c r="B1050" s="514" t="s">
        <v>2792</v>
      </c>
      <c r="C1050" s="539">
        <v>838.0</v>
      </c>
      <c r="D1050" s="550" t="s">
        <v>775</v>
      </c>
      <c r="E1050" s="561">
        <v>20.0</v>
      </c>
      <c r="F1050" s="560" t="s">
        <v>156</v>
      </c>
      <c r="G1050" s="550"/>
    </row>
    <row r="1051">
      <c r="A1051" s="601">
        <v>45902.0</v>
      </c>
      <c r="B1051" s="520" t="s">
        <v>2792</v>
      </c>
      <c r="C1051" s="527">
        <v>838.0</v>
      </c>
      <c r="D1051" s="545" t="s">
        <v>3312</v>
      </c>
      <c r="E1051" s="546">
        <v>40.0</v>
      </c>
      <c r="F1051" s="586" t="s">
        <v>156</v>
      </c>
      <c r="G1051" s="545"/>
    </row>
    <row r="1052">
      <c r="A1052" s="600">
        <v>45902.0</v>
      </c>
      <c r="B1052" s="514" t="s">
        <v>2792</v>
      </c>
      <c r="C1052" s="539">
        <v>838.0</v>
      </c>
      <c r="D1052" s="550" t="s">
        <v>1559</v>
      </c>
      <c r="E1052" s="561">
        <v>4.0</v>
      </c>
      <c r="F1052" s="560" t="s">
        <v>156</v>
      </c>
      <c r="G1052" s="550"/>
    </row>
    <row r="1053">
      <c r="A1053" s="601">
        <v>45902.0</v>
      </c>
      <c r="B1053" s="520" t="s">
        <v>2792</v>
      </c>
      <c r="C1053" s="527">
        <v>838.0</v>
      </c>
      <c r="D1053" s="545" t="s">
        <v>1881</v>
      </c>
      <c r="E1053" s="546">
        <v>50.0</v>
      </c>
      <c r="F1053" s="586" t="s">
        <v>156</v>
      </c>
      <c r="G1053" s="545"/>
    </row>
    <row r="1054">
      <c r="A1054" s="600">
        <v>45902.0</v>
      </c>
      <c r="B1054" s="514" t="s">
        <v>2792</v>
      </c>
      <c r="C1054" s="539">
        <v>838.0</v>
      </c>
      <c r="D1054" s="550" t="s">
        <v>3195</v>
      </c>
      <c r="E1054" s="561">
        <v>3.0</v>
      </c>
      <c r="F1054" s="560" t="s">
        <v>156</v>
      </c>
      <c r="G1054" s="550"/>
    </row>
    <row r="1055">
      <c r="A1055" s="601">
        <v>45902.0</v>
      </c>
      <c r="B1055" s="520" t="s">
        <v>2792</v>
      </c>
      <c r="C1055" s="527">
        <v>838.0</v>
      </c>
      <c r="D1055" s="545" t="s">
        <v>3194</v>
      </c>
      <c r="E1055" s="546">
        <v>1.0</v>
      </c>
      <c r="F1055" s="586" t="s">
        <v>156</v>
      </c>
      <c r="G1055" s="545"/>
    </row>
    <row r="1056">
      <c r="A1056" s="600">
        <v>45902.0</v>
      </c>
      <c r="B1056" s="514" t="s">
        <v>2792</v>
      </c>
      <c r="C1056" s="539">
        <v>838.0</v>
      </c>
      <c r="D1056" s="550" t="s">
        <v>3313</v>
      </c>
      <c r="E1056" s="561">
        <v>2.0</v>
      </c>
      <c r="F1056" s="560" t="s">
        <v>156</v>
      </c>
      <c r="G1056" s="550"/>
    </row>
    <row r="1057">
      <c r="A1057" s="601">
        <v>45906.0</v>
      </c>
      <c r="B1057" s="520" t="s">
        <v>2792</v>
      </c>
      <c r="C1057" s="527">
        <v>840.0</v>
      </c>
      <c r="D1057" s="545" t="s">
        <v>3314</v>
      </c>
      <c r="E1057" s="546">
        <v>25.0</v>
      </c>
      <c r="F1057" s="586" t="s">
        <v>156</v>
      </c>
      <c r="G1057" s="545"/>
    </row>
    <row r="1058">
      <c r="A1058" s="600">
        <v>45906.0</v>
      </c>
      <c r="B1058" s="514" t="s">
        <v>2792</v>
      </c>
      <c r="C1058" s="539">
        <v>840.0</v>
      </c>
      <c r="D1058" s="550" t="s">
        <v>3315</v>
      </c>
      <c r="E1058" s="561">
        <v>1.0</v>
      </c>
      <c r="F1058" s="560" t="s">
        <v>156</v>
      </c>
      <c r="G1058" s="550"/>
    </row>
    <row r="1059">
      <c r="A1059" s="601">
        <v>45906.0</v>
      </c>
      <c r="B1059" s="520" t="s">
        <v>2792</v>
      </c>
      <c r="C1059" s="527">
        <v>840.0</v>
      </c>
      <c r="D1059" s="545" t="s">
        <v>3316</v>
      </c>
      <c r="E1059" s="546">
        <v>10.0</v>
      </c>
      <c r="F1059" s="586" t="s">
        <v>156</v>
      </c>
      <c r="G1059" s="545"/>
    </row>
    <row r="1060">
      <c r="A1060" s="600">
        <v>45906.0</v>
      </c>
      <c r="B1060" s="514" t="s">
        <v>2792</v>
      </c>
      <c r="C1060" s="539">
        <v>840.0</v>
      </c>
      <c r="D1060" s="550" t="s">
        <v>3317</v>
      </c>
      <c r="E1060" s="561">
        <v>6.0</v>
      </c>
      <c r="F1060" s="560" t="s">
        <v>156</v>
      </c>
      <c r="G1060" s="550"/>
    </row>
    <row r="1061">
      <c r="A1061" s="601">
        <v>45906.0</v>
      </c>
      <c r="B1061" s="520" t="s">
        <v>2792</v>
      </c>
      <c r="C1061" s="527">
        <v>840.0</v>
      </c>
      <c r="D1061" s="545" t="s">
        <v>3318</v>
      </c>
      <c r="E1061" s="546">
        <v>1.0</v>
      </c>
      <c r="F1061" s="586" t="s">
        <v>156</v>
      </c>
      <c r="G1061" s="545"/>
    </row>
    <row r="1062">
      <c r="A1062" s="600">
        <v>45906.0</v>
      </c>
      <c r="B1062" s="514" t="s">
        <v>2792</v>
      </c>
      <c r="C1062" s="539">
        <v>840.0</v>
      </c>
      <c r="D1062" s="550" t="s">
        <v>1634</v>
      </c>
      <c r="E1062" s="561">
        <v>11.0</v>
      </c>
      <c r="F1062" s="560" t="s">
        <v>156</v>
      </c>
      <c r="G1062" s="550"/>
    </row>
    <row r="1063">
      <c r="A1063" s="601">
        <v>45907.0</v>
      </c>
      <c r="B1063" s="520" t="s">
        <v>2792</v>
      </c>
      <c r="C1063" s="527">
        <v>842.0</v>
      </c>
      <c r="D1063" s="545" t="s">
        <v>3319</v>
      </c>
      <c r="E1063" s="546">
        <v>7.0</v>
      </c>
      <c r="F1063" s="586" t="s">
        <v>156</v>
      </c>
      <c r="G1063" s="545"/>
    </row>
    <row r="1064">
      <c r="A1064" s="594">
        <v>45912.0</v>
      </c>
      <c r="B1064" s="514" t="s">
        <v>2792</v>
      </c>
      <c r="C1064" s="609">
        <v>843.0</v>
      </c>
      <c r="D1064" s="550" t="s">
        <v>2906</v>
      </c>
      <c r="E1064" s="589">
        <v>20.0</v>
      </c>
      <c r="F1064" s="560" t="s">
        <v>156</v>
      </c>
      <c r="G1064" s="550"/>
    </row>
    <row r="1065">
      <c r="A1065" s="610">
        <v>45912.0</v>
      </c>
      <c r="B1065" s="520" t="s">
        <v>2792</v>
      </c>
      <c r="C1065" s="611">
        <v>843.0</v>
      </c>
      <c r="D1065" s="545" t="s">
        <v>3320</v>
      </c>
      <c r="E1065" s="546">
        <v>100.0</v>
      </c>
      <c r="F1065" s="586" t="s">
        <v>156</v>
      </c>
      <c r="G1065" s="545"/>
    </row>
    <row r="1066">
      <c r="A1066" s="594">
        <v>45912.0</v>
      </c>
      <c r="B1066" s="514" t="s">
        <v>2792</v>
      </c>
      <c r="C1066" s="609">
        <v>843.0</v>
      </c>
      <c r="D1066" s="550" t="s">
        <v>270</v>
      </c>
      <c r="E1066" s="561">
        <v>10.0</v>
      </c>
      <c r="F1066" s="560" t="s">
        <v>1478</v>
      </c>
      <c r="G1066" s="550"/>
    </row>
    <row r="1067">
      <c r="A1067" s="610">
        <v>45912.0</v>
      </c>
      <c r="B1067" s="520" t="s">
        <v>2792</v>
      </c>
      <c r="C1067" s="611">
        <v>843.0</v>
      </c>
      <c r="D1067" s="545" t="s">
        <v>1433</v>
      </c>
      <c r="E1067" s="546">
        <v>25.0</v>
      </c>
      <c r="F1067" s="586" t="s">
        <v>156</v>
      </c>
      <c r="G1067" s="545"/>
    </row>
    <row r="1068">
      <c r="A1068" s="594">
        <v>45912.0</v>
      </c>
      <c r="B1068" s="514" t="s">
        <v>2792</v>
      </c>
      <c r="C1068" s="609">
        <v>843.0</v>
      </c>
      <c r="D1068" s="550" t="s">
        <v>352</v>
      </c>
      <c r="E1068" s="561">
        <v>5.0</v>
      </c>
      <c r="F1068" s="560" t="s">
        <v>34</v>
      </c>
      <c r="G1068" s="550"/>
    </row>
    <row r="1069">
      <c r="A1069" s="610">
        <v>45912.0</v>
      </c>
      <c r="B1069" s="520" t="s">
        <v>2792</v>
      </c>
      <c r="C1069" s="611">
        <v>843.0</v>
      </c>
      <c r="D1069" s="545" t="s">
        <v>914</v>
      </c>
      <c r="E1069" s="546">
        <v>50.0</v>
      </c>
      <c r="F1069" s="586" t="s">
        <v>1478</v>
      </c>
      <c r="G1069" s="545"/>
    </row>
    <row r="1070">
      <c r="A1070" s="594">
        <v>45912.0</v>
      </c>
      <c r="B1070" s="514" t="s">
        <v>2792</v>
      </c>
      <c r="C1070" s="539">
        <v>844.0</v>
      </c>
      <c r="D1070" s="550" t="s">
        <v>1915</v>
      </c>
      <c r="E1070" s="561">
        <v>20.0</v>
      </c>
      <c r="F1070" s="560" t="s">
        <v>156</v>
      </c>
      <c r="G1070" s="550"/>
    </row>
    <row r="1071">
      <c r="A1071" s="610">
        <v>45912.0</v>
      </c>
      <c r="B1071" s="520" t="s">
        <v>2792</v>
      </c>
      <c r="C1071" s="527">
        <v>844.0</v>
      </c>
      <c r="D1071" s="545" t="s">
        <v>1914</v>
      </c>
      <c r="E1071" s="546">
        <v>20.0</v>
      </c>
      <c r="F1071" s="586" t="s">
        <v>156</v>
      </c>
      <c r="G1071" s="545"/>
    </row>
    <row r="1072">
      <c r="A1072" s="594">
        <v>45912.0</v>
      </c>
      <c r="B1072" s="514" t="s">
        <v>2792</v>
      </c>
      <c r="C1072" s="539">
        <v>844.0</v>
      </c>
      <c r="D1072" s="550" t="s">
        <v>3321</v>
      </c>
      <c r="E1072" s="561">
        <v>40.0</v>
      </c>
      <c r="F1072" s="560" t="s">
        <v>156</v>
      </c>
      <c r="G1072" s="550"/>
    </row>
    <row r="1073">
      <c r="A1073" s="610">
        <v>45912.0</v>
      </c>
      <c r="B1073" s="520" t="s">
        <v>2792</v>
      </c>
      <c r="C1073" s="527">
        <v>844.0</v>
      </c>
      <c r="D1073" s="545" t="s">
        <v>119</v>
      </c>
      <c r="E1073" s="546">
        <v>5.0</v>
      </c>
      <c r="F1073" s="586" t="s">
        <v>25</v>
      </c>
      <c r="G1073" s="545"/>
    </row>
    <row r="1074">
      <c r="A1074" s="600">
        <v>45924.0</v>
      </c>
      <c r="B1074" s="514" t="s">
        <v>2792</v>
      </c>
      <c r="C1074" s="539">
        <v>848.0</v>
      </c>
      <c r="D1074" s="550" t="s">
        <v>3204</v>
      </c>
      <c r="E1074" s="561">
        <v>5.0</v>
      </c>
      <c r="F1074" s="560" t="s">
        <v>1478</v>
      </c>
      <c r="G1074" s="550"/>
    </row>
    <row r="1075">
      <c r="A1075" s="601">
        <v>45924.0</v>
      </c>
      <c r="B1075" s="520" t="s">
        <v>2792</v>
      </c>
      <c r="C1075" s="527">
        <v>848.0</v>
      </c>
      <c r="D1075" s="545" t="s">
        <v>1562</v>
      </c>
      <c r="E1075" s="546">
        <v>7.0</v>
      </c>
      <c r="F1075" s="586" t="s">
        <v>1478</v>
      </c>
      <c r="G1075" s="545"/>
    </row>
    <row r="1076">
      <c r="A1076" s="600">
        <v>45924.0</v>
      </c>
      <c r="B1076" s="514" t="s">
        <v>2792</v>
      </c>
      <c r="C1076" s="539">
        <v>848.0</v>
      </c>
      <c r="D1076" s="550" t="s">
        <v>3322</v>
      </c>
      <c r="E1076" s="561">
        <v>7.0</v>
      </c>
      <c r="F1076" s="560" t="s">
        <v>156</v>
      </c>
      <c r="G1076" s="550"/>
    </row>
    <row r="1077">
      <c r="A1077" s="601">
        <v>45924.0</v>
      </c>
      <c r="B1077" s="520" t="s">
        <v>2792</v>
      </c>
      <c r="C1077" s="527">
        <v>848.0</v>
      </c>
      <c r="D1077" s="545" t="s">
        <v>3323</v>
      </c>
      <c r="E1077" s="546">
        <v>1.0</v>
      </c>
      <c r="F1077" s="586" t="s">
        <v>156</v>
      </c>
      <c r="G1077" s="545"/>
    </row>
    <row r="1078">
      <c r="A1078" s="600">
        <v>45924.0</v>
      </c>
      <c r="B1078" s="514" t="s">
        <v>2792</v>
      </c>
      <c r="C1078" s="539">
        <v>848.0</v>
      </c>
      <c r="D1078" s="550" t="s">
        <v>630</v>
      </c>
      <c r="E1078" s="561">
        <v>2.0</v>
      </c>
      <c r="F1078" s="560" t="s">
        <v>156</v>
      </c>
      <c r="G1078" s="550"/>
    </row>
    <row r="1079">
      <c r="A1079" s="601">
        <v>45924.0</v>
      </c>
      <c r="B1079" s="520" t="s">
        <v>2792</v>
      </c>
      <c r="C1079" s="527">
        <v>848.0</v>
      </c>
      <c r="D1079" s="545" t="s">
        <v>3305</v>
      </c>
      <c r="E1079" s="546">
        <v>1.0</v>
      </c>
      <c r="F1079" s="586" t="s">
        <v>156</v>
      </c>
      <c r="G1079" s="545"/>
    </row>
    <row r="1080">
      <c r="A1080" s="600">
        <v>45924.0</v>
      </c>
      <c r="B1080" s="514" t="s">
        <v>2792</v>
      </c>
      <c r="C1080" s="539">
        <v>848.0</v>
      </c>
      <c r="D1080" s="550" t="s">
        <v>3299</v>
      </c>
      <c r="E1080" s="561">
        <v>360.0</v>
      </c>
      <c r="F1080" s="560" t="s">
        <v>74</v>
      </c>
      <c r="G1080" s="550"/>
    </row>
    <row r="1081">
      <c r="A1081" s="601">
        <v>45924.0</v>
      </c>
      <c r="B1081" s="520" t="s">
        <v>2792</v>
      </c>
      <c r="C1081" s="527">
        <v>848.0</v>
      </c>
      <c r="D1081" s="545" t="s">
        <v>2901</v>
      </c>
      <c r="E1081" s="546">
        <v>5.0</v>
      </c>
      <c r="F1081" s="586" t="s">
        <v>156</v>
      </c>
      <c r="G1081" s="545"/>
    </row>
    <row r="1082">
      <c r="A1082" s="600">
        <v>45924.0</v>
      </c>
      <c r="B1082" s="514" t="s">
        <v>2792</v>
      </c>
      <c r="C1082" s="539">
        <v>848.0</v>
      </c>
      <c r="D1082" s="550" t="s">
        <v>3275</v>
      </c>
      <c r="E1082" s="561">
        <v>2.0</v>
      </c>
      <c r="F1082" s="560" t="s">
        <v>156</v>
      </c>
      <c r="G1082" s="550"/>
    </row>
    <row r="1083">
      <c r="A1083" s="601">
        <v>45924.0</v>
      </c>
      <c r="B1083" s="520" t="s">
        <v>2792</v>
      </c>
      <c r="C1083" s="527">
        <v>848.0</v>
      </c>
      <c r="D1083" s="545" t="s">
        <v>3324</v>
      </c>
      <c r="E1083" s="546">
        <v>2.0</v>
      </c>
      <c r="F1083" s="586" t="s">
        <v>156</v>
      </c>
      <c r="G1083" s="545"/>
    </row>
    <row r="1084">
      <c r="A1084" s="600">
        <v>45924.0</v>
      </c>
      <c r="B1084" s="514" t="s">
        <v>2792</v>
      </c>
      <c r="C1084" s="539">
        <v>848.0</v>
      </c>
      <c r="D1084" s="550" t="s">
        <v>3325</v>
      </c>
      <c r="E1084" s="561">
        <v>2.0</v>
      </c>
      <c r="F1084" s="560" t="s">
        <v>156</v>
      </c>
      <c r="G1084" s="550"/>
    </row>
    <row r="1085">
      <c r="A1085" s="601">
        <v>45924.0</v>
      </c>
      <c r="B1085" s="520" t="s">
        <v>2792</v>
      </c>
      <c r="C1085" s="527">
        <v>849.0</v>
      </c>
      <c r="D1085" s="545" t="s">
        <v>3326</v>
      </c>
      <c r="E1085" s="546">
        <v>20.0</v>
      </c>
      <c r="F1085" s="586" t="s">
        <v>156</v>
      </c>
      <c r="G1085" s="545"/>
    </row>
    <row r="1086">
      <c r="A1086" s="600">
        <v>45924.0</v>
      </c>
      <c r="B1086" s="514" t="s">
        <v>2792</v>
      </c>
      <c r="C1086" s="539">
        <v>849.0</v>
      </c>
      <c r="D1086" s="550" t="s">
        <v>1020</v>
      </c>
      <c r="E1086" s="561">
        <v>5.0</v>
      </c>
      <c r="F1086" s="560" t="s">
        <v>156</v>
      </c>
      <c r="G1086" s="550"/>
    </row>
    <row r="1087">
      <c r="A1087" s="601">
        <v>45924.0</v>
      </c>
      <c r="B1087" s="520" t="s">
        <v>2792</v>
      </c>
      <c r="C1087" s="527">
        <v>849.0</v>
      </c>
      <c r="D1087" s="545" t="s">
        <v>1534</v>
      </c>
      <c r="E1087" s="546">
        <v>2.0</v>
      </c>
      <c r="F1087" s="586" t="s">
        <v>156</v>
      </c>
      <c r="G1087" s="545"/>
    </row>
    <row r="1088">
      <c r="A1088" s="600">
        <v>45930.0</v>
      </c>
      <c r="B1088" s="514" t="s">
        <v>2792</v>
      </c>
      <c r="C1088" s="539">
        <v>851.0</v>
      </c>
      <c r="D1088" s="550" t="s">
        <v>3141</v>
      </c>
      <c r="E1088" s="561">
        <v>11.0</v>
      </c>
      <c r="F1088" s="560" t="s">
        <v>967</v>
      </c>
      <c r="G1088" s="550"/>
    </row>
    <row r="1089">
      <c r="A1089" s="601">
        <v>45930.0</v>
      </c>
      <c r="B1089" s="520" t="s">
        <v>2792</v>
      </c>
      <c r="C1089" s="527">
        <v>852.0</v>
      </c>
      <c r="D1089" s="545" t="s">
        <v>3327</v>
      </c>
      <c r="E1089" s="546">
        <v>1.0</v>
      </c>
      <c r="F1089" s="586" t="s">
        <v>1451</v>
      </c>
      <c r="G1089" s="545"/>
    </row>
    <row r="1090">
      <c r="A1090" s="600">
        <v>45930.0</v>
      </c>
      <c r="B1090" s="514" t="s">
        <v>2792</v>
      </c>
      <c r="C1090" s="539">
        <v>852.0</v>
      </c>
      <c r="D1090" s="550" t="s">
        <v>1405</v>
      </c>
      <c r="E1090" s="561">
        <v>50.0</v>
      </c>
      <c r="F1090" s="560" t="s">
        <v>156</v>
      </c>
      <c r="G1090" s="550"/>
    </row>
    <row r="1091">
      <c r="A1091" s="601">
        <v>45930.0</v>
      </c>
      <c r="B1091" s="520" t="s">
        <v>2792</v>
      </c>
      <c r="C1091" s="527">
        <v>852.0</v>
      </c>
      <c r="D1091" s="545" t="s">
        <v>3328</v>
      </c>
      <c r="E1091" s="546">
        <v>50.0</v>
      </c>
      <c r="F1091" s="586" t="s">
        <v>156</v>
      </c>
      <c r="G1091" s="545"/>
    </row>
    <row r="1092">
      <c r="A1092" s="600">
        <v>45930.0</v>
      </c>
      <c r="B1092" s="514" t="s">
        <v>2792</v>
      </c>
      <c r="C1092" s="539">
        <v>852.0</v>
      </c>
      <c r="D1092" s="550" t="s">
        <v>3329</v>
      </c>
      <c r="E1092" s="561">
        <v>1.0</v>
      </c>
      <c r="F1092" s="560" t="s">
        <v>156</v>
      </c>
      <c r="G1092" s="550"/>
    </row>
    <row r="1093">
      <c r="A1093" s="601">
        <v>45930.0</v>
      </c>
      <c r="B1093" s="520" t="s">
        <v>2792</v>
      </c>
      <c r="C1093" s="527">
        <v>852.0</v>
      </c>
      <c r="D1093" s="545" t="s">
        <v>3330</v>
      </c>
      <c r="E1093" s="546">
        <v>10.0</v>
      </c>
      <c r="F1093" s="586" t="s">
        <v>156</v>
      </c>
      <c r="G1093" s="545"/>
    </row>
    <row r="1094">
      <c r="A1094" s="600">
        <v>45930.0</v>
      </c>
      <c r="B1094" s="514" t="s">
        <v>2792</v>
      </c>
      <c r="C1094" s="539">
        <v>852.0</v>
      </c>
      <c r="D1094" s="550" t="s">
        <v>3331</v>
      </c>
      <c r="E1094" s="561">
        <v>10.0</v>
      </c>
      <c r="F1094" s="560" t="s">
        <v>156</v>
      </c>
      <c r="G1094" s="550"/>
    </row>
    <row r="1095">
      <c r="A1095" s="601">
        <v>45930.0</v>
      </c>
      <c r="B1095" s="520" t="s">
        <v>2792</v>
      </c>
      <c r="C1095" s="527">
        <v>852.0</v>
      </c>
      <c r="D1095" s="545" t="s">
        <v>505</v>
      </c>
      <c r="E1095" s="546">
        <v>1.0</v>
      </c>
      <c r="F1095" s="586" t="s">
        <v>1478</v>
      </c>
      <c r="G1095" s="545"/>
    </row>
    <row r="1096">
      <c r="A1096" s="600">
        <v>45936.0</v>
      </c>
      <c r="B1096" s="514" t="s">
        <v>2792</v>
      </c>
      <c r="C1096" s="539">
        <v>853.0</v>
      </c>
      <c r="D1096" s="550" t="s">
        <v>3332</v>
      </c>
      <c r="E1096" s="561">
        <v>1.0</v>
      </c>
      <c r="F1096" s="560" t="s">
        <v>156</v>
      </c>
      <c r="G1096" s="550"/>
    </row>
    <row r="1097">
      <c r="A1097" s="601">
        <v>45936.0</v>
      </c>
      <c r="B1097" s="520" t="s">
        <v>2792</v>
      </c>
      <c r="C1097" s="527">
        <v>853.0</v>
      </c>
      <c r="D1097" s="545" t="s">
        <v>772</v>
      </c>
      <c r="E1097" s="546">
        <v>1.0</v>
      </c>
      <c r="F1097" s="586" t="s">
        <v>156</v>
      </c>
      <c r="G1097" s="545"/>
    </row>
    <row r="1098">
      <c r="A1098" s="600">
        <v>45936.0</v>
      </c>
      <c r="B1098" s="514" t="s">
        <v>2792</v>
      </c>
      <c r="C1098" s="539">
        <v>853.0</v>
      </c>
      <c r="D1098" s="550" t="s">
        <v>3204</v>
      </c>
      <c r="E1098" s="561">
        <v>14.0</v>
      </c>
      <c r="F1098" s="560" t="s">
        <v>1478</v>
      </c>
      <c r="G1098" s="550"/>
    </row>
    <row r="1099">
      <c r="A1099" s="601">
        <v>45936.0</v>
      </c>
      <c r="B1099" s="520" t="s">
        <v>2792</v>
      </c>
      <c r="C1099" s="527">
        <v>853.0</v>
      </c>
      <c r="D1099" s="545" t="s">
        <v>3257</v>
      </c>
      <c r="E1099" s="546">
        <v>10.0</v>
      </c>
      <c r="F1099" s="586" t="s">
        <v>1478</v>
      </c>
      <c r="G1099" s="545"/>
    </row>
    <row r="1100">
      <c r="A1100" s="600">
        <v>45936.0</v>
      </c>
      <c r="B1100" s="514" t="s">
        <v>2792</v>
      </c>
      <c r="C1100" s="539">
        <v>853.0</v>
      </c>
      <c r="D1100" s="550" t="s">
        <v>3333</v>
      </c>
      <c r="E1100" s="561">
        <v>1.0</v>
      </c>
      <c r="F1100" s="560" t="s">
        <v>1478</v>
      </c>
      <c r="G1100" s="550"/>
    </row>
    <row r="1101">
      <c r="A1101" s="590">
        <v>45936.0</v>
      </c>
      <c r="B1101" s="520" t="s">
        <v>2792</v>
      </c>
      <c r="C1101" s="557">
        <v>1215.0</v>
      </c>
      <c r="D1101" s="536" t="s">
        <v>3334</v>
      </c>
      <c r="E1101" s="537">
        <v>4.0</v>
      </c>
      <c r="F1101" s="591" t="s">
        <v>156</v>
      </c>
      <c r="G1101" s="528"/>
    </row>
    <row r="1102">
      <c r="A1102" s="598">
        <v>45936.0</v>
      </c>
      <c r="B1102" s="514" t="s">
        <v>2792</v>
      </c>
      <c r="C1102" s="566">
        <v>1215.0</v>
      </c>
      <c r="D1102" s="540" t="s">
        <v>3335</v>
      </c>
      <c r="E1102" s="541">
        <v>4.0</v>
      </c>
      <c r="F1102" s="593" t="s">
        <v>156</v>
      </c>
      <c r="G1102" s="540"/>
    </row>
    <row r="1103">
      <c r="A1103" s="601">
        <v>45940.0</v>
      </c>
      <c r="B1103" s="520" t="s">
        <v>2792</v>
      </c>
      <c r="C1103" s="527">
        <v>857.0</v>
      </c>
      <c r="D1103" s="545" t="s">
        <v>3336</v>
      </c>
      <c r="E1103" s="546">
        <v>1.0</v>
      </c>
      <c r="F1103" s="586" t="s">
        <v>89</v>
      </c>
      <c r="G1103" s="545"/>
    </row>
    <row r="1104">
      <c r="A1104" s="600">
        <v>45940.0</v>
      </c>
      <c r="B1104" s="514" t="s">
        <v>2792</v>
      </c>
      <c r="C1104" s="539">
        <v>857.0</v>
      </c>
      <c r="D1104" s="550" t="s">
        <v>1693</v>
      </c>
      <c r="E1104" s="561">
        <v>5.0</v>
      </c>
      <c r="F1104" s="560" t="s">
        <v>156</v>
      </c>
      <c r="G1104" s="550"/>
    </row>
    <row r="1105">
      <c r="A1105" s="601">
        <v>45940.0</v>
      </c>
      <c r="B1105" s="520" t="s">
        <v>2792</v>
      </c>
      <c r="C1105" s="527">
        <v>857.0</v>
      </c>
      <c r="D1105" s="545" t="s">
        <v>3321</v>
      </c>
      <c r="E1105" s="546">
        <v>60.0</v>
      </c>
      <c r="F1105" s="586" t="s">
        <v>156</v>
      </c>
      <c r="G1105" s="545"/>
    </row>
    <row r="1106">
      <c r="A1106" s="600">
        <v>45940.0</v>
      </c>
      <c r="B1106" s="514" t="s">
        <v>2792</v>
      </c>
      <c r="C1106" s="539">
        <v>857.0</v>
      </c>
      <c r="D1106" s="550" t="s">
        <v>3337</v>
      </c>
      <c r="E1106" s="561">
        <v>30.0</v>
      </c>
      <c r="F1106" s="560" t="s">
        <v>3338</v>
      </c>
      <c r="G1106" s="550"/>
    </row>
    <row r="1107">
      <c r="A1107" s="601">
        <v>45940.0</v>
      </c>
      <c r="B1107" s="520" t="s">
        <v>2792</v>
      </c>
      <c r="C1107" s="527">
        <v>857.0</v>
      </c>
      <c r="D1107" s="545" t="s">
        <v>3293</v>
      </c>
      <c r="E1107" s="546">
        <v>2.0</v>
      </c>
      <c r="F1107" s="586" t="s">
        <v>1451</v>
      </c>
      <c r="G1107" s="545"/>
    </row>
    <row r="1108">
      <c r="A1108" s="600">
        <v>45940.0</v>
      </c>
      <c r="B1108" s="514" t="s">
        <v>2792</v>
      </c>
      <c r="C1108" s="539">
        <v>857.0</v>
      </c>
      <c r="D1108" s="550" t="s">
        <v>3339</v>
      </c>
      <c r="E1108" s="561">
        <v>2.0</v>
      </c>
      <c r="F1108" s="560" t="s">
        <v>156</v>
      </c>
      <c r="G1108" s="550"/>
    </row>
    <row r="1109">
      <c r="A1109" s="601">
        <v>45940.0</v>
      </c>
      <c r="B1109" s="520" t="s">
        <v>2792</v>
      </c>
      <c r="C1109" s="527">
        <v>857.0</v>
      </c>
      <c r="D1109" s="545" t="s">
        <v>3340</v>
      </c>
      <c r="E1109" s="546">
        <v>3.0</v>
      </c>
      <c r="F1109" s="586" t="s">
        <v>39</v>
      </c>
      <c r="G1109" s="545"/>
    </row>
    <row r="1110">
      <c r="A1110" s="600">
        <v>45940.0</v>
      </c>
      <c r="B1110" s="514" t="s">
        <v>2792</v>
      </c>
      <c r="C1110" s="539">
        <v>858.0</v>
      </c>
      <c r="D1110" s="550" t="s">
        <v>1582</v>
      </c>
      <c r="E1110" s="561">
        <v>20.0</v>
      </c>
      <c r="F1110" s="560" t="s">
        <v>156</v>
      </c>
      <c r="G1110" s="550"/>
    </row>
    <row r="1111">
      <c r="A1111" s="601">
        <v>45940.0</v>
      </c>
      <c r="B1111" s="520" t="s">
        <v>2792</v>
      </c>
      <c r="C1111" s="527">
        <v>858.0</v>
      </c>
      <c r="D1111" s="545" t="s">
        <v>3341</v>
      </c>
      <c r="E1111" s="546">
        <v>1.0</v>
      </c>
      <c r="F1111" s="586" t="s">
        <v>1478</v>
      </c>
      <c r="G1111" s="545"/>
    </row>
    <row r="1112">
      <c r="A1112" s="600">
        <v>45940.0</v>
      </c>
      <c r="B1112" s="514" t="s">
        <v>2792</v>
      </c>
      <c r="C1112" s="539">
        <v>858.0</v>
      </c>
      <c r="D1112" s="550" t="s">
        <v>630</v>
      </c>
      <c r="E1112" s="561">
        <v>3.0</v>
      </c>
      <c r="F1112" s="560" t="s">
        <v>156</v>
      </c>
      <c r="G1112" s="550"/>
    </row>
    <row r="1113">
      <c r="A1113" s="601">
        <v>45944.0</v>
      </c>
      <c r="B1113" s="520" t="s">
        <v>2792</v>
      </c>
      <c r="C1113" s="527">
        <v>859.0</v>
      </c>
      <c r="D1113" s="545" t="s">
        <v>1200</v>
      </c>
      <c r="E1113" s="546">
        <v>5.0</v>
      </c>
      <c r="F1113" s="586" t="s">
        <v>156</v>
      </c>
      <c r="G1113" s="545"/>
    </row>
    <row r="1114">
      <c r="A1114" s="600">
        <v>45944.0</v>
      </c>
      <c r="B1114" s="514" t="s">
        <v>2792</v>
      </c>
      <c r="C1114" s="539">
        <v>859.0</v>
      </c>
      <c r="D1114" s="550" t="s">
        <v>3342</v>
      </c>
      <c r="E1114" s="561">
        <v>30.0</v>
      </c>
      <c r="F1114" s="560" t="s">
        <v>156</v>
      </c>
      <c r="G1114" s="550"/>
    </row>
    <row r="1115">
      <c r="A1115" s="601">
        <v>45949.0</v>
      </c>
      <c r="B1115" s="520" t="s">
        <v>2792</v>
      </c>
      <c r="C1115" s="527">
        <v>860.0</v>
      </c>
      <c r="D1115" s="545" t="s">
        <v>3336</v>
      </c>
      <c r="E1115" s="546">
        <v>2.0</v>
      </c>
      <c r="F1115" s="586" t="s">
        <v>156</v>
      </c>
      <c r="G1115" s="545"/>
    </row>
    <row r="1116">
      <c r="A1116" s="600">
        <v>45949.0</v>
      </c>
      <c r="B1116" s="514" t="s">
        <v>2792</v>
      </c>
      <c r="C1116" s="539">
        <v>860.0</v>
      </c>
      <c r="D1116" s="550" t="s">
        <v>1634</v>
      </c>
      <c r="E1116" s="561">
        <v>4.0</v>
      </c>
      <c r="F1116" s="560" t="s">
        <v>156</v>
      </c>
      <c r="G1116" s="550"/>
    </row>
    <row r="1117">
      <c r="A1117" s="601">
        <v>45953.0</v>
      </c>
      <c r="B1117" s="520" t="s">
        <v>2792</v>
      </c>
      <c r="C1117" s="527">
        <v>861.0</v>
      </c>
      <c r="D1117" s="545" t="s">
        <v>3343</v>
      </c>
      <c r="E1117" s="546">
        <v>3.0</v>
      </c>
      <c r="F1117" s="586" t="s">
        <v>1478</v>
      </c>
      <c r="G1117" s="545"/>
    </row>
    <row r="1118">
      <c r="A1118" s="600">
        <v>45953.0</v>
      </c>
      <c r="B1118" s="514" t="s">
        <v>2792</v>
      </c>
      <c r="C1118" s="539">
        <v>861.0</v>
      </c>
      <c r="D1118" s="550" t="s">
        <v>3344</v>
      </c>
      <c r="E1118" s="561">
        <v>11.0</v>
      </c>
      <c r="F1118" s="560" t="s">
        <v>3345</v>
      </c>
      <c r="G1118" s="550"/>
    </row>
    <row r="1119">
      <c r="A1119" s="601">
        <v>45953.0</v>
      </c>
      <c r="B1119" s="520" t="s">
        <v>2792</v>
      </c>
      <c r="C1119" s="527">
        <v>861.0</v>
      </c>
      <c r="D1119" s="545" t="s">
        <v>3273</v>
      </c>
      <c r="E1119" s="546">
        <v>12.0</v>
      </c>
      <c r="F1119" s="586" t="s">
        <v>156</v>
      </c>
      <c r="G1119" s="545"/>
    </row>
    <row r="1120">
      <c r="A1120" s="600">
        <v>45953.0</v>
      </c>
      <c r="B1120" s="514" t="s">
        <v>2792</v>
      </c>
      <c r="C1120" s="539">
        <v>861.0</v>
      </c>
      <c r="D1120" s="550" t="s">
        <v>3346</v>
      </c>
      <c r="E1120" s="561">
        <v>3.0</v>
      </c>
      <c r="F1120" s="560" t="s">
        <v>156</v>
      </c>
      <c r="G1120" s="550"/>
    </row>
    <row r="1121">
      <c r="A1121" s="601">
        <v>45953.0</v>
      </c>
      <c r="B1121" s="520" t="s">
        <v>2792</v>
      </c>
      <c r="C1121" s="527">
        <v>861.0</v>
      </c>
      <c r="D1121" s="545" t="s">
        <v>823</v>
      </c>
      <c r="E1121" s="546">
        <v>10.0</v>
      </c>
      <c r="F1121" s="586" t="s">
        <v>39</v>
      </c>
      <c r="G1121" s="545"/>
    </row>
    <row r="1122">
      <c r="A1122" s="600">
        <v>45953.0</v>
      </c>
      <c r="B1122" s="514" t="s">
        <v>2792</v>
      </c>
      <c r="C1122" s="539">
        <v>861.0</v>
      </c>
      <c r="D1122" s="550" t="s">
        <v>3347</v>
      </c>
      <c r="E1122" s="561">
        <v>6.0</v>
      </c>
      <c r="F1122" s="560" t="s">
        <v>3348</v>
      </c>
      <c r="G1122" s="550"/>
    </row>
    <row r="1123">
      <c r="A1123" s="601">
        <v>45953.0</v>
      </c>
      <c r="B1123" s="520" t="s">
        <v>2792</v>
      </c>
      <c r="C1123" s="527">
        <v>861.0</v>
      </c>
      <c r="D1123" s="545" t="s">
        <v>3349</v>
      </c>
      <c r="E1123" s="546">
        <v>20.0</v>
      </c>
      <c r="F1123" s="586" t="s">
        <v>3350</v>
      </c>
      <c r="G1123" s="545"/>
    </row>
    <row r="1124">
      <c r="A1124" s="600">
        <v>45953.0</v>
      </c>
      <c r="B1124" s="514" t="s">
        <v>2792</v>
      </c>
      <c r="C1124" s="539">
        <v>861.0</v>
      </c>
      <c r="D1124" s="550" t="s">
        <v>3209</v>
      </c>
      <c r="E1124" s="561">
        <v>50.0</v>
      </c>
      <c r="F1124" s="560" t="s">
        <v>34</v>
      </c>
      <c r="G1124" s="550"/>
    </row>
    <row r="1125">
      <c r="A1125" s="601">
        <v>45953.0</v>
      </c>
      <c r="B1125" s="520" t="s">
        <v>2792</v>
      </c>
      <c r="C1125" s="527">
        <v>861.0</v>
      </c>
      <c r="D1125" s="545" t="s">
        <v>623</v>
      </c>
      <c r="E1125" s="546">
        <v>25.0</v>
      </c>
      <c r="F1125" s="586" t="s">
        <v>1673</v>
      </c>
      <c r="G1125" s="545"/>
    </row>
    <row r="1126">
      <c r="A1126" s="600">
        <v>45957.0</v>
      </c>
      <c r="B1126" s="514" t="s">
        <v>2792</v>
      </c>
      <c r="C1126" s="539">
        <v>863.0</v>
      </c>
      <c r="D1126" s="550" t="s">
        <v>1915</v>
      </c>
      <c r="E1126" s="561">
        <v>5.0</v>
      </c>
      <c r="F1126" s="560" t="s">
        <v>156</v>
      </c>
      <c r="G1126" s="550"/>
    </row>
    <row r="1127">
      <c r="A1127" s="601">
        <v>45957.0</v>
      </c>
      <c r="B1127" s="520" t="s">
        <v>2792</v>
      </c>
      <c r="C1127" s="527">
        <v>863.0</v>
      </c>
      <c r="D1127" s="545" t="s">
        <v>1914</v>
      </c>
      <c r="E1127" s="546">
        <v>50.0</v>
      </c>
      <c r="F1127" s="586" t="s">
        <v>156</v>
      </c>
      <c r="G1127" s="545"/>
    </row>
    <row r="1128">
      <c r="A1128" s="600">
        <v>45957.0</v>
      </c>
      <c r="B1128" s="514" t="s">
        <v>2792</v>
      </c>
      <c r="C1128" s="539">
        <v>863.0</v>
      </c>
      <c r="D1128" s="550" t="s">
        <v>3351</v>
      </c>
      <c r="E1128" s="561">
        <v>2.0</v>
      </c>
      <c r="F1128" s="560" t="s">
        <v>156</v>
      </c>
      <c r="G1128" s="550"/>
    </row>
    <row r="1129">
      <c r="A1129" s="601">
        <v>45957.0</v>
      </c>
      <c r="B1129" s="520" t="s">
        <v>2792</v>
      </c>
      <c r="C1129" s="527">
        <v>863.0</v>
      </c>
      <c r="D1129" s="545" t="s">
        <v>1634</v>
      </c>
      <c r="E1129" s="546">
        <v>1.0</v>
      </c>
      <c r="F1129" s="586" t="s">
        <v>89</v>
      </c>
      <c r="G1129" s="545"/>
    </row>
    <row r="1130">
      <c r="A1130" s="600">
        <v>45958.0</v>
      </c>
      <c r="B1130" s="514" t="s">
        <v>2792</v>
      </c>
      <c r="C1130" s="539">
        <v>864.0</v>
      </c>
      <c r="D1130" s="550" t="s">
        <v>3352</v>
      </c>
      <c r="E1130" s="561">
        <v>5.0</v>
      </c>
      <c r="F1130" s="560" t="s">
        <v>156</v>
      </c>
      <c r="G1130" s="550"/>
    </row>
    <row r="1131">
      <c r="A1131" s="601">
        <v>45958.0</v>
      </c>
      <c r="B1131" s="520" t="s">
        <v>2792</v>
      </c>
      <c r="C1131" s="527">
        <v>864.0</v>
      </c>
      <c r="D1131" s="545" t="s">
        <v>3353</v>
      </c>
      <c r="E1131" s="546">
        <v>2.0</v>
      </c>
      <c r="F1131" s="586" t="s">
        <v>156</v>
      </c>
      <c r="G1131" s="545"/>
    </row>
    <row r="1132">
      <c r="A1132" s="600">
        <v>45958.0</v>
      </c>
      <c r="B1132" s="514" t="s">
        <v>2792</v>
      </c>
      <c r="C1132" s="539">
        <v>864.0</v>
      </c>
      <c r="D1132" s="550" t="s">
        <v>609</v>
      </c>
      <c r="E1132" s="561">
        <v>1.0</v>
      </c>
      <c r="F1132" s="560" t="s">
        <v>156</v>
      </c>
      <c r="G1132" s="550"/>
    </row>
    <row r="1133">
      <c r="A1133" s="601">
        <v>45958.0</v>
      </c>
      <c r="B1133" s="520" t="s">
        <v>2792</v>
      </c>
      <c r="C1133" s="527">
        <v>864.0</v>
      </c>
      <c r="D1133" s="545" t="s">
        <v>3354</v>
      </c>
      <c r="E1133" s="546">
        <v>2.0</v>
      </c>
      <c r="F1133" s="586" t="s">
        <v>156</v>
      </c>
      <c r="G1133" s="545"/>
    </row>
    <row r="1134">
      <c r="A1134" s="600">
        <v>45964.0</v>
      </c>
      <c r="B1134" s="514" t="s">
        <v>2792</v>
      </c>
      <c r="C1134" s="539">
        <v>867.0</v>
      </c>
      <c r="D1134" s="550" t="s">
        <v>3195</v>
      </c>
      <c r="E1134" s="561">
        <v>3.0</v>
      </c>
      <c r="F1134" s="560" t="s">
        <v>156</v>
      </c>
      <c r="G1134" s="550"/>
    </row>
    <row r="1135">
      <c r="A1135" s="601">
        <v>45964.0</v>
      </c>
      <c r="B1135" s="520" t="s">
        <v>2792</v>
      </c>
      <c r="C1135" s="527">
        <v>867.0</v>
      </c>
      <c r="D1135" s="545" t="s">
        <v>3194</v>
      </c>
      <c r="E1135" s="546">
        <v>6.0</v>
      </c>
      <c r="F1135" s="586" t="s">
        <v>3355</v>
      </c>
      <c r="G1135" s="545"/>
    </row>
    <row r="1136">
      <c r="A1136" s="600">
        <v>45966.0</v>
      </c>
      <c r="B1136" s="514" t="s">
        <v>2792</v>
      </c>
      <c r="C1136" s="539">
        <v>868.0</v>
      </c>
      <c r="D1136" s="550" t="s">
        <v>3356</v>
      </c>
      <c r="E1136" s="561">
        <v>2.0</v>
      </c>
      <c r="F1136" s="560" t="s">
        <v>156</v>
      </c>
      <c r="G1136" s="550"/>
    </row>
    <row r="1137">
      <c r="A1137" s="601">
        <v>45966.0</v>
      </c>
      <c r="B1137" s="520" t="s">
        <v>2792</v>
      </c>
      <c r="C1137" s="527">
        <v>868.0</v>
      </c>
      <c r="D1137" s="545" t="s">
        <v>3357</v>
      </c>
      <c r="E1137" s="546">
        <v>8.0</v>
      </c>
      <c r="F1137" s="586" t="s">
        <v>156</v>
      </c>
      <c r="G1137" s="545"/>
    </row>
    <row r="1138">
      <c r="A1138" s="600">
        <v>45966.0</v>
      </c>
      <c r="B1138" s="514" t="s">
        <v>2792</v>
      </c>
      <c r="C1138" s="539">
        <v>868.0</v>
      </c>
      <c r="D1138" s="550" t="s">
        <v>3358</v>
      </c>
      <c r="E1138" s="561">
        <v>1.0</v>
      </c>
      <c r="F1138" s="560" t="s">
        <v>156</v>
      </c>
      <c r="G1138" s="550"/>
    </row>
    <row r="1139">
      <c r="A1139" s="601">
        <v>45975.0</v>
      </c>
      <c r="B1139" s="520" t="s">
        <v>2792</v>
      </c>
      <c r="C1139" s="527">
        <v>689.0</v>
      </c>
      <c r="D1139" s="545" t="s">
        <v>1634</v>
      </c>
      <c r="E1139" s="546">
        <v>6.0</v>
      </c>
      <c r="F1139" s="586" t="s">
        <v>156</v>
      </c>
      <c r="G1139" s="545"/>
    </row>
    <row r="1140">
      <c r="A1140" s="600">
        <v>45975.0</v>
      </c>
      <c r="B1140" s="514" t="s">
        <v>2792</v>
      </c>
      <c r="C1140" s="539">
        <v>689.0</v>
      </c>
      <c r="D1140" s="514" t="s">
        <v>3359</v>
      </c>
      <c r="E1140" s="561">
        <v>6.0</v>
      </c>
      <c r="F1140" s="560" t="s">
        <v>39</v>
      </c>
      <c r="G1140" s="550"/>
    </row>
    <row r="1141">
      <c r="A1141" s="601">
        <v>45975.0</v>
      </c>
      <c r="B1141" s="520" t="s">
        <v>2792</v>
      </c>
      <c r="C1141" s="527">
        <v>689.0</v>
      </c>
      <c r="D1141" s="545" t="s">
        <v>3360</v>
      </c>
      <c r="E1141" s="546">
        <v>100.0</v>
      </c>
      <c r="F1141" s="586" t="s">
        <v>1168</v>
      </c>
      <c r="G1141" s="545"/>
    </row>
    <row r="1142">
      <c r="A1142" s="600">
        <v>45975.0</v>
      </c>
      <c r="B1142" s="514" t="s">
        <v>2792</v>
      </c>
      <c r="C1142" s="539">
        <v>689.0</v>
      </c>
      <c r="D1142" s="550" t="s">
        <v>3361</v>
      </c>
      <c r="E1142" s="561">
        <v>20.0</v>
      </c>
      <c r="F1142" s="560" t="s">
        <v>156</v>
      </c>
      <c r="G1142" s="550"/>
    </row>
    <row r="1143">
      <c r="A1143" s="601">
        <v>45980.0</v>
      </c>
      <c r="B1143" s="520" t="s">
        <v>2792</v>
      </c>
      <c r="C1143" s="527">
        <v>871.0</v>
      </c>
      <c r="D1143" s="545" t="s">
        <v>119</v>
      </c>
      <c r="E1143" s="546">
        <v>5.0</v>
      </c>
      <c r="F1143" s="586" t="s">
        <v>1462</v>
      </c>
      <c r="G1143" s="545"/>
    </row>
    <row r="1144">
      <c r="A1144" s="600">
        <v>45980.0</v>
      </c>
      <c r="B1144" s="514" t="s">
        <v>2792</v>
      </c>
      <c r="C1144" s="539">
        <v>871.0</v>
      </c>
      <c r="D1144" s="550" t="s">
        <v>3362</v>
      </c>
      <c r="E1144" s="561">
        <v>30.0</v>
      </c>
      <c r="F1144" s="560" t="s">
        <v>156</v>
      </c>
      <c r="G1144" s="550"/>
    </row>
    <row r="1145">
      <c r="A1145" s="601">
        <v>45980.0</v>
      </c>
      <c r="B1145" s="520" t="s">
        <v>2792</v>
      </c>
      <c r="C1145" s="527">
        <v>871.0</v>
      </c>
      <c r="D1145" s="545" t="s">
        <v>3363</v>
      </c>
      <c r="E1145" s="546">
        <v>30.0</v>
      </c>
      <c r="F1145" s="586" t="s">
        <v>156</v>
      </c>
      <c r="G1145" s="545"/>
    </row>
    <row r="1146">
      <c r="A1146" s="600">
        <v>45980.0</v>
      </c>
      <c r="B1146" s="514" t="s">
        <v>2792</v>
      </c>
      <c r="C1146" s="539">
        <v>871.0</v>
      </c>
      <c r="D1146" s="550" t="s">
        <v>3364</v>
      </c>
      <c r="E1146" s="561">
        <v>30.0</v>
      </c>
      <c r="F1146" s="560" t="s">
        <v>156</v>
      </c>
      <c r="G1146" s="550"/>
    </row>
    <row r="1147">
      <c r="A1147" s="601">
        <v>45980.0</v>
      </c>
      <c r="B1147" s="520" t="s">
        <v>2792</v>
      </c>
      <c r="C1147" s="527">
        <v>871.0</v>
      </c>
      <c r="D1147" s="545" t="s">
        <v>3365</v>
      </c>
      <c r="E1147" s="546">
        <v>30.0</v>
      </c>
      <c r="F1147" s="586" t="s">
        <v>156</v>
      </c>
      <c r="G1147" s="545"/>
    </row>
    <row r="1148">
      <c r="A1148" s="600">
        <v>45980.0</v>
      </c>
      <c r="B1148" s="514" t="s">
        <v>2792</v>
      </c>
      <c r="C1148" s="539">
        <v>871.0</v>
      </c>
      <c r="D1148" s="550" t="s">
        <v>3366</v>
      </c>
      <c r="E1148" s="561">
        <v>180.0</v>
      </c>
      <c r="F1148" s="560" t="s">
        <v>74</v>
      </c>
      <c r="G1148" s="550"/>
    </row>
    <row r="1149">
      <c r="A1149" s="601">
        <v>45980.0</v>
      </c>
      <c r="B1149" s="520" t="s">
        <v>2792</v>
      </c>
      <c r="C1149" s="527">
        <v>871.0</v>
      </c>
      <c r="D1149" s="545" t="s">
        <v>3367</v>
      </c>
      <c r="E1149" s="546">
        <v>2.0</v>
      </c>
      <c r="F1149" s="586" t="s">
        <v>981</v>
      </c>
      <c r="G1149" s="545"/>
    </row>
    <row r="1150">
      <c r="A1150" s="600">
        <v>45980.0</v>
      </c>
      <c r="B1150" s="514" t="s">
        <v>2792</v>
      </c>
      <c r="C1150" s="539">
        <v>872.0</v>
      </c>
      <c r="D1150" s="550" t="s">
        <v>623</v>
      </c>
      <c r="E1150" s="561">
        <v>100.0</v>
      </c>
      <c r="F1150" s="560" t="s">
        <v>34</v>
      </c>
      <c r="G1150" s="550"/>
    </row>
    <row r="1151">
      <c r="A1151" s="601">
        <v>45980.0</v>
      </c>
      <c r="B1151" s="520" t="s">
        <v>2792</v>
      </c>
      <c r="C1151" s="527">
        <v>872.0</v>
      </c>
      <c r="D1151" s="545" t="s">
        <v>3209</v>
      </c>
      <c r="E1151" s="546">
        <v>100.0</v>
      </c>
      <c r="F1151" s="586" t="s">
        <v>34</v>
      </c>
      <c r="G1151" s="545"/>
    </row>
    <row r="1152">
      <c r="A1152" s="600">
        <v>45980.0</v>
      </c>
      <c r="B1152" s="514" t="s">
        <v>2792</v>
      </c>
      <c r="C1152" s="539">
        <v>872.0</v>
      </c>
      <c r="D1152" s="550" t="s">
        <v>3210</v>
      </c>
      <c r="E1152" s="561">
        <v>100.0</v>
      </c>
      <c r="F1152" s="560" t="s">
        <v>34</v>
      </c>
      <c r="G1152" s="550"/>
    </row>
    <row r="1153">
      <c r="A1153" s="601">
        <v>45980.0</v>
      </c>
      <c r="B1153" s="520" t="s">
        <v>2792</v>
      </c>
      <c r="C1153" s="527">
        <v>872.0</v>
      </c>
      <c r="D1153" s="545" t="s">
        <v>3211</v>
      </c>
      <c r="E1153" s="546">
        <v>100.0</v>
      </c>
      <c r="F1153" s="586" t="s">
        <v>34</v>
      </c>
      <c r="G1153" s="545"/>
    </row>
    <row r="1154">
      <c r="A1154" s="600">
        <v>45980.0</v>
      </c>
      <c r="B1154" s="514" t="s">
        <v>2792</v>
      </c>
      <c r="C1154" s="539">
        <v>872.0</v>
      </c>
      <c r="D1154" s="550" t="s">
        <v>3368</v>
      </c>
      <c r="E1154" s="561">
        <v>40.0</v>
      </c>
      <c r="F1154" s="560" t="s">
        <v>156</v>
      </c>
      <c r="G1154" s="550"/>
    </row>
    <row r="1155">
      <c r="A1155" s="601">
        <v>45980.0</v>
      </c>
      <c r="B1155" s="520" t="s">
        <v>2792</v>
      </c>
      <c r="C1155" s="527">
        <v>872.0</v>
      </c>
      <c r="D1155" s="545" t="s">
        <v>1867</v>
      </c>
      <c r="E1155" s="546">
        <v>15.0</v>
      </c>
      <c r="F1155" s="586" t="s">
        <v>156</v>
      </c>
      <c r="G1155" s="545"/>
    </row>
    <row r="1156">
      <c r="A1156" s="600">
        <v>45980.0</v>
      </c>
      <c r="B1156" s="514" t="s">
        <v>2792</v>
      </c>
      <c r="C1156" s="539">
        <v>872.0</v>
      </c>
      <c r="D1156" s="550" t="s">
        <v>1367</v>
      </c>
      <c r="E1156" s="561">
        <v>5.0</v>
      </c>
      <c r="F1156" s="560" t="s">
        <v>156</v>
      </c>
      <c r="G1156" s="550"/>
    </row>
    <row r="1157">
      <c r="A1157" s="601">
        <v>45980.0</v>
      </c>
      <c r="B1157" s="520" t="s">
        <v>2792</v>
      </c>
      <c r="C1157" s="527">
        <v>872.0</v>
      </c>
      <c r="D1157" s="545" t="s">
        <v>3369</v>
      </c>
      <c r="E1157" s="546">
        <v>5.0</v>
      </c>
      <c r="F1157" s="586" t="s">
        <v>156</v>
      </c>
      <c r="G1157" s="545"/>
    </row>
    <row r="1158">
      <c r="A1158" s="600">
        <v>45980.0</v>
      </c>
      <c r="B1158" s="514" t="s">
        <v>2792</v>
      </c>
      <c r="C1158" s="539">
        <v>872.0</v>
      </c>
      <c r="D1158" s="550" t="s">
        <v>3370</v>
      </c>
      <c r="E1158" s="561">
        <v>5.0</v>
      </c>
      <c r="F1158" s="560" t="s">
        <v>156</v>
      </c>
      <c r="G1158" s="550"/>
    </row>
    <row r="1159">
      <c r="A1159" s="601">
        <v>45980.0</v>
      </c>
      <c r="B1159" s="520" t="s">
        <v>2792</v>
      </c>
      <c r="C1159" s="527">
        <v>872.0</v>
      </c>
      <c r="D1159" s="545" t="s">
        <v>3371</v>
      </c>
      <c r="E1159" s="546">
        <v>2.0</v>
      </c>
      <c r="F1159" s="586" t="s">
        <v>156</v>
      </c>
      <c r="G1159" s="545"/>
    </row>
    <row r="1160">
      <c r="A1160" s="600">
        <v>45984.0</v>
      </c>
      <c r="B1160" s="514" t="s">
        <v>2792</v>
      </c>
      <c r="C1160" s="539">
        <v>873.0</v>
      </c>
      <c r="D1160" s="550" t="s">
        <v>3372</v>
      </c>
      <c r="E1160" s="561">
        <v>20.0</v>
      </c>
      <c r="F1160" s="560" t="s">
        <v>156</v>
      </c>
      <c r="G1160" s="550"/>
    </row>
    <row r="1161">
      <c r="A1161" s="601">
        <v>45984.0</v>
      </c>
      <c r="B1161" s="520" t="s">
        <v>2792</v>
      </c>
      <c r="C1161" s="527">
        <v>873.0</v>
      </c>
      <c r="D1161" s="545" t="s">
        <v>3373</v>
      </c>
      <c r="E1161" s="546">
        <v>42.0</v>
      </c>
      <c r="F1161" s="586" t="s">
        <v>156</v>
      </c>
      <c r="G1161" s="545"/>
    </row>
    <row r="1162">
      <c r="A1162" s="600">
        <v>45984.0</v>
      </c>
      <c r="B1162" s="514" t="s">
        <v>2792</v>
      </c>
      <c r="C1162" s="539">
        <v>873.0</v>
      </c>
      <c r="D1162" s="550" t="s">
        <v>3374</v>
      </c>
      <c r="E1162" s="561">
        <v>15.0</v>
      </c>
      <c r="F1162" s="560" t="s">
        <v>156</v>
      </c>
      <c r="G1162" s="550"/>
    </row>
    <row r="1163">
      <c r="A1163" s="601">
        <v>45984.0</v>
      </c>
      <c r="B1163" s="520" t="s">
        <v>2792</v>
      </c>
      <c r="C1163" s="527">
        <v>873.0</v>
      </c>
      <c r="D1163" s="545" t="s">
        <v>3375</v>
      </c>
      <c r="E1163" s="546">
        <v>10.0</v>
      </c>
      <c r="F1163" s="586" t="s">
        <v>1478</v>
      </c>
      <c r="G1163" s="545"/>
    </row>
    <row r="1164">
      <c r="A1164" s="600">
        <v>45984.0</v>
      </c>
      <c r="B1164" s="514" t="s">
        <v>2792</v>
      </c>
      <c r="C1164" s="539">
        <v>873.0</v>
      </c>
      <c r="D1164" s="550" t="s">
        <v>3376</v>
      </c>
      <c r="E1164" s="561">
        <v>10.0</v>
      </c>
      <c r="F1164" s="560" t="s">
        <v>156</v>
      </c>
      <c r="G1164" s="550"/>
    </row>
    <row r="1165">
      <c r="A1165" s="601">
        <v>45984.0</v>
      </c>
      <c r="B1165" s="520" t="s">
        <v>2792</v>
      </c>
      <c r="C1165" s="527">
        <v>873.0</v>
      </c>
      <c r="D1165" s="545" t="s">
        <v>736</v>
      </c>
      <c r="E1165" s="546">
        <v>20.0</v>
      </c>
      <c r="F1165" s="586" t="s">
        <v>156</v>
      </c>
      <c r="G1165" s="545"/>
    </row>
    <row r="1166">
      <c r="A1166" s="600">
        <v>45984.0</v>
      </c>
      <c r="B1166" s="514" t="s">
        <v>2792</v>
      </c>
      <c r="C1166" s="539">
        <v>873.0</v>
      </c>
      <c r="D1166" s="550" t="s">
        <v>3377</v>
      </c>
      <c r="E1166" s="561">
        <v>10.0</v>
      </c>
      <c r="F1166" s="560" t="s">
        <v>156</v>
      </c>
      <c r="G1166" s="550"/>
    </row>
    <row r="1167">
      <c r="A1167" s="601">
        <v>45986.0</v>
      </c>
      <c r="B1167" s="520" t="s">
        <v>2792</v>
      </c>
      <c r="C1167" s="527">
        <v>874.0</v>
      </c>
      <c r="D1167" s="545" t="s">
        <v>3378</v>
      </c>
      <c r="E1167" s="546">
        <v>50.0</v>
      </c>
      <c r="F1167" s="586" t="s">
        <v>1478</v>
      </c>
      <c r="G1167" s="545"/>
    </row>
    <row r="1168">
      <c r="A1168" s="600">
        <v>45986.0</v>
      </c>
      <c r="B1168" s="514" t="s">
        <v>2792</v>
      </c>
      <c r="C1168" s="539">
        <v>875.0</v>
      </c>
      <c r="D1168" s="550" t="s">
        <v>1732</v>
      </c>
      <c r="E1168" s="561">
        <v>15.0</v>
      </c>
      <c r="F1168" s="560" t="s">
        <v>156</v>
      </c>
      <c r="G1168" s="550"/>
    </row>
    <row r="1169">
      <c r="A1169" s="601">
        <v>45986.0</v>
      </c>
      <c r="B1169" s="520" t="s">
        <v>2792</v>
      </c>
      <c r="C1169" s="527">
        <v>875.0</v>
      </c>
      <c r="D1169" s="545" t="s">
        <v>3379</v>
      </c>
      <c r="E1169" s="546">
        <v>5.0</v>
      </c>
      <c r="F1169" s="586" t="s">
        <v>156</v>
      </c>
      <c r="G1169" s="545"/>
    </row>
    <row r="1170">
      <c r="A1170" s="600">
        <v>45986.0</v>
      </c>
      <c r="B1170" s="514" t="s">
        <v>2792</v>
      </c>
      <c r="C1170" s="539">
        <v>875.0</v>
      </c>
      <c r="D1170" s="550" t="s">
        <v>3380</v>
      </c>
      <c r="E1170" s="561">
        <v>1.0</v>
      </c>
      <c r="F1170" s="560" t="s">
        <v>89</v>
      </c>
      <c r="G1170" s="550"/>
    </row>
    <row r="1171">
      <c r="A1171" s="601">
        <v>45986.0</v>
      </c>
      <c r="B1171" s="520" t="s">
        <v>2792</v>
      </c>
      <c r="C1171" s="527">
        <v>875.0</v>
      </c>
      <c r="D1171" s="545" t="s">
        <v>3381</v>
      </c>
      <c r="E1171" s="546">
        <v>1.0</v>
      </c>
      <c r="F1171" s="586" t="s">
        <v>89</v>
      </c>
      <c r="G1171" s="545"/>
    </row>
    <row r="1172">
      <c r="A1172" s="600">
        <v>45986.0</v>
      </c>
      <c r="B1172" s="514" t="s">
        <v>2792</v>
      </c>
      <c r="C1172" s="539">
        <v>875.0</v>
      </c>
      <c r="D1172" s="550" t="s">
        <v>3382</v>
      </c>
      <c r="E1172" s="561">
        <v>1.0</v>
      </c>
      <c r="F1172" s="560" t="s">
        <v>89</v>
      </c>
      <c r="G1172" s="550"/>
    </row>
    <row r="1173">
      <c r="A1173" s="601">
        <v>45986.0</v>
      </c>
      <c r="B1173" s="520" t="s">
        <v>2792</v>
      </c>
      <c r="C1173" s="527">
        <v>875.0</v>
      </c>
      <c r="D1173" s="545" t="s">
        <v>3383</v>
      </c>
      <c r="E1173" s="546">
        <v>1.0</v>
      </c>
      <c r="F1173" s="586" t="s">
        <v>89</v>
      </c>
      <c r="G1173" s="545"/>
    </row>
    <row r="1174">
      <c r="A1174" s="600">
        <v>45986.0</v>
      </c>
      <c r="B1174" s="514" t="s">
        <v>2792</v>
      </c>
      <c r="C1174" s="539">
        <v>875.0</v>
      </c>
      <c r="D1174" s="550" t="s">
        <v>3384</v>
      </c>
      <c r="E1174" s="561">
        <v>1.0</v>
      </c>
      <c r="F1174" s="560" t="s">
        <v>89</v>
      </c>
      <c r="G1174" s="550"/>
    </row>
    <row r="1175">
      <c r="A1175" s="601">
        <v>45986.0</v>
      </c>
      <c r="B1175" s="520" t="s">
        <v>2792</v>
      </c>
      <c r="C1175" s="527">
        <v>875.0</v>
      </c>
      <c r="D1175" s="545" t="s">
        <v>3385</v>
      </c>
      <c r="E1175" s="546">
        <v>1.0</v>
      </c>
      <c r="F1175" s="586" t="s">
        <v>89</v>
      </c>
      <c r="G1175" s="545"/>
    </row>
    <row r="1176">
      <c r="A1176" s="600">
        <v>45986.0</v>
      </c>
      <c r="B1176" s="514" t="s">
        <v>2792</v>
      </c>
      <c r="C1176" s="539">
        <v>875.0</v>
      </c>
      <c r="D1176" s="550" t="s">
        <v>3386</v>
      </c>
      <c r="E1176" s="561">
        <v>180.0</v>
      </c>
      <c r="F1176" s="560" t="s">
        <v>74</v>
      </c>
      <c r="G1176" s="550"/>
    </row>
    <row r="1177">
      <c r="A1177" s="601">
        <v>45986.0</v>
      </c>
      <c r="B1177" s="520" t="s">
        <v>2792</v>
      </c>
      <c r="C1177" s="527">
        <v>875.0</v>
      </c>
      <c r="D1177" s="545" t="s">
        <v>3387</v>
      </c>
      <c r="E1177" s="546">
        <v>70.0</v>
      </c>
      <c r="F1177" s="586" t="s">
        <v>74</v>
      </c>
      <c r="G1177" s="545"/>
    </row>
    <row r="1178">
      <c r="A1178" s="600">
        <v>45988.0</v>
      </c>
      <c r="B1178" s="514" t="s">
        <v>2792</v>
      </c>
      <c r="C1178" s="539">
        <v>876.0</v>
      </c>
      <c r="D1178" s="550" t="s">
        <v>3388</v>
      </c>
      <c r="E1178" s="561">
        <v>3.0</v>
      </c>
      <c r="F1178" s="560" t="s">
        <v>156</v>
      </c>
      <c r="G1178" s="550"/>
    </row>
    <row r="1179">
      <c r="A1179" s="601">
        <v>45994.0</v>
      </c>
      <c r="B1179" s="520" t="s">
        <v>2792</v>
      </c>
      <c r="C1179" s="527">
        <v>877.0</v>
      </c>
      <c r="D1179" s="545" t="s">
        <v>3389</v>
      </c>
      <c r="E1179" s="546">
        <v>1.0</v>
      </c>
      <c r="F1179" s="586" t="s">
        <v>89</v>
      </c>
      <c r="G1179" s="545"/>
    </row>
    <row r="1180">
      <c r="A1180" s="600">
        <v>45994.0</v>
      </c>
      <c r="B1180" s="514" t="s">
        <v>2792</v>
      </c>
      <c r="C1180" s="539">
        <v>877.0</v>
      </c>
      <c r="D1180" s="550" t="s">
        <v>3390</v>
      </c>
      <c r="E1180" s="561">
        <v>1.0</v>
      </c>
      <c r="F1180" s="560" t="s">
        <v>89</v>
      </c>
      <c r="G1180" s="550"/>
    </row>
    <row r="1181">
      <c r="A1181" s="601">
        <v>45994.0</v>
      </c>
      <c r="B1181" s="520" t="s">
        <v>2792</v>
      </c>
      <c r="C1181" s="527">
        <v>877.0</v>
      </c>
      <c r="D1181" s="545" t="s">
        <v>1778</v>
      </c>
      <c r="E1181" s="546">
        <v>1.0</v>
      </c>
      <c r="F1181" s="586" t="s">
        <v>89</v>
      </c>
      <c r="G1181" s="545"/>
    </row>
    <row r="1182">
      <c r="A1182" s="600">
        <v>45994.0</v>
      </c>
      <c r="B1182" s="514" t="s">
        <v>2792</v>
      </c>
      <c r="C1182" s="539">
        <v>877.0</v>
      </c>
      <c r="D1182" s="550" t="s">
        <v>3391</v>
      </c>
      <c r="E1182" s="561">
        <v>1.0</v>
      </c>
      <c r="F1182" s="560" t="s">
        <v>89</v>
      </c>
      <c r="G1182" s="550"/>
    </row>
    <row r="1183">
      <c r="A1183" s="601">
        <v>45994.0</v>
      </c>
      <c r="B1183" s="520" t="s">
        <v>2792</v>
      </c>
      <c r="C1183" s="527">
        <v>877.0</v>
      </c>
      <c r="D1183" s="545" t="s">
        <v>1629</v>
      </c>
      <c r="E1183" s="546">
        <v>8.0</v>
      </c>
      <c r="F1183" s="586" t="s">
        <v>89</v>
      </c>
      <c r="G1183" s="545"/>
    </row>
    <row r="1184">
      <c r="A1184" s="600">
        <v>45994.0</v>
      </c>
      <c r="B1184" s="514" t="s">
        <v>2792</v>
      </c>
      <c r="C1184" s="539">
        <v>877.0</v>
      </c>
      <c r="D1184" s="550" t="s">
        <v>609</v>
      </c>
      <c r="E1184" s="561">
        <v>1.0</v>
      </c>
      <c r="F1184" s="560" t="s">
        <v>89</v>
      </c>
      <c r="G1184" s="550"/>
    </row>
    <row r="1185">
      <c r="A1185" s="601">
        <v>45994.0</v>
      </c>
      <c r="B1185" s="520" t="s">
        <v>2792</v>
      </c>
      <c r="C1185" s="527">
        <v>878.0</v>
      </c>
      <c r="D1185" s="545" t="s">
        <v>1906</v>
      </c>
      <c r="E1185" s="546">
        <v>1.0</v>
      </c>
      <c r="F1185" s="586" t="s">
        <v>89</v>
      </c>
      <c r="G1185" s="545"/>
    </row>
    <row r="1186">
      <c r="A1186" s="600">
        <v>45994.0</v>
      </c>
      <c r="B1186" s="514" t="s">
        <v>2792</v>
      </c>
      <c r="C1186" s="539">
        <v>878.0</v>
      </c>
      <c r="D1186" s="550" t="s">
        <v>1907</v>
      </c>
      <c r="E1186" s="561">
        <v>9.0</v>
      </c>
      <c r="F1186" s="560" t="s">
        <v>89</v>
      </c>
      <c r="G1186" s="550"/>
    </row>
    <row r="1187">
      <c r="A1187" s="601">
        <v>45994.0</v>
      </c>
      <c r="B1187" s="520" t="s">
        <v>2792</v>
      </c>
      <c r="C1187" s="527">
        <v>878.0</v>
      </c>
      <c r="D1187" s="545" t="s">
        <v>1909</v>
      </c>
      <c r="E1187" s="546">
        <v>10.0</v>
      </c>
      <c r="F1187" s="586" t="s">
        <v>405</v>
      </c>
      <c r="G1187" s="545"/>
    </row>
    <row r="1188">
      <c r="A1188" s="600">
        <v>45994.0</v>
      </c>
      <c r="B1188" s="514" t="s">
        <v>2792</v>
      </c>
      <c r="C1188" s="539">
        <v>878.0</v>
      </c>
      <c r="D1188" s="550" t="s">
        <v>3392</v>
      </c>
      <c r="E1188" s="561">
        <v>2.0</v>
      </c>
      <c r="F1188" s="560" t="s">
        <v>156</v>
      </c>
      <c r="G1188" s="550"/>
    </row>
    <row r="1189">
      <c r="A1189" s="601">
        <v>45994.0</v>
      </c>
      <c r="B1189" s="520" t="s">
        <v>2792</v>
      </c>
      <c r="C1189" s="527">
        <v>878.0</v>
      </c>
      <c r="D1189" s="545" t="s">
        <v>3393</v>
      </c>
      <c r="E1189" s="546">
        <v>1.0</v>
      </c>
      <c r="F1189" s="586" t="s">
        <v>89</v>
      </c>
      <c r="G1189" s="545"/>
    </row>
    <row r="1190">
      <c r="A1190" s="600">
        <v>45994.0</v>
      </c>
      <c r="B1190" s="514" t="s">
        <v>2792</v>
      </c>
      <c r="C1190" s="539">
        <v>878.0</v>
      </c>
      <c r="D1190" s="550" t="s">
        <v>3394</v>
      </c>
      <c r="E1190" s="561">
        <v>1.0</v>
      </c>
      <c r="F1190" s="560" t="s">
        <v>89</v>
      </c>
      <c r="G1190" s="550"/>
    </row>
    <row r="1191">
      <c r="A1191" s="601">
        <v>45994.0</v>
      </c>
      <c r="B1191" s="520" t="s">
        <v>2792</v>
      </c>
      <c r="C1191" s="527">
        <v>878.0</v>
      </c>
      <c r="D1191" s="545" t="s">
        <v>3395</v>
      </c>
      <c r="E1191" s="546">
        <v>2.0</v>
      </c>
      <c r="F1191" s="586" t="s">
        <v>89</v>
      </c>
      <c r="G1191" s="545"/>
    </row>
    <row r="1192">
      <c r="A1192" s="600">
        <v>45997.0</v>
      </c>
      <c r="B1192" s="514" t="s">
        <v>2792</v>
      </c>
      <c r="C1192" s="539">
        <v>879.0</v>
      </c>
      <c r="D1192" s="550" t="s">
        <v>119</v>
      </c>
      <c r="E1192" s="561">
        <v>10.0</v>
      </c>
      <c r="F1192" s="560" t="s">
        <v>1673</v>
      </c>
      <c r="G1192" s="550"/>
    </row>
    <row r="1193">
      <c r="A1193" s="601">
        <v>45997.0</v>
      </c>
      <c r="B1193" s="520" t="s">
        <v>2792</v>
      </c>
      <c r="C1193" s="527">
        <v>879.0</v>
      </c>
      <c r="D1193" s="545" t="s">
        <v>1914</v>
      </c>
      <c r="E1193" s="546">
        <v>10.0</v>
      </c>
      <c r="F1193" s="586" t="s">
        <v>165</v>
      </c>
      <c r="G1193" s="545"/>
    </row>
    <row r="1194">
      <c r="A1194" s="600">
        <v>45997.0</v>
      </c>
      <c r="B1194" s="514" t="s">
        <v>2792</v>
      </c>
      <c r="C1194" s="539">
        <v>879.0</v>
      </c>
      <c r="D1194" s="550" t="s">
        <v>3089</v>
      </c>
      <c r="E1194" s="561">
        <v>10.0</v>
      </c>
      <c r="F1194" s="560" t="s">
        <v>156</v>
      </c>
      <c r="G1194" s="550"/>
    </row>
    <row r="1195">
      <c r="A1195" s="601">
        <v>45997.0</v>
      </c>
      <c r="B1195" s="520" t="s">
        <v>2792</v>
      </c>
      <c r="C1195" s="527">
        <v>879.0</v>
      </c>
      <c r="D1195" s="545" t="s">
        <v>54</v>
      </c>
      <c r="E1195" s="546">
        <v>40.0</v>
      </c>
      <c r="F1195" s="586" t="s">
        <v>156</v>
      </c>
      <c r="G1195" s="545"/>
    </row>
    <row r="1196">
      <c r="A1196" s="600">
        <v>45997.0</v>
      </c>
      <c r="B1196" s="514" t="s">
        <v>2792</v>
      </c>
      <c r="C1196" s="539">
        <v>879.0</v>
      </c>
      <c r="D1196" s="550" t="s">
        <v>404</v>
      </c>
      <c r="E1196" s="561">
        <v>12.0</v>
      </c>
      <c r="F1196" s="560" t="s">
        <v>405</v>
      </c>
      <c r="G1196" s="550"/>
    </row>
    <row r="1197">
      <c r="A1197" s="601">
        <v>46003.0</v>
      </c>
      <c r="B1197" s="520" t="s">
        <v>2792</v>
      </c>
      <c r="C1197" s="527">
        <v>882.0</v>
      </c>
      <c r="D1197" s="545" t="s">
        <v>3396</v>
      </c>
      <c r="E1197" s="546">
        <v>30.0</v>
      </c>
      <c r="F1197" s="586" t="s">
        <v>156</v>
      </c>
      <c r="G1197" s="545"/>
    </row>
    <row r="1198">
      <c r="A1198" s="600">
        <v>46003.0</v>
      </c>
      <c r="B1198" s="514" t="s">
        <v>2792</v>
      </c>
      <c r="C1198" s="539">
        <v>882.0</v>
      </c>
      <c r="D1198" s="550" t="s">
        <v>541</v>
      </c>
      <c r="E1198" s="561">
        <v>30.0</v>
      </c>
      <c r="F1198" s="560" t="s">
        <v>156</v>
      </c>
      <c r="G1198" s="550"/>
    </row>
    <row r="1199">
      <c r="A1199" s="601">
        <v>46003.0</v>
      </c>
      <c r="B1199" s="520" t="s">
        <v>2792</v>
      </c>
      <c r="C1199" s="527">
        <v>882.0</v>
      </c>
      <c r="D1199" s="545" t="s">
        <v>3397</v>
      </c>
      <c r="E1199" s="546">
        <v>10.0</v>
      </c>
      <c r="F1199" s="586" t="s">
        <v>39</v>
      </c>
      <c r="G1199" s="545"/>
    </row>
    <row r="1200">
      <c r="A1200" s="600">
        <v>46003.0</v>
      </c>
      <c r="B1200" s="514" t="s">
        <v>2792</v>
      </c>
      <c r="C1200" s="539">
        <v>882.0</v>
      </c>
      <c r="D1200" s="550" t="s">
        <v>3398</v>
      </c>
      <c r="E1200" s="561">
        <v>10.0</v>
      </c>
      <c r="F1200" s="560" t="s">
        <v>156</v>
      </c>
      <c r="G1200" s="550"/>
    </row>
    <row r="1201">
      <c r="A1201" s="601">
        <v>46005.0</v>
      </c>
      <c r="B1201" s="520" t="s">
        <v>2792</v>
      </c>
      <c r="C1201" s="527">
        <v>884.0</v>
      </c>
      <c r="D1201" s="545" t="s">
        <v>3399</v>
      </c>
      <c r="E1201" s="546">
        <v>1.0</v>
      </c>
      <c r="F1201" s="586" t="s">
        <v>89</v>
      </c>
      <c r="G1201" s="545"/>
    </row>
    <row r="1202">
      <c r="A1202" s="600">
        <v>46005.0</v>
      </c>
      <c r="B1202" s="514" t="s">
        <v>2792</v>
      </c>
      <c r="C1202" s="539">
        <v>884.0</v>
      </c>
      <c r="D1202" s="550" t="s">
        <v>3400</v>
      </c>
      <c r="E1202" s="561">
        <v>1.0</v>
      </c>
      <c r="F1202" s="560" t="s">
        <v>89</v>
      </c>
      <c r="G1202" s="550"/>
    </row>
    <row r="1203">
      <c r="A1203" s="601">
        <v>46005.0</v>
      </c>
      <c r="B1203" s="520" t="s">
        <v>2792</v>
      </c>
      <c r="C1203" s="527">
        <v>884.0</v>
      </c>
      <c r="D1203" s="545" t="s">
        <v>3072</v>
      </c>
      <c r="E1203" s="546">
        <v>2.0</v>
      </c>
      <c r="F1203" s="586" t="s">
        <v>156</v>
      </c>
      <c r="G1203" s="545"/>
    </row>
    <row r="1204">
      <c r="A1204" s="600">
        <v>46015.0</v>
      </c>
      <c r="B1204" s="514" t="s">
        <v>2792</v>
      </c>
      <c r="C1204" s="539">
        <v>887.0</v>
      </c>
      <c r="D1204" s="550" t="s">
        <v>3401</v>
      </c>
      <c r="E1204" s="561">
        <v>25.0</v>
      </c>
      <c r="F1204" s="560" t="s">
        <v>654</v>
      </c>
      <c r="G1204" s="550"/>
    </row>
    <row r="1205">
      <c r="A1205" s="601">
        <v>46015.0</v>
      </c>
      <c r="B1205" s="520" t="s">
        <v>2792</v>
      </c>
      <c r="C1205" s="527">
        <v>887.0</v>
      </c>
      <c r="D1205" s="545" t="s">
        <v>352</v>
      </c>
      <c r="E1205" s="546">
        <v>50.0</v>
      </c>
      <c r="F1205" s="586" t="s">
        <v>654</v>
      </c>
      <c r="G1205" s="545"/>
    </row>
    <row r="1206">
      <c r="A1206" s="600">
        <v>46015.0</v>
      </c>
      <c r="B1206" s="514" t="s">
        <v>2792</v>
      </c>
      <c r="C1206" s="539">
        <v>887.0</v>
      </c>
      <c r="D1206" s="550" t="s">
        <v>351</v>
      </c>
      <c r="E1206" s="561">
        <v>100.0</v>
      </c>
      <c r="F1206" s="560" t="s">
        <v>654</v>
      </c>
      <c r="G1206" s="550"/>
    </row>
    <row r="1207">
      <c r="A1207" s="601">
        <v>46015.0</v>
      </c>
      <c r="B1207" s="520" t="s">
        <v>2792</v>
      </c>
      <c r="C1207" s="527">
        <v>887.0</v>
      </c>
      <c r="D1207" s="545" t="s">
        <v>350</v>
      </c>
      <c r="E1207" s="546">
        <v>100.0</v>
      </c>
      <c r="F1207" s="586" t="s">
        <v>654</v>
      </c>
      <c r="G1207" s="545"/>
    </row>
    <row r="1208">
      <c r="A1208" s="600">
        <v>46015.0</v>
      </c>
      <c r="B1208" s="514" t="s">
        <v>2792</v>
      </c>
      <c r="C1208" s="539">
        <v>887.0</v>
      </c>
      <c r="D1208" s="550" t="s">
        <v>349</v>
      </c>
      <c r="E1208" s="561">
        <v>100.0</v>
      </c>
      <c r="F1208" s="560" t="s">
        <v>654</v>
      </c>
      <c r="G1208" s="550"/>
    </row>
    <row r="1209">
      <c r="A1209" s="601">
        <v>46015.0</v>
      </c>
      <c r="B1209" s="520" t="s">
        <v>2792</v>
      </c>
      <c r="C1209" s="527">
        <v>887.0</v>
      </c>
      <c r="D1209" s="545" t="s">
        <v>119</v>
      </c>
      <c r="E1209" s="546">
        <v>5.0</v>
      </c>
      <c r="F1209" s="586" t="s">
        <v>25</v>
      </c>
      <c r="G1209" s="545"/>
    </row>
    <row r="1210">
      <c r="A1210" s="600">
        <v>46015.0</v>
      </c>
      <c r="B1210" s="514" t="s">
        <v>2792</v>
      </c>
      <c r="C1210" s="539">
        <v>888.0</v>
      </c>
      <c r="D1210" s="550" t="s">
        <v>3402</v>
      </c>
      <c r="E1210" s="561">
        <v>1.0</v>
      </c>
      <c r="F1210" s="560" t="s">
        <v>156</v>
      </c>
      <c r="G1210" s="550"/>
    </row>
    <row r="1211">
      <c r="A1211" s="601">
        <v>46024.0</v>
      </c>
      <c r="B1211" s="520" t="s">
        <v>2792</v>
      </c>
      <c r="C1211" s="527">
        <v>891.0</v>
      </c>
      <c r="D1211" s="545" t="s">
        <v>1189</v>
      </c>
      <c r="E1211" s="546">
        <v>60.0</v>
      </c>
      <c r="F1211" s="586" t="s">
        <v>981</v>
      </c>
      <c r="G1211" s="545"/>
    </row>
    <row r="1212">
      <c r="A1212" s="600">
        <v>46024.0</v>
      </c>
      <c r="B1212" s="514" t="s">
        <v>2792</v>
      </c>
      <c r="C1212" s="539">
        <v>891.0</v>
      </c>
      <c r="D1212" s="550" t="s">
        <v>471</v>
      </c>
      <c r="E1212" s="561">
        <v>32.0</v>
      </c>
      <c r="F1212" s="560" t="s">
        <v>156</v>
      </c>
      <c r="G1212" s="550"/>
    </row>
    <row r="1213">
      <c r="A1213" s="601">
        <v>46024.0</v>
      </c>
      <c r="B1213" s="520" t="s">
        <v>2792</v>
      </c>
      <c r="C1213" s="527">
        <v>891.0</v>
      </c>
      <c r="D1213" s="545" t="s">
        <v>470</v>
      </c>
      <c r="E1213" s="546">
        <v>32.0</v>
      </c>
      <c r="F1213" s="586" t="s">
        <v>156</v>
      </c>
      <c r="G1213" s="545"/>
    </row>
    <row r="1214">
      <c r="A1214" s="600">
        <v>46024.0</v>
      </c>
      <c r="B1214" s="514" t="s">
        <v>2792</v>
      </c>
      <c r="C1214" s="539">
        <v>891.0</v>
      </c>
      <c r="D1214" s="550" t="s">
        <v>518</v>
      </c>
      <c r="E1214" s="561">
        <v>7.0</v>
      </c>
      <c r="F1214" s="560" t="s">
        <v>156</v>
      </c>
      <c r="G1214" s="550"/>
    </row>
    <row r="1215">
      <c r="A1215" s="601">
        <v>46024.0</v>
      </c>
      <c r="B1215" s="520" t="s">
        <v>2792</v>
      </c>
      <c r="C1215" s="527">
        <v>891.0</v>
      </c>
      <c r="D1215" s="545" t="s">
        <v>275</v>
      </c>
      <c r="E1215" s="546">
        <v>630.0</v>
      </c>
      <c r="F1215" s="586" t="s">
        <v>74</v>
      </c>
      <c r="G1215" s="545"/>
    </row>
    <row r="1216">
      <c r="A1216" s="600">
        <v>46024.0</v>
      </c>
      <c r="B1216" s="514" t="s">
        <v>2792</v>
      </c>
      <c r="C1216" s="539">
        <v>891.0</v>
      </c>
      <c r="D1216" s="550" t="s">
        <v>3403</v>
      </c>
      <c r="E1216" s="561">
        <v>200.0</v>
      </c>
      <c r="F1216" s="560" t="s">
        <v>156</v>
      </c>
      <c r="G1216" s="550"/>
    </row>
    <row r="1217">
      <c r="A1217" s="601">
        <v>46024.0</v>
      </c>
      <c r="B1217" s="520" t="s">
        <v>2792</v>
      </c>
      <c r="C1217" s="527">
        <v>891.0</v>
      </c>
      <c r="D1217" s="545" t="s">
        <v>3404</v>
      </c>
      <c r="E1217" s="546">
        <v>200.0</v>
      </c>
      <c r="F1217" s="586" t="s">
        <v>156</v>
      </c>
      <c r="G1217" s="545"/>
    </row>
    <row r="1218">
      <c r="A1218" s="600">
        <v>46024.0</v>
      </c>
      <c r="B1218" s="514" t="s">
        <v>2792</v>
      </c>
      <c r="C1218" s="539">
        <v>891.0</v>
      </c>
      <c r="D1218" s="550" t="s">
        <v>3405</v>
      </c>
      <c r="E1218" s="561">
        <v>200.0</v>
      </c>
      <c r="F1218" s="560" t="s">
        <v>156</v>
      </c>
      <c r="G1218" s="550"/>
    </row>
    <row r="1219">
      <c r="A1219" s="601">
        <v>46024.0</v>
      </c>
      <c r="B1219" s="520" t="s">
        <v>2792</v>
      </c>
      <c r="C1219" s="527">
        <v>891.0</v>
      </c>
      <c r="D1219" s="545" t="s">
        <v>3406</v>
      </c>
      <c r="E1219" s="546">
        <v>200.0</v>
      </c>
      <c r="F1219" s="586" t="s">
        <v>156</v>
      </c>
      <c r="G1219" s="545"/>
    </row>
    <row r="1220">
      <c r="A1220" s="600">
        <v>46024.0</v>
      </c>
      <c r="B1220" s="514" t="s">
        <v>2792</v>
      </c>
      <c r="C1220" s="539">
        <v>891.0</v>
      </c>
      <c r="D1220" s="550" t="s">
        <v>2320</v>
      </c>
      <c r="E1220" s="561">
        <v>2.0</v>
      </c>
      <c r="F1220" s="560" t="s">
        <v>39</v>
      </c>
      <c r="G1220" s="550"/>
    </row>
    <row r="1221">
      <c r="A1221" s="612">
        <v>46025.0</v>
      </c>
      <c r="B1221" s="520" t="s">
        <v>2792</v>
      </c>
      <c r="C1221" s="613">
        <v>1021.0</v>
      </c>
      <c r="D1221" s="520" t="s">
        <v>1909</v>
      </c>
      <c r="E1221" s="614">
        <v>20.0</v>
      </c>
      <c r="F1221" s="615" t="s">
        <v>405</v>
      </c>
      <c r="G1221" s="520"/>
    </row>
    <row r="1222">
      <c r="A1222" s="616">
        <v>46025.0</v>
      </c>
      <c r="B1222" s="514" t="s">
        <v>2792</v>
      </c>
      <c r="C1222" s="617">
        <v>1021.0</v>
      </c>
      <c r="D1222" s="514" t="s">
        <v>3407</v>
      </c>
      <c r="E1222" s="618">
        <v>20.0</v>
      </c>
      <c r="F1222" s="619" t="s">
        <v>156</v>
      </c>
      <c r="G1222" s="514"/>
    </row>
    <row r="1223">
      <c r="A1223" s="612">
        <v>46025.0</v>
      </c>
      <c r="B1223" s="520" t="s">
        <v>2792</v>
      </c>
      <c r="C1223" s="613">
        <v>1021.0</v>
      </c>
      <c r="D1223" s="520" t="s">
        <v>3408</v>
      </c>
      <c r="E1223" s="614">
        <v>15.0</v>
      </c>
      <c r="F1223" s="615" t="s">
        <v>3409</v>
      </c>
      <c r="G1223" s="520"/>
    </row>
    <row r="1224">
      <c r="A1224" s="616">
        <v>46025.0</v>
      </c>
      <c r="B1224" s="514" t="s">
        <v>2792</v>
      </c>
      <c r="C1224" s="617">
        <v>1021.0</v>
      </c>
      <c r="D1224" s="514" t="s">
        <v>3410</v>
      </c>
      <c r="E1224" s="618">
        <v>10.0</v>
      </c>
      <c r="F1224" s="619" t="s">
        <v>156</v>
      </c>
      <c r="G1224" s="514"/>
    </row>
    <row r="1225">
      <c r="A1225" s="612">
        <v>46025.0</v>
      </c>
      <c r="B1225" s="520" t="s">
        <v>2792</v>
      </c>
      <c r="C1225" s="613">
        <v>1021.0</v>
      </c>
      <c r="D1225" s="520" t="s">
        <v>3411</v>
      </c>
      <c r="E1225" s="614">
        <v>500.0</v>
      </c>
      <c r="F1225" s="615" t="s">
        <v>39</v>
      </c>
      <c r="G1225" s="520"/>
    </row>
    <row r="1226">
      <c r="A1226" s="616">
        <v>46025.0</v>
      </c>
      <c r="B1226" s="514" t="s">
        <v>2792</v>
      </c>
      <c r="C1226" s="617">
        <v>1021.0</v>
      </c>
      <c r="D1226" s="514" t="s">
        <v>3412</v>
      </c>
      <c r="E1226" s="618">
        <v>500.0</v>
      </c>
      <c r="F1226" s="619" t="s">
        <v>39</v>
      </c>
      <c r="G1226" s="514"/>
    </row>
    <row r="1227">
      <c r="A1227" s="612">
        <v>46025.0</v>
      </c>
      <c r="B1227" s="520" t="s">
        <v>2792</v>
      </c>
      <c r="C1227" s="613">
        <v>1021.0</v>
      </c>
      <c r="D1227" s="520" t="s">
        <v>3413</v>
      </c>
      <c r="E1227" s="614">
        <v>40.0</v>
      </c>
      <c r="F1227" s="615" t="s">
        <v>156</v>
      </c>
      <c r="G1227" s="620"/>
    </row>
    <row r="1228">
      <c r="A1228" s="616">
        <v>46025.0</v>
      </c>
      <c r="B1228" s="514" t="s">
        <v>2792</v>
      </c>
      <c r="C1228" s="617">
        <v>1021.0</v>
      </c>
      <c r="D1228" s="514" t="s">
        <v>3414</v>
      </c>
      <c r="E1228" s="618">
        <v>15.0</v>
      </c>
      <c r="F1228" s="619" t="s">
        <v>156</v>
      </c>
      <c r="G1228" s="621"/>
    </row>
    <row r="1229">
      <c r="A1229" s="612">
        <v>46025.0</v>
      </c>
      <c r="B1229" s="520" t="s">
        <v>2792</v>
      </c>
      <c r="C1229" s="613">
        <v>1021.0</v>
      </c>
      <c r="D1229" s="520" t="s">
        <v>3415</v>
      </c>
      <c r="E1229" s="614">
        <v>15.0</v>
      </c>
      <c r="F1229" s="615" t="s">
        <v>156</v>
      </c>
      <c r="G1229" s="620"/>
    </row>
    <row r="1230">
      <c r="A1230" s="616">
        <v>46025.0</v>
      </c>
      <c r="B1230" s="514" t="s">
        <v>2792</v>
      </c>
      <c r="C1230" s="617">
        <v>1022.0</v>
      </c>
      <c r="D1230" s="514" t="s">
        <v>2430</v>
      </c>
      <c r="E1230" s="618">
        <v>120.0</v>
      </c>
      <c r="F1230" s="619" t="s">
        <v>156</v>
      </c>
      <c r="G1230" s="514"/>
    </row>
    <row r="1231">
      <c r="A1231" s="612">
        <v>46025.0</v>
      </c>
      <c r="B1231" s="520" t="s">
        <v>2792</v>
      </c>
      <c r="C1231" s="613">
        <v>1022.0</v>
      </c>
      <c r="D1231" s="520" t="s">
        <v>3416</v>
      </c>
      <c r="E1231" s="614">
        <v>120.0</v>
      </c>
      <c r="F1231" s="615" t="s">
        <v>156</v>
      </c>
      <c r="G1231" s="520"/>
    </row>
    <row r="1232">
      <c r="A1232" s="616">
        <v>46025.0</v>
      </c>
      <c r="B1232" s="514" t="s">
        <v>2792</v>
      </c>
      <c r="C1232" s="617">
        <v>1022.0</v>
      </c>
      <c r="D1232" s="514" t="s">
        <v>461</v>
      </c>
      <c r="E1232" s="618">
        <v>30.0</v>
      </c>
      <c r="F1232" s="619" t="s">
        <v>156</v>
      </c>
      <c r="G1232" s="621"/>
    </row>
    <row r="1233">
      <c r="A1233" s="612">
        <v>46025.0</v>
      </c>
      <c r="B1233" s="520" t="s">
        <v>2792</v>
      </c>
      <c r="C1233" s="613">
        <v>1022.0</v>
      </c>
      <c r="D1233" s="520" t="s">
        <v>3417</v>
      </c>
      <c r="E1233" s="614">
        <v>4.0</v>
      </c>
      <c r="F1233" s="615" t="s">
        <v>156</v>
      </c>
      <c r="G1233" s="620"/>
    </row>
    <row r="1234">
      <c r="A1234" s="616">
        <v>46025.0</v>
      </c>
      <c r="B1234" s="514" t="s">
        <v>2792</v>
      </c>
      <c r="C1234" s="617">
        <v>1022.0</v>
      </c>
      <c r="D1234" s="514" t="s">
        <v>3418</v>
      </c>
      <c r="E1234" s="618">
        <v>1.0</v>
      </c>
      <c r="F1234" s="619" t="s">
        <v>89</v>
      </c>
      <c r="G1234" s="621"/>
    </row>
    <row r="1235">
      <c r="A1235" s="612">
        <v>46025.0</v>
      </c>
      <c r="B1235" s="520" t="s">
        <v>2792</v>
      </c>
      <c r="C1235" s="613">
        <v>1024.0</v>
      </c>
      <c r="D1235" s="520" t="s">
        <v>3419</v>
      </c>
      <c r="E1235" s="614">
        <v>6.0</v>
      </c>
      <c r="F1235" s="615" t="s">
        <v>156</v>
      </c>
      <c r="G1235" s="520"/>
    </row>
    <row r="1236">
      <c r="A1236" s="616">
        <v>46025.0</v>
      </c>
      <c r="B1236" s="514" t="s">
        <v>2792</v>
      </c>
      <c r="C1236" s="617">
        <v>1024.0</v>
      </c>
      <c r="D1236" s="514" t="s">
        <v>3420</v>
      </c>
      <c r="E1236" s="618">
        <v>4.0</v>
      </c>
      <c r="F1236" s="619" t="s">
        <v>156</v>
      </c>
      <c r="G1236" s="514"/>
    </row>
    <row r="1237">
      <c r="A1237" s="612">
        <v>46025.0</v>
      </c>
      <c r="B1237" s="520" t="s">
        <v>2792</v>
      </c>
      <c r="C1237" s="613">
        <v>1024.0</v>
      </c>
      <c r="D1237" s="520" t="s">
        <v>2446</v>
      </c>
      <c r="E1237" s="614">
        <v>2.0</v>
      </c>
      <c r="F1237" s="615" t="s">
        <v>156</v>
      </c>
      <c r="G1237" s="520"/>
    </row>
    <row r="1238">
      <c r="A1238" s="616">
        <v>46025.0</v>
      </c>
      <c r="B1238" s="514" t="s">
        <v>2792</v>
      </c>
      <c r="C1238" s="617">
        <v>1024.0</v>
      </c>
      <c r="D1238" s="514" t="s">
        <v>3421</v>
      </c>
      <c r="E1238" s="618">
        <v>2.0</v>
      </c>
      <c r="F1238" s="619" t="s">
        <v>156</v>
      </c>
      <c r="G1238" s="514"/>
    </row>
    <row r="1239">
      <c r="A1239" s="612">
        <v>46025.0</v>
      </c>
      <c r="B1239" s="520" t="s">
        <v>2792</v>
      </c>
      <c r="C1239" s="613">
        <v>1024.0</v>
      </c>
      <c r="D1239" s="520" t="s">
        <v>3422</v>
      </c>
      <c r="E1239" s="614">
        <v>3.0</v>
      </c>
      <c r="F1239" s="615" t="s">
        <v>156</v>
      </c>
      <c r="G1239" s="520"/>
    </row>
    <row r="1240">
      <c r="A1240" s="616">
        <v>46025.0</v>
      </c>
      <c r="B1240" s="514" t="s">
        <v>2792</v>
      </c>
      <c r="C1240" s="617">
        <v>1024.0</v>
      </c>
      <c r="D1240" s="514" t="s">
        <v>3423</v>
      </c>
      <c r="E1240" s="618">
        <v>20.0</v>
      </c>
      <c r="F1240" s="619" t="s">
        <v>156</v>
      </c>
      <c r="G1240" s="514"/>
    </row>
    <row r="1241">
      <c r="A1241" s="612">
        <v>46025.0</v>
      </c>
      <c r="B1241" s="520" t="s">
        <v>2792</v>
      </c>
      <c r="C1241" s="613">
        <v>1024.0</v>
      </c>
      <c r="D1241" s="520" t="s">
        <v>3424</v>
      </c>
      <c r="E1241" s="614">
        <v>1.0</v>
      </c>
      <c r="F1241" s="615" t="s">
        <v>319</v>
      </c>
      <c r="G1241" s="520"/>
    </row>
    <row r="1242">
      <c r="A1242" s="616">
        <v>46025.0</v>
      </c>
      <c r="B1242" s="514" t="s">
        <v>2792</v>
      </c>
      <c r="C1242" s="617">
        <v>1021.0</v>
      </c>
      <c r="D1242" s="514" t="s">
        <v>1909</v>
      </c>
      <c r="E1242" s="618">
        <v>20.0</v>
      </c>
      <c r="F1242" s="619" t="s">
        <v>405</v>
      </c>
      <c r="G1242" s="514"/>
    </row>
    <row r="1243">
      <c r="A1243" s="601">
        <v>46028.0</v>
      </c>
      <c r="B1243" s="520" t="s">
        <v>2792</v>
      </c>
      <c r="C1243" s="527">
        <v>893.0</v>
      </c>
      <c r="D1243" s="545" t="s">
        <v>3425</v>
      </c>
      <c r="E1243" s="546">
        <v>8.0</v>
      </c>
      <c r="F1243" s="586" t="s">
        <v>156</v>
      </c>
      <c r="G1243" s="545"/>
    </row>
    <row r="1244">
      <c r="A1244" s="600">
        <v>46028.0</v>
      </c>
      <c r="B1244" s="514" t="s">
        <v>2792</v>
      </c>
      <c r="C1244" s="539">
        <v>893.0</v>
      </c>
      <c r="D1244" s="550" t="s">
        <v>3426</v>
      </c>
      <c r="E1244" s="561">
        <v>4.0</v>
      </c>
      <c r="F1244" s="560" t="s">
        <v>156</v>
      </c>
      <c r="G1244" s="550"/>
    </row>
    <row r="1245">
      <c r="A1245" s="601">
        <v>46031.0</v>
      </c>
      <c r="B1245" s="520" t="s">
        <v>2792</v>
      </c>
      <c r="C1245" s="527">
        <v>894.0</v>
      </c>
      <c r="D1245" s="545" t="s">
        <v>3427</v>
      </c>
      <c r="E1245" s="546">
        <v>12.0</v>
      </c>
      <c r="F1245" s="586" t="s">
        <v>1662</v>
      </c>
      <c r="G1245" s="545"/>
    </row>
    <row r="1246">
      <c r="A1246" s="600">
        <v>46031.0</v>
      </c>
      <c r="B1246" s="514" t="s">
        <v>2792</v>
      </c>
      <c r="C1246" s="539">
        <v>894.0</v>
      </c>
      <c r="D1246" s="550" t="s">
        <v>3428</v>
      </c>
      <c r="E1246" s="561">
        <v>10.0</v>
      </c>
      <c r="F1246" s="560" t="s">
        <v>156</v>
      </c>
      <c r="G1246" s="550"/>
    </row>
    <row r="1247">
      <c r="A1247" s="601">
        <v>46031.0</v>
      </c>
      <c r="B1247" s="520" t="s">
        <v>2792</v>
      </c>
      <c r="C1247" s="527">
        <v>894.0</v>
      </c>
      <c r="D1247" s="545" t="s">
        <v>1364</v>
      </c>
      <c r="E1247" s="546">
        <v>12.0</v>
      </c>
      <c r="F1247" s="586" t="s">
        <v>156</v>
      </c>
      <c r="G1247" s="545"/>
    </row>
    <row r="1248">
      <c r="A1248" s="600">
        <v>46031.0</v>
      </c>
      <c r="B1248" s="514" t="s">
        <v>2792</v>
      </c>
      <c r="C1248" s="539">
        <v>894.0</v>
      </c>
      <c r="D1248" s="550" t="s">
        <v>3429</v>
      </c>
      <c r="E1248" s="561">
        <v>6.0</v>
      </c>
      <c r="F1248" s="560" t="s">
        <v>156</v>
      </c>
      <c r="G1248" s="550"/>
    </row>
    <row r="1249">
      <c r="A1249" s="601">
        <v>46031.0</v>
      </c>
      <c r="B1249" s="520" t="s">
        <v>2792</v>
      </c>
      <c r="C1249" s="527">
        <v>894.0</v>
      </c>
      <c r="D1249" s="545" t="s">
        <v>370</v>
      </c>
      <c r="E1249" s="546">
        <v>2.0</v>
      </c>
      <c r="F1249" s="586" t="s">
        <v>156</v>
      </c>
      <c r="G1249" s="545"/>
    </row>
    <row r="1250">
      <c r="A1250" s="600">
        <v>46031.0</v>
      </c>
      <c r="B1250" s="514" t="s">
        <v>2792</v>
      </c>
      <c r="C1250" s="539">
        <v>894.0</v>
      </c>
      <c r="D1250" s="550" t="s">
        <v>736</v>
      </c>
      <c r="E1250" s="561">
        <v>50.0</v>
      </c>
      <c r="F1250" s="560" t="s">
        <v>156</v>
      </c>
      <c r="G1250" s="550"/>
    </row>
    <row r="1251">
      <c r="A1251" s="601">
        <v>46031.0</v>
      </c>
      <c r="B1251" s="520" t="s">
        <v>2792</v>
      </c>
      <c r="C1251" s="527">
        <v>894.0</v>
      </c>
      <c r="D1251" s="545" t="s">
        <v>3430</v>
      </c>
      <c r="E1251" s="546">
        <v>3.0</v>
      </c>
      <c r="F1251" s="586" t="s">
        <v>156</v>
      </c>
      <c r="G1251" s="545"/>
    </row>
    <row r="1252">
      <c r="A1252" s="600">
        <v>46031.0</v>
      </c>
      <c r="B1252" s="514" t="s">
        <v>2792</v>
      </c>
      <c r="C1252" s="539">
        <v>894.0</v>
      </c>
      <c r="D1252" s="550" t="s">
        <v>426</v>
      </c>
      <c r="E1252" s="561">
        <v>20.0</v>
      </c>
      <c r="F1252" s="560" t="s">
        <v>156</v>
      </c>
      <c r="G1252" s="550"/>
    </row>
    <row r="1253">
      <c r="A1253" s="601">
        <v>46031.0</v>
      </c>
      <c r="B1253" s="520" t="s">
        <v>2792</v>
      </c>
      <c r="C1253" s="527">
        <v>894.0</v>
      </c>
      <c r="D1253" s="545" t="s">
        <v>1290</v>
      </c>
      <c r="E1253" s="546">
        <v>50.0</v>
      </c>
      <c r="F1253" s="586" t="s">
        <v>981</v>
      </c>
      <c r="G1253" s="545"/>
    </row>
    <row r="1254">
      <c r="A1254" s="600">
        <v>46031.0</v>
      </c>
      <c r="B1254" s="514" t="s">
        <v>2792</v>
      </c>
      <c r="C1254" s="539">
        <v>895.0</v>
      </c>
      <c r="D1254" s="550" t="s">
        <v>52</v>
      </c>
      <c r="E1254" s="561">
        <v>10.0</v>
      </c>
      <c r="F1254" s="560" t="s">
        <v>156</v>
      </c>
      <c r="G1254" s="550"/>
    </row>
    <row r="1255">
      <c r="A1255" s="601">
        <v>46036.0</v>
      </c>
      <c r="B1255" s="520" t="s">
        <v>2792</v>
      </c>
      <c r="C1255" s="527">
        <v>896.0</v>
      </c>
      <c r="D1255" s="545" t="s">
        <v>470</v>
      </c>
      <c r="E1255" s="546">
        <v>96.0</v>
      </c>
      <c r="F1255" s="586" t="s">
        <v>156</v>
      </c>
      <c r="G1255" s="545"/>
    </row>
    <row r="1256">
      <c r="A1256" s="600">
        <v>46036.0</v>
      </c>
      <c r="B1256" s="514" t="s">
        <v>2792</v>
      </c>
      <c r="C1256" s="539">
        <v>896.0</v>
      </c>
      <c r="D1256" s="550" t="s">
        <v>1189</v>
      </c>
      <c r="E1256" s="561">
        <v>200.0</v>
      </c>
      <c r="F1256" s="560" t="s">
        <v>1478</v>
      </c>
      <c r="G1256" s="550"/>
    </row>
    <row r="1257">
      <c r="A1257" s="601">
        <v>46036.0</v>
      </c>
      <c r="B1257" s="520" t="s">
        <v>2792</v>
      </c>
      <c r="C1257" s="527">
        <v>896.0</v>
      </c>
      <c r="D1257" s="545" t="s">
        <v>3204</v>
      </c>
      <c r="E1257" s="546">
        <v>30.0</v>
      </c>
      <c r="F1257" s="586" t="s">
        <v>981</v>
      </c>
      <c r="G1257" s="545"/>
    </row>
    <row r="1258">
      <c r="A1258" s="600">
        <v>46036.0</v>
      </c>
      <c r="B1258" s="514" t="s">
        <v>2792</v>
      </c>
      <c r="C1258" s="539">
        <v>896.0</v>
      </c>
      <c r="D1258" s="550" t="s">
        <v>3257</v>
      </c>
      <c r="E1258" s="561">
        <v>25.0</v>
      </c>
      <c r="F1258" s="560" t="s">
        <v>981</v>
      </c>
      <c r="G1258" s="550"/>
    </row>
    <row r="1259">
      <c r="A1259" s="601">
        <v>46036.0</v>
      </c>
      <c r="B1259" s="520" t="s">
        <v>2792</v>
      </c>
      <c r="C1259" s="527">
        <v>896.0</v>
      </c>
      <c r="D1259" s="545" t="s">
        <v>3431</v>
      </c>
      <c r="E1259" s="546">
        <v>180.0</v>
      </c>
      <c r="F1259" s="586" t="s">
        <v>156</v>
      </c>
      <c r="G1259" s="545"/>
    </row>
    <row r="1260">
      <c r="A1260" s="600">
        <v>46036.0</v>
      </c>
      <c r="B1260" s="514" t="s">
        <v>2792</v>
      </c>
      <c r="C1260" s="539">
        <v>897.0</v>
      </c>
      <c r="D1260" s="550" t="s">
        <v>3432</v>
      </c>
      <c r="E1260" s="561">
        <v>1050.0</v>
      </c>
      <c r="F1260" s="560" t="s">
        <v>156</v>
      </c>
      <c r="G1260" s="550"/>
    </row>
    <row r="1261">
      <c r="A1261" s="601">
        <v>46036.0</v>
      </c>
      <c r="B1261" s="520" t="s">
        <v>2792</v>
      </c>
      <c r="C1261" s="527">
        <v>897.0</v>
      </c>
      <c r="D1261" s="545" t="s">
        <v>3433</v>
      </c>
      <c r="E1261" s="546">
        <v>395.0</v>
      </c>
      <c r="F1261" s="586" t="s">
        <v>156</v>
      </c>
      <c r="G1261" s="545"/>
    </row>
    <row r="1262">
      <c r="A1262" s="600">
        <v>46036.0</v>
      </c>
      <c r="B1262" s="514" t="s">
        <v>2792</v>
      </c>
      <c r="C1262" s="539">
        <v>897.0</v>
      </c>
      <c r="D1262" s="550" t="s">
        <v>915</v>
      </c>
      <c r="E1262" s="561">
        <v>8.0</v>
      </c>
      <c r="F1262" s="560" t="s">
        <v>156</v>
      </c>
      <c r="G1262" s="550"/>
    </row>
    <row r="1263">
      <c r="A1263" s="601">
        <v>46036.0</v>
      </c>
      <c r="B1263" s="520" t="s">
        <v>2792</v>
      </c>
      <c r="C1263" s="527">
        <v>897.0</v>
      </c>
      <c r="D1263" s="545" t="s">
        <v>3434</v>
      </c>
      <c r="E1263" s="546">
        <v>195.0</v>
      </c>
      <c r="F1263" s="586" t="s">
        <v>156</v>
      </c>
      <c r="G1263" s="545"/>
    </row>
    <row r="1264">
      <c r="A1264" s="600">
        <v>46036.0</v>
      </c>
      <c r="B1264" s="514" t="s">
        <v>2792</v>
      </c>
      <c r="C1264" s="539">
        <v>897.0</v>
      </c>
      <c r="D1264" s="550" t="s">
        <v>3435</v>
      </c>
      <c r="E1264" s="561">
        <v>386.0</v>
      </c>
      <c r="F1264" s="560" t="s">
        <v>156</v>
      </c>
      <c r="G1264" s="550"/>
    </row>
    <row r="1265">
      <c r="A1265" s="601">
        <v>46036.0</v>
      </c>
      <c r="B1265" s="520" t="s">
        <v>2792</v>
      </c>
      <c r="C1265" s="527">
        <v>897.0</v>
      </c>
      <c r="D1265" s="545" t="s">
        <v>3436</v>
      </c>
      <c r="E1265" s="546">
        <v>85.0</v>
      </c>
      <c r="F1265" s="586" t="s">
        <v>156</v>
      </c>
      <c r="G1265" s="545"/>
    </row>
    <row r="1266">
      <c r="A1266" s="600">
        <v>46036.0</v>
      </c>
      <c r="B1266" s="514" t="s">
        <v>2792</v>
      </c>
      <c r="C1266" s="539">
        <v>897.0</v>
      </c>
      <c r="D1266" s="550" t="s">
        <v>3437</v>
      </c>
      <c r="E1266" s="561">
        <v>190.0</v>
      </c>
      <c r="F1266" s="560" t="s">
        <v>156</v>
      </c>
      <c r="G1266" s="550"/>
    </row>
    <row r="1267">
      <c r="A1267" s="601">
        <v>46036.0</v>
      </c>
      <c r="B1267" s="520" t="s">
        <v>2792</v>
      </c>
      <c r="C1267" s="527">
        <v>897.0</v>
      </c>
      <c r="D1267" s="545" t="s">
        <v>3438</v>
      </c>
      <c r="E1267" s="546">
        <v>190.0</v>
      </c>
      <c r="F1267" s="586" t="s">
        <v>156</v>
      </c>
      <c r="G1267" s="545"/>
    </row>
    <row r="1268">
      <c r="A1268" s="600">
        <v>46036.0</v>
      </c>
      <c r="B1268" s="514" t="s">
        <v>2792</v>
      </c>
      <c r="C1268" s="539">
        <v>897.0</v>
      </c>
      <c r="D1268" s="550" t="s">
        <v>3439</v>
      </c>
      <c r="E1268" s="561">
        <v>150.0</v>
      </c>
      <c r="F1268" s="560" t="s">
        <v>156</v>
      </c>
      <c r="G1268" s="550"/>
    </row>
    <row r="1269">
      <c r="A1269" s="622">
        <v>46040.0</v>
      </c>
      <c r="B1269" s="520" t="s">
        <v>2792</v>
      </c>
      <c r="C1269" s="527">
        <v>898.0</v>
      </c>
      <c r="D1269" s="545" t="s">
        <v>681</v>
      </c>
      <c r="E1269" s="546">
        <v>1.0</v>
      </c>
      <c r="F1269" s="586" t="s">
        <v>156</v>
      </c>
      <c r="G1269" s="545"/>
    </row>
    <row r="1270">
      <c r="A1270" s="623">
        <v>46040.0</v>
      </c>
      <c r="B1270" s="514" t="s">
        <v>2792</v>
      </c>
      <c r="C1270" s="539">
        <v>898.0</v>
      </c>
      <c r="D1270" s="550" t="s">
        <v>3440</v>
      </c>
      <c r="E1270" s="561">
        <v>1.0</v>
      </c>
      <c r="F1270" s="560" t="s">
        <v>1451</v>
      </c>
      <c r="G1270" s="550"/>
    </row>
    <row r="1271">
      <c r="A1271" s="622">
        <v>46040.0</v>
      </c>
      <c r="B1271" s="520" t="s">
        <v>2792</v>
      </c>
      <c r="C1271" s="527">
        <v>898.0</v>
      </c>
      <c r="D1271" s="545" t="s">
        <v>3441</v>
      </c>
      <c r="E1271" s="546">
        <v>16.0</v>
      </c>
      <c r="F1271" s="586" t="s">
        <v>156</v>
      </c>
      <c r="G1271" s="545"/>
    </row>
    <row r="1272">
      <c r="A1272" s="623">
        <v>46040.0</v>
      </c>
      <c r="B1272" s="514" t="s">
        <v>2792</v>
      </c>
      <c r="C1272" s="539">
        <v>899.0</v>
      </c>
      <c r="D1272" s="550" t="s">
        <v>3442</v>
      </c>
      <c r="E1272" s="561">
        <v>12.0</v>
      </c>
      <c r="F1272" s="560" t="s">
        <v>156</v>
      </c>
      <c r="G1272" s="550"/>
    </row>
    <row r="1273">
      <c r="A1273" s="622">
        <v>46040.0</v>
      </c>
      <c r="B1273" s="520" t="s">
        <v>2792</v>
      </c>
      <c r="C1273" s="527">
        <v>899.0</v>
      </c>
      <c r="D1273" s="545" t="s">
        <v>3443</v>
      </c>
      <c r="E1273" s="546">
        <v>6.0</v>
      </c>
      <c r="F1273" s="586" t="s">
        <v>156</v>
      </c>
      <c r="G1273" s="545"/>
    </row>
    <row r="1274">
      <c r="A1274" s="623">
        <v>46040.0</v>
      </c>
      <c r="B1274" s="514" t="s">
        <v>2792</v>
      </c>
      <c r="C1274" s="539">
        <v>1001.0</v>
      </c>
      <c r="D1274" s="550" t="s">
        <v>3444</v>
      </c>
      <c r="E1274" s="561">
        <v>1.0</v>
      </c>
      <c r="F1274" s="560" t="s">
        <v>1451</v>
      </c>
      <c r="G1274" s="550"/>
    </row>
    <row r="1275">
      <c r="A1275" s="622">
        <v>46040.0</v>
      </c>
      <c r="B1275" s="520" t="s">
        <v>2792</v>
      </c>
      <c r="C1275" s="527">
        <v>1001.0</v>
      </c>
      <c r="D1275" s="545" t="s">
        <v>3445</v>
      </c>
      <c r="E1275" s="546">
        <v>1.0</v>
      </c>
      <c r="F1275" s="586" t="s">
        <v>1451</v>
      </c>
      <c r="G1275" s="545"/>
    </row>
    <row r="1276">
      <c r="A1276" s="623">
        <v>46040.0</v>
      </c>
      <c r="B1276" s="514" t="s">
        <v>2792</v>
      </c>
      <c r="C1276" s="539">
        <v>1001.0</v>
      </c>
      <c r="D1276" s="550" t="s">
        <v>3446</v>
      </c>
      <c r="E1276" s="561">
        <v>1.0</v>
      </c>
      <c r="F1276" s="560" t="s">
        <v>1451</v>
      </c>
      <c r="G1276" s="550"/>
    </row>
    <row r="1277">
      <c r="A1277" s="622">
        <v>46040.0</v>
      </c>
      <c r="B1277" s="520" t="s">
        <v>2792</v>
      </c>
      <c r="C1277" s="527">
        <v>1001.0</v>
      </c>
      <c r="D1277" s="545" t="s">
        <v>3447</v>
      </c>
      <c r="E1277" s="546">
        <v>1.0</v>
      </c>
      <c r="F1277" s="586" t="s">
        <v>1451</v>
      </c>
      <c r="G1277" s="545"/>
    </row>
    <row r="1278">
      <c r="A1278" s="623">
        <v>46040.0</v>
      </c>
      <c r="B1278" s="514" t="s">
        <v>2792</v>
      </c>
      <c r="C1278" s="539">
        <v>1001.0</v>
      </c>
      <c r="D1278" s="550" t="s">
        <v>3448</v>
      </c>
      <c r="E1278" s="561">
        <v>5.0</v>
      </c>
      <c r="F1278" s="560" t="s">
        <v>156</v>
      </c>
      <c r="G1278" s="550"/>
    </row>
    <row r="1279">
      <c r="A1279" s="622">
        <v>46040.0</v>
      </c>
      <c r="B1279" s="520" t="s">
        <v>2792</v>
      </c>
      <c r="C1279" s="527">
        <v>1001.0</v>
      </c>
      <c r="D1279" s="545" t="s">
        <v>3000</v>
      </c>
      <c r="E1279" s="546">
        <v>5.0</v>
      </c>
      <c r="F1279" s="586" t="s">
        <v>3350</v>
      </c>
      <c r="G1279" s="545"/>
    </row>
    <row r="1280">
      <c r="A1280" s="623">
        <v>46040.0</v>
      </c>
      <c r="B1280" s="514" t="s">
        <v>2792</v>
      </c>
      <c r="C1280" s="539">
        <v>1001.0</v>
      </c>
      <c r="D1280" s="550" t="s">
        <v>750</v>
      </c>
      <c r="E1280" s="561">
        <v>2.0</v>
      </c>
      <c r="F1280" s="560" t="s">
        <v>39</v>
      </c>
      <c r="G1280" s="550"/>
    </row>
    <row r="1281">
      <c r="A1281" s="622">
        <v>46040.0</v>
      </c>
      <c r="B1281" s="520" t="s">
        <v>2792</v>
      </c>
      <c r="C1281" s="527">
        <v>1001.0</v>
      </c>
      <c r="D1281" s="545" t="s">
        <v>3449</v>
      </c>
      <c r="E1281" s="546">
        <v>1.0</v>
      </c>
      <c r="F1281" s="586" t="s">
        <v>89</v>
      </c>
      <c r="G1281" s="545"/>
    </row>
    <row r="1282">
      <c r="A1282" s="623">
        <v>46040.0</v>
      </c>
      <c r="B1282" s="514" t="s">
        <v>2792</v>
      </c>
      <c r="C1282" s="539">
        <v>1001.0</v>
      </c>
      <c r="D1282" s="550" t="s">
        <v>3450</v>
      </c>
      <c r="E1282" s="561">
        <v>2.0</v>
      </c>
      <c r="F1282" s="560" t="s">
        <v>39</v>
      </c>
      <c r="G1282" s="550"/>
    </row>
    <row r="1283">
      <c r="A1283" s="622">
        <v>46040.0</v>
      </c>
      <c r="B1283" s="520" t="s">
        <v>2792</v>
      </c>
      <c r="C1283" s="527">
        <v>1001.0</v>
      </c>
      <c r="D1283" s="545" t="s">
        <v>3451</v>
      </c>
      <c r="E1283" s="546">
        <v>1.0</v>
      </c>
      <c r="F1283" s="586" t="s">
        <v>89</v>
      </c>
      <c r="G1283" s="545"/>
    </row>
    <row r="1284">
      <c r="A1284" s="623">
        <v>46040.0</v>
      </c>
      <c r="B1284" s="514" t="s">
        <v>2792</v>
      </c>
      <c r="C1284" s="539">
        <v>1002.0</v>
      </c>
      <c r="D1284" s="550" t="s">
        <v>3452</v>
      </c>
      <c r="E1284" s="561">
        <v>1.0</v>
      </c>
      <c r="F1284" s="560" t="s">
        <v>89</v>
      </c>
      <c r="G1284" s="550"/>
    </row>
    <row r="1285">
      <c r="A1285" s="622">
        <v>46040.0</v>
      </c>
      <c r="B1285" s="520" t="s">
        <v>2792</v>
      </c>
      <c r="C1285" s="527">
        <v>1002.0</v>
      </c>
      <c r="D1285" s="545" t="s">
        <v>3453</v>
      </c>
      <c r="E1285" s="546">
        <v>2.0</v>
      </c>
      <c r="F1285" s="586" t="s">
        <v>156</v>
      </c>
      <c r="G1285" s="545"/>
    </row>
    <row r="1286">
      <c r="A1286" s="623">
        <v>46040.0</v>
      </c>
      <c r="B1286" s="514" t="s">
        <v>2792</v>
      </c>
      <c r="C1286" s="539">
        <v>1002.0</v>
      </c>
      <c r="D1286" s="550" t="s">
        <v>3454</v>
      </c>
      <c r="E1286" s="561">
        <v>1.0</v>
      </c>
      <c r="F1286" s="560" t="s">
        <v>89</v>
      </c>
      <c r="G1286" s="550"/>
    </row>
    <row r="1287">
      <c r="A1287" s="622">
        <v>46040.0</v>
      </c>
      <c r="B1287" s="520" t="s">
        <v>2792</v>
      </c>
      <c r="C1287" s="527">
        <v>1002.0</v>
      </c>
      <c r="D1287" s="545" t="s">
        <v>3455</v>
      </c>
      <c r="E1287" s="546">
        <v>4.0</v>
      </c>
      <c r="F1287" s="586" t="s">
        <v>156</v>
      </c>
      <c r="G1287" s="545"/>
    </row>
    <row r="1288">
      <c r="A1288" s="623">
        <v>46040.0</v>
      </c>
      <c r="B1288" s="514" t="s">
        <v>2792</v>
      </c>
      <c r="C1288" s="539">
        <v>1002.0</v>
      </c>
      <c r="D1288" s="550" t="s">
        <v>2054</v>
      </c>
      <c r="E1288" s="561">
        <v>1.0</v>
      </c>
      <c r="F1288" s="560" t="s">
        <v>34</v>
      </c>
      <c r="G1288" s="550"/>
    </row>
    <row r="1289">
      <c r="A1289" s="622">
        <v>46040.0</v>
      </c>
      <c r="B1289" s="520" t="s">
        <v>2792</v>
      </c>
      <c r="C1289" s="527">
        <v>1002.0</v>
      </c>
      <c r="D1289" s="545" t="s">
        <v>3456</v>
      </c>
      <c r="E1289" s="546">
        <v>0.5</v>
      </c>
      <c r="F1289" s="586" t="s">
        <v>3457</v>
      </c>
      <c r="G1289" s="545"/>
    </row>
    <row r="1290">
      <c r="A1290" s="623">
        <v>46040.0</v>
      </c>
      <c r="B1290" s="514" t="s">
        <v>2792</v>
      </c>
      <c r="C1290" s="539">
        <v>1002.0</v>
      </c>
      <c r="D1290" s="550" t="s">
        <v>2057</v>
      </c>
      <c r="E1290" s="561">
        <v>1.0</v>
      </c>
      <c r="F1290" s="560" t="s">
        <v>89</v>
      </c>
      <c r="G1290" s="550"/>
    </row>
    <row r="1291">
      <c r="A1291" s="601">
        <v>46045.0</v>
      </c>
      <c r="B1291" s="520" t="s">
        <v>2792</v>
      </c>
      <c r="C1291" s="527">
        <v>1003.0</v>
      </c>
      <c r="D1291" s="545" t="s">
        <v>3458</v>
      </c>
      <c r="E1291" s="546">
        <v>3.0</v>
      </c>
      <c r="F1291" s="586" t="s">
        <v>981</v>
      </c>
      <c r="G1291" s="545"/>
    </row>
    <row r="1292">
      <c r="A1292" s="600">
        <v>46045.0</v>
      </c>
      <c r="B1292" s="514" t="s">
        <v>2792</v>
      </c>
      <c r="C1292" s="539">
        <v>1003.0</v>
      </c>
      <c r="D1292" s="550" t="s">
        <v>505</v>
      </c>
      <c r="E1292" s="561">
        <v>5.0</v>
      </c>
      <c r="F1292" s="560" t="s">
        <v>981</v>
      </c>
      <c r="G1292" s="550"/>
    </row>
    <row r="1293">
      <c r="A1293" s="601">
        <v>46048.0</v>
      </c>
      <c r="B1293" s="520" t="s">
        <v>2792</v>
      </c>
      <c r="C1293" s="527">
        <v>1004.0</v>
      </c>
      <c r="D1293" s="545" t="s">
        <v>3459</v>
      </c>
      <c r="E1293" s="546">
        <v>5.0</v>
      </c>
      <c r="F1293" s="586" t="s">
        <v>156</v>
      </c>
      <c r="G1293" s="545"/>
    </row>
    <row r="1294">
      <c r="A1294" s="600">
        <v>46048.0</v>
      </c>
      <c r="B1294" s="514" t="s">
        <v>2792</v>
      </c>
      <c r="C1294" s="539">
        <v>1004.0</v>
      </c>
      <c r="D1294" s="550" t="s">
        <v>3460</v>
      </c>
      <c r="E1294" s="561">
        <v>5.0</v>
      </c>
      <c r="F1294" s="560" t="s">
        <v>156</v>
      </c>
      <c r="G1294" s="550"/>
    </row>
    <row r="1295">
      <c r="A1295" s="601">
        <v>46048.0</v>
      </c>
      <c r="B1295" s="520" t="s">
        <v>2792</v>
      </c>
      <c r="C1295" s="527">
        <v>1004.0</v>
      </c>
      <c r="D1295" s="545" t="s">
        <v>3089</v>
      </c>
      <c r="E1295" s="546">
        <v>10.0</v>
      </c>
      <c r="F1295" s="586" t="s">
        <v>156</v>
      </c>
      <c r="G1295" s="545"/>
    </row>
    <row r="1296">
      <c r="A1296" s="600">
        <v>46048.0</v>
      </c>
      <c r="B1296" s="514" t="s">
        <v>2792</v>
      </c>
      <c r="C1296" s="539">
        <v>1004.0</v>
      </c>
      <c r="D1296" s="550" t="s">
        <v>1914</v>
      </c>
      <c r="E1296" s="561">
        <v>10.0</v>
      </c>
      <c r="F1296" s="560" t="s">
        <v>156</v>
      </c>
      <c r="G1296" s="550"/>
    </row>
    <row r="1297">
      <c r="A1297" s="601">
        <v>46048.0</v>
      </c>
      <c r="B1297" s="520" t="s">
        <v>2792</v>
      </c>
      <c r="C1297" s="527">
        <v>1004.0</v>
      </c>
      <c r="D1297" s="545" t="s">
        <v>52</v>
      </c>
      <c r="E1297" s="546">
        <v>10.0</v>
      </c>
      <c r="F1297" s="586" t="s">
        <v>156</v>
      </c>
      <c r="G1297" s="545"/>
    </row>
    <row r="1298">
      <c r="A1298" s="600">
        <v>46048.0</v>
      </c>
      <c r="B1298" s="514" t="s">
        <v>2792</v>
      </c>
      <c r="C1298" s="539">
        <v>1004.0</v>
      </c>
      <c r="D1298" s="550" t="s">
        <v>3461</v>
      </c>
      <c r="E1298" s="561">
        <v>3.0</v>
      </c>
      <c r="F1298" s="560" t="s">
        <v>156</v>
      </c>
      <c r="G1298" s="550"/>
    </row>
    <row r="1299">
      <c r="A1299" s="601">
        <v>46049.0</v>
      </c>
      <c r="B1299" s="520" t="s">
        <v>2792</v>
      </c>
      <c r="C1299" s="527">
        <v>1005.0</v>
      </c>
      <c r="D1299" s="545" t="s">
        <v>3462</v>
      </c>
      <c r="E1299" s="546">
        <v>10.0</v>
      </c>
      <c r="F1299" s="586" t="s">
        <v>156</v>
      </c>
      <c r="G1299" s="545"/>
    </row>
    <row r="1300">
      <c r="A1300" s="600">
        <v>46049.0</v>
      </c>
      <c r="B1300" s="514" t="s">
        <v>2792</v>
      </c>
      <c r="C1300" s="539">
        <v>1005.0</v>
      </c>
      <c r="D1300" s="550" t="s">
        <v>3463</v>
      </c>
      <c r="E1300" s="561">
        <v>10.0</v>
      </c>
      <c r="F1300" s="560" t="s">
        <v>156</v>
      </c>
      <c r="G1300" s="550"/>
    </row>
    <row r="1301">
      <c r="A1301" s="601">
        <v>46049.0</v>
      </c>
      <c r="B1301" s="520" t="s">
        <v>2792</v>
      </c>
      <c r="C1301" s="527">
        <v>1005.0</v>
      </c>
      <c r="D1301" s="545" t="s">
        <v>3464</v>
      </c>
      <c r="E1301" s="546">
        <v>2.0</v>
      </c>
      <c r="F1301" s="586" t="s">
        <v>156</v>
      </c>
      <c r="G1301" s="545"/>
    </row>
    <row r="1302">
      <c r="A1302" s="600">
        <v>46050.0</v>
      </c>
      <c r="B1302" s="514" t="s">
        <v>2792</v>
      </c>
      <c r="C1302" s="539">
        <v>1007.0</v>
      </c>
      <c r="D1302" s="550" t="s">
        <v>3465</v>
      </c>
      <c r="E1302" s="561">
        <v>20.0</v>
      </c>
      <c r="F1302" s="560" t="s">
        <v>156</v>
      </c>
      <c r="G1302" s="550"/>
    </row>
    <row r="1303">
      <c r="A1303" s="601">
        <v>46050.0</v>
      </c>
      <c r="B1303" s="520" t="s">
        <v>2792</v>
      </c>
      <c r="C1303" s="527">
        <v>1007.0</v>
      </c>
      <c r="D1303" s="545" t="s">
        <v>3466</v>
      </c>
      <c r="E1303" s="546">
        <v>5.0</v>
      </c>
      <c r="F1303" s="586" t="s">
        <v>156</v>
      </c>
      <c r="G1303" s="545"/>
    </row>
    <row r="1304">
      <c r="A1304" s="600">
        <v>46050.0</v>
      </c>
      <c r="B1304" s="514" t="s">
        <v>2792</v>
      </c>
      <c r="C1304" s="539">
        <v>1007.0</v>
      </c>
      <c r="D1304" s="550" t="s">
        <v>3195</v>
      </c>
      <c r="E1304" s="561">
        <v>3.0</v>
      </c>
      <c r="F1304" s="560" t="s">
        <v>156</v>
      </c>
      <c r="G1304" s="550"/>
    </row>
    <row r="1305">
      <c r="A1305" s="601">
        <v>46050.0</v>
      </c>
      <c r="B1305" s="520" t="s">
        <v>2792</v>
      </c>
      <c r="C1305" s="527">
        <v>1007.0</v>
      </c>
      <c r="D1305" s="545" t="s">
        <v>3194</v>
      </c>
      <c r="E1305" s="546">
        <v>2.0</v>
      </c>
      <c r="F1305" s="586" t="s">
        <v>156</v>
      </c>
      <c r="G1305" s="545"/>
    </row>
    <row r="1306">
      <c r="A1306" s="600">
        <v>46050.0</v>
      </c>
      <c r="B1306" s="514" t="s">
        <v>2792</v>
      </c>
      <c r="C1306" s="539">
        <v>1007.0</v>
      </c>
      <c r="D1306" s="550" t="s">
        <v>3306</v>
      </c>
      <c r="E1306" s="561">
        <v>3.0</v>
      </c>
      <c r="F1306" s="560" t="s">
        <v>156</v>
      </c>
      <c r="G1306" s="550"/>
    </row>
    <row r="1307">
      <c r="A1307" s="601">
        <v>46050.0</v>
      </c>
      <c r="B1307" s="520" t="s">
        <v>2792</v>
      </c>
      <c r="C1307" s="527">
        <v>1007.0</v>
      </c>
      <c r="D1307" s="545" t="s">
        <v>3467</v>
      </c>
      <c r="E1307" s="546">
        <v>3.0</v>
      </c>
      <c r="F1307" s="586" t="s">
        <v>156</v>
      </c>
      <c r="G1307" s="545"/>
    </row>
    <row r="1308">
      <c r="A1308" s="600">
        <v>46050.0</v>
      </c>
      <c r="B1308" s="514" t="s">
        <v>2792</v>
      </c>
      <c r="C1308" s="539">
        <v>1007.0</v>
      </c>
      <c r="D1308" s="550" t="s">
        <v>3468</v>
      </c>
      <c r="E1308" s="561">
        <v>2.0</v>
      </c>
      <c r="F1308" s="560" t="s">
        <v>156</v>
      </c>
      <c r="G1308" s="550"/>
    </row>
    <row r="1309">
      <c r="A1309" s="601">
        <v>46050.0</v>
      </c>
      <c r="B1309" s="520" t="s">
        <v>2792</v>
      </c>
      <c r="C1309" s="527">
        <v>1007.0</v>
      </c>
      <c r="D1309" s="545" t="s">
        <v>689</v>
      </c>
      <c r="E1309" s="546">
        <v>12.0</v>
      </c>
      <c r="F1309" s="586" t="s">
        <v>156</v>
      </c>
      <c r="G1309" s="545"/>
    </row>
    <row r="1310">
      <c r="A1310" s="600">
        <v>46050.0</v>
      </c>
      <c r="B1310" s="514" t="s">
        <v>2792</v>
      </c>
      <c r="C1310" s="539">
        <v>1007.0</v>
      </c>
      <c r="D1310" s="550" t="s">
        <v>686</v>
      </c>
      <c r="E1310" s="561">
        <v>10.0</v>
      </c>
      <c r="F1310" s="560" t="s">
        <v>156</v>
      </c>
      <c r="G1310" s="550"/>
    </row>
    <row r="1311">
      <c r="A1311" s="601">
        <v>46050.0</v>
      </c>
      <c r="B1311" s="520" t="s">
        <v>2792</v>
      </c>
      <c r="C1311" s="527">
        <v>1007.0</v>
      </c>
      <c r="D1311" s="545" t="s">
        <v>3469</v>
      </c>
      <c r="E1311" s="546">
        <v>10.0</v>
      </c>
      <c r="F1311" s="586" t="s">
        <v>156</v>
      </c>
      <c r="G1311" s="545"/>
    </row>
    <row r="1312">
      <c r="A1312" s="600">
        <v>46050.0</v>
      </c>
      <c r="B1312" s="514" t="s">
        <v>2792</v>
      </c>
      <c r="C1312" s="539">
        <v>1007.0</v>
      </c>
      <c r="D1312" s="550" t="s">
        <v>3470</v>
      </c>
      <c r="E1312" s="561">
        <v>5.0</v>
      </c>
      <c r="F1312" s="560" t="s">
        <v>25</v>
      </c>
      <c r="G1312" s="550"/>
    </row>
    <row r="1313">
      <c r="A1313" s="601">
        <v>46051.0</v>
      </c>
      <c r="B1313" s="520" t="s">
        <v>2792</v>
      </c>
      <c r="C1313" s="527">
        <v>1008.0</v>
      </c>
      <c r="D1313" s="545" t="s">
        <v>436</v>
      </c>
      <c r="E1313" s="546">
        <v>2.0</v>
      </c>
      <c r="F1313" s="586" t="s">
        <v>156</v>
      </c>
      <c r="G1313" s="545"/>
    </row>
    <row r="1314">
      <c r="A1314" s="600">
        <v>46051.0</v>
      </c>
      <c r="B1314" s="514" t="s">
        <v>2792</v>
      </c>
      <c r="C1314" s="539">
        <v>1008.0</v>
      </c>
      <c r="D1314" s="550" t="s">
        <v>303</v>
      </c>
      <c r="E1314" s="561">
        <v>2.0</v>
      </c>
      <c r="F1314" s="560" t="s">
        <v>156</v>
      </c>
      <c r="G1314" s="550"/>
    </row>
    <row r="1315">
      <c r="A1315" s="601">
        <v>46051.0</v>
      </c>
      <c r="B1315" s="520" t="s">
        <v>2792</v>
      </c>
      <c r="C1315" s="527">
        <v>1008.0</v>
      </c>
      <c r="D1315" s="545" t="s">
        <v>2063</v>
      </c>
      <c r="E1315" s="546" t="s">
        <v>3471</v>
      </c>
      <c r="F1315" s="586" t="s">
        <v>74</v>
      </c>
      <c r="G1315" s="545"/>
    </row>
    <row r="1316">
      <c r="A1316" s="600">
        <v>46051.0</v>
      </c>
      <c r="B1316" s="514" t="s">
        <v>2792</v>
      </c>
      <c r="C1316" s="539">
        <v>1008.0</v>
      </c>
      <c r="D1316" s="550" t="s">
        <v>3308</v>
      </c>
      <c r="E1316" s="561">
        <v>2.0</v>
      </c>
      <c r="F1316" s="560" t="s">
        <v>156</v>
      </c>
      <c r="G1316" s="550"/>
    </row>
    <row r="1317">
      <c r="A1317" s="601">
        <v>46051.0</v>
      </c>
      <c r="B1317" s="520" t="s">
        <v>2792</v>
      </c>
      <c r="C1317" s="527">
        <v>1008.0</v>
      </c>
      <c r="D1317" s="545" t="s">
        <v>1268</v>
      </c>
      <c r="E1317" s="546">
        <v>2.0</v>
      </c>
      <c r="F1317" s="586" t="s">
        <v>156</v>
      </c>
      <c r="G1317" s="545"/>
    </row>
    <row r="1318">
      <c r="A1318" s="600">
        <v>46051.0</v>
      </c>
      <c r="B1318" s="514" t="s">
        <v>2792</v>
      </c>
      <c r="C1318" s="539">
        <v>1008.0</v>
      </c>
      <c r="D1318" s="550" t="s">
        <v>453</v>
      </c>
      <c r="E1318" s="561">
        <v>90.0</v>
      </c>
      <c r="F1318" s="560" t="s">
        <v>74</v>
      </c>
      <c r="G1318" s="550"/>
    </row>
    <row r="1319">
      <c r="A1319" s="601">
        <v>46051.0</v>
      </c>
      <c r="B1319" s="520" t="s">
        <v>2792</v>
      </c>
      <c r="C1319" s="527">
        <v>1008.0</v>
      </c>
      <c r="D1319" s="545" t="s">
        <v>281</v>
      </c>
      <c r="E1319" s="546">
        <v>90.0</v>
      </c>
      <c r="F1319" s="586" t="s">
        <v>74</v>
      </c>
      <c r="G1319" s="545"/>
    </row>
    <row r="1320">
      <c r="A1320" s="600">
        <v>46051.0</v>
      </c>
      <c r="B1320" s="514" t="s">
        <v>2792</v>
      </c>
      <c r="C1320" s="539">
        <v>1008.0</v>
      </c>
      <c r="D1320" s="550" t="s">
        <v>1582</v>
      </c>
      <c r="E1320" s="561">
        <v>4.0</v>
      </c>
      <c r="F1320" s="560" t="s">
        <v>156</v>
      </c>
      <c r="G1320" s="550"/>
    </row>
    <row r="1321">
      <c r="A1321" s="601">
        <v>46051.0</v>
      </c>
      <c r="B1321" s="520" t="s">
        <v>2792</v>
      </c>
      <c r="C1321" s="527">
        <v>1008.0</v>
      </c>
      <c r="D1321" s="545" t="s">
        <v>3472</v>
      </c>
      <c r="E1321" s="546">
        <v>3.0</v>
      </c>
      <c r="F1321" s="586" t="s">
        <v>156</v>
      </c>
      <c r="G1321" s="545"/>
    </row>
    <row r="1322">
      <c r="A1322" s="600">
        <v>46051.0</v>
      </c>
      <c r="B1322" s="514" t="s">
        <v>2792</v>
      </c>
      <c r="C1322" s="539">
        <v>1008.0</v>
      </c>
      <c r="D1322" s="550" t="s">
        <v>3314</v>
      </c>
      <c r="E1322" s="561">
        <v>12.0</v>
      </c>
      <c r="F1322" s="560" t="s">
        <v>156</v>
      </c>
      <c r="G1322" s="550"/>
    </row>
    <row r="1323">
      <c r="A1323" s="601">
        <v>46051.0</v>
      </c>
      <c r="B1323" s="520" t="s">
        <v>2792</v>
      </c>
      <c r="C1323" s="527">
        <v>1008.0</v>
      </c>
      <c r="D1323" s="545" t="s">
        <v>3473</v>
      </c>
      <c r="E1323" s="546">
        <v>1.0</v>
      </c>
      <c r="F1323" s="586" t="s">
        <v>156</v>
      </c>
      <c r="G1323" s="545"/>
    </row>
    <row r="1324">
      <c r="A1324" s="600">
        <v>46053.0</v>
      </c>
      <c r="B1324" s="514" t="s">
        <v>2792</v>
      </c>
      <c r="C1324" s="539">
        <v>1009.0</v>
      </c>
      <c r="D1324" s="550" t="s">
        <v>3474</v>
      </c>
      <c r="E1324" s="561">
        <v>66.0</v>
      </c>
      <c r="F1324" s="560" t="s">
        <v>156</v>
      </c>
      <c r="G1324" s="550"/>
    </row>
    <row r="1325">
      <c r="A1325" s="601">
        <v>46053.0</v>
      </c>
      <c r="B1325" s="520" t="s">
        <v>2792</v>
      </c>
      <c r="C1325" s="527">
        <v>1009.0</v>
      </c>
      <c r="D1325" s="545" t="s">
        <v>3475</v>
      </c>
      <c r="E1325" s="546">
        <v>448.0</v>
      </c>
      <c r="F1325" s="586" t="s">
        <v>156</v>
      </c>
      <c r="G1325" s="545"/>
    </row>
    <row r="1326">
      <c r="A1326" s="600">
        <v>46053.0</v>
      </c>
      <c r="B1326" s="514" t="s">
        <v>2792</v>
      </c>
      <c r="C1326" s="539">
        <v>1009.0</v>
      </c>
      <c r="D1326" s="550" t="s">
        <v>3476</v>
      </c>
      <c r="E1326" s="561">
        <v>395.0</v>
      </c>
      <c r="F1326" s="560" t="s">
        <v>156</v>
      </c>
      <c r="G1326" s="550"/>
    </row>
    <row r="1327">
      <c r="A1327" s="601">
        <v>46053.0</v>
      </c>
      <c r="B1327" s="520" t="s">
        <v>2792</v>
      </c>
      <c r="C1327" s="527">
        <v>1009.0</v>
      </c>
      <c r="D1327" s="545" t="s">
        <v>3477</v>
      </c>
      <c r="E1327" s="546">
        <v>66.0</v>
      </c>
      <c r="F1327" s="586" t="s">
        <v>156</v>
      </c>
      <c r="G1327" s="545"/>
    </row>
    <row r="1328">
      <c r="A1328" s="600">
        <v>46053.0</v>
      </c>
      <c r="B1328" s="514" t="s">
        <v>2792</v>
      </c>
      <c r="C1328" s="539">
        <v>1009.0</v>
      </c>
      <c r="D1328" s="550" t="s">
        <v>3478</v>
      </c>
      <c r="E1328" s="561">
        <v>448.0</v>
      </c>
      <c r="F1328" s="560" t="s">
        <v>156</v>
      </c>
      <c r="G1328" s="550"/>
    </row>
    <row r="1329">
      <c r="A1329" s="601">
        <v>46053.0</v>
      </c>
      <c r="B1329" s="520" t="s">
        <v>2792</v>
      </c>
      <c r="C1329" s="527">
        <v>1009.0</v>
      </c>
      <c r="D1329" s="545" t="s">
        <v>3479</v>
      </c>
      <c r="E1329" s="546">
        <v>395.0</v>
      </c>
      <c r="F1329" s="586" t="s">
        <v>156</v>
      </c>
      <c r="G1329" s="545"/>
    </row>
    <row r="1330">
      <c r="A1330" s="600">
        <v>46054.0</v>
      </c>
      <c r="B1330" s="514" t="s">
        <v>2792</v>
      </c>
      <c r="C1330" s="539">
        <v>1010.0</v>
      </c>
      <c r="D1330" s="550" t="s">
        <v>3480</v>
      </c>
      <c r="E1330" s="561">
        <v>3.0</v>
      </c>
      <c r="F1330" s="560" t="s">
        <v>156</v>
      </c>
      <c r="G1330" s="550"/>
    </row>
    <row r="1331">
      <c r="A1331" s="601">
        <v>46054.0</v>
      </c>
      <c r="B1331" s="520" t="s">
        <v>2792</v>
      </c>
      <c r="C1331" s="527">
        <v>1010.0</v>
      </c>
      <c r="D1331" s="545" t="s">
        <v>512</v>
      </c>
      <c r="E1331" s="546">
        <v>2.0</v>
      </c>
      <c r="F1331" s="586" t="s">
        <v>156</v>
      </c>
      <c r="G1331" s="545"/>
    </row>
    <row r="1332">
      <c r="A1332" s="600">
        <v>46054.0</v>
      </c>
      <c r="B1332" s="514" t="s">
        <v>2792</v>
      </c>
      <c r="C1332" s="539">
        <v>1010.0</v>
      </c>
      <c r="D1332" s="550" t="s">
        <v>3481</v>
      </c>
      <c r="E1332" s="561">
        <v>3.0</v>
      </c>
      <c r="F1332" s="560" t="s">
        <v>156</v>
      </c>
      <c r="G1332" s="550"/>
    </row>
    <row r="1333">
      <c r="A1333" s="601">
        <v>46054.0</v>
      </c>
      <c r="B1333" s="520" t="s">
        <v>2792</v>
      </c>
      <c r="C1333" s="527">
        <v>1010.0</v>
      </c>
      <c r="D1333" s="545" t="s">
        <v>1778</v>
      </c>
      <c r="E1333" s="546">
        <v>2.0</v>
      </c>
      <c r="F1333" s="586" t="s">
        <v>156</v>
      </c>
      <c r="G1333" s="545"/>
    </row>
    <row r="1334">
      <c r="A1334" s="598">
        <v>46057.0</v>
      </c>
      <c r="B1334" s="514" t="s">
        <v>2792</v>
      </c>
      <c r="C1334" s="515">
        <v>609.0</v>
      </c>
      <c r="D1334" s="540" t="s">
        <v>630</v>
      </c>
      <c r="E1334" s="541">
        <v>12.0</v>
      </c>
      <c r="F1334" s="593" t="s">
        <v>156</v>
      </c>
      <c r="G1334" s="540"/>
    </row>
    <row r="1335">
      <c r="A1335" s="595">
        <v>46057.0</v>
      </c>
      <c r="B1335" s="520" t="s">
        <v>2792</v>
      </c>
      <c r="C1335" s="527">
        <v>611.0</v>
      </c>
      <c r="D1335" s="531" t="s">
        <v>2921</v>
      </c>
      <c r="E1335" s="529">
        <v>51.0</v>
      </c>
      <c r="F1335" s="591" t="s">
        <v>156</v>
      </c>
      <c r="G1335" s="528"/>
    </row>
    <row r="1336">
      <c r="A1336" s="598">
        <v>46057.0</v>
      </c>
      <c r="B1336" s="514" t="s">
        <v>2792</v>
      </c>
      <c r="C1336" s="539">
        <v>611.0</v>
      </c>
      <c r="D1336" s="543" t="s">
        <v>2922</v>
      </c>
      <c r="E1336" s="541">
        <v>29.0</v>
      </c>
      <c r="F1336" s="593" t="s">
        <v>156</v>
      </c>
      <c r="G1336" s="540"/>
    </row>
    <row r="1337">
      <c r="A1337" s="601">
        <v>46058.0</v>
      </c>
      <c r="B1337" s="520" t="s">
        <v>2792</v>
      </c>
      <c r="C1337" s="527">
        <v>1011.0</v>
      </c>
      <c r="D1337" s="545" t="s">
        <v>3482</v>
      </c>
      <c r="E1337" s="546">
        <v>245.0</v>
      </c>
      <c r="F1337" s="586" t="s">
        <v>156</v>
      </c>
      <c r="G1337" s="545"/>
    </row>
    <row r="1338">
      <c r="A1338" s="600">
        <v>46058.0</v>
      </c>
      <c r="B1338" s="514" t="s">
        <v>2792</v>
      </c>
      <c r="C1338" s="539">
        <v>1011.0</v>
      </c>
      <c r="D1338" s="550" t="s">
        <v>3483</v>
      </c>
      <c r="E1338" s="561">
        <v>545.0</v>
      </c>
      <c r="F1338" s="560" t="s">
        <v>156</v>
      </c>
      <c r="G1338" s="550"/>
    </row>
    <row r="1339">
      <c r="A1339" s="601">
        <v>46058.0</v>
      </c>
      <c r="B1339" s="520" t="s">
        <v>2792</v>
      </c>
      <c r="C1339" s="527">
        <v>1011.0</v>
      </c>
      <c r="D1339" s="545" t="s">
        <v>3484</v>
      </c>
      <c r="E1339" s="546">
        <v>8.0</v>
      </c>
      <c r="F1339" s="586" t="s">
        <v>156</v>
      </c>
      <c r="G1339" s="545"/>
    </row>
    <row r="1340">
      <c r="A1340" s="600">
        <v>46058.0</v>
      </c>
      <c r="B1340" s="514" t="s">
        <v>2792</v>
      </c>
      <c r="C1340" s="539">
        <v>1011.0</v>
      </c>
      <c r="D1340" s="550" t="s">
        <v>3485</v>
      </c>
      <c r="E1340" s="561">
        <v>395.0</v>
      </c>
      <c r="F1340" s="560" t="s">
        <v>156</v>
      </c>
      <c r="G1340" s="550"/>
    </row>
    <row r="1341">
      <c r="A1341" s="601">
        <v>46058.0</v>
      </c>
      <c r="B1341" s="520" t="s">
        <v>2792</v>
      </c>
      <c r="C1341" s="527">
        <v>1011.0</v>
      </c>
      <c r="D1341" s="545" t="s">
        <v>501</v>
      </c>
      <c r="E1341" s="546">
        <v>112.0</v>
      </c>
      <c r="F1341" s="586" t="s">
        <v>156</v>
      </c>
      <c r="G1341" s="545"/>
    </row>
    <row r="1342">
      <c r="A1342" s="600">
        <v>46058.0</v>
      </c>
      <c r="B1342" s="514" t="s">
        <v>2792</v>
      </c>
      <c r="C1342" s="539">
        <v>1011.0</v>
      </c>
      <c r="D1342" s="624" t="s">
        <v>3208</v>
      </c>
      <c r="E1342" s="561">
        <v>100.0</v>
      </c>
      <c r="F1342" s="560" t="s">
        <v>654</v>
      </c>
      <c r="G1342" s="550"/>
    </row>
    <row r="1343">
      <c r="A1343" s="601">
        <v>46058.0</v>
      </c>
      <c r="B1343" s="520" t="s">
        <v>2792</v>
      </c>
      <c r="C1343" s="527">
        <v>1011.0</v>
      </c>
      <c r="D1343" s="625" t="s">
        <v>623</v>
      </c>
      <c r="E1343" s="546">
        <v>50.0</v>
      </c>
      <c r="F1343" s="586" t="s">
        <v>654</v>
      </c>
      <c r="G1343" s="545"/>
    </row>
    <row r="1344">
      <c r="A1344" s="600">
        <v>46058.0</v>
      </c>
      <c r="B1344" s="514" t="s">
        <v>2792</v>
      </c>
      <c r="C1344" s="539">
        <v>1011.0</v>
      </c>
      <c r="D1344" s="550" t="s">
        <v>350</v>
      </c>
      <c r="E1344" s="561">
        <v>200.0</v>
      </c>
      <c r="F1344" s="560" t="s">
        <v>654</v>
      </c>
      <c r="G1344" s="550"/>
    </row>
    <row r="1345">
      <c r="A1345" s="601">
        <v>46058.0</v>
      </c>
      <c r="B1345" s="520" t="s">
        <v>2792</v>
      </c>
      <c r="C1345" s="527">
        <v>1011.0</v>
      </c>
      <c r="D1345" s="545" t="s">
        <v>349</v>
      </c>
      <c r="E1345" s="546">
        <v>200.0</v>
      </c>
      <c r="F1345" s="586" t="s">
        <v>654</v>
      </c>
      <c r="G1345" s="545"/>
    </row>
    <row r="1346">
      <c r="A1346" s="600">
        <v>46058.0</v>
      </c>
      <c r="B1346" s="514" t="s">
        <v>2792</v>
      </c>
      <c r="C1346" s="539">
        <v>1011.0</v>
      </c>
      <c r="D1346" s="550" t="s">
        <v>348</v>
      </c>
      <c r="E1346" s="561">
        <v>200.0</v>
      </c>
      <c r="F1346" s="560" t="s">
        <v>654</v>
      </c>
      <c r="G1346" s="550"/>
    </row>
    <row r="1347">
      <c r="A1347" s="601">
        <v>46058.0</v>
      </c>
      <c r="B1347" s="520" t="s">
        <v>2792</v>
      </c>
      <c r="C1347" s="527">
        <v>1012.0</v>
      </c>
      <c r="D1347" s="545" t="s">
        <v>3486</v>
      </c>
      <c r="E1347" s="546">
        <v>2.0</v>
      </c>
      <c r="F1347" s="586" t="s">
        <v>156</v>
      </c>
      <c r="G1347" s="545"/>
    </row>
    <row r="1348">
      <c r="A1348" s="600">
        <v>46058.0</v>
      </c>
      <c r="B1348" s="514" t="s">
        <v>2792</v>
      </c>
      <c r="C1348" s="539">
        <v>1012.0</v>
      </c>
      <c r="D1348" s="550" t="s">
        <v>3487</v>
      </c>
      <c r="E1348" s="561">
        <v>50.0</v>
      </c>
      <c r="F1348" s="560" t="s">
        <v>74</v>
      </c>
      <c r="G1348" s="550"/>
    </row>
    <row r="1349">
      <c r="A1349" s="601">
        <v>46058.0</v>
      </c>
      <c r="B1349" s="520" t="s">
        <v>2792</v>
      </c>
      <c r="C1349" s="527">
        <v>1012.0</v>
      </c>
      <c r="D1349" s="545" t="s">
        <v>3488</v>
      </c>
      <c r="E1349" s="546">
        <v>3.0</v>
      </c>
      <c r="F1349" s="586" t="s">
        <v>156</v>
      </c>
      <c r="G1349" s="545"/>
    </row>
    <row r="1350">
      <c r="A1350" s="600">
        <v>46058.0</v>
      </c>
      <c r="B1350" s="514" t="s">
        <v>2792</v>
      </c>
      <c r="C1350" s="539">
        <v>1012.0</v>
      </c>
      <c r="D1350" s="550" t="s">
        <v>2179</v>
      </c>
      <c r="E1350" s="561">
        <v>2.0</v>
      </c>
      <c r="F1350" s="560" t="s">
        <v>156</v>
      </c>
      <c r="G1350" s="550"/>
    </row>
    <row r="1351">
      <c r="A1351" s="601">
        <v>46058.0</v>
      </c>
      <c r="B1351" s="520" t="s">
        <v>2792</v>
      </c>
      <c r="C1351" s="527">
        <v>1012.0</v>
      </c>
      <c r="D1351" s="545" t="s">
        <v>2180</v>
      </c>
      <c r="E1351" s="546">
        <v>4.0</v>
      </c>
      <c r="F1351" s="586" t="s">
        <v>156</v>
      </c>
      <c r="G1351" s="545"/>
    </row>
    <row r="1352">
      <c r="A1352" s="600">
        <v>46058.0</v>
      </c>
      <c r="B1352" s="514" t="s">
        <v>2792</v>
      </c>
      <c r="C1352" s="539">
        <v>1012.0</v>
      </c>
      <c r="D1352" s="550" t="s">
        <v>1634</v>
      </c>
      <c r="E1352" s="561">
        <v>3.0</v>
      </c>
      <c r="F1352" s="560" t="s">
        <v>156</v>
      </c>
      <c r="G1352" s="550"/>
    </row>
    <row r="1353">
      <c r="A1353" s="626" t="s">
        <v>2793</v>
      </c>
      <c r="B1353" s="520" t="s">
        <v>2792</v>
      </c>
      <c r="C1353" s="613">
        <v>1016.0</v>
      </c>
      <c r="D1353" s="520" t="s">
        <v>3489</v>
      </c>
      <c r="E1353" s="614">
        <v>10.0</v>
      </c>
      <c r="F1353" s="615" t="s">
        <v>156</v>
      </c>
      <c r="G1353" s="520"/>
    </row>
    <row r="1354">
      <c r="A1354" s="627" t="s">
        <v>2793</v>
      </c>
      <c r="B1354" s="514" t="s">
        <v>2792</v>
      </c>
      <c r="C1354" s="617">
        <v>1016.0</v>
      </c>
      <c r="D1354" s="514" t="s">
        <v>3133</v>
      </c>
      <c r="E1354" s="618">
        <v>2.0</v>
      </c>
      <c r="F1354" s="619" t="s">
        <v>156</v>
      </c>
      <c r="G1354" s="514"/>
    </row>
    <row r="1355">
      <c r="A1355" s="626" t="s">
        <v>2793</v>
      </c>
      <c r="B1355" s="520" t="s">
        <v>2792</v>
      </c>
      <c r="C1355" s="613">
        <v>1016.0</v>
      </c>
      <c r="D1355" s="520" t="s">
        <v>3354</v>
      </c>
      <c r="E1355" s="614">
        <v>2.0</v>
      </c>
      <c r="F1355" s="615" t="s">
        <v>156</v>
      </c>
      <c r="G1355" s="520"/>
    </row>
    <row r="1356">
      <c r="A1356" s="627" t="s">
        <v>2793</v>
      </c>
      <c r="B1356" s="514" t="s">
        <v>2792</v>
      </c>
      <c r="C1356" s="617">
        <v>1016.0</v>
      </c>
      <c r="D1356" s="514" t="s">
        <v>3490</v>
      </c>
      <c r="E1356" s="618">
        <v>2.0</v>
      </c>
      <c r="F1356" s="619" t="s">
        <v>654</v>
      </c>
      <c r="G1356" s="514"/>
    </row>
    <row r="1357">
      <c r="A1357" s="626" t="s">
        <v>2793</v>
      </c>
      <c r="B1357" s="520" t="s">
        <v>2792</v>
      </c>
      <c r="C1357" s="613">
        <v>1016.0</v>
      </c>
      <c r="D1357" s="520" t="s">
        <v>3491</v>
      </c>
      <c r="E1357" s="614">
        <v>2.0</v>
      </c>
      <c r="F1357" s="615" t="s">
        <v>654</v>
      </c>
      <c r="G1357" s="520"/>
    </row>
    <row r="1358">
      <c r="A1358" s="627" t="s">
        <v>2793</v>
      </c>
      <c r="B1358" s="514" t="s">
        <v>2792</v>
      </c>
      <c r="C1358" s="617">
        <v>1016.0</v>
      </c>
      <c r="D1358" s="514" t="s">
        <v>3492</v>
      </c>
      <c r="E1358" s="618">
        <v>2.0</v>
      </c>
      <c r="F1358" s="619" t="s">
        <v>39</v>
      </c>
      <c r="G1358" s="514"/>
    </row>
    <row r="1359">
      <c r="A1359" s="626" t="s">
        <v>2793</v>
      </c>
      <c r="B1359" s="520" t="s">
        <v>2792</v>
      </c>
      <c r="C1359" s="613">
        <v>1016.0</v>
      </c>
      <c r="D1359" s="520" t="s">
        <v>3493</v>
      </c>
      <c r="E1359" s="614">
        <v>3.0</v>
      </c>
      <c r="F1359" s="615" t="s">
        <v>156</v>
      </c>
      <c r="G1359" s="520"/>
    </row>
    <row r="1360">
      <c r="A1360" s="616">
        <v>46082.0</v>
      </c>
      <c r="B1360" s="514" t="s">
        <v>2792</v>
      </c>
      <c r="C1360" s="617">
        <v>1021.0</v>
      </c>
      <c r="D1360" s="514" t="s">
        <v>1132</v>
      </c>
      <c r="E1360" s="618">
        <v>20.0</v>
      </c>
      <c r="F1360" s="619" t="s">
        <v>156</v>
      </c>
      <c r="G1360" s="514"/>
    </row>
    <row r="1361">
      <c r="A1361" s="612">
        <v>46082.0</v>
      </c>
      <c r="B1361" s="520" t="s">
        <v>2792</v>
      </c>
      <c r="C1361" s="613">
        <v>1021.0</v>
      </c>
      <c r="D1361" s="520" t="s">
        <v>3408</v>
      </c>
      <c r="E1361" s="614">
        <v>15.0</v>
      </c>
      <c r="F1361" s="615" t="s">
        <v>156</v>
      </c>
      <c r="G1361" s="520"/>
    </row>
    <row r="1362">
      <c r="A1362" s="616">
        <v>46082.0</v>
      </c>
      <c r="B1362" s="514" t="s">
        <v>2792</v>
      </c>
      <c r="C1362" s="617">
        <v>1021.0</v>
      </c>
      <c r="D1362" s="514" t="s">
        <v>3410</v>
      </c>
      <c r="E1362" s="618">
        <v>10.0</v>
      </c>
      <c r="F1362" s="619" t="s">
        <v>156</v>
      </c>
      <c r="G1362" s="514"/>
    </row>
    <row r="1363">
      <c r="A1363" s="612">
        <v>46082.0</v>
      </c>
      <c r="B1363" s="520" t="s">
        <v>2792</v>
      </c>
      <c r="C1363" s="613">
        <v>1021.0</v>
      </c>
      <c r="D1363" s="520" t="s">
        <v>3411</v>
      </c>
      <c r="E1363" s="614">
        <v>500.0</v>
      </c>
      <c r="F1363" s="615" t="s">
        <v>39</v>
      </c>
      <c r="G1363" s="520"/>
    </row>
    <row r="1364">
      <c r="A1364" s="616">
        <v>46082.0</v>
      </c>
      <c r="B1364" s="514" t="s">
        <v>2792</v>
      </c>
      <c r="C1364" s="617">
        <v>1021.0</v>
      </c>
      <c r="D1364" s="514" t="s">
        <v>3494</v>
      </c>
      <c r="E1364" s="618">
        <v>500.0</v>
      </c>
      <c r="F1364" s="619" t="s">
        <v>39</v>
      </c>
      <c r="G1364" s="514"/>
    </row>
    <row r="1365">
      <c r="A1365" s="612">
        <v>46082.0</v>
      </c>
      <c r="B1365" s="520" t="s">
        <v>2792</v>
      </c>
      <c r="C1365" s="613">
        <v>1021.0</v>
      </c>
      <c r="D1365" s="520" t="s">
        <v>3495</v>
      </c>
      <c r="E1365" s="614">
        <v>100.0</v>
      </c>
      <c r="F1365" s="615" t="s">
        <v>74</v>
      </c>
      <c r="G1365" s="520"/>
    </row>
    <row r="1366">
      <c r="A1366" s="616">
        <v>46082.0</v>
      </c>
      <c r="B1366" s="514" t="s">
        <v>2792</v>
      </c>
      <c r="C1366" s="617">
        <v>1021.0</v>
      </c>
      <c r="D1366" s="514" t="s">
        <v>3496</v>
      </c>
      <c r="E1366" s="618">
        <v>40.0</v>
      </c>
      <c r="F1366" s="619" t="s">
        <v>165</v>
      </c>
      <c r="G1366" s="514"/>
    </row>
    <row r="1367">
      <c r="A1367" s="612">
        <v>46082.0</v>
      </c>
      <c r="B1367" s="520" t="s">
        <v>2792</v>
      </c>
      <c r="C1367" s="613">
        <v>1021.0</v>
      </c>
      <c r="D1367" s="520" t="s">
        <v>3414</v>
      </c>
      <c r="E1367" s="614">
        <v>15.0</v>
      </c>
      <c r="F1367" s="615" t="s">
        <v>165</v>
      </c>
      <c r="G1367" s="620"/>
    </row>
    <row r="1368">
      <c r="A1368" s="616">
        <v>46082.0</v>
      </c>
      <c r="B1368" s="514" t="s">
        <v>2792</v>
      </c>
      <c r="C1368" s="617">
        <v>1021.0</v>
      </c>
      <c r="D1368" s="514" t="s">
        <v>3415</v>
      </c>
      <c r="E1368" s="618">
        <v>15.0</v>
      </c>
      <c r="F1368" s="619" t="s">
        <v>156</v>
      </c>
      <c r="G1368" s="514"/>
    </row>
    <row r="1369">
      <c r="A1369" s="612">
        <v>46082.0</v>
      </c>
      <c r="B1369" s="520" t="s">
        <v>2792</v>
      </c>
      <c r="C1369" s="613">
        <v>1022.0</v>
      </c>
      <c r="D1369" s="520" t="s">
        <v>3497</v>
      </c>
      <c r="E1369" s="614">
        <v>120.0</v>
      </c>
      <c r="F1369" s="615" t="s">
        <v>156</v>
      </c>
      <c r="G1369" s="620"/>
    </row>
    <row r="1370">
      <c r="A1370" s="616">
        <v>46082.0</v>
      </c>
      <c r="B1370" s="514" t="s">
        <v>2792</v>
      </c>
      <c r="C1370" s="617">
        <v>1022.0</v>
      </c>
      <c r="D1370" s="514" t="s">
        <v>3498</v>
      </c>
      <c r="E1370" s="618">
        <v>120.0</v>
      </c>
      <c r="F1370" s="619" t="s">
        <v>156</v>
      </c>
      <c r="G1370" s="621"/>
    </row>
    <row r="1371">
      <c r="A1371" s="612">
        <v>46082.0</v>
      </c>
      <c r="B1371" s="520" t="s">
        <v>2792</v>
      </c>
      <c r="C1371" s="613">
        <v>1022.0</v>
      </c>
      <c r="D1371" s="520" t="s">
        <v>3207</v>
      </c>
      <c r="E1371" s="614">
        <v>30.0</v>
      </c>
      <c r="F1371" s="615" t="s">
        <v>156</v>
      </c>
      <c r="G1371" s="620"/>
    </row>
    <row r="1372">
      <c r="A1372" s="616">
        <v>46082.0</v>
      </c>
      <c r="B1372" s="514" t="s">
        <v>2792</v>
      </c>
      <c r="C1372" s="617">
        <v>1022.0</v>
      </c>
      <c r="D1372" s="514" t="s">
        <v>3499</v>
      </c>
      <c r="E1372" s="618">
        <v>4.0</v>
      </c>
      <c r="F1372" s="619" t="s">
        <v>165</v>
      </c>
      <c r="G1372" s="621"/>
    </row>
    <row r="1373">
      <c r="A1373" s="612">
        <v>46082.0</v>
      </c>
      <c r="B1373" s="520" t="s">
        <v>2792</v>
      </c>
      <c r="C1373" s="613">
        <v>1022.0</v>
      </c>
      <c r="D1373" s="520" t="s">
        <v>3500</v>
      </c>
      <c r="E1373" s="614">
        <v>1.0</v>
      </c>
      <c r="F1373" s="615" t="s">
        <v>165</v>
      </c>
      <c r="G1373" s="620"/>
    </row>
    <row r="1374">
      <c r="A1374" s="616">
        <v>46082.0</v>
      </c>
      <c r="B1374" s="514" t="s">
        <v>2792</v>
      </c>
      <c r="C1374" s="617">
        <v>1024.0</v>
      </c>
      <c r="D1374" s="514" t="s">
        <v>3419</v>
      </c>
      <c r="E1374" s="618">
        <v>60.0</v>
      </c>
      <c r="F1374" s="619" t="s">
        <v>165</v>
      </c>
      <c r="G1374" s="514"/>
    </row>
    <row r="1375">
      <c r="A1375" s="612">
        <v>46082.0</v>
      </c>
      <c r="B1375" s="520" t="s">
        <v>2792</v>
      </c>
      <c r="C1375" s="613">
        <v>1024.0</v>
      </c>
      <c r="D1375" s="520" t="s">
        <v>3420</v>
      </c>
      <c r="E1375" s="614">
        <v>4.0</v>
      </c>
      <c r="F1375" s="615" t="s">
        <v>165</v>
      </c>
      <c r="G1375" s="620"/>
    </row>
    <row r="1376">
      <c r="A1376" s="616">
        <v>46082.0</v>
      </c>
      <c r="B1376" s="514" t="s">
        <v>2792</v>
      </c>
      <c r="C1376" s="617">
        <v>1024.0</v>
      </c>
      <c r="D1376" s="514" t="s">
        <v>2446</v>
      </c>
      <c r="E1376" s="618">
        <v>2.0</v>
      </c>
      <c r="F1376" s="619" t="s">
        <v>156</v>
      </c>
      <c r="G1376" s="621"/>
    </row>
    <row r="1377">
      <c r="A1377" s="612">
        <v>46082.0</v>
      </c>
      <c r="B1377" s="520" t="s">
        <v>2792</v>
      </c>
      <c r="C1377" s="613">
        <v>1024.0</v>
      </c>
      <c r="D1377" s="520" t="s">
        <v>3421</v>
      </c>
      <c r="E1377" s="614">
        <v>2.0</v>
      </c>
      <c r="F1377" s="615" t="s">
        <v>156</v>
      </c>
      <c r="G1377" s="620"/>
    </row>
    <row r="1378">
      <c r="A1378" s="616">
        <v>46082.0</v>
      </c>
      <c r="B1378" s="514" t="s">
        <v>2792</v>
      </c>
      <c r="C1378" s="617">
        <v>1024.0</v>
      </c>
      <c r="D1378" s="514" t="s">
        <v>3422</v>
      </c>
      <c r="E1378" s="618">
        <v>3.0</v>
      </c>
      <c r="F1378" s="619" t="s">
        <v>156</v>
      </c>
      <c r="G1378" s="621"/>
    </row>
    <row r="1379">
      <c r="A1379" s="612">
        <v>46082.0</v>
      </c>
      <c r="B1379" s="520" t="s">
        <v>2792</v>
      </c>
      <c r="C1379" s="613">
        <v>1024.0</v>
      </c>
      <c r="D1379" s="520" t="s">
        <v>3423</v>
      </c>
      <c r="E1379" s="614">
        <v>20.0</v>
      </c>
      <c r="F1379" s="615" t="s">
        <v>156</v>
      </c>
      <c r="G1379" s="620"/>
    </row>
    <row r="1380">
      <c r="A1380" s="616">
        <v>46084.0</v>
      </c>
      <c r="B1380" s="514" t="s">
        <v>2792</v>
      </c>
      <c r="C1380" s="617">
        <v>1024.0</v>
      </c>
      <c r="D1380" s="514" t="s">
        <v>3424</v>
      </c>
      <c r="E1380" s="618">
        <v>1.0</v>
      </c>
      <c r="F1380" s="619" t="s">
        <v>319</v>
      </c>
      <c r="G1380" s="621"/>
    </row>
    <row r="1381">
      <c r="A1381" s="612">
        <v>46089.0</v>
      </c>
      <c r="B1381" s="520" t="s">
        <v>2792</v>
      </c>
      <c r="C1381" s="613">
        <v>1027.0</v>
      </c>
      <c r="D1381" s="520" t="s">
        <v>2408</v>
      </c>
      <c r="E1381" s="614">
        <v>4.0</v>
      </c>
      <c r="F1381" s="615" t="s">
        <v>156</v>
      </c>
      <c r="G1381" s="545"/>
    </row>
    <row r="1382">
      <c r="A1382" s="616">
        <v>46089.0</v>
      </c>
      <c r="B1382" s="514" t="s">
        <v>2792</v>
      </c>
      <c r="C1382" s="617">
        <v>1027.0</v>
      </c>
      <c r="D1382" s="514" t="s">
        <v>3463</v>
      </c>
      <c r="E1382" s="618">
        <v>10.0</v>
      </c>
      <c r="F1382" s="619" t="s">
        <v>156</v>
      </c>
      <c r="G1382" s="514"/>
    </row>
    <row r="1383">
      <c r="A1383" s="612">
        <v>46115.0</v>
      </c>
      <c r="B1383" s="520" t="s">
        <v>2792</v>
      </c>
      <c r="C1383" s="613">
        <v>1025.0</v>
      </c>
      <c r="D1383" s="520" t="s">
        <v>3501</v>
      </c>
      <c r="E1383" s="614">
        <v>2.0</v>
      </c>
      <c r="F1383" s="615" t="s">
        <v>156</v>
      </c>
      <c r="G1383" s="620"/>
    </row>
    <row r="1384">
      <c r="A1384" s="616">
        <v>46115.0</v>
      </c>
      <c r="B1384" s="514" t="s">
        <v>2792</v>
      </c>
      <c r="C1384" s="617">
        <v>1025.0</v>
      </c>
      <c r="D1384" s="514" t="s">
        <v>267</v>
      </c>
      <c r="E1384" s="618">
        <v>13.0</v>
      </c>
      <c r="F1384" s="619" t="s">
        <v>156</v>
      </c>
      <c r="G1384" s="514"/>
    </row>
    <row r="1385">
      <c r="A1385" s="612">
        <v>46115.0</v>
      </c>
      <c r="B1385" s="520" t="s">
        <v>2792</v>
      </c>
      <c r="C1385" s="613">
        <v>1025.0</v>
      </c>
      <c r="D1385" s="520" t="s">
        <v>3502</v>
      </c>
      <c r="E1385" s="614">
        <v>9.0</v>
      </c>
      <c r="F1385" s="615" t="s">
        <v>156</v>
      </c>
      <c r="G1385" s="520"/>
    </row>
    <row r="1386">
      <c r="A1386" s="616">
        <v>46115.0</v>
      </c>
      <c r="B1386" s="514" t="s">
        <v>2792</v>
      </c>
      <c r="C1386" s="617">
        <v>1025.0</v>
      </c>
      <c r="D1386" s="514" t="s">
        <v>3503</v>
      </c>
      <c r="E1386" s="618">
        <v>2.0</v>
      </c>
      <c r="F1386" s="619" t="s">
        <v>156</v>
      </c>
      <c r="G1386" s="514"/>
    </row>
    <row r="1387">
      <c r="A1387" s="612">
        <v>46115.0</v>
      </c>
      <c r="B1387" s="520" t="s">
        <v>2792</v>
      </c>
      <c r="C1387" s="613">
        <v>1025.0</v>
      </c>
      <c r="D1387" s="520" t="s">
        <v>3504</v>
      </c>
      <c r="E1387" s="614">
        <v>20.0</v>
      </c>
      <c r="F1387" s="615" t="s">
        <v>156</v>
      </c>
      <c r="G1387" s="520"/>
    </row>
    <row r="1388">
      <c r="A1388" s="616">
        <v>46115.0</v>
      </c>
      <c r="B1388" s="514" t="s">
        <v>2792</v>
      </c>
      <c r="C1388" s="617">
        <v>1025.0</v>
      </c>
      <c r="D1388" s="514" t="s">
        <v>3502</v>
      </c>
      <c r="E1388" s="618">
        <v>15.0</v>
      </c>
      <c r="F1388" s="619" t="s">
        <v>156</v>
      </c>
      <c r="G1388" s="514"/>
    </row>
    <row r="1389">
      <c r="A1389" s="612">
        <v>46145.0</v>
      </c>
      <c r="B1389" s="520" t="s">
        <v>2792</v>
      </c>
      <c r="C1389" s="613">
        <v>1026.0</v>
      </c>
      <c r="D1389" s="520" t="s">
        <v>3505</v>
      </c>
      <c r="E1389" s="614">
        <v>20.0</v>
      </c>
      <c r="F1389" s="615" t="s">
        <v>156</v>
      </c>
      <c r="G1389" s="620"/>
    </row>
    <row r="1390">
      <c r="A1390" s="616">
        <v>46145.0</v>
      </c>
      <c r="B1390" s="514" t="s">
        <v>2792</v>
      </c>
      <c r="C1390" s="617">
        <v>1026.0</v>
      </c>
      <c r="D1390" s="514" t="s">
        <v>3506</v>
      </c>
      <c r="E1390" s="618">
        <v>7.0</v>
      </c>
      <c r="F1390" s="619" t="s">
        <v>156</v>
      </c>
      <c r="G1390" s="621"/>
    </row>
    <row r="1391">
      <c r="A1391" s="612">
        <v>46145.0</v>
      </c>
      <c r="B1391" s="520" t="s">
        <v>2792</v>
      </c>
      <c r="C1391" s="613">
        <v>1026.0</v>
      </c>
      <c r="D1391" s="520" t="s">
        <v>3507</v>
      </c>
      <c r="E1391" s="614">
        <v>8.0</v>
      </c>
      <c r="F1391" s="615" t="s">
        <v>39</v>
      </c>
      <c r="G1391" s="620"/>
    </row>
    <row r="1392">
      <c r="A1392" s="616">
        <v>46145.0</v>
      </c>
      <c r="B1392" s="514" t="s">
        <v>2792</v>
      </c>
      <c r="C1392" s="617">
        <v>1026.0</v>
      </c>
      <c r="D1392" s="514" t="s">
        <v>3508</v>
      </c>
      <c r="E1392" s="618">
        <v>20.0</v>
      </c>
      <c r="F1392" s="619" t="s">
        <v>156</v>
      </c>
      <c r="G1392" s="621"/>
    </row>
    <row r="1393">
      <c r="A1393" s="612">
        <v>46145.0</v>
      </c>
      <c r="B1393" s="520" t="s">
        <v>2792</v>
      </c>
      <c r="C1393" s="613">
        <v>1026.0</v>
      </c>
      <c r="D1393" s="520" t="s">
        <v>3509</v>
      </c>
      <c r="E1393" s="614">
        <v>20.0</v>
      </c>
      <c r="F1393" s="615" t="s">
        <v>156</v>
      </c>
      <c r="G1393" s="620"/>
    </row>
    <row r="1394">
      <c r="A1394" s="616">
        <v>46145.0</v>
      </c>
      <c r="B1394" s="514" t="s">
        <v>2792</v>
      </c>
      <c r="C1394" s="617">
        <v>1026.0</v>
      </c>
      <c r="D1394" s="514" t="s">
        <v>3510</v>
      </c>
      <c r="E1394" s="618">
        <v>60.0</v>
      </c>
      <c r="F1394" s="619" t="s">
        <v>156</v>
      </c>
      <c r="G1394" s="621"/>
    </row>
    <row r="1395">
      <c r="A1395" s="612">
        <v>46145.0</v>
      </c>
      <c r="B1395" s="520" t="s">
        <v>2792</v>
      </c>
      <c r="C1395" s="613">
        <v>1026.0</v>
      </c>
      <c r="D1395" s="520" t="s">
        <v>3511</v>
      </c>
      <c r="E1395" s="614">
        <v>50.0</v>
      </c>
      <c r="F1395" s="615" t="s">
        <v>156</v>
      </c>
      <c r="G1395" s="620"/>
    </row>
    <row r="1396">
      <c r="A1396" s="616">
        <v>46145.0</v>
      </c>
      <c r="B1396" s="514" t="s">
        <v>2792</v>
      </c>
      <c r="C1396" s="617">
        <v>1026.0</v>
      </c>
      <c r="D1396" s="514" t="s">
        <v>3512</v>
      </c>
      <c r="E1396" s="618">
        <v>100.0</v>
      </c>
      <c r="F1396" s="619" t="s">
        <v>156</v>
      </c>
      <c r="G1396" s="621"/>
    </row>
    <row r="1397">
      <c r="A1397" s="612">
        <v>46145.0</v>
      </c>
      <c r="B1397" s="520" t="s">
        <v>2792</v>
      </c>
      <c r="C1397" s="613">
        <v>1026.0</v>
      </c>
      <c r="D1397" s="520" t="s">
        <v>3505</v>
      </c>
      <c r="E1397" s="614">
        <v>20.0</v>
      </c>
      <c r="F1397" s="615" t="s">
        <v>156</v>
      </c>
      <c r="G1397" s="545"/>
    </row>
    <row r="1398">
      <c r="A1398" s="616">
        <v>46145.0</v>
      </c>
      <c r="B1398" s="514" t="s">
        <v>2792</v>
      </c>
      <c r="C1398" s="617">
        <v>1026.0</v>
      </c>
      <c r="D1398" s="514" t="s">
        <v>3513</v>
      </c>
      <c r="E1398" s="618">
        <v>32.0</v>
      </c>
      <c r="F1398" s="619" t="s">
        <v>156</v>
      </c>
      <c r="G1398" s="550"/>
    </row>
    <row r="1399">
      <c r="A1399" s="612">
        <v>46145.0</v>
      </c>
      <c r="B1399" s="520" t="s">
        <v>2792</v>
      </c>
      <c r="C1399" s="613">
        <v>1026.0</v>
      </c>
      <c r="D1399" s="520" t="s">
        <v>3514</v>
      </c>
      <c r="E1399" s="614">
        <v>7.0</v>
      </c>
      <c r="F1399" s="615" t="s">
        <v>156</v>
      </c>
      <c r="G1399" s="545"/>
    </row>
    <row r="1400">
      <c r="A1400" s="616">
        <v>46145.0</v>
      </c>
      <c r="B1400" s="514" t="s">
        <v>2792</v>
      </c>
      <c r="C1400" s="617">
        <v>1026.0</v>
      </c>
      <c r="D1400" s="514" t="s">
        <v>750</v>
      </c>
      <c r="E1400" s="618">
        <v>8.0</v>
      </c>
      <c r="F1400" s="619" t="s">
        <v>39</v>
      </c>
      <c r="G1400" s="550"/>
    </row>
    <row r="1401">
      <c r="A1401" s="612">
        <v>46145.0</v>
      </c>
      <c r="B1401" s="520" t="s">
        <v>2792</v>
      </c>
      <c r="C1401" s="613">
        <v>1026.0</v>
      </c>
      <c r="D1401" s="520" t="s">
        <v>3515</v>
      </c>
      <c r="E1401" s="614">
        <v>20.0</v>
      </c>
      <c r="F1401" s="615" t="s">
        <v>156</v>
      </c>
      <c r="G1401" s="545"/>
    </row>
    <row r="1402">
      <c r="A1402" s="616">
        <v>46145.0</v>
      </c>
      <c r="B1402" s="514" t="s">
        <v>2792</v>
      </c>
      <c r="C1402" s="617">
        <v>1026.0</v>
      </c>
      <c r="D1402" s="514" t="s">
        <v>3509</v>
      </c>
      <c r="E1402" s="618">
        <v>20.0</v>
      </c>
      <c r="F1402" s="619" t="s">
        <v>156</v>
      </c>
      <c r="G1402" s="550"/>
    </row>
    <row r="1403">
      <c r="A1403" s="612">
        <v>46145.0</v>
      </c>
      <c r="B1403" s="520" t="s">
        <v>2792</v>
      </c>
      <c r="C1403" s="613">
        <v>1026.0</v>
      </c>
      <c r="D1403" s="520" t="s">
        <v>3516</v>
      </c>
      <c r="E1403" s="614">
        <v>50.0</v>
      </c>
      <c r="F1403" s="615" t="s">
        <v>156</v>
      </c>
      <c r="G1403" s="520" t="s">
        <v>3517</v>
      </c>
    </row>
    <row r="1404">
      <c r="A1404" s="616">
        <v>46145.0</v>
      </c>
      <c r="B1404" s="514" t="s">
        <v>2792</v>
      </c>
      <c r="C1404" s="617">
        <v>1026.0</v>
      </c>
      <c r="D1404" s="514" t="s">
        <v>3518</v>
      </c>
      <c r="E1404" s="618">
        <v>50.0</v>
      </c>
      <c r="F1404" s="619" t="s">
        <v>156</v>
      </c>
      <c r="G1404" s="514" t="s">
        <v>3517</v>
      </c>
    </row>
    <row r="1405">
      <c r="A1405" s="612">
        <v>46145.0</v>
      </c>
      <c r="B1405" s="520" t="s">
        <v>2792</v>
      </c>
      <c r="C1405" s="613">
        <v>1026.0</v>
      </c>
      <c r="D1405" s="520" t="s">
        <v>3519</v>
      </c>
      <c r="E1405" s="614">
        <v>100.0</v>
      </c>
      <c r="F1405" s="615" t="s">
        <v>156</v>
      </c>
      <c r="G1405" s="520" t="s">
        <v>3517</v>
      </c>
    </row>
    <row r="1406">
      <c r="A1406" s="628">
        <v>46297.0</v>
      </c>
      <c r="B1406" s="514" t="s">
        <v>2792</v>
      </c>
      <c r="C1406" s="629">
        <v>1014.0</v>
      </c>
      <c r="D1406" s="630" t="s">
        <v>1629</v>
      </c>
      <c r="E1406" s="631">
        <v>2.0</v>
      </c>
      <c r="F1406" s="632" t="s">
        <v>156</v>
      </c>
      <c r="G1406" s="633"/>
    </row>
    <row r="1407">
      <c r="A1407" s="634">
        <v>46297.0</v>
      </c>
      <c r="B1407" s="520" t="s">
        <v>2792</v>
      </c>
      <c r="C1407" s="635">
        <v>1014.0</v>
      </c>
      <c r="D1407" s="636" t="s">
        <v>1946</v>
      </c>
      <c r="E1407" s="637">
        <v>2.0</v>
      </c>
      <c r="F1407" s="638" t="s">
        <v>156</v>
      </c>
      <c r="G1407" s="639"/>
    </row>
    <row r="1408">
      <c r="A1408" s="628">
        <v>46297.0</v>
      </c>
      <c r="B1408" s="514" t="s">
        <v>2792</v>
      </c>
      <c r="C1408" s="629">
        <v>1015.0</v>
      </c>
      <c r="D1408" s="630" t="s">
        <v>3520</v>
      </c>
      <c r="E1408" s="631">
        <v>380.0</v>
      </c>
      <c r="F1408" s="632" t="s">
        <v>74</v>
      </c>
      <c r="G1408" s="633"/>
    </row>
    <row r="1409">
      <c r="A1409" s="634" t="s">
        <v>2793</v>
      </c>
      <c r="B1409" s="520" t="s">
        <v>2792</v>
      </c>
      <c r="C1409" s="635">
        <v>1016.0</v>
      </c>
      <c r="D1409" s="636" t="s">
        <v>3521</v>
      </c>
      <c r="E1409" s="637">
        <v>10.0</v>
      </c>
      <c r="F1409" s="638" t="s">
        <v>156</v>
      </c>
      <c r="G1409" s="640"/>
    </row>
    <row r="1410">
      <c r="A1410" s="634" t="s">
        <v>2793</v>
      </c>
      <c r="B1410" s="514" t="s">
        <v>2792</v>
      </c>
      <c r="C1410" s="641">
        <v>1016.0</v>
      </c>
      <c r="D1410" s="633" t="s">
        <v>3522</v>
      </c>
      <c r="E1410" s="642">
        <v>2.0</v>
      </c>
      <c r="F1410" s="643" t="s">
        <v>34</v>
      </c>
      <c r="G1410" s="644"/>
    </row>
    <row r="1411">
      <c r="A1411" s="634" t="s">
        <v>2793</v>
      </c>
      <c r="B1411" s="520" t="s">
        <v>2792</v>
      </c>
      <c r="C1411" s="635">
        <v>1016.0</v>
      </c>
      <c r="D1411" s="636" t="s">
        <v>3523</v>
      </c>
      <c r="E1411" s="637">
        <v>2.0</v>
      </c>
      <c r="F1411" s="638" t="s">
        <v>34</v>
      </c>
      <c r="G1411" s="640"/>
    </row>
    <row r="1412">
      <c r="A1412" s="634" t="s">
        <v>2793</v>
      </c>
      <c r="B1412" s="514" t="s">
        <v>2792</v>
      </c>
      <c r="C1412" s="641">
        <v>1016.0</v>
      </c>
      <c r="D1412" s="633" t="s">
        <v>1629</v>
      </c>
      <c r="E1412" s="642">
        <v>2.0</v>
      </c>
      <c r="F1412" s="643" t="s">
        <v>156</v>
      </c>
      <c r="G1412" s="644"/>
    </row>
    <row r="1413">
      <c r="A1413" s="634" t="s">
        <v>2793</v>
      </c>
      <c r="B1413" s="520" t="s">
        <v>2792</v>
      </c>
      <c r="C1413" s="635">
        <v>1016.0</v>
      </c>
      <c r="D1413" s="636" t="s">
        <v>3524</v>
      </c>
      <c r="E1413" s="637">
        <v>5.0</v>
      </c>
      <c r="F1413" s="638" t="s">
        <v>39</v>
      </c>
      <c r="G1413" s="640"/>
    </row>
    <row r="1414">
      <c r="A1414" s="634" t="s">
        <v>2793</v>
      </c>
      <c r="B1414" s="514" t="s">
        <v>2792</v>
      </c>
      <c r="C1414" s="641">
        <v>1016.0</v>
      </c>
      <c r="D1414" s="633" t="s">
        <v>3525</v>
      </c>
      <c r="E1414" s="642">
        <v>2.0</v>
      </c>
      <c r="F1414" s="643" t="s">
        <v>156</v>
      </c>
      <c r="G1414" s="644"/>
    </row>
    <row r="1415">
      <c r="A1415" s="634" t="s">
        <v>2793</v>
      </c>
      <c r="B1415" s="520" t="s">
        <v>2792</v>
      </c>
      <c r="C1415" s="629">
        <v>1017.0</v>
      </c>
      <c r="D1415" s="630" t="s">
        <v>453</v>
      </c>
      <c r="E1415" s="631">
        <v>6840.0</v>
      </c>
      <c r="F1415" s="632" t="s">
        <v>74</v>
      </c>
      <c r="G1415" s="639"/>
    </row>
    <row r="1416">
      <c r="A1416" s="634" t="s">
        <v>2793</v>
      </c>
      <c r="B1416" s="514" t="s">
        <v>2792</v>
      </c>
      <c r="C1416" s="635">
        <v>1017.0</v>
      </c>
      <c r="D1416" s="636" t="s">
        <v>281</v>
      </c>
      <c r="E1416" s="637">
        <v>9000.0</v>
      </c>
      <c r="F1416" s="638" t="s">
        <v>74</v>
      </c>
      <c r="G1416" s="633"/>
    </row>
    <row r="1417">
      <c r="A1417" s="634" t="s">
        <v>2793</v>
      </c>
      <c r="B1417" s="520" t="s">
        <v>2792</v>
      </c>
      <c r="C1417" s="645">
        <v>1017.0</v>
      </c>
      <c r="D1417" s="639" t="s">
        <v>3526</v>
      </c>
      <c r="E1417" s="646">
        <v>6000.0</v>
      </c>
      <c r="F1417" s="647" t="s">
        <v>74</v>
      </c>
      <c r="G1417" s="640"/>
    </row>
    <row r="1418">
      <c r="A1418" s="634" t="s">
        <v>2793</v>
      </c>
      <c r="B1418" s="514" t="s">
        <v>2792</v>
      </c>
      <c r="C1418" s="635">
        <v>1017.0</v>
      </c>
      <c r="D1418" s="636" t="s">
        <v>28</v>
      </c>
      <c r="E1418" s="637">
        <v>4.0</v>
      </c>
      <c r="F1418" s="638" t="s">
        <v>156</v>
      </c>
      <c r="G1418" s="644"/>
    </row>
    <row r="1419">
      <c r="A1419" s="634" t="s">
        <v>2795</v>
      </c>
      <c r="B1419" s="520" t="s">
        <v>2792</v>
      </c>
      <c r="C1419" s="645">
        <v>1019.0</v>
      </c>
      <c r="D1419" s="639" t="s">
        <v>3527</v>
      </c>
      <c r="E1419" s="646">
        <v>5.0</v>
      </c>
      <c r="F1419" s="647" t="s">
        <v>156</v>
      </c>
      <c r="G1419" s="640"/>
    </row>
    <row r="1420">
      <c r="A1420" s="634" t="s">
        <v>2795</v>
      </c>
      <c r="B1420" s="514" t="s">
        <v>2792</v>
      </c>
      <c r="C1420" s="641">
        <v>1019.0</v>
      </c>
      <c r="D1420" s="636" t="s">
        <v>3528</v>
      </c>
      <c r="E1420" s="637">
        <v>10.0</v>
      </c>
      <c r="F1420" s="638" t="s">
        <v>156</v>
      </c>
      <c r="G1420" s="633"/>
    </row>
    <row r="1421">
      <c r="A1421" s="634" t="s">
        <v>2795</v>
      </c>
      <c r="B1421" s="520" t="s">
        <v>2792</v>
      </c>
      <c r="C1421" s="645">
        <v>1019.0</v>
      </c>
      <c r="D1421" s="639" t="s">
        <v>2327</v>
      </c>
      <c r="E1421" s="646">
        <v>2.0</v>
      </c>
      <c r="F1421" s="647" t="s">
        <v>156</v>
      </c>
      <c r="G1421" s="639"/>
    </row>
    <row r="1422">
      <c r="A1422" s="634" t="s">
        <v>2795</v>
      </c>
      <c r="B1422" s="514" t="s">
        <v>2792</v>
      </c>
      <c r="C1422" s="641">
        <v>1019.0</v>
      </c>
      <c r="D1422" s="514" t="s">
        <v>3529</v>
      </c>
      <c r="E1422" s="618">
        <v>48.0</v>
      </c>
      <c r="F1422" s="619" t="s">
        <v>156</v>
      </c>
      <c r="G1422" s="514"/>
    </row>
    <row r="1423">
      <c r="A1423" s="634" t="s">
        <v>2795</v>
      </c>
      <c r="B1423" s="520" t="s">
        <v>2792</v>
      </c>
      <c r="C1423" s="645">
        <v>1019.0</v>
      </c>
      <c r="D1423" s="520" t="s">
        <v>3530</v>
      </c>
      <c r="E1423" s="614">
        <v>450.0</v>
      </c>
      <c r="F1423" s="615" t="s">
        <v>74</v>
      </c>
      <c r="G1423" s="520"/>
    </row>
    <row r="1424">
      <c r="A1424" s="634" t="s">
        <v>2795</v>
      </c>
      <c r="B1424" s="514" t="s">
        <v>2792</v>
      </c>
      <c r="C1424" s="617">
        <v>1020.0</v>
      </c>
      <c r="D1424" s="514" t="s">
        <v>1634</v>
      </c>
      <c r="E1424" s="618">
        <v>2.0</v>
      </c>
      <c r="F1424" s="619" t="s">
        <v>156</v>
      </c>
      <c r="G1424" s="621"/>
    </row>
    <row r="1425">
      <c r="A1425" s="634" t="s">
        <v>2796</v>
      </c>
      <c r="B1425" s="520" t="s">
        <v>2792</v>
      </c>
      <c r="C1425" s="613">
        <v>1020.0</v>
      </c>
      <c r="D1425" s="520" t="s">
        <v>119</v>
      </c>
      <c r="E1425" s="614">
        <v>10.0</v>
      </c>
      <c r="F1425" s="615" t="s">
        <v>25</v>
      </c>
      <c r="G1425" s="620"/>
    </row>
    <row r="1426">
      <c r="A1426" s="634" t="s">
        <v>2796</v>
      </c>
      <c r="B1426" s="514" t="s">
        <v>2792</v>
      </c>
      <c r="C1426" s="617">
        <v>1020.0</v>
      </c>
      <c r="D1426" s="514" t="s">
        <v>1932</v>
      </c>
      <c r="E1426" s="618">
        <v>2.0</v>
      </c>
      <c r="F1426" s="619" t="s">
        <v>156</v>
      </c>
      <c r="G1426" s="621"/>
    </row>
    <row r="1427">
      <c r="A1427" s="612">
        <v>46089.0</v>
      </c>
      <c r="B1427" s="520" t="s">
        <v>2792</v>
      </c>
      <c r="C1427" s="613">
        <v>1028.0</v>
      </c>
      <c r="D1427" s="520" t="s">
        <v>3531</v>
      </c>
      <c r="E1427" s="614">
        <v>3.0</v>
      </c>
      <c r="F1427" s="615" t="s">
        <v>156</v>
      </c>
      <c r="G1427" s="545"/>
    </row>
    <row r="1428">
      <c r="A1428" s="616">
        <v>46089.0</v>
      </c>
      <c r="B1428" s="514" t="s">
        <v>2792</v>
      </c>
      <c r="C1428" s="617">
        <v>1028.0</v>
      </c>
      <c r="D1428" s="514" t="s">
        <v>3532</v>
      </c>
      <c r="E1428" s="618">
        <v>100.0</v>
      </c>
      <c r="F1428" s="619" t="s">
        <v>74</v>
      </c>
      <c r="G1428" s="514" t="s">
        <v>3533</v>
      </c>
    </row>
    <row r="1429">
      <c r="A1429" s="612">
        <v>46089.0</v>
      </c>
      <c r="B1429" s="520" t="s">
        <v>2792</v>
      </c>
      <c r="C1429" s="613">
        <v>1028.0</v>
      </c>
      <c r="D1429" s="520" t="s">
        <v>3534</v>
      </c>
      <c r="E1429" s="614">
        <v>1.0</v>
      </c>
      <c r="F1429" s="615" t="s">
        <v>156</v>
      </c>
      <c r="G1429" s="545"/>
    </row>
    <row r="1430">
      <c r="A1430" s="616">
        <v>46089.0</v>
      </c>
      <c r="B1430" s="514" t="s">
        <v>2792</v>
      </c>
      <c r="C1430" s="617">
        <v>1028.0</v>
      </c>
      <c r="D1430" s="514" t="s">
        <v>3535</v>
      </c>
      <c r="E1430" s="618">
        <v>1.0</v>
      </c>
      <c r="F1430" s="619" t="s">
        <v>156</v>
      </c>
      <c r="G1430" s="550"/>
    </row>
    <row r="1431">
      <c r="A1431" s="612">
        <v>46089.0</v>
      </c>
      <c r="B1431" s="520" t="s">
        <v>2792</v>
      </c>
      <c r="C1431" s="613">
        <v>1028.0</v>
      </c>
      <c r="D1431" s="520" t="s">
        <v>3536</v>
      </c>
      <c r="E1431" s="614">
        <v>1.0</v>
      </c>
      <c r="F1431" s="615" t="s">
        <v>156</v>
      </c>
      <c r="G1431" s="545"/>
    </row>
    <row r="1432">
      <c r="A1432" s="616">
        <v>46089.0</v>
      </c>
      <c r="B1432" s="514" t="s">
        <v>2792</v>
      </c>
      <c r="C1432" s="617">
        <v>1028.0</v>
      </c>
      <c r="D1432" s="514" t="s">
        <v>3537</v>
      </c>
      <c r="E1432" s="618">
        <v>3.0</v>
      </c>
      <c r="F1432" s="619" t="s">
        <v>156</v>
      </c>
      <c r="G1432" s="550"/>
    </row>
    <row r="1433">
      <c r="A1433" s="612">
        <v>46094.0</v>
      </c>
      <c r="B1433" s="520" t="s">
        <v>2792</v>
      </c>
      <c r="C1433" s="613">
        <v>1029.0</v>
      </c>
      <c r="D1433" s="520" t="s">
        <v>3538</v>
      </c>
      <c r="E1433" s="614">
        <v>2.0</v>
      </c>
      <c r="F1433" s="615" t="s">
        <v>156</v>
      </c>
      <c r="G1433" s="545"/>
    </row>
    <row r="1434">
      <c r="A1434" s="616">
        <v>46094.0</v>
      </c>
      <c r="B1434" s="514" t="s">
        <v>2792</v>
      </c>
      <c r="C1434" s="617">
        <v>1029.0</v>
      </c>
      <c r="D1434" s="514" t="s">
        <v>3539</v>
      </c>
      <c r="E1434" s="618">
        <v>10.0</v>
      </c>
      <c r="F1434" s="619" t="s">
        <v>156</v>
      </c>
      <c r="G1434" s="550"/>
    </row>
    <row r="1435">
      <c r="A1435" s="612">
        <v>46094.0</v>
      </c>
      <c r="B1435" s="520" t="s">
        <v>2792</v>
      </c>
      <c r="C1435" s="613">
        <v>1029.0</v>
      </c>
      <c r="D1435" s="520" t="s">
        <v>3540</v>
      </c>
      <c r="E1435" s="614">
        <v>3.0</v>
      </c>
      <c r="F1435" s="615" t="s">
        <v>156</v>
      </c>
      <c r="G1435" s="545"/>
    </row>
    <row r="1436">
      <c r="A1436" s="616">
        <v>46094.0</v>
      </c>
      <c r="B1436" s="514" t="s">
        <v>2792</v>
      </c>
      <c r="C1436" s="617">
        <v>1029.0</v>
      </c>
      <c r="D1436" s="514" t="s">
        <v>3541</v>
      </c>
      <c r="E1436" s="618">
        <v>3.0</v>
      </c>
      <c r="F1436" s="619" t="s">
        <v>156</v>
      </c>
      <c r="G1436" s="550"/>
    </row>
    <row r="1437">
      <c r="A1437" s="612">
        <v>46094.0</v>
      </c>
      <c r="B1437" s="520" t="s">
        <v>2792</v>
      </c>
      <c r="C1437" s="613">
        <v>1029.0</v>
      </c>
      <c r="D1437" s="520" t="s">
        <v>3542</v>
      </c>
      <c r="E1437" s="614">
        <v>10.0</v>
      </c>
      <c r="F1437" s="615" t="s">
        <v>1662</v>
      </c>
      <c r="G1437" s="545"/>
    </row>
    <row r="1438">
      <c r="A1438" s="616">
        <v>46094.0</v>
      </c>
      <c r="B1438" s="514" t="s">
        <v>2792</v>
      </c>
      <c r="C1438" s="617">
        <v>1029.0</v>
      </c>
      <c r="D1438" s="514" t="s">
        <v>3543</v>
      </c>
      <c r="E1438" s="618">
        <v>20.0</v>
      </c>
      <c r="F1438" s="619" t="s">
        <v>3544</v>
      </c>
      <c r="G1438" s="550"/>
    </row>
    <row r="1439">
      <c r="A1439" s="612">
        <v>46098.0</v>
      </c>
      <c r="B1439" s="520" t="s">
        <v>2792</v>
      </c>
      <c r="C1439" s="613">
        <v>1030.0</v>
      </c>
      <c r="D1439" s="520" t="s">
        <v>3299</v>
      </c>
      <c r="E1439" s="614">
        <v>15000.0</v>
      </c>
      <c r="F1439" s="615" t="s">
        <v>74</v>
      </c>
      <c r="G1439" s="520"/>
    </row>
    <row r="1440">
      <c r="A1440" s="616">
        <v>46098.0</v>
      </c>
      <c r="B1440" s="514" t="s">
        <v>2792</v>
      </c>
      <c r="C1440" s="617">
        <v>1030.0</v>
      </c>
      <c r="D1440" s="514" t="s">
        <v>1634</v>
      </c>
      <c r="E1440" s="618">
        <v>2.0</v>
      </c>
      <c r="F1440" s="619" t="s">
        <v>1622</v>
      </c>
      <c r="G1440" s="514"/>
    </row>
    <row r="1441">
      <c r="A1441" s="612">
        <v>46098.0</v>
      </c>
      <c r="B1441" s="520" t="s">
        <v>2792</v>
      </c>
      <c r="C1441" s="613">
        <v>1030.0</v>
      </c>
      <c r="D1441" s="520" t="s">
        <v>863</v>
      </c>
      <c r="E1441" s="614">
        <v>50.0</v>
      </c>
      <c r="F1441" s="615" t="s">
        <v>156</v>
      </c>
      <c r="G1441" s="520"/>
    </row>
    <row r="1442">
      <c r="A1442" s="616">
        <v>46098.0</v>
      </c>
      <c r="B1442" s="514" t="s">
        <v>2792</v>
      </c>
      <c r="C1442" s="617">
        <v>1030.0</v>
      </c>
      <c r="D1442" s="514" t="s">
        <v>3506</v>
      </c>
      <c r="E1442" s="618">
        <v>50.0</v>
      </c>
      <c r="F1442" s="619" t="s">
        <v>156</v>
      </c>
      <c r="G1442" s="514"/>
    </row>
    <row r="1443">
      <c r="A1443" s="612">
        <v>46098.0</v>
      </c>
      <c r="B1443" s="520" t="s">
        <v>2792</v>
      </c>
      <c r="C1443" s="613">
        <v>1030.0</v>
      </c>
      <c r="D1443" s="520" t="s">
        <v>3495</v>
      </c>
      <c r="E1443" s="614">
        <v>10.0</v>
      </c>
      <c r="F1443" s="615" t="s">
        <v>74</v>
      </c>
      <c r="G1443" s="520"/>
    </row>
    <row r="1444">
      <c r="A1444" s="616">
        <v>46082.0</v>
      </c>
      <c r="B1444" s="514" t="s">
        <v>2792</v>
      </c>
      <c r="C1444" s="617">
        <v>205.0</v>
      </c>
      <c r="D1444" s="514" t="s">
        <v>561</v>
      </c>
      <c r="E1444" s="618">
        <v>10.0</v>
      </c>
      <c r="F1444" s="619" t="s">
        <v>981</v>
      </c>
      <c r="G1444" s="514" t="s">
        <v>3545</v>
      </c>
    </row>
    <row r="1445">
      <c r="A1445" s="612">
        <v>46082.0</v>
      </c>
      <c r="B1445" s="520" t="s">
        <v>2792</v>
      </c>
      <c r="C1445" s="613">
        <v>205.0</v>
      </c>
      <c r="D1445" s="520" t="s">
        <v>438</v>
      </c>
      <c r="E1445" s="614">
        <v>20.0</v>
      </c>
      <c r="F1445" s="615" t="s">
        <v>156</v>
      </c>
      <c r="G1445" s="520" t="s">
        <v>3545</v>
      </c>
    </row>
    <row r="1446">
      <c r="A1446" s="616">
        <v>46082.0</v>
      </c>
      <c r="B1446" s="514" t="s">
        <v>2792</v>
      </c>
      <c r="C1446" s="617">
        <v>205.0</v>
      </c>
      <c r="D1446" s="514" t="s">
        <v>2756</v>
      </c>
      <c r="E1446" s="618">
        <v>20.0</v>
      </c>
      <c r="F1446" s="619" t="s">
        <v>156</v>
      </c>
      <c r="G1446" s="514" t="s">
        <v>3545</v>
      </c>
    </row>
    <row r="1447">
      <c r="A1447" s="612">
        <v>46082.0</v>
      </c>
      <c r="B1447" s="520" t="s">
        <v>2792</v>
      </c>
      <c r="C1447" s="613">
        <v>205.0</v>
      </c>
      <c r="D1447" s="520" t="s">
        <v>512</v>
      </c>
      <c r="E1447" s="614">
        <v>5.0</v>
      </c>
      <c r="F1447" s="615" t="s">
        <v>156</v>
      </c>
      <c r="G1447" s="520" t="s">
        <v>3545</v>
      </c>
    </row>
    <row r="1448">
      <c r="A1448" s="616">
        <v>46082.0</v>
      </c>
      <c r="B1448" s="514" t="s">
        <v>2792</v>
      </c>
      <c r="C1448" s="617">
        <v>205.0</v>
      </c>
      <c r="D1448" s="514" t="s">
        <v>3257</v>
      </c>
      <c r="E1448" s="618">
        <v>5.0</v>
      </c>
      <c r="F1448" s="619" t="s">
        <v>156</v>
      </c>
      <c r="G1448" s="514" t="s">
        <v>3545</v>
      </c>
    </row>
    <row r="1449">
      <c r="A1449" s="612">
        <v>46082.0</v>
      </c>
      <c r="B1449" s="520" t="s">
        <v>2792</v>
      </c>
      <c r="C1449" s="613">
        <v>205.0</v>
      </c>
      <c r="D1449" s="520" t="s">
        <v>3546</v>
      </c>
      <c r="E1449" s="614">
        <v>20.0</v>
      </c>
      <c r="F1449" s="615" t="s">
        <v>156</v>
      </c>
      <c r="G1449" s="520" t="s">
        <v>3545</v>
      </c>
    </row>
    <row r="1450">
      <c r="A1450" s="616">
        <v>46082.0</v>
      </c>
      <c r="B1450" s="514" t="s">
        <v>2792</v>
      </c>
      <c r="C1450" s="617">
        <v>205.0</v>
      </c>
      <c r="D1450" s="514" t="s">
        <v>623</v>
      </c>
      <c r="E1450" s="618">
        <v>50.0</v>
      </c>
      <c r="F1450" s="619" t="s">
        <v>1673</v>
      </c>
      <c r="G1450" s="514" t="s">
        <v>3545</v>
      </c>
    </row>
    <row r="1451">
      <c r="A1451" s="612">
        <v>46082.0</v>
      </c>
      <c r="B1451" s="520" t="s">
        <v>2792</v>
      </c>
      <c r="C1451" s="613">
        <v>205.0</v>
      </c>
      <c r="D1451" s="520" t="s">
        <v>3209</v>
      </c>
      <c r="E1451" s="614">
        <v>50.0</v>
      </c>
      <c r="F1451" s="615" t="s">
        <v>1673</v>
      </c>
      <c r="G1451" s="520" t="s">
        <v>3545</v>
      </c>
    </row>
    <row r="1452">
      <c r="A1452" s="616">
        <v>46082.0</v>
      </c>
      <c r="B1452" s="514" t="s">
        <v>2792</v>
      </c>
      <c r="C1452" s="617">
        <v>205.0</v>
      </c>
      <c r="D1452" s="514" t="s">
        <v>3210</v>
      </c>
      <c r="E1452" s="618">
        <v>50.0</v>
      </c>
      <c r="F1452" s="619" t="s">
        <v>1673</v>
      </c>
      <c r="G1452" s="514" t="s">
        <v>3545</v>
      </c>
    </row>
    <row r="1453">
      <c r="A1453" s="612">
        <v>46082.0</v>
      </c>
      <c r="B1453" s="520" t="s">
        <v>2792</v>
      </c>
      <c r="C1453" s="613">
        <v>205.0</v>
      </c>
      <c r="D1453" s="520" t="s">
        <v>3547</v>
      </c>
      <c r="E1453" s="614">
        <v>20.0</v>
      </c>
      <c r="F1453" s="615" t="s">
        <v>156</v>
      </c>
      <c r="G1453" s="520" t="s">
        <v>3545</v>
      </c>
    </row>
    <row r="1454">
      <c r="A1454" s="616">
        <v>46082.0</v>
      </c>
      <c r="B1454" s="514" t="s">
        <v>2792</v>
      </c>
      <c r="C1454" s="617">
        <v>205.0</v>
      </c>
      <c r="D1454" s="514" t="s">
        <v>3548</v>
      </c>
      <c r="E1454" s="618">
        <v>1.0</v>
      </c>
      <c r="F1454" s="619" t="s">
        <v>156</v>
      </c>
      <c r="G1454" s="514" t="s">
        <v>3545</v>
      </c>
    </row>
    <row r="1455">
      <c r="A1455" s="612">
        <v>46082.0</v>
      </c>
      <c r="B1455" s="520" t="s">
        <v>2792</v>
      </c>
      <c r="C1455" s="613">
        <v>205.0</v>
      </c>
      <c r="D1455" s="520" t="s">
        <v>3549</v>
      </c>
      <c r="E1455" s="614">
        <v>500.0</v>
      </c>
      <c r="F1455" s="615" t="s">
        <v>74</v>
      </c>
      <c r="G1455" s="520" t="s">
        <v>3545</v>
      </c>
    </row>
    <row r="1456">
      <c r="A1456" s="616">
        <v>46082.0</v>
      </c>
      <c r="B1456" s="514" t="s">
        <v>2792</v>
      </c>
      <c r="C1456" s="617">
        <v>206.0</v>
      </c>
      <c r="D1456" s="514" t="s">
        <v>3550</v>
      </c>
      <c r="E1456" s="618">
        <v>1.0</v>
      </c>
      <c r="F1456" s="619" t="s">
        <v>89</v>
      </c>
      <c r="G1456" s="514" t="s">
        <v>3545</v>
      </c>
    </row>
    <row r="1457">
      <c r="A1457" s="612">
        <v>46082.0</v>
      </c>
      <c r="B1457" s="520" t="s">
        <v>2792</v>
      </c>
      <c r="C1457" s="613">
        <v>206.0</v>
      </c>
      <c r="D1457" s="520" t="s">
        <v>3551</v>
      </c>
      <c r="E1457" s="614">
        <v>50.0</v>
      </c>
      <c r="F1457" s="615" t="s">
        <v>156</v>
      </c>
      <c r="G1457" s="520" t="s">
        <v>3545</v>
      </c>
    </row>
    <row r="1458">
      <c r="A1458" s="616">
        <v>46082.0</v>
      </c>
      <c r="B1458" s="514" t="s">
        <v>2792</v>
      </c>
      <c r="C1458" s="617">
        <v>206.0</v>
      </c>
      <c r="D1458" s="514" t="s">
        <v>3263</v>
      </c>
      <c r="E1458" s="618">
        <v>7.0</v>
      </c>
      <c r="F1458" s="619" t="s">
        <v>156</v>
      </c>
      <c r="G1458" s="514" t="s">
        <v>3545</v>
      </c>
    </row>
    <row r="1459">
      <c r="A1459" s="612">
        <v>46082.0</v>
      </c>
      <c r="B1459" s="520" t="s">
        <v>2792</v>
      </c>
      <c r="C1459" s="613">
        <v>206.0</v>
      </c>
      <c r="D1459" s="520" t="s">
        <v>281</v>
      </c>
      <c r="E1459" s="614">
        <v>180.0</v>
      </c>
      <c r="F1459" s="615" t="s">
        <v>524</v>
      </c>
      <c r="G1459" s="520" t="s">
        <v>3545</v>
      </c>
    </row>
    <row r="1460">
      <c r="A1460" s="616">
        <v>46094.0</v>
      </c>
      <c r="B1460" s="514" t="s">
        <v>2792</v>
      </c>
      <c r="C1460" s="617">
        <v>207.0</v>
      </c>
      <c r="D1460" s="514" t="s">
        <v>3552</v>
      </c>
      <c r="E1460" s="618">
        <v>40.0</v>
      </c>
      <c r="F1460" s="619" t="s">
        <v>2849</v>
      </c>
      <c r="G1460" s="514" t="s">
        <v>3545</v>
      </c>
    </row>
    <row r="1461">
      <c r="A1461" s="612">
        <v>46098.0</v>
      </c>
      <c r="B1461" s="520" t="s">
        <v>2792</v>
      </c>
      <c r="C1461" s="648">
        <v>208.0</v>
      </c>
      <c r="D1461" s="649" t="s">
        <v>3299</v>
      </c>
      <c r="E1461" s="650">
        <v>180.0</v>
      </c>
      <c r="F1461" s="649" t="s">
        <v>524</v>
      </c>
      <c r="G1461" s="520" t="s">
        <v>3545</v>
      </c>
    </row>
    <row r="1462">
      <c r="A1462" s="616">
        <v>46103.0</v>
      </c>
      <c r="B1462" s="514" t="s">
        <v>2792</v>
      </c>
      <c r="C1462" s="651">
        <v>1034.0</v>
      </c>
      <c r="D1462" s="514" t="s">
        <v>3553</v>
      </c>
      <c r="E1462" s="618">
        <v>50.0</v>
      </c>
      <c r="F1462" s="652" t="s">
        <v>156</v>
      </c>
      <c r="G1462" s="514" t="s">
        <v>3554</v>
      </c>
    </row>
    <row r="1463">
      <c r="A1463" s="612">
        <v>46104.0</v>
      </c>
      <c r="B1463" s="520" t="s">
        <v>2792</v>
      </c>
      <c r="C1463" s="613">
        <v>1032.0</v>
      </c>
      <c r="D1463" s="520" t="s">
        <v>3555</v>
      </c>
      <c r="E1463" s="614">
        <v>80.0</v>
      </c>
      <c r="F1463" s="615" t="s">
        <v>156</v>
      </c>
      <c r="G1463" s="545"/>
    </row>
    <row r="1464">
      <c r="A1464" s="616">
        <v>46104.0</v>
      </c>
      <c r="B1464" s="514" t="s">
        <v>2792</v>
      </c>
      <c r="C1464" s="617">
        <v>1032.0</v>
      </c>
      <c r="D1464" s="514" t="s">
        <v>3556</v>
      </c>
      <c r="E1464" s="618">
        <v>130.0</v>
      </c>
      <c r="F1464" s="619" t="s">
        <v>156</v>
      </c>
      <c r="G1464" s="550"/>
    </row>
    <row r="1465">
      <c r="A1465" s="612">
        <v>46104.0</v>
      </c>
      <c r="B1465" s="520" t="s">
        <v>2792</v>
      </c>
      <c r="C1465" s="613">
        <v>1032.0</v>
      </c>
      <c r="D1465" s="520" t="s">
        <v>3557</v>
      </c>
      <c r="E1465" s="614">
        <v>16.0</v>
      </c>
      <c r="F1465" s="615" t="s">
        <v>156</v>
      </c>
      <c r="G1465" s="520" t="s">
        <v>3558</v>
      </c>
    </row>
    <row r="1466">
      <c r="A1466" s="616">
        <v>46104.0</v>
      </c>
      <c r="B1466" s="514" t="s">
        <v>2792</v>
      </c>
      <c r="C1466" s="617">
        <v>1032.0</v>
      </c>
      <c r="D1466" s="514" t="s">
        <v>3559</v>
      </c>
      <c r="E1466" s="618">
        <v>50.0</v>
      </c>
      <c r="F1466" s="619" t="s">
        <v>156</v>
      </c>
      <c r="G1466" s="550"/>
    </row>
    <row r="1467">
      <c r="A1467" s="612">
        <v>46104.0</v>
      </c>
      <c r="B1467" s="520" t="s">
        <v>2792</v>
      </c>
      <c r="C1467" s="613">
        <v>1032.0</v>
      </c>
      <c r="D1467" s="520" t="s">
        <v>3560</v>
      </c>
      <c r="E1467" s="614">
        <v>20.0</v>
      </c>
      <c r="F1467" s="615" t="s">
        <v>156</v>
      </c>
      <c r="G1467" s="520" t="s">
        <v>3561</v>
      </c>
    </row>
    <row r="1468">
      <c r="A1468" s="616">
        <v>46109.0</v>
      </c>
      <c r="B1468" s="514" t="s">
        <v>2792</v>
      </c>
      <c r="C1468" s="617">
        <v>210.0</v>
      </c>
      <c r="D1468" s="514" t="s">
        <v>3562</v>
      </c>
      <c r="E1468" s="618">
        <v>2.0</v>
      </c>
      <c r="F1468" s="619" t="s">
        <v>156</v>
      </c>
      <c r="G1468" s="550"/>
    </row>
    <row r="1469">
      <c r="A1469" s="612">
        <v>46109.0</v>
      </c>
      <c r="B1469" s="520" t="s">
        <v>2792</v>
      </c>
      <c r="C1469" s="613">
        <v>210.0</v>
      </c>
      <c r="D1469" s="520" t="s">
        <v>3563</v>
      </c>
      <c r="E1469" s="614">
        <v>20.0</v>
      </c>
      <c r="F1469" s="615" t="s">
        <v>2849</v>
      </c>
      <c r="G1469" s="545"/>
    </row>
    <row r="1470">
      <c r="A1470" s="616">
        <v>46109.0</v>
      </c>
      <c r="B1470" s="514" t="s">
        <v>2792</v>
      </c>
      <c r="C1470" s="617">
        <v>210.0</v>
      </c>
      <c r="D1470" s="514" t="s">
        <v>3564</v>
      </c>
      <c r="E1470" s="618">
        <v>4.0</v>
      </c>
      <c r="F1470" s="619" t="s">
        <v>1622</v>
      </c>
      <c r="G1470" s="550"/>
    </row>
    <row r="1471">
      <c r="A1471" s="612">
        <v>46109.0</v>
      </c>
      <c r="B1471" s="520" t="s">
        <v>2792</v>
      </c>
      <c r="C1471" s="613">
        <v>210.0</v>
      </c>
      <c r="D1471" s="520" t="s">
        <v>3565</v>
      </c>
      <c r="E1471" s="614">
        <v>16.0</v>
      </c>
      <c r="F1471" s="615" t="s">
        <v>405</v>
      </c>
      <c r="G1471" s="545"/>
    </row>
    <row r="1472">
      <c r="A1472" s="616">
        <v>46109.0</v>
      </c>
      <c r="B1472" s="514" t="s">
        <v>2792</v>
      </c>
      <c r="C1472" s="617">
        <v>210.0</v>
      </c>
      <c r="D1472" s="514" t="s">
        <v>914</v>
      </c>
      <c r="E1472" s="618">
        <v>12.0</v>
      </c>
      <c r="F1472" s="619" t="s">
        <v>981</v>
      </c>
      <c r="G1472" s="550"/>
    </row>
    <row r="1473">
      <c r="A1473" s="612">
        <v>46109.0</v>
      </c>
      <c r="B1473" s="520" t="s">
        <v>2792</v>
      </c>
      <c r="C1473" s="613">
        <v>210.0</v>
      </c>
      <c r="D1473" s="520" t="s">
        <v>2738</v>
      </c>
      <c r="E1473" s="614">
        <v>5.0</v>
      </c>
      <c r="F1473" s="615" t="s">
        <v>156</v>
      </c>
      <c r="G1473" s="545"/>
    </row>
    <row r="1474">
      <c r="A1474" s="616">
        <v>46109.0</v>
      </c>
      <c r="B1474" s="514" t="s">
        <v>2792</v>
      </c>
      <c r="C1474" s="617">
        <v>210.0</v>
      </c>
      <c r="D1474" s="514" t="s">
        <v>3528</v>
      </c>
      <c r="E1474" s="618">
        <v>2.0</v>
      </c>
      <c r="F1474" s="619" t="s">
        <v>156</v>
      </c>
      <c r="G1474" s="550"/>
    </row>
    <row r="1475">
      <c r="A1475" s="612">
        <v>46109.0</v>
      </c>
      <c r="B1475" s="520" t="s">
        <v>2792</v>
      </c>
      <c r="C1475" s="613">
        <v>210.0</v>
      </c>
      <c r="D1475" s="520" t="s">
        <v>623</v>
      </c>
      <c r="E1475" s="614">
        <v>15.0</v>
      </c>
      <c r="F1475" s="615" t="s">
        <v>34</v>
      </c>
      <c r="G1475" s="545"/>
    </row>
    <row r="1476">
      <c r="A1476" s="616">
        <v>46109.0</v>
      </c>
      <c r="B1476" s="514" t="s">
        <v>2792</v>
      </c>
      <c r="C1476" s="617">
        <v>210.0</v>
      </c>
      <c r="D1476" s="514" t="s">
        <v>350</v>
      </c>
      <c r="E1476" s="618">
        <v>15.0</v>
      </c>
      <c r="F1476" s="619" t="s">
        <v>34</v>
      </c>
      <c r="G1476" s="550"/>
    </row>
    <row r="1477">
      <c r="A1477" s="612">
        <v>46109.0</v>
      </c>
      <c r="B1477" s="520" t="s">
        <v>2792</v>
      </c>
      <c r="C1477" s="613">
        <v>1035.0</v>
      </c>
      <c r="D1477" s="520" t="s">
        <v>623</v>
      </c>
      <c r="E1477" s="614">
        <v>100.0</v>
      </c>
      <c r="F1477" s="615" t="s">
        <v>34</v>
      </c>
      <c r="G1477" s="545"/>
    </row>
    <row r="1478">
      <c r="A1478" s="616">
        <v>46109.0</v>
      </c>
      <c r="B1478" s="514" t="s">
        <v>2792</v>
      </c>
      <c r="C1478" s="617">
        <v>1035.0</v>
      </c>
      <c r="D1478" s="514" t="s">
        <v>350</v>
      </c>
      <c r="E1478" s="618">
        <v>100.0</v>
      </c>
      <c r="F1478" s="619" t="s">
        <v>34</v>
      </c>
      <c r="G1478" s="550"/>
    </row>
    <row r="1479">
      <c r="A1479" s="612">
        <v>46109.0</v>
      </c>
      <c r="B1479" s="520" t="s">
        <v>2792</v>
      </c>
      <c r="C1479" s="613">
        <v>1035.0</v>
      </c>
      <c r="D1479" s="520" t="s">
        <v>349</v>
      </c>
      <c r="E1479" s="614">
        <v>100.0</v>
      </c>
      <c r="F1479" s="615" t="s">
        <v>34</v>
      </c>
      <c r="G1479" s="545"/>
    </row>
    <row r="1480">
      <c r="A1480" s="616">
        <v>46109.0</v>
      </c>
      <c r="B1480" s="514" t="s">
        <v>2792</v>
      </c>
      <c r="C1480" s="617">
        <v>1035.0</v>
      </c>
      <c r="D1480" s="514" t="s">
        <v>348</v>
      </c>
      <c r="E1480" s="618">
        <v>100.0</v>
      </c>
      <c r="F1480" s="619" t="s">
        <v>34</v>
      </c>
      <c r="G1480" s="550"/>
    </row>
    <row r="1481">
      <c r="A1481" s="612">
        <v>46109.0</v>
      </c>
      <c r="B1481" s="520" t="s">
        <v>2792</v>
      </c>
      <c r="C1481" s="613">
        <v>1035.0</v>
      </c>
      <c r="D1481" s="520" t="s">
        <v>3566</v>
      </c>
      <c r="E1481" s="614">
        <v>10.0</v>
      </c>
      <c r="F1481" s="615" t="s">
        <v>156</v>
      </c>
      <c r="G1481" s="545"/>
    </row>
    <row r="1482">
      <c r="A1482" s="616">
        <v>46109.0</v>
      </c>
      <c r="B1482" s="514" t="s">
        <v>2792</v>
      </c>
      <c r="C1482" s="617">
        <v>1035.0</v>
      </c>
      <c r="D1482" s="514" t="s">
        <v>3567</v>
      </c>
      <c r="E1482" s="618">
        <v>10.0</v>
      </c>
      <c r="F1482" s="619" t="s">
        <v>39</v>
      </c>
      <c r="G1482" s="550"/>
    </row>
    <row r="1483">
      <c r="A1483" s="612">
        <v>46109.0</v>
      </c>
      <c r="B1483" s="520" t="s">
        <v>2792</v>
      </c>
      <c r="C1483" s="613">
        <v>1035.0</v>
      </c>
      <c r="D1483" s="520" t="s">
        <v>3568</v>
      </c>
      <c r="E1483" s="614">
        <v>2.0</v>
      </c>
      <c r="F1483" s="615" t="s">
        <v>156</v>
      </c>
      <c r="G1483" s="545"/>
    </row>
    <row r="1484">
      <c r="A1484" s="616">
        <v>46109.0</v>
      </c>
      <c r="B1484" s="514" t="s">
        <v>2792</v>
      </c>
      <c r="C1484" s="617">
        <v>1035.0</v>
      </c>
      <c r="D1484" s="514" t="s">
        <v>3323</v>
      </c>
      <c r="E1484" s="618">
        <v>2.0</v>
      </c>
      <c r="F1484" s="619" t="s">
        <v>156</v>
      </c>
      <c r="G1484" s="550"/>
    </row>
    <row r="1485">
      <c r="A1485" s="612">
        <v>46109.0</v>
      </c>
      <c r="B1485" s="520" t="s">
        <v>2792</v>
      </c>
      <c r="C1485" s="613">
        <v>1035.0</v>
      </c>
      <c r="D1485" s="520" t="s">
        <v>3569</v>
      </c>
      <c r="E1485" s="614">
        <v>3.0</v>
      </c>
      <c r="F1485" s="615" t="s">
        <v>156</v>
      </c>
      <c r="G1485" s="545"/>
    </row>
    <row r="1486">
      <c r="A1486" s="616">
        <v>46109.0</v>
      </c>
      <c r="B1486" s="514" t="s">
        <v>2792</v>
      </c>
      <c r="C1486" s="617">
        <v>1035.0</v>
      </c>
      <c r="D1486" s="514" t="s">
        <v>823</v>
      </c>
      <c r="E1486" s="618">
        <v>10.0</v>
      </c>
      <c r="F1486" s="619" t="s">
        <v>39</v>
      </c>
      <c r="G1486" s="550"/>
    </row>
    <row r="1487">
      <c r="A1487" s="612">
        <v>46109.0</v>
      </c>
      <c r="B1487" s="520" t="s">
        <v>2792</v>
      </c>
      <c r="C1487" s="613">
        <v>1035.0</v>
      </c>
      <c r="D1487" s="520" t="s">
        <v>1020</v>
      </c>
      <c r="E1487" s="614">
        <v>2.0</v>
      </c>
      <c r="F1487" s="615" t="s">
        <v>156</v>
      </c>
      <c r="G1487" s="545"/>
    </row>
    <row r="1488">
      <c r="A1488" s="616">
        <v>46109.0</v>
      </c>
      <c r="B1488" s="514" t="s">
        <v>2792</v>
      </c>
      <c r="C1488" s="617">
        <v>1035.0</v>
      </c>
      <c r="D1488" s="514" t="s">
        <v>3570</v>
      </c>
      <c r="E1488" s="618">
        <v>12.0</v>
      </c>
      <c r="F1488" s="619" t="s">
        <v>156</v>
      </c>
      <c r="G1488" s="550"/>
    </row>
    <row r="1489">
      <c r="A1489" s="612">
        <v>46109.0</v>
      </c>
      <c r="B1489" s="520" t="s">
        <v>2792</v>
      </c>
      <c r="C1489" s="613">
        <v>1036.0</v>
      </c>
      <c r="D1489" s="520" t="s">
        <v>3571</v>
      </c>
      <c r="E1489" s="614">
        <v>30.0</v>
      </c>
      <c r="F1489" s="615" t="s">
        <v>34</v>
      </c>
      <c r="G1489" s="545"/>
    </row>
    <row r="1490">
      <c r="A1490" s="616">
        <v>46109.0</v>
      </c>
      <c r="B1490" s="514" t="s">
        <v>2792</v>
      </c>
      <c r="C1490" s="617">
        <v>1041.0</v>
      </c>
      <c r="D1490" s="514" t="s">
        <v>3572</v>
      </c>
      <c r="E1490" s="618">
        <v>75.0</v>
      </c>
      <c r="F1490" s="619" t="s">
        <v>1168</v>
      </c>
      <c r="G1490" s="550"/>
    </row>
    <row r="1491">
      <c r="A1491" s="612">
        <v>46109.0</v>
      </c>
      <c r="B1491" s="520" t="s">
        <v>2792</v>
      </c>
      <c r="C1491" s="613">
        <v>1041.0</v>
      </c>
      <c r="D1491" s="520" t="s">
        <v>3573</v>
      </c>
      <c r="E1491" s="614">
        <v>192.0</v>
      </c>
      <c r="F1491" s="615" t="s">
        <v>1168</v>
      </c>
      <c r="G1491" s="545"/>
    </row>
    <row r="1492">
      <c r="A1492" s="616">
        <v>46109.0</v>
      </c>
      <c r="B1492" s="514" t="s">
        <v>2792</v>
      </c>
      <c r="C1492" s="617">
        <v>1041.0</v>
      </c>
      <c r="D1492" s="514" t="s">
        <v>3574</v>
      </c>
      <c r="E1492" s="618">
        <v>192.0</v>
      </c>
      <c r="F1492" s="619" t="s">
        <v>1168</v>
      </c>
      <c r="G1492" s="550"/>
    </row>
    <row r="1493">
      <c r="A1493" s="612">
        <v>46109.0</v>
      </c>
      <c r="B1493" s="520" t="s">
        <v>2792</v>
      </c>
      <c r="C1493" s="613">
        <v>1041.0</v>
      </c>
      <c r="D1493" s="520" t="s">
        <v>3575</v>
      </c>
      <c r="E1493" s="614">
        <v>120.0</v>
      </c>
      <c r="F1493" s="615" t="s">
        <v>1168</v>
      </c>
      <c r="G1493" s="545"/>
    </row>
    <row r="1494">
      <c r="A1494" s="616">
        <v>46109.0</v>
      </c>
      <c r="B1494" s="514" t="s">
        <v>2792</v>
      </c>
      <c r="C1494" s="617">
        <v>1037.0</v>
      </c>
      <c r="D1494" s="514" t="s">
        <v>3576</v>
      </c>
      <c r="E1494" s="618">
        <v>5.0</v>
      </c>
      <c r="F1494" s="619" t="s">
        <v>981</v>
      </c>
      <c r="G1494" s="550"/>
    </row>
    <row r="1495">
      <c r="A1495" s="612">
        <v>46113.0</v>
      </c>
      <c r="B1495" s="520" t="s">
        <v>2792</v>
      </c>
      <c r="C1495" s="613">
        <v>1039.0</v>
      </c>
      <c r="D1495" s="520" t="s">
        <v>3577</v>
      </c>
      <c r="E1495" s="614">
        <v>10.0</v>
      </c>
      <c r="F1495" s="615" t="s">
        <v>981</v>
      </c>
      <c r="G1495" s="545"/>
    </row>
    <row r="1496">
      <c r="A1496" s="616">
        <v>46113.0</v>
      </c>
      <c r="B1496" s="514" t="s">
        <v>2792</v>
      </c>
      <c r="C1496" s="617">
        <v>1039.0</v>
      </c>
      <c r="D1496" s="514" t="s">
        <v>951</v>
      </c>
      <c r="E1496" s="618">
        <v>2.0</v>
      </c>
      <c r="F1496" s="619" t="s">
        <v>156</v>
      </c>
      <c r="G1496" s="550"/>
    </row>
    <row r="1497">
      <c r="A1497" s="612">
        <v>46113.0</v>
      </c>
      <c r="B1497" s="520" t="s">
        <v>2792</v>
      </c>
      <c r="C1497" s="613">
        <v>1039.0</v>
      </c>
      <c r="D1497" s="520" t="s">
        <v>3578</v>
      </c>
      <c r="E1497" s="614">
        <v>20.0</v>
      </c>
      <c r="F1497" s="615" t="s">
        <v>156</v>
      </c>
      <c r="G1497" s="545"/>
    </row>
    <row r="1498">
      <c r="A1498" s="616">
        <v>46113.0</v>
      </c>
      <c r="B1498" s="514" t="s">
        <v>2792</v>
      </c>
      <c r="C1498" s="617">
        <v>1039.0</v>
      </c>
      <c r="D1498" s="514" t="s">
        <v>3579</v>
      </c>
      <c r="E1498" s="618">
        <v>6.0</v>
      </c>
      <c r="F1498" s="619" t="s">
        <v>156</v>
      </c>
      <c r="G1498" s="550"/>
    </row>
    <row r="1499">
      <c r="A1499" s="612">
        <v>46113.0</v>
      </c>
      <c r="B1499" s="520" t="s">
        <v>2792</v>
      </c>
      <c r="C1499" s="613">
        <v>1039.0</v>
      </c>
      <c r="D1499" s="520" t="s">
        <v>3580</v>
      </c>
      <c r="E1499" s="614">
        <v>20.0</v>
      </c>
      <c r="F1499" s="615" t="s">
        <v>25</v>
      </c>
      <c r="G1499" s="545"/>
    </row>
    <row r="1500">
      <c r="A1500" s="616">
        <v>46113.0</v>
      </c>
      <c r="B1500" s="514" t="s">
        <v>2792</v>
      </c>
      <c r="C1500" s="617">
        <v>1039.0</v>
      </c>
      <c r="D1500" s="514" t="s">
        <v>3581</v>
      </c>
      <c r="E1500" s="618">
        <v>20.0</v>
      </c>
      <c r="F1500" s="619" t="s">
        <v>25</v>
      </c>
      <c r="G1500" s="550"/>
    </row>
    <row r="1501">
      <c r="A1501" s="612">
        <v>46113.0</v>
      </c>
      <c r="B1501" s="520" t="s">
        <v>2792</v>
      </c>
      <c r="C1501" s="613">
        <v>1039.0</v>
      </c>
      <c r="D1501" s="520" t="s">
        <v>3582</v>
      </c>
      <c r="E1501" s="614">
        <v>10.0</v>
      </c>
      <c r="F1501" s="615" t="s">
        <v>156</v>
      </c>
      <c r="G1501" s="545"/>
    </row>
    <row r="1502">
      <c r="A1502" s="616">
        <v>46118.0</v>
      </c>
      <c r="B1502" s="514" t="s">
        <v>2792</v>
      </c>
      <c r="C1502" s="652">
        <v>212.0</v>
      </c>
      <c r="D1502" s="652" t="s">
        <v>3583</v>
      </c>
      <c r="E1502" s="653">
        <v>3.0</v>
      </c>
      <c r="F1502" s="652" t="s">
        <v>156</v>
      </c>
      <c r="G1502" s="514" t="s">
        <v>3584</v>
      </c>
    </row>
    <row r="1503">
      <c r="A1503" s="612">
        <v>46118.0</v>
      </c>
      <c r="B1503" s="520" t="s">
        <v>2792</v>
      </c>
      <c r="C1503" s="613">
        <v>212.0</v>
      </c>
      <c r="D1503" s="520" t="s">
        <v>3585</v>
      </c>
      <c r="E1503" s="614">
        <v>4.0</v>
      </c>
      <c r="F1503" s="615" t="s">
        <v>156</v>
      </c>
      <c r="G1503" s="520" t="s">
        <v>3584</v>
      </c>
    </row>
    <row r="1504">
      <c r="A1504" s="627" t="s">
        <v>3586</v>
      </c>
      <c r="B1504" s="514" t="s">
        <v>2792</v>
      </c>
      <c r="C1504" s="617">
        <v>1044.0</v>
      </c>
      <c r="D1504" s="514" t="s">
        <v>2657</v>
      </c>
      <c r="E1504" s="618">
        <v>2.0</v>
      </c>
      <c r="F1504" s="619" t="s">
        <v>1622</v>
      </c>
      <c r="G1504" s="550"/>
    </row>
    <row r="1505">
      <c r="A1505" s="626" t="s">
        <v>3586</v>
      </c>
      <c r="B1505" s="520" t="s">
        <v>2792</v>
      </c>
      <c r="C1505" s="613">
        <v>1044.0</v>
      </c>
      <c r="D1505" s="520" t="s">
        <v>3587</v>
      </c>
      <c r="E1505" s="614">
        <v>8.0</v>
      </c>
      <c r="F1505" s="615" t="s">
        <v>1622</v>
      </c>
      <c r="G1505" s="545"/>
    </row>
    <row r="1506">
      <c r="A1506" s="627" t="s">
        <v>3586</v>
      </c>
      <c r="B1506" s="514" t="s">
        <v>2792</v>
      </c>
      <c r="C1506" s="617">
        <v>1044.0</v>
      </c>
      <c r="D1506" s="514" t="s">
        <v>3588</v>
      </c>
      <c r="E1506" s="618">
        <v>8.0</v>
      </c>
      <c r="F1506" s="619" t="s">
        <v>1622</v>
      </c>
      <c r="G1506" s="550"/>
    </row>
    <row r="1507">
      <c r="A1507" s="626" t="s">
        <v>3586</v>
      </c>
      <c r="B1507" s="520" t="s">
        <v>2792</v>
      </c>
      <c r="C1507" s="613">
        <v>1044.0</v>
      </c>
      <c r="D1507" s="520" t="s">
        <v>2660</v>
      </c>
      <c r="E1507" s="614">
        <v>8.0</v>
      </c>
      <c r="F1507" s="615" t="s">
        <v>1622</v>
      </c>
      <c r="G1507" s="545"/>
    </row>
    <row r="1508">
      <c r="A1508" s="627" t="s">
        <v>3586</v>
      </c>
      <c r="B1508" s="514" t="s">
        <v>2792</v>
      </c>
      <c r="C1508" s="617">
        <v>1044.0</v>
      </c>
      <c r="D1508" s="514" t="s">
        <v>1736</v>
      </c>
      <c r="E1508" s="618">
        <v>5.0</v>
      </c>
      <c r="F1508" s="619" t="s">
        <v>1622</v>
      </c>
      <c r="G1508" s="550"/>
    </row>
    <row r="1509">
      <c r="A1509" s="626" t="s">
        <v>3586</v>
      </c>
      <c r="B1509" s="520" t="s">
        <v>2792</v>
      </c>
      <c r="C1509" s="613">
        <v>1044.0</v>
      </c>
      <c r="D1509" s="520" t="s">
        <v>1742</v>
      </c>
      <c r="E1509" s="614">
        <v>5.0</v>
      </c>
      <c r="F1509" s="615" t="s">
        <v>1622</v>
      </c>
      <c r="G1509" s="520"/>
    </row>
    <row r="1510">
      <c r="A1510" s="627" t="s">
        <v>3586</v>
      </c>
      <c r="B1510" s="514" t="s">
        <v>2792</v>
      </c>
      <c r="C1510" s="617">
        <v>1044.0</v>
      </c>
      <c r="D1510" s="514" t="s">
        <v>1732</v>
      </c>
      <c r="E1510" s="618">
        <v>20.0</v>
      </c>
      <c r="F1510" s="619" t="s">
        <v>1622</v>
      </c>
      <c r="G1510" s="550"/>
    </row>
    <row r="1511">
      <c r="A1511" s="626" t="s">
        <v>3589</v>
      </c>
      <c r="B1511" s="520" t="s">
        <v>2792</v>
      </c>
      <c r="C1511" s="613">
        <v>1045.0</v>
      </c>
      <c r="D1511" s="520" t="s">
        <v>3590</v>
      </c>
      <c r="E1511" s="614">
        <v>5.0</v>
      </c>
      <c r="F1511" s="615" t="s">
        <v>156</v>
      </c>
      <c r="G1511" s="545"/>
    </row>
    <row r="1512">
      <c r="A1512" s="627" t="s">
        <v>3589</v>
      </c>
      <c r="B1512" s="514" t="s">
        <v>2792</v>
      </c>
      <c r="C1512" s="617">
        <v>1045.0</v>
      </c>
      <c r="D1512" s="514" t="s">
        <v>3006</v>
      </c>
      <c r="E1512" s="618">
        <v>10.0</v>
      </c>
      <c r="F1512" s="619" t="s">
        <v>156</v>
      </c>
      <c r="G1512" s="550"/>
    </row>
    <row r="1513">
      <c r="A1513" s="626" t="s">
        <v>3589</v>
      </c>
      <c r="B1513" s="520" t="s">
        <v>2792</v>
      </c>
      <c r="C1513" s="613">
        <v>1045.0</v>
      </c>
      <c r="D1513" s="520" t="s">
        <v>3591</v>
      </c>
      <c r="E1513" s="614">
        <v>1.0</v>
      </c>
      <c r="F1513" s="615" t="s">
        <v>89</v>
      </c>
      <c r="G1513" s="545"/>
    </row>
    <row r="1514">
      <c r="A1514" s="627" t="s">
        <v>3589</v>
      </c>
      <c r="B1514" s="514" t="s">
        <v>2792</v>
      </c>
      <c r="C1514" s="617">
        <v>1045.0</v>
      </c>
      <c r="D1514" s="514" t="s">
        <v>3592</v>
      </c>
      <c r="E1514" s="618">
        <v>299.0</v>
      </c>
      <c r="F1514" s="619" t="s">
        <v>654</v>
      </c>
      <c r="G1514" s="550"/>
    </row>
    <row r="1515">
      <c r="A1515" s="626" t="s">
        <v>3589</v>
      </c>
      <c r="B1515" s="520" t="s">
        <v>2792</v>
      </c>
      <c r="C1515" s="613">
        <v>1045.0</v>
      </c>
      <c r="D1515" s="520" t="s">
        <v>3593</v>
      </c>
      <c r="E1515" s="614">
        <v>1.0</v>
      </c>
      <c r="F1515" s="615" t="s">
        <v>89</v>
      </c>
      <c r="G1515" s="545"/>
    </row>
    <row r="1516">
      <c r="A1516" s="627" t="s">
        <v>3594</v>
      </c>
      <c r="B1516" s="514" t="s">
        <v>2792</v>
      </c>
      <c r="C1516" s="617">
        <v>1046.0</v>
      </c>
      <c r="D1516" s="514" t="s">
        <v>1559</v>
      </c>
      <c r="E1516" s="618">
        <v>48.0</v>
      </c>
      <c r="F1516" s="619" t="s">
        <v>981</v>
      </c>
      <c r="G1516" s="550"/>
    </row>
    <row r="1517">
      <c r="A1517" s="626" t="s">
        <v>3594</v>
      </c>
      <c r="B1517" s="520" t="s">
        <v>2792</v>
      </c>
      <c r="C1517" s="613">
        <v>1046.0</v>
      </c>
      <c r="D1517" s="520" t="s">
        <v>1562</v>
      </c>
      <c r="E1517" s="614">
        <v>32.0</v>
      </c>
      <c r="F1517" s="615" t="s">
        <v>981</v>
      </c>
      <c r="G1517" s="545"/>
    </row>
    <row r="1518">
      <c r="A1518" s="627" t="s">
        <v>3594</v>
      </c>
      <c r="B1518" s="514" t="s">
        <v>2792</v>
      </c>
      <c r="C1518" s="617">
        <v>1046.0</v>
      </c>
      <c r="D1518" s="514" t="s">
        <v>3222</v>
      </c>
      <c r="E1518" s="618">
        <v>2.0</v>
      </c>
      <c r="F1518" s="619" t="s">
        <v>156</v>
      </c>
      <c r="G1518" s="550"/>
    </row>
    <row r="1519">
      <c r="A1519" s="626" t="s">
        <v>3594</v>
      </c>
      <c r="B1519" s="520" t="s">
        <v>2792</v>
      </c>
      <c r="C1519" s="613">
        <v>1109.0</v>
      </c>
      <c r="D1519" s="520" t="s">
        <v>3595</v>
      </c>
      <c r="E1519" s="614">
        <v>1.0</v>
      </c>
      <c r="F1519" s="615" t="s">
        <v>89</v>
      </c>
      <c r="G1519" s="545"/>
    </row>
    <row r="1520">
      <c r="A1520" s="627" t="s">
        <v>2805</v>
      </c>
      <c r="B1520" s="514" t="s">
        <v>2792</v>
      </c>
      <c r="C1520" s="617">
        <v>1047.0</v>
      </c>
      <c r="D1520" s="514" t="s">
        <v>3596</v>
      </c>
      <c r="E1520" s="618">
        <v>10.0</v>
      </c>
      <c r="F1520" s="619" t="s">
        <v>156</v>
      </c>
      <c r="G1520" s="550"/>
    </row>
    <row r="1521">
      <c r="A1521" s="626" t="s">
        <v>2805</v>
      </c>
      <c r="B1521" s="520" t="s">
        <v>2792</v>
      </c>
      <c r="C1521" s="613">
        <v>1047.0</v>
      </c>
      <c r="D1521" s="520" t="s">
        <v>3597</v>
      </c>
      <c r="E1521" s="614">
        <v>5.0</v>
      </c>
      <c r="F1521" s="615" t="s">
        <v>156</v>
      </c>
      <c r="G1521" s="545"/>
    </row>
    <row r="1522">
      <c r="A1522" s="627" t="s">
        <v>2805</v>
      </c>
      <c r="B1522" s="514" t="s">
        <v>2792</v>
      </c>
      <c r="C1522" s="617">
        <v>1047.0</v>
      </c>
      <c r="D1522" s="514" t="s">
        <v>1867</v>
      </c>
      <c r="E1522" s="618">
        <v>20.0</v>
      </c>
      <c r="F1522" s="619" t="s">
        <v>156</v>
      </c>
      <c r="G1522" s="550"/>
    </row>
    <row r="1523">
      <c r="A1523" s="626" t="s">
        <v>2805</v>
      </c>
      <c r="B1523" s="520" t="s">
        <v>2792</v>
      </c>
      <c r="C1523" s="613">
        <v>1047.0</v>
      </c>
      <c r="D1523" s="520" t="s">
        <v>623</v>
      </c>
      <c r="E1523" s="614">
        <v>100.0</v>
      </c>
      <c r="F1523" s="615" t="s">
        <v>1673</v>
      </c>
      <c r="G1523" s="545"/>
    </row>
    <row r="1524">
      <c r="A1524" s="627" t="s">
        <v>2805</v>
      </c>
      <c r="B1524" s="514" t="s">
        <v>2792</v>
      </c>
      <c r="C1524" s="617">
        <v>1047.0</v>
      </c>
      <c r="D1524" s="514" t="s">
        <v>3209</v>
      </c>
      <c r="E1524" s="618">
        <v>100.0</v>
      </c>
      <c r="F1524" s="619" t="s">
        <v>1673</v>
      </c>
      <c r="G1524" s="550"/>
    </row>
    <row r="1525">
      <c r="A1525" s="626" t="s">
        <v>2805</v>
      </c>
      <c r="B1525" s="520" t="s">
        <v>2792</v>
      </c>
      <c r="C1525" s="613">
        <v>1047.0</v>
      </c>
      <c r="D1525" s="520" t="s">
        <v>3210</v>
      </c>
      <c r="E1525" s="614">
        <v>100.0</v>
      </c>
      <c r="F1525" s="615" t="s">
        <v>1673</v>
      </c>
      <c r="G1525" s="545"/>
    </row>
    <row r="1526">
      <c r="A1526" s="627" t="s">
        <v>2805</v>
      </c>
      <c r="B1526" s="514" t="s">
        <v>2792</v>
      </c>
      <c r="C1526" s="617">
        <v>1047.0</v>
      </c>
      <c r="D1526" s="514" t="s">
        <v>3211</v>
      </c>
      <c r="E1526" s="618">
        <v>100.0</v>
      </c>
      <c r="F1526" s="619" t="s">
        <v>1673</v>
      </c>
      <c r="G1526" s="550"/>
    </row>
    <row r="1527">
      <c r="A1527" s="626" t="s">
        <v>2805</v>
      </c>
      <c r="B1527" s="520" t="s">
        <v>2792</v>
      </c>
      <c r="C1527" s="613">
        <v>1047.0</v>
      </c>
      <c r="D1527" s="520" t="s">
        <v>3598</v>
      </c>
      <c r="E1527" s="614">
        <v>30.0</v>
      </c>
      <c r="F1527" s="615" t="s">
        <v>981</v>
      </c>
      <c r="G1527" s="545"/>
    </row>
    <row r="1528">
      <c r="A1528" s="627" t="s">
        <v>2805</v>
      </c>
      <c r="B1528" s="514" t="s">
        <v>2792</v>
      </c>
      <c r="C1528" s="617">
        <v>1048.0</v>
      </c>
      <c r="D1528" s="514" t="s">
        <v>3599</v>
      </c>
      <c r="E1528" s="618">
        <v>15.0</v>
      </c>
      <c r="F1528" s="619" t="s">
        <v>156</v>
      </c>
      <c r="G1528" s="550"/>
    </row>
    <row r="1529">
      <c r="A1529" s="626" t="s">
        <v>3600</v>
      </c>
      <c r="B1529" s="520" t="s">
        <v>2792</v>
      </c>
      <c r="C1529" s="613">
        <v>1049.0</v>
      </c>
      <c r="D1529" s="520" t="s">
        <v>3601</v>
      </c>
      <c r="E1529" s="614">
        <v>30.0</v>
      </c>
      <c r="F1529" s="615" t="s">
        <v>156</v>
      </c>
      <c r="G1529" s="545"/>
    </row>
    <row r="1530">
      <c r="A1530" s="627" t="s">
        <v>3600</v>
      </c>
      <c r="B1530" s="514" t="s">
        <v>2792</v>
      </c>
      <c r="C1530" s="617">
        <v>1050.0</v>
      </c>
      <c r="D1530" s="514" t="s">
        <v>3602</v>
      </c>
      <c r="E1530" s="618">
        <v>80.0</v>
      </c>
      <c r="F1530" s="619" t="s">
        <v>156</v>
      </c>
      <c r="G1530" s="550"/>
    </row>
    <row r="1531">
      <c r="A1531" s="626" t="s">
        <v>3600</v>
      </c>
      <c r="B1531" s="520" t="s">
        <v>2792</v>
      </c>
      <c r="C1531" s="613">
        <v>1050.0</v>
      </c>
      <c r="D1531" s="520" t="s">
        <v>3603</v>
      </c>
      <c r="E1531" s="614">
        <v>80.0</v>
      </c>
      <c r="F1531" s="615" t="s">
        <v>156</v>
      </c>
      <c r="G1531" s="545"/>
    </row>
    <row r="1532">
      <c r="A1532" s="627" t="s">
        <v>3600</v>
      </c>
      <c r="B1532" s="514" t="s">
        <v>2792</v>
      </c>
      <c r="C1532" s="617">
        <v>1050.0</v>
      </c>
      <c r="D1532" s="514" t="s">
        <v>3604</v>
      </c>
      <c r="E1532" s="618">
        <v>100.0</v>
      </c>
      <c r="F1532" s="619" t="s">
        <v>156</v>
      </c>
      <c r="G1532" s="550"/>
    </row>
    <row r="1533">
      <c r="A1533" s="626" t="s">
        <v>3600</v>
      </c>
      <c r="B1533" s="520" t="s">
        <v>2792</v>
      </c>
      <c r="C1533" s="613">
        <v>1050.0</v>
      </c>
      <c r="D1533" s="520" t="s">
        <v>3605</v>
      </c>
      <c r="E1533" s="614">
        <v>100.0</v>
      </c>
      <c r="F1533" s="615" t="s">
        <v>156</v>
      </c>
      <c r="G1533" s="545"/>
    </row>
    <row r="1534">
      <c r="A1534" s="627" t="s">
        <v>3600</v>
      </c>
      <c r="B1534" s="514" t="s">
        <v>2792</v>
      </c>
      <c r="C1534" s="617">
        <v>1050.0</v>
      </c>
      <c r="D1534" s="514" t="s">
        <v>3606</v>
      </c>
      <c r="E1534" s="618">
        <v>80.0</v>
      </c>
      <c r="F1534" s="619" t="s">
        <v>156</v>
      </c>
      <c r="G1534" s="550"/>
    </row>
    <row r="1535">
      <c r="A1535" s="626" t="s">
        <v>3600</v>
      </c>
      <c r="B1535" s="520" t="s">
        <v>2792</v>
      </c>
      <c r="C1535" s="613">
        <v>1050.0</v>
      </c>
      <c r="D1535" s="520" t="s">
        <v>3607</v>
      </c>
      <c r="E1535" s="614">
        <v>80.0</v>
      </c>
      <c r="F1535" s="615" t="s">
        <v>156</v>
      </c>
      <c r="G1535" s="545"/>
    </row>
    <row r="1536">
      <c r="A1536" s="627" t="s">
        <v>3600</v>
      </c>
      <c r="B1536" s="514" t="s">
        <v>2792</v>
      </c>
      <c r="C1536" s="617">
        <v>1050.0</v>
      </c>
      <c r="D1536" s="514" t="s">
        <v>3608</v>
      </c>
      <c r="E1536" s="618">
        <v>100.0</v>
      </c>
      <c r="F1536" s="619" t="s">
        <v>156</v>
      </c>
      <c r="G1536" s="550"/>
    </row>
    <row r="1537">
      <c r="A1537" s="626" t="s">
        <v>3600</v>
      </c>
      <c r="B1537" s="520" t="s">
        <v>2792</v>
      </c>
      <c r="C1537" s="613">
        <v>1050.0</v>
      </c>
      <c r="D1537" s="520" t="s">
        <v>3609</v>
      </c>
      <c r="E1537" s="614">
        <v>100.0</v>
      </c>
      <c r="F1537" s="615" t="s">
        <v>156</v>
      </c>
      <c r="G1537" s="545"/>
    </row>
    <row r="1538">
      <c r="A1538" s="627" t="s">
        <v>3600</v>
      </c>
      <c r="B1538" s="514" t="s">
        <v>2792</v>
      </c>
      <c r="C1538" s="617">
        <v>1050.0</v>
      </c>
      <c r="D1538" s="514" t="s">
        <v>3568</v>
      </c>
      <c r="E1538" s="618">
        <v>1.0</v>
      </c>
      <c r="F1538" s="619" t="s">
        <v>156</v>
      </c>
      <c r="G1538" s="550"/>
    </row>
    <row r="1539">
      <c r="A1539" s="626" t="s">
        <v>3600</v>
      </c>
      <c r="B1539" s="520" t="s">
        <v>2792</v>
      </c>
      <c r="C1539" s="613">
        <v>1050.0</v>
      </c>
      <c r="D1539" s="520" t="s">
        <v>630</v>
      </c>
      <c r="E1539" s="614">
        <v>1.0</v>
      </c>
      <c r="F1539" s="615" t="s">
        <v>156</v>
      </c>
      <c r="G1539" s="545"/>
    </row>
    <row r="1540">
      <c r="A1540" s="627" t="s">
        <v>3600</v>
      </c>
      <c r="B1540" s="514" t="s">
        <v>2792</v>
      </c>
      <c r="C1540" s="617">
        <v>1050.0</v>
      </c>
      <c r="D1540" s="514" t="s">
        <v>404</v>
      </c>
      <c r="E1540" s="618">
        <v>6.0</v>
      </c>
      <c r="F1540" s="619" t="s">
        <v>405</v>
      </c>
      <c r="G1540" s="550"/>
    </row>
    <row r="1541">
      <c r="A1541" s="654">
        <v>46147.0</v>
      </c>
      <c r="B1541" s="520" t="s">
        <v>2792</v>
      </c>
      <c r="C1541" s="613">
        <v>1110.0</v>
      </c>
      <c r="D1541" s="520" t="s">
        <v>3595</v>
      </c>
      <c r="E1541" s="614">
        <v>1.0</v>
      </c>
      <c r="F1541" s="615" t="s">
        <v>156</v>
      </c>
      <c r="G1541" s="545"/>
    </row>
    <row r="1542">
      <c r="A1542" s="655">
        <v>46147.0</v>
      </c>
      <c r="B1542" s="514" t="s">
        <v>2792</v>
      </c>
      <c r="C1542" s="617">
        <v>1054.0</v>
      </c>
      <c r="D1542" s="514" t="s">
        <v>3610</v>
      </c>
      <c r="E1542" s="618">
        <v>50.0</v>
      </c>
      <c r="F1542" s="619" t="s">
        <v>156</v>
      </c>
      <c r="G1542" s="550"/>
    </row>
    <row r="1543">
      <c r="A1543" s="654">
        <v>46147.0</v>
      </c>
      <c r="B1543" s="520" t="s">
        <v>2792</v>
      </c>
      <c r="C1543" s="613">
        <v>1054.0</v>
      </c>
      <c r="D1543" s="520" t="s">
        <v>750</v>
      </c>
      <c r="E1543" s="614">
        <v>3.0</v>
      </c>
      <c r="F1543" s="615" t="s">
        <v>39</v>
      </c>
      <c r="G1543" s="545"/>
    </row>
    <row r="1544">
      <c r="A1544" s="655">
        <v>46147.0</v>
      </c>
      <c r="B1544" s="514" t="s">
        <v>2792</v>
      </c>
      <c r="C1544" s="617">
        <v>1054.0</v>
      </c>
      <c r="D1544" s="514" t="s">
        <v>3611</v>
      </c>
      <c r="E1544" s="618">
        <v>20.0</v>
      </c>
      <c r="F1544" s="619" t="s">
        <v>156</v>
      </c>
      <c r="G1544" s="550"/>
    </row>
    <row r="1545">
      <c r="A1545" s="654">
        <v>46178.0</v>
      </c>
      <c r="B1545" s="520" t="s">
        <v>2792</v>
      </c>
      <c r="C1545" s="613">
        <v>1055.0</v>
      </c>
      <c r="D1545" s="520" t="s">
        <v>3612</v>
      </c>
      <c r="E1545" s="614">
        <v>120.0</v>
      </c>
      <c r="F1545" s="615" t="s">
        <v>156</v>
      </c>
      <c r="G1545" s="545"/>
    </row>
    <row r="1546">
      <c r="A1546" s="655">
        <v>46178.0</v>
      </c>
      <c r="B1546" s="514" t="s">
        <v>2792</v>
      </c>
      <c r="C1546" s="617">
        <v>1055.0</v>
      </c>
      <c r="D1546" s="514" t="s">
        <v>3613</v>
      </c>
      <c r="E1546" s="618">
        <v>120.0</v>
      </c>
      <c r="F1546" s="619" t="s">
        <v>156</v>
      </c>
      <c r="G1546" s="550"/>
    </row>
    <row r="1547">
      <c r="A1547" s="612">
        <v>46154.0</v>
      </c>
      <c r="B1547" s="520" t="s">
        <v>2792</v>
      </c>
      <c r="C1547" s="613">
        <v>1056.0</v>
      </c>
      <c r="D1547" s="520" t="s">
        <v>1914</v>
      </c>
      <c r="E1547" s="614">
        <v>8.0</v>
      </c>
      <c r="F1547" s="615" t="s">
        <v>156</v>
      </c>
      <c r="G1547" s="545"/>
    </row>
    <row r="1548">
      <c r="A1548" s="616">
        <v>46154.0</v>
      </c>
      <c r="B1548" s="514" t="s">
        <v>2792</v>
      </c>
      <c r="C1548" s="617">
        <v>1056.0</v>
      </c>
      <c r="D1548" s="514" t="s">
        <v>1915</v>
      </c>
      <c r="E1548" s="618">
        <v>10.0</v>
      </c>
      <c r="F1548" s="619" t="s">
        <v>156</v>
      </c>
      <c r="G1548" s="550"/>
    </row>
    <row r="1549">
      <c r="A1549" s="612">
        <v>46154.0</v>
      </c>
      <c r="B1549" s="520" t="s">
        <v>2792</v>
      </c>
      <c r="C1549" s="613">
        <v>1056.0</v>
      </c>
      <c r="D1549" s="520" t="s">
        <v>2441</v>
      </c>
      <c r="E1549" s="614">
        <v>9.0</v>
      </c>
      <c r="F1549" s="615" t="s">
        <v>156</v>
      </c>
      <c r="G1549" s="545"/>
    </row>
    <row r="1550">
      <c r="A1550" s="616">
        <v>46154.0</v>
      </c>
      <c r="B1550" s="514" t="s">
        <v>2792</v>
      </c>
      <c r="C1550" s="617">
        <v>1056.0</v>
      </c>
      <c r="D1550" s="514" t="s">
        <v>1867</v>
      </c>
      <c r="E1550" s="618">
        <v>9.0</v>
      </c>
      <c r="F1550" s="619" t="s">
        <v>156</v>
      </c>
      <c r="G1550" s="550"/>
    </row>
    <row r="1551">
      <c r="A1551" s="612">
        <v>46154.0</v>
      </c>
      <c r="B1551" s="520" t="s">
        <v>2792</v>
      </c>
      <c r="C1551" s="613">
        <v>1056.0</v>
      </c>
      <c r="D1551" s="520" t="s">
        <v>3428</v>
      </c>
      <c r="E1551" s="614">
        <v>30.0</v>
      </c>
      <c r="F1551" s="615" t="s">
        <v>156</v>
      </c>
      <c r="G1551" s="545"/>
    </row>
    <row r="1552">
      <c r="A1552" s="616">
        <v>46154.0</v>
      </c>
      <c r="B1552" s="514" t="s">
        <v>2792</v>
      </c>
      <c r="C1552" s="617">
        <v>1056.0</v>
      </c>
      <c r="D1552" s="514" t="s">
        <v>1199</v>
      </c>
      <c r="E1552" s="618">
        <v>20.0</v>
      </c>
      <c r="F1552" s="619" t="s">
        <v>156</v>
      </c>
      <c r="G1552" s="550"/>
    </row>
    <row r="1553">
      <c r="A1553" s="612">
        <v>46154.0</v>
      </c>
      <c r="B1553" s="520" t="s">
        <v>2792</v>
      </c>
      <c r="C1553" s="613">
        <v>1056.0</v>
      </c>
      <c r="D1553" s="520" t="s">
        <v>1555</v>
      </c>
      <c r="E1553" s="614">
        <v>1.0</v>
      </c>
      <c r="F1553" s="615" t="s">
        <v>156</v>
      </c>
      <c r="G1553" s="545"/>
    </row>
    <row r="1554">
      <c r="A1554" s="616">
        <v>46154.0</v>
      </c>
      <c r="B1554" s="514" t="s">
        <v>2792</v>
      </c>
      <c r="C1554" s="617">
        <v>1057.0</v>
      </c>
      <c r="D1554" s="514" t="s">
        <v>3614</v>
      </c>
      <c r="E1554" s="618">
        <v>50.0</v>
      </c>
      <c r="F1554" s="619" t="s">
        <v>156</v>
      </c>
      <c r="G1554" s="550"/>
    </row>
    <row r="1555">
      <c r="A1555" s="612">
        <v>46154.0</v>
      </c>
      <c r="B1555" s="520" t="s">
        <v>2792</v>
      </c>
      <c r="C1555" s="613">
        <v>1057.0</v>
      </c>
      <c r="D1555" s="520" t="s">
        <v>3615</v>
      </c>
      <c r="E1555" s="614">
        <v>10.0</v>
      </c>
      <c r="F1555" s="615" t="s">
        <v>156</v>
      </c>
      <c r="G1555" s="545"/>
    </row>
    <row r="1556">
      <c r="A1556" s="616">
        <v>46154.0</v>
      </c>
      <c r="B1556" s="514" t="s">
        <v>2792</v>
      </c>
      <c r="C1556" s="617">
        <v>1057.0</v>
      </c>
      <c r="D1556" s="514" t="s">
        <v>3616</v>
      </c>
      <c r="E1556" s="618">
        <v>10.0</v>
      </c>
      <c r="F1556" s="619" t="s">
        <v>156</v>
      </c>
      <c r="G1556" s="550"/>
    </row>
    <row r="1557">
      <c r="A1557" s="612">
        <v>46154.0</v>
      </c>
      <c r="B1557" s="520" t="s">
        <v>2792</v>
      </c>
      <c r="C1557" s="613">
        <v>1057.0</v>
      </c>
      <c r="D1557" s="520" t="s">
        <v>3617</v>
      </c>
      <c r="E1557" s="614">
        <v>39000.0</v>
      </c>
      <c r="F1557" s="615" t="s">
        <v>888</v>
      </c>
      <c r="G1557" s="545"/>
    </row>
    <row r="1558">
      <c r="A1558" s="616">
        <v>46161.0</v>
      </c>
      <c r="B1558" s="514" t="s">
        <v>2792</v>
      </c>
      <c r="C1558" s="617">
        <v>216.0</v>
      </c>
      <c r="D1558" s="514" t="s">
        <v>1914</v>
      </c>
      <c r="E1558" s="618">
        <v>2.0</v>
      </c>
      <c r="F1558" s="619" t="s">
        <v>156</v>
      </c>
      <c r="G1558" s="550"/>
    </row>
    <row r="1559">
      <c r="A1559" s="612">
        <v>46161.0</v>
      </c>
      <c r="B1559" s="520" t="s">
        <v>2792</v>
      </c>
      <c r="C1559" s="613">
        <v>216.0</v>
      </c>
      <c r="D1559" s="520" t="s">
        <v>3583</v>
      </c>
      <c r="E1559" s="614">
        <v>4.0</v>
      </c>
      <c r="F1559" s="615" t="s">
        <v>156</v>
      </c>
      <c r="G1559" s="545"/>
    </row>
    <row r="1560">
      <c r="A1560" s="616">
        <v>46161.0</v>
      </c>
      <c r="B1560" s="514" t="s">
        <v>2792</v>
      </c>
      <c r="C1560" s="617">
        <v>216.0</v>
      </c>
      <c r="D1560" s="514" t="s">
        <v>330</v>
      </c>
      <c r="E1560" s="618">
        <v>1.0</v>
      </c>
      <c r="F1560" s="619" t="s">
        <v>156</v>
      </c>
      <c r="G1560" s="550"/>
    </row>
    <row r="1561">
      <c r="A1561" s="612">
        <v>46161.0</v>
      </c>
      <c r="B1561" s="520" t="s">
        <v>2792</v>
      </c>
      <c r="C1561" s="613">
        <v>216.0</v>
      </c>
      <c r="D1561" s="520" t="s">
        <v>349</v>
      </c>
      <c r="E1561" s="614">
        <v>25.0</v>
      </c>
      <c r="F1561" s="615" t="s">
        <v>1673</v>
      </c>
      <c r="G1561" s="545"/>
    </row>
    <row r="1562">
      <c r="A1562" s="616">
        <v>46161.0</v>
      </c>
      <c r="B1562" s="514" t="s">
        <v>2792</v>
      </c>
      <c r="C1562" s="617">
        <v>216.0</v>
      </c>
      <c r="D1562" s="514" t="s">
        <v>348</v>
      </c>
      <c r="E1562" s="618">
        <v>25.0</v>
      </c>
      <c r="F1562" s="619" t="s">
        <v>1673</v>
      </c>
      <c r="G1562" s="550"/>
    </row>
    <row r="1563">
      <c r="A1563" s="612">
        <v>46161.0</v>
      </c>
      <c r="B1563" s="520" t="s">
        <v>2792</v>
      </c>
      <c r="C1563" s="613">
        <v>216.0</v>
      </c>
      <c r="D1563" s="520" t="s">
        <v>3618</v>
      </c>
      <c r="E1563" s="614">
        <v>550.0</v>
      </c>
      <c r="F1563" s="615" t="s">
        <v>1387</v>
      </c>
      <c r="G1563" s="545"/>
    </row>
    <row r="1564">
      <c r="A1564" s="616">
        <v>46161.0</v>
      </c>
      <c r="B1564" s="514" t="s">
        <v>2792</v>
      </c>
      <c r="C1564" s="617">
        <v>216.0</v>
      </c>
      <c r="D1564" s="514" t="s">
        <v>3619</v>
      </c>
      <c r="E1564" s="618">
        <v>300.0</v>
      </c>
      <c r="F1564" s="619" t="s">
        <v>524</v>
      </c>
      <c r="G1564" s="550"/>
    </row>
    <row r="1565">
      <c r="A1565" s="612">
        <v>46161.0</v>
      </c>
      <c r="B1565" s="520" t="s">
        <v>2792</v>
      </c>
      <c r="C1565" s="613">
        <v>216.0</v>
      </c>
      <c r="D1565" s="520" t="s">
        <v>1555</v>
      </c>
      <c r="E1565" s="614">
        <v>1.0</v>
      </c>
      <c r="F1565" s="615" t="s">
        <v>156</v>
      </c>
      <c r="G1565" s="545"/>
    </row>
    <row r="1566">
      <c r="A1566" s="616">
        <v>46161.0</v>
      </c>
      <c r="B1566" s="514" t="s">
        <v>2792</v>
      </c>
      <c r="C1566" s="617">
        <v>1059.0</v>
      </c>
      <c r="D1566" s="514" t="s">
        <v>3620</v>
      </c>
      <c r="E1566" s="618">
        <v>10.0</v>
      </c>
      <c r="F1566" s="619" t="s">
        <v>156</v>
      </c>
      <c r="G1566" s="550"/>
    </row>
    <row r="1567">
      <c r="A1567" s="612">
        <v>46161.0</v>
      </c>
      <c r="B1567" s="520" t="s">
        <v>2792</v>
      </c>
      <c r="C1567" s="613">
        <v>1059.0</v>
      </c>
      <c r="D1567" s="520" t="s">
        <v>3621</v>
      </c>
      <c r="E1567" s="614">
        <v>1.0</v>
      </c>
      <c r="F1567" s="615" t="s">
        <v>89</v>
      </c>
      <c r="G1567" s="545"/>
    </row>
    <row r="1568">
      <c r="A1568" s="616">
        <v>46161.0</v>
      </c>
      <c r="B1568" s="514" t="s">
        <v>2792</v>
      </c>
      <c r="C1568" s="617">
        <v>1059.0</v>
      </c>
      <c r="D1568" s="514" t="s">
        <v>505</v>
      </c>
      <c r="E1568" s="618">
        <v>1.0</v>
      </c>
      <c r="F1568" s="619" t="s">
        <v>981</v>
      </c>
      <c r="G1568" s="550"/>
    </row>
    <row r="1569">
      <c r="A1569" s="612">
        <v>46161.0</v>
      </c>
      <c r="B1569" s="520" t="s">
        <v>2792</v>
      </c>
      <c r="C1569" s="613">
        <v>1059.0</v>
      </c>
      <c r="D1569" s="520" t="s">
        <v>3622</v>
      </c>
      <c r="E1569" s="614">
        <v>5.0</v>
      </c>
      <c r="F1569" s="615" t="s">
        <v>981</v>
      </c>
      <c r="G1569" s="545"/>
    </row>
    <row r="1570">
      <c r="A1570" s="616">
        <v>46161.0</v>
      </c>
      <c r="B1570" s="514" t="s">
        <v>2792</v>
      </c>
      <c r="C1570" s="617">
        <v>1059.0</v>
      </c>
      <c r="D1570" s="514" t="s">
        <v>914</v>
      </c>
      <c r="E1570" s="618">
        <v>50.0</v>
      </c>
      <c r="F1570" s="619" t="s">
        <v>981</v>
      </c>
      <c r="G1570" s="550"/>
    </row>
    <row r="1571">
      <c r="A1571" s="612">
        <v>46161.0</v>
      </c>
      <c r="B1571" s="520" t="s">
        <v>2792</v>
      </c>
      <c r="C1571" s="613">
        <v>1059.0</v>
      </c>
      <c r="D1571" s="520" t="s">
        <v>119</v>
      </c>
      <c r="E1571" s="614">
        <v>20.0</v>
      </c>
      <c r="F1571" s="615" t="s">
        <v>25</v>
      </c>
      <c r="G1571" s="545"/>
    </row>
    <row r="1572">
      <c r="A1572" s="616">
        <v>46161.0</v>
      </c>
      <c r="B1572" s="514" t="s">
        <v>2792</v>
      </c>
      <c r="C1572" s="617">
        <v>1059.0</v>
      </c>
      <c r="D1572" s="514" t="s">
        <v>3623</v>
      </c>
      <c r="E1572" s="618">
        <v>2.0</v>
      </c>
      <c r="F1572" s="619" t="s">
        <v>156</v>
      </c>
      <c r="G1572" s="550"/>
    </row>
    <row r="1573">
      <c r="A1573" s="626" t="s">
        <v>3624</v>
      </c>
      <c r="B1573" s="520" t="s">
        <v>2792</v>
      </c>
      <c r="C1573" s="613">
        <v>1061.0</v>
      </c>
      <c r="D1573" s="520" t="s">
        <v>3625</v>
      </c>
      <c r="E1573" s="614">
        <v>1.0</v>
      </c>
      <c r="F1573" s="615" t="s">
        <v>89</v>
      </c>
      <c r="G1573" s="520" t="s">
        <v>3626</v>
      </c>
    </row>
    <row r="1574">
      <c r="A1574" s="627" t="s">
        <v>3624</v>
      </c>
      <c r="B1574" s="514" t="s">
        <v>2792</v>
      </c>
      <c r="C1574" s="617">
        <v>1061.0</v>
      </c>
      <c r="D1574" s="514" t="s">
        <v>3627</v>
      </c>
      <c r="E1574" s="618">
        <v>20.0</v>
      </c>
      <c r="F1574" s="619" t="s">
        <v>981</v>
      </c>
      <c r="G1574" s="550"/>
    </row>
    <row r="1575">
      <c r="A1575" s="626" t="s">
        <v>3624</v>
      </c>
      <c r="B1575" s="520" t="s">
        <v>2792</v>
      </c>
      <c r="C1575" s="613">
        <v>1061.0</v>
      </c>
      <c r="D1575" s="520" t="s">
        <v>863</v>
      </c>
      <c r="E1575" s="614">
        <v>20.0</v>
      </c>
      <c r="F1575" s="615" t="s">
        <v>156</v>
      </c>
      <c r="G1575" s="545"/>
    </row>
    <row r="1576">
      <c r="A1576" s="627" t="s">
        <v>3624</v>
      </c>
      <c r="B1576" s="514" t="s">
        <v>2792</v>
      </c>
      <c r="C1576" s="617">
        <v>1061.0</v>
      </c>
      <c r="D1576" s="514" t="s">
        <v>3628</v>
      </c>
      <c r="E1576" s="618">
        <v>2.0</v>
      </c>
      <c r="F1576" s="619" t="s">
        <v>156</v>
      </c>
      <c r="G1576" s="550"/>
    </row>
    <row r="1577">
      <c r="A1577" s="626" t="s">
        <v>3624</v>
      </c>
      <c r="B1577" s="520" t="s">
        <v>2792</v>
      </c>
      <c r="C1577" s="613">
        <v>1061.0</v>
      </c>
      <c r="D1577" s="520" t="s">
        <v>3629</v>
      </c>
      <c r="E1577" s="614">
        <v>4.0</v>
      </c>
      <c r="F1577" s="615" t="s">
        <v>156</v>
      </c>
      <c r="G1577" s="520" t="s">
        <v>3630</v>
      </c>
    </row>
    <row r="1578">
      <c r="A1578" s="627" t="s">
        <v>3624</v>
      </c>
      <c r="B1578" s="514" t="s">
        <v>2792</v>
      </c>
      <c r="C1578" s="617"/>
      <c r="D1578" s="514" t="s">
        <v>3631</v>
      </c>
      <c r="E1578" s="618">
        <v>244.0</v>
      </c>
      <c r="F1578" s="619" t="s">
        <v>156</v>
      </c>
      <c r="G1578" s="550"/>
    </row>
    <row r="1579">
      <c r="A1579" s="626" t="s">
        <v>2810</v>
      </c>
      <c r="B1579" s="520" t="s">
        <v>2792</v>
      </c>
      <c r="C1579" s="613">
        <v>1063.0</v>
      </c>
      <c r="D1579" s="520" t="s">
        <v>3542</v>
      </c>
      <c r="E1579" s="614">
        <v>10.0</v>
      </c>
      <c r="F1579" s="615" t="s">
        <v>1662</v>
      </c>
      <c r="G1579" s="545"/>
    </row>
    <row r="1580">
      <c r="A1580" s="627" t="s">
        <v>2810</v>
      </c>
      <c r="B1580" s="514" t="s">
        <v>2792</v>
      </c>
      <c r="C1580" s="617">
        <v>1063.0</v>
      </c>
      <c r="D1580" s="514" t="s">
        <v>3632</v>
      </c>
      <c r="E1580" s="618">
        <v>12.0</v>
      </c>
      <c r="F1580" s="619" t="s">
        <v>156</v>
      </c>
      <c r="G1580" s="550"/>
    </row>
    <row r="1581">
      <c r="A1581" s="626" t="s">
        <v>2810</v>
      </c>
      <c r="B1581" s="520" t="s">
        <v>2792</v>
      </c>
      <c r="C1581" s="613">
        <v>1063.0</v>
      </c>
      <c r="D1581" s="520" t="s">
        <v>3633</v>
      </c>
      <c r="E1581" s="614">
        <v>2.0</v>
      </c>
      <c r="F1581" s="615" t="s">
        <v>165</v>
      </c>
      <c r="G1581" s="545"/>
    </row>
    <row r="1582">
      <c r="A1582" s="627" t="s">
        <v>2810</v>
      </c>
      <c r="B1582" s="514" t="s">
        <v>2792</v>
      </c>
      <c r="C1582" s="617">
        <v>1063.0</v>
      </c>
      <c r="D1582" s="514" t="s">
        <v>3634</v>
      </c>
      <c r="E1582" s="618">
        <v>30.0</v>
      </c>
      <c r="F1582" s="619" t="s">
        <v>1673</v>
      </c>
      <c r="G1582" s="550"/>
    </row>
    <row r="1583">
      <c r="A1583" s="626" t="s">
        <v>2810</v>
      </c>
      <c r="B1583" s="520" t="s">
        <v>2792</v>
      </c>
      <c r="C1583" s="613">
        <v>1063.0</v>
      </c>
      <c r="D1583" s="520" t="s">
        <v>3635</v>
      </c>
      <c r="E1583" s="614">
        <v>12.0</v>
      </c>
      <c r="F1583" s="615" t="s">
        <v>1673</v>
      </c>
      <c r="G1583" s="545"/>
    </row>
    <row r="1584">
      <c r="A1584" s="627" t="s">
        <v>2810</v>
      </c>
      <c r="B1584" s="514" t="s">
        <v>2792</v>
      </c>
      <c r="C1584" s="617">
        <v>1063.0</v>
      </c>
      <c r="D1584" s="514" t="s">
        <v>3636</v>
      </c>
      <c r="E1584" s="618">
        <v>12.0</v>
      </c>
      <c r="F1584" s="619" t="s">
        <v>1673</v>
      </c>
      <c r="G1584" s="550"/>
    </row>
    <row r="1585">
      <c r="A1585" s="626" t="s">
        <v>2810</v>
      </c>
      <c r="B1585" s="520" t="s">
        <v>2792</v>
      </c>
      <c r="C1585" s="613">
        <v>1063.0</v>
      </c>
      <c r="D1585" s="520" t="s">
        <v>3582</v>
      </c>
      <c r="E1585" s="614">
        <v>10.0</v>
      </c>
      <c r="F1585" s="615" t="s">
        <v>156</v>
      </c>
      <c r="G1585" s="545"/>
    </row>
    <row r="1586">
      <c r="A1586" s="627" t="s">
        <v>2810</v>
      </c>
      <c r="B1586" s="514" t="s">
        <v>2792</v>
      </c>
      <c r="C1586" s="617">
        <v>1063.0</v>
      </c>
      <c r="D1586" s="514" t="s">
        <v>871</v>
      </c>
      <c r="E1586" s="618">
        <v>24.0</v>
      </c>
      <c r="F1586" s="619" t="s">
        <v>1673</v>
      </c>
      <c r="G1586" s="550"/>
    </row>
    <row r="1587">
      <c r="A1587" s="626" t="s">
        <v>2810</v>
      </c>
      <c r="B1587" s="520" t="s">
        <v>2792</v>
      </c>
      <c r="C1587" s="613">
        <v>1064.0</v>
      </c>
      <c r="D1587" s="520" t="s">
        <v>3033</v>
      </c>
      <c r="E1587" s="614">
        <v>4.0</v>
      </c>
      <c r="F1587" s="615" t="s">
        <v>156</v>
      </c>
      <c r="G1587" s="520"/>
    </row>
    <row r="1588">
      <c r="A1588" s="627" t="s">
        <v>2810</v>
      </c>
      <c r="B1588" s="514" t="s">
        <v>2792</v>
      </c>
      <c r="C1588" s="539"/>
      <c r="D1588" s="514" t="s">
        <v>3637</v>
      </c>
      <c r="E1588" s="618">
        <v>3.0</v>
      </c>
      <c r="F1588" s="619" t="s">
        <v>156</v>
      </c>
      <c r="G1588" s="550"/>
    </row>
    <row r="1589">
      <c r="A1589" s="626" t="s">
        <v>2810</v>
      </c>
      <c r="B1589" s="520" t="s">
        <v>2792</v>
      </c>
      <c r="C1589" s="527"/>
      <c r="D1589" s="520" t="s">
        <v>3638</v>
      </c>
      <c r="E1589" s="614">
        <v>3.0</v>
      </c>
      <c r="F1589" s="615" t="s">
        <v>156</v>
      </c>
      <c r="G1589" s="545"/>
    </row>
    <row r="1590">
      <c r="A1590" s="600"/>
      <c r="B1590" s="656"/>
      <c r="C1590" s="539"/>
      <c r="D1590" s="550"/>
      <c r="E1590" s="561"/>
      <c r="F1590" s="560"/>
      <c r="G1590" s="550"/>
    </row>
    <row r="1591">
      <c r="A1591" s="601"/>
      <c r="B1591" s="657"/>
      <c r="C1591" s="527"/>
      <c r="D1591" s="545"/>
      <c r="E1591" s="546"/>
      <c r="F1591" s="586"/>
      <c r="G1591" s="545"/>
    </row>
    <row r="1592">
      <c r="A1592" s="600"/>
      <c r="B1592" s="656"/>
      <c r="C1592" s="539"/>
      <c r="D1592" s="550"/>
      <c r="E1592" s="561"/>
      <c r="F1592" s="560"/>
      <c r="G1592" s="550"/>
    </row>
    <row r="1593">
      <c r="A1593" s="601"/>
      <c r="B1593" s="657"/>
      <c r="C1593" s="527"/>
      <c r="D1593" s="545"/>
      <c r="E1593" s="546"/>
      <c r="F1593" s="586"/>
      <c r="G1593" s="545"/>
    </row>
    <row r="1594">
      <c r="A1594" s="600"/>
      <c r="B1594" s="656"/>
      <c r="C1594" s="539"/>
      <c r="D1594" s="550"/>
      <c r="E1594" s="561"/>
      <c r="F1594" s="560"/>
      <c r="G1594" s="550"/>
    </row>
    <row r="1595">
      <c r="A1595" s="601"/>
      <c r="B1595" s="657"/>
      <c r="C1595" s="527"/>
      <c r="D1595" s="545"/>
      <c r="E1595" s="546"/>
      <c r="F1595" s="586"/>
      <c r="G1595" s="545"/>
    </row>
    <row r="1596">
      <c r="A1596" s="600"/>
      <c r="B1596" s="656"/>
      <c r="C1596" s="539"/>
      <c r="D1596" s="550"/>
      <c r="E1596" s="561"/>
      <c r="F1596" s="560"/>
      <c r="G1596" s="550"/>
    </row>
    <row r="1597">
      <c r="A1597" s="601"/>
      <c r="B1597" s="657"/>
      <c r="C1597" s="527"/>
      <c r="D1597" s="545"/>
      <c r="E1597" s="546"/>
      <c r="F1597" s="586"/>
      <c r="G1597" s="545"/>
    </row>
    <row r="1598">
      <c r="A1598" s="600"/>
      <c r="B1598" s="656"/>
      <c r="C1598" s="539"/>
      <c r="D1598" s="550"/>
      <c r="E1598" s="561"/>
      <c r="F1598" s="560"/>
      <c r="G1598" s="550"/>
    </row>
    <row r="1599">
      <c r="A1599" s="601"/>
      <c r="B1599" s="657"/>
      <c r="C1599" s="527"/>
      <c r="D1599" s="545"/>
      <c r="E1599" s="546"/>
      <c r="F1599" s="586"/>
      <c r="G1599" s="545"/>
    </row>
    <row r="1600">
      <c r="A1600" s="600"/>
      <c r="B1600" s="656"/>
      <c r="C1600" s="539"/>
      <c r="D1600" s="550"/>
      <c r="E1600" s="561"/>
      <c r="F1600" s="560"/>
      <c r="G1600" s="550"/>
    </row>
    <row r="1601">
      <c r="A1601" s="601"/>
      <c r="B1601" s="657"/>
      <c r="C1601" s="527"/>
      <c r="D1601" s="545"/>
      <c r="E1601" s="546"/>
      <c r="F1601" s="586"/>
      <c r="G1601" s="545"/>
    </row>
    <row r="1602">
      <c r="A1602" s="600"/>
      <c r="B1602" s="656"/>
      <c r="C1602" s="539"/>
      <c r="D1602" s="550"/>
      <c r="E1602" s="561"/>
      <c r="F1602" s="560"/>
      <c r="G1602" s="550"/>
    </row>
    <row r="1603">
      <c r="A1603" s="601"/>
      <c r="B1603" s="657"/>
      <c r="C1603" s="527"/>
      <c r="D1603" s="545"/>
      <c r="E1603" s="546"/>
      <c r="F1603" s="586"/>
      <c r="G1603" s="545"/>
    </row>
    <row r="1604">
      <c r="A1604" s="600"/>
      <c r="B1604" s="656"/>
      <c r="C1604" s="539"/>
      <c r="D1604" s="550"/>
      <c r="E1604" s="561"/>
      <c r="F1604" s="560"/>
      <c r="G1604" s="550"/>
    </row>
    <row r="1605">
      <c r="A1605" s="601"/>
      <c r="B1605" s="657"/>
      <c r="C1605" s="527"/>
      <c r="D1605" s="545"/>
      <c r="E1605" s="546"/>
      <c r="F1605" s="586"/>
      <c r="G1605" s="545"/>
    </row>
    <row r="1606">
      <c r="A1606" s="600"/>
      <c r="B1606" s="656"/>
      <c r="C1606" s="539"/>
      <c r="D1606" s="550"/>
      <c r="E1606" s="561"/>
      <c r="F1606" s="560"/>
      <c r="G1606" s="550"/>
    </row>
    <row r="1607">
      <c r="A1607" s="601"/>
      <c r="B1607" s="657"/>
      <c r="C1607" s="527"/>
      <c r="D1607" s="545"/>
      <c r="E1607" s="546"/>
      <c r="F1607" s="586"/>
      <c r="G1607" s="545"/>
    </row>
    <row r="1608">
      <c r="A1608" s="600"/>
      <c r="B1608" s="656"/>
      <c r="C1608" s="539"/>
      <c r="D1608" s="550"/>
      <c r="E1608" s="561"/>
      <c r="F1608" s="560"/>
      <c r="G1608" s="550"/>
    </row>
    <row r="1609">
      <c r="A1609" s="601"/>
      <c r="B1609" s="657"/>
      <c r="C1609" s="527"/>
      <c r="D1609" s="545"/>
      <c r="E1609" s="546"/>
      <c r="F1609" s="586"/>
      <c r="G1609" s="545"/>
    </row>
    <row r="1610">
      <c r="A1610" s="600"/>
      <c r="B1610" s="656"/>
      <c r="C1610" s="539"/>
      <c r="D1610" s="550"/>
      <c r="E1610" s="561"/>
      <c r="F1610" s="560"/>
      <c r="G1610" s="550"/>
    </row>
    <row r="1611">
      <c r="A1611" s="601"/>
      <c r="B1611" s="657"/>
      <c r="C1611" s="527"/>
      <c r="D1611" s="545"/>
      <c r="E1611" s="546"/>
      <c r="F1611" s="586"/>
      <c r="G1611" s="545"/>
    </row>
    <row r="1612">
      <c r="A1612" s="600"/>
      <c r="B1612" s="656"/>
      <c r="C1612" s="539"/>
      <c r="D1612" s="550"/>
      <c r="E1612" s="561"/>
      <c r="F1612" s="560"/>
      <c r="G1612" s="550"/>
    </row>
    <row r="1613">
      <c r="A1613" s="601"/>
      <c r="B1613" s="657"/>
      <c r="C1613" s="527"/>
      <c r="D1613" s="545"/>
      <c r="E1613" s="546"/>
      <c r="F1613" s="586"/>
      <c r="G1613" s="545"/>
    </row>
    <row r="1614">
      <c r="A1614" s="600"/>
      <c r="B1614" s="656"/>
      <c r="C1614" s="539"/>
      <c r="D1614" s="550"/>
      <c r="E1614" s="561"/>
      <c r="F1614" s="560"/>
      <c r="G1614" s="550"/>
    </row>
    <row r="1615">
      <c r="A1615" s="601"/>
      <c r="B1615" s="657"/>
      <c r="C1615" s="527"/>
      <c r="D1615" s="545"/>
      <c r="E1615" s="546"/>
      <c r="F1615" s="586"/>
      <c r="G1615" s="545"/>
    </row>
    <row r="1616">
      <c r="A1616" s="600"/>
      <c r="B1616" s="656"/>
      <c r="C1616" s="539"/>
      <c r="D1616" s="550"/>
      <c r="E1616" s="561"/>
      <c r="F1616" s="560"/>
      <c r="G1616" s="550"/>
    </row>
    <row r="1617">
      <c r="A1617" s="601"/>
      <c r="B1617" s="657"/>
      <c r="C1617" s="527"/>
      <c r="D1617" s="545"/>
      <c r="E1617" s="546"/>
      <c r="F1617" s="586"/>
      <c r="G1617" s="545"/>
    </row>
    <row r="1618">
      <c r="A1618" s="600"/>
      <c r="B1618" s="656"/>
      <c r="C1618" s="539"/>
      <c r="D1618" s="550"/>
      <c r="E1618" s="561"/>
      <c r="F1618" s="560"/>
      <c r="G1618" s="550"/>
    </row>
    <row r="1619">
      <c r="A1619" s="601"/>
      <c r="B1619" s="657"/>
      <c r="C1619" s="527"/>
      <c r="D1619" s="545"/>
      <c r="E1619" s="546"/>
      <c r="F1619" s="586"/>
      <c r="G1619" s="545"/>
    </row>
    <row r="1620">
      <c r="A1620" s="600"/>
      <c r="B1620" s="656"/>
      <c r="C1620" s="539"/>
      <c r="D1620" s="550"/>
      <c r="E1620" s="561"/>
      <c r="F1620" s="560"/>
      <c r="G1620" s="550"/>
    </row>
    <row r="1621">
      <c r="A1621" s="601"/>
      <c r="B1621" s="657"/>
      <c r="C1621" s="527"/>
      <c r="D1621" s="545"/>
      <c r="E1621" s="546"/>
      <c r="F1621" s="586"/>
      <c r="G1621" s="545"/>
    </row>
    <row r="1622">
      <c r="A1622" s="600"/>
      <c r="B1622" s="656"/>
      <c r="C1622" s="539"/>
      <c r="D1622" s="550"/>
      <c r="E1622" s="561"/>
      <c r="F1622" s="560"/>
      <c r="G1622" s="550"/>
    </row>
    <row r="1623">
      <c r="A1623" s="601"/>
      <c r="B1623" s="657"/>
      <c r="C1623" s="527"/>
      <c r="D1623" s="545"/>
      <c r="E1623" s="546"/>
      <c r="F1623" s="586"/>
      <c r="G1623" s="545"/>
    </row>
    <row r="1624">
      <c r="A1624" s="600"/>
      <c r="B1624" s="656"/>
      <c r="C1624" s="539"/>
      <c r="D1624" s="550"/>
      <c r="E1624" s="561"/>
      <c r="F1624" s="560"/>
      <c r="G1624" s="550"/>
    </row>
    <row r="1625">
      <c r="A1625" s="601"/>
      <c r="B1625" s="657"/>
      <c r="C1625" s="527"/>
      <c r="D1625" s="545"/>
      <c r="E1625" s="546"/>
      <c r="F1625" s="586"/>
      <c r="G1625" s="545"/>
    </row>
    <row r="1626">
      <c r="A1626" s="600"/>
      <c r="B1626" s="656"/>
      <c r="C1626" s="539"/>
      <c r="D1626" s="550"/>
      <c r="E1626" s="561"/>
      <c r="F1626" s="560"/>
      <c r="G1626" s="550"/>
    </row>
    <row r="1627">
      <c r="A1627" s="601"/>
      <c r="B1627" s="657"/>
      <c r="C1627" s="527"/>
      <c r="D1627" s="545"/>
      <c r="E1627" s="546"/>
      <c r="F1627" s="586"/>
      <c r="G1627" s="545"/>
    </row>
    <row r="1628">
      <c r="A1628" s="600"/>
      <c r="B1628" s="656"/>
      <c r="C1628" s="539"/>
      <c r="D1628" s="550"/>
      <c r="E1628" s="561"/>
      <c r="F1628" s="560"/>
      <c r="G1628" s="550"/>
    </row>
    <row r="1629">
      <c r="A1629" s="601"/>
      <c r="B1629" s="657"/>
      <c r="C1629" s="527"/>
      <c r="D1629" s="545"/>
      <c r="E1629" s="546"/>
      <c r="F1629" s="586"/>
      <c r="G1629" s="545"/>
    </row>
    <row r="1630">
      <c r="A1630" s="600"/>
      <c r="B1630" s="656"/>
      <c r="C1630" s="539"/>
      <c r="D1630" s="550"/>
      <c r="E1630" s="561"/>
      <c r="F1630" s="560"/>
      <c r="G1630" s="550"/>
    </row>
    <row r="1631">
      <c r="A1631" s="601"/>
      <c r="B1631" s="657"/>
      <c r="C1631" s="527"/>
      <c r="D1631" s="545"/>
      <c r="E1631" s="546"/>
      <c r="F1631" s="586"/>
      <c r="G1631" s="545"/>
    </row>
    <row r="1632">
      <c r="A1632" s="600"/>
      <c r="B1632" s="656"/>
      <c r="C1632" s="539"/>
      <c r="D1632" s="550"/>
      <c r="E1632" s="561"/>
      <c r="F1632" s="560"/>
      <c r="G1632" s="550"/>
    </row>
    <row r="1633">
      <c r="A1633" s="601"/>
      <c r="B1633" s="657"/>
      <c r="C1633" s="527"/>
      <c r="D1633" s="545"/>
      <c r="E1633" s="546"/>
      <c r="F1633" s="586"/>
      <c r="G1633" s="545"/>
    </row>
    <row r="1634">
      <c r="A1634" s="600"/>
      <c r="B1634" s="656"/>
      <c r="C1634" s="539"/>
      <c r="D1634" s="550"/>
      <c r="E1634" s="561"/>
      <c r="F1634" s="560"/>
      <c r="G1634" s="550"/>
    </row>
    <row r="1635">
      <c r="A1635" s="601"/>
      <c r="B1635" s="657"/>
      <c r="C1635" s="527"/>
      <c r="D1635" s="545"/>
      <c r="E1635" s="546"/>
      <c r="F1635" s="586"/>
      <c r="G1635" s="545"/>
    </row>
    <row r="1636">
      <c r="A1636" s="600"/>
      <c r="B1636" s="656"/>
      <c r="C1636" s="539"/>
      <c r="D1636" s="550"/>
      <c r="E1636" s="561"/>
      <c r="F1636" s="560"/>
      <c r="G1636" s="550"/>
    </row>
    <row r="1637">
      <c r="A1637" s="601"/>
      <c r="B1637" s="657"/>
      <c r="C1637" s="527"/>
      <c r="D1637" s="545"/>
      <c r="E1637" s="546"/>
      <c r="F1637" s="586"/>
      <c r="G1637" s="545"/>
    </row>
    <row r="1638">
      <c r="A1638" s="600"/>
      <c r="B1638" s="656"/>
      <c r="C1638" s="539"/>
      <c r="D1638" s="550"/>
      <c r="E1638" s="561"/>
      <c r="F1638" s="560"/>
      <c r="G1638" s="550"/>
    </row>
    <row r="1639">
      <c r="A1639" s="601"/>
      <c r="B1639" s="657"/>
      <c r="C1639" s="527"/>
      <c r="D1639" s="545"/>
      <c r="E1639" s="546"/>
      <c r="F1639" s="586"/>
      <c r="G1639" s="545"/>
    </row>
    <row r="1640">
      <c r="A1640" s="600"/>
      <c r="B1640" s="656"/>
      <c r="C1640" s="539"/>
      <c r="D1640" s="550"/>
      <c r="E1640" s="561"/>
      <c r="F1640" s="560"/>
      <c r="G1640" s="550"/>
    </row>
    <row r="1641">
      <c r="A1641" s="601"/>
      <c r="B1641" s="657"/>
      <c r="C1641" s="527"/>
      <c r="D1641" s="545"/>
      <c r="E1641" s="546"/>
      <c r="F1641" s="586"/>
      <c r="G1641" s="545"/>
    </row>
    <row r="1642">
      <c r="A1642" s="600"/>
      <c r="B1642" s="656"/>
      <c r="C1642" s="539"/>
      <c r="D1642" s="550"/>
      <c r="E1642" s="561"/>
      <c r="F1642" s="560"/>
      <c r="G1642" s="550"/>
    </row>
    <row r="1643">
      <c r="A1643" s="601"/>
      <c r="B1643" s="657"/>
      <c r="C1643" s="527"/>
      <c r="D1643" s="545"/>
      <c r="E1643" s="546"/>
      <c r="F1643" s="586"/>
      <c r="G1643" s="545"/>
    </row>
    <row r="1644">
      <c r="A1644" s="600"/>
      <c r="B1644" s="656"/>
      <c r="C1644" s="539"/>
      <c r="D1644" s="550"/>
      <c r="E1644" s="561"/>
      <c r="F1644" s="560"/>
      <c r="G1644" s="550"/>
    </row>
    <row r="1645">
      <c r="A1645" s="601"/>
      <c r="B1645" s="657"/>
      <c r="C1645" s="527"/>
      <c r="D1645" s="545"/>
      <c r="E1645" s="546"/>
      <c r="F1645" s="586"/>
      <c r="G1645" s="545"/>
    </row>
    <row r="1646">
      <c r="A1646" s="600"/>
      <c r="B1646" s="656"/>
      <c r="C1646" s="539"/>
      <c r="D1646" s="550"/>
      <c r="E1646" s="561"/>
      <c r="F1646" s="560"/>
      <c r="G1646" s="550"/>
    </row>
    <row r="1647">
      <c r="A1647" s="601"/>
      <c r="B1647" s="657"/>
      <c r="C1647" s="527"/>
      <c r="D1647" s="545"/>
      <c r="E1647" s="546"/>
      <c r="F1647" s="586"/>
      <c r="G1647" s="545"/>
    </row>
    <row r="1648">
      <c r="A1648" s="600"/>
      <c r="B1648" s="656"/>
      <c r="C1648" s="539"/>
      <c r="D1648" s="550"/>
      <c r="E1648" s="561"/>
      <c r="F1648" s="560"/>
      <c r="G1648" s="550"/>
    </row>
    <row r="1649">
      <c r="A1649" s="601"/>
      <c r="B1649" s="657"/>
      <c r="C1649" s="527"/>
      <c r="D1649" s="545"/>
      <c r="E1649" s="546"/>
      <c r="F1649" s="586"/>
      <c r="G1649" s="545"/>
    </row>
    <row r="1650">
      <c r="A1650" s="600"/>
      <c r="B1650" s="656"/>
      <c r="C1650" s="539"/>
      <c r="D1650" s="550"/>
      <c r="E1650" s="561"/>
      <c r="F1650" s="560"/>
      <c r="G1650" s="550"/>
    </row>
    <row r="1651">
      <c r="A1651" s="601"/>
      <c r="B1651" s="657"/>
      <c r="C1651" s="527"/>
      <c r="D1651" s="545"/>
      <c r="E1651" s="546"/>
      <c r="F1651" s="586"/>
      <c r="G1651" s="545"/>
    </row>
    <row r="1652">
      <c r="A1652" s="600"/>
      <c r="B1652" s="656"/>
      <c r="C1652" s="539"/>
      <c r="D1652" s="550"/>
      <c r="E1652" s="561"/>
      <c r="F1652" s="560"/>
      <c r="G1652" s="550"/>
    </row>
    <row r="1653">
      <c r="A1653" s="601"/>
      <c r="B1653" s="657"/>
      <c r="C1653" s="527"/>
      <c r="D1653" s="545"/>
      <c r="E1653" s="546"/>
      <c r="F1653" s="586"/>
      <c r="G1653" s="545"/>
    </row>
    <row r="1654">
      <c r="A1654" s="600"/>
      <c r="B1654" s="656"/>
      <c r="C1654" s="539"/>
      <c r="D1654" s="550"/>
      <c r="E1654" s="561"/>
      <c r="F1654" s="560"/>
      <c r="G1654" s="550"/>
    </row>
    <row r="1655">
      <c r="A1655" s="601"/>
      <c r="B1655" s="657"/>
      <c r="C1655" s="527"/>
      <c r="D1655" s="545"/>
      <c r="E1655" s="546"/>
      <c r="F1655" s="586"/>
      <c r="G1655" s="545"/>
    </row>
    <row r="1656">
      <c r="A1656" s="600"/>
      <c r="B1656" s="656"/>
      <c r="C1656" s="539"/>
      <c r="D1656" s="550"/>
      <c r="E1656" s="561"/>
      <c r="F1656" s="560"/>
      <c r="G1656" s="550"/>
    </row>
    <row r="1657">
      <c r="A1657" s="601"/>
      <c r="B1657" s="657"/>
      <c r="C1657" s="527"/>
      <c r="D1657" s="545"/>
      <c r="E1657" s="546"/>
      <c r="F1657" s="586"/>
      <c r="G1657" s="545"/>
    </row>
    <row r="1658">
      <c r="A1658" s="600"/>
      <c r="B1658" s="656"/>
      <c r="C1658" s="539"/>
      <c r="D1658" s="550"/>
      <c r="E1658" s="561"/>
      <c r="F1658" s="560"/>
      <c r="G1658" s="550"/>
    </row>
    <row r="1659">
      <c r="A1659" s="601"/>
      <c r="B1659" s="657"/>
      <c r="C1659" s="527"/>
      <c r="D1659" s="545"/>
      <c r="E1659" s="546"/>
      <c r="F1659" s="586"/>
      <c r="G1659" s="545"/>
    </row>
    <row r="1660">
      <c r="A1660" s="600"/>
      <c r="B1660" s="656"/>
      <c r="C1660" s="539"/>
      <c r="D1660" s="550"/>
      <c r="E1660" s="561"/>
      <c r="F1660" s="560"/>
      <c r="G1660" s="550"/>
    </row>
    <row r="1661">
      <c r="A1661" s="601"/>
      <c r="B1661" s="657"/>
      <c r="C1661" s="527"/>
      <c r="D1661" s="545"/>
      <c r="E1661" s="546"/>
      <c r="F1661" s="586"/>
      <c r="G1661" s="545"/>
    </row>
    <row r="1662">
      <c r="A1662" s="600"/>
      <c r="B1662" s="656"/>
      <c r="C1662" s="539"/>
      <c r="D1662" s="550"/>
      <c r="E1662" s="561"/>
      <c r="F1662" s="560"/>
      <c r="G1662" s="550"/>
    </row>
    <row r="1663">
      <c r="A1663" s="601"/>
      <c r="B1663" s="657"/>
      <c r="C1663" s="527"/>
      <c r="D1663" s="545"/>
      <c r="E1663" s="546"/>
      <c r="F1663" s="586"/>
      <c r="G1663" s="545"/>
    </row>
    <row r="1664">
      <c r="A1664" s="600"/>
      <c r="B1664" s="656"/>
      <c r="C1664" s="539"/>
      <c r="D1664" s="550"/>
      <c r="E1664" s="561"/>
      <c r="F1664" s="560"/>
      <c r="G1664" s="550"/>
    </row>
    <row r="1665">
      <c r="A1665" s="601"/>
      <c r="B1665" s="657"/>
      <c r="C1665" s="527"/>
      <c r="D1665" s="545"/>
      <c r="E1665" s="546"/>
      <c r="F1665" s="586"/>
      <c r="G1665" s="545"/>
    </row>
    <row r="1666">
      <c r="A1666" s="600"/>
      <c r="B1666" s="656"/>
      <c r="C1666" s="539"/>
      <c r="D1666" s="550"/>
      <c r="E1666" s="561"/>
      <c r="F1666" s="560"/>
      <c r="G1666" s="550"/>
    </row>
    <row r="1667">
      <c r="A1667" s="601"/>
      <c r="B1667" s="657"/>
      <c r="C1667" s="527"/>
      <c r="D1667" s="545"/>
      <c r="E1667" s="546"/>
      <c r="F1667" s="586"/>
      <c r="G1667" s="545"/>
    </row>
    <row r="1668">
      <c r="A1668" s="600"/>
      <c r="B1668" s="656"/>
      <c r="C1668" s="539"/>
      <c r="D1668" s="550"/>
      <c r="E1668" s="561"/>
      <c r="F1668" s="560"/>
      <c r="G1668" s="550"/>
    </row>
    <row r="1669">
      <c r="A1669" s="601"/>
      <c r="B1669" s="657"/>
      <c r="C1669" s="527"/>
      <c r="D1669" s="545"/>
      <c r="E1669" s="546"/>
      <c r="F1669" s="586"/>
      <c r="G1669" s="545"/>
    </row>
    <row r="1670">
      <c r="A1670" s="600"/>
      <c r="B1670" s="656"/>
      <c r="C1670" s="539"/>
      <c r="D1670" s="550"/>
      <c r="E1670" s="561"/>
      <c r="F1670" s="560"/>
      <c r="G1670" s="550"/>
    </row>
    <row r="1671">
      <c r="A1671" s="601"/>
      <c r="B1671" s="657"/>
      <c r="C1671" s="527"/>
      <c r="D1671" s="545"/>
      <c r="E1671" s="546"/>
      <c r="F1671" s="586"/>
      <c r="G1671" s="545"/>
    </row>
    <row r="1672">
      <c r="A1672" s="600"/>
      <c r="B1672" s="656"/>
      <c r="C1672" s="539"/>
      <c r="D1672" s="550"/>
      <c r="E1672" s="561"/>
      <c r="F1672" s="560"/>
      <c r="G1672" s="550"/>
    </row>
    <row r="1673">
      <c r="A1673" s="601"/>
      <c r="B1673" s="657"/>
      <c r="C1673" s="527"/>
      <c r="D1673" s="545"/>
      <c r="E1673" s="546"/>
      <c r="F1673" s="586"/>
      <c r="G1673" s="545"/>
    </row>
    <row r="1674">
      <c r="A1674" s="600"/>
      <c r="B1674" s="656"/>
      <c r="C1674" s="539"/>
      <c r="D1674" s="550"/>
      <c r="E1674" s="561"/>
      <c r="F1674" s="560"/>
      <c r="G1674" s="550"/>
    </row>
    <row r="1675">
      <c r="A1675" s="601"/>
      <c r="B1675" s="657"/>
      <c r="C1675" s="527"/>
      <c r="D1675" s="545"/>
      <c r="E1675" s="546"/>
      <c r="F1675" s="586"/>
      <c r="G1675" s="545"/>
    </row>
    <row r="1676">
      <c r="A1676" s="600"/>
      <c r="B1676" s="656"/>
      <c r="C1676" s="539"/>
      <c r="D1676" s="550"/>
      <c r="E1676" s="561"/>
      <c r="F1676" s="560"/>
      <c r="G1676" s="550"/>
    </row>
    <row r="1677">
      <c r="A1677" s="601"/>
      <c r="B1677" s="657"/>
      <c r="C1677" s="527"/>
      <c r="D1677" s="545"/>
      <c r="E1677" s="546"/>
      <c r="F1677" s="586"/>
      <c r="G1677" s="545"/>
    </row>
    <row r="1678">
      <c r="A1678" s="600"/>
      <c r="B1678" s="656"/>
      <c r="C1678" s="539"/>
      <c r="D1678" s="550"/>
      <c r="E1678" s="561"/>
      <c r="F1678" s="560"/>
      <c r="G1678" s="550"/>
    </row>
    <row r="1679">
      <c r="A1679" s="601"/>
      <c r="B1679" s="657"/>
      <c r="C1679" s="527"/>
      <c r="D1679" s="545"/>
      <c r="E1679" s="546"/>
      <c r="F1679" s="586"/>
      <c r="G1679" s="545"/>
    </row>
    <row r="1680">
      <c r="A1680" s="600"/>
      <c r="B1680" s="656"/>
      <c r="C1680" s="539"/>
      <c r="D1680" s="550"/>
      <c r="E1680" s="561"/>
      <c r="F1680" s="560"/>
      <c r="G1680" s="550"/>
    </row>
    <row r="1681">
      <c r="A1681" s="601"/>
      <c r="B1681" s="657"/>
      <c r="C1681" s="527"/>
      <c r="D1681" s="545"/>
      <c r="E1681" s="546"/>
      <c r="F1681" s="586"/>
      <c r="G1681" s="545"/>
    </row>
    <row r="1682">
      <c r="A1682" s="600"/>
      <c r="B1682" s="656"/>
      <c r="C1682" s="539"/>
      <c r="D1682" s="550"/>
      <c r="E1682" s="561"/>
      <c r="F1682" s="560"/>
      <c r="G1682" s="550"/>
    </row>
    <row r="1683">
      <c r="A1683" s="601"/>
      <c r="B1683" s="657"/>
      <c r="C1683" s="527"/>
      <c r="D1683" s="545"/>
      <c r="E1683" s="546"/>
      <c r="F1683" s="586"/>
      <c r="G1683" s="545"/>
    </row>
    <row r="1684">
      <c r="A1684" s="600"/>
      <c r="B1684" s="656"/>
      <c r="C1684" s="539"/>
      <c r="D1684" s="550"/>
      <c r="E1684" s="561"/>
      <c r="F1684" s="560"/>
      <c r="G1684" s="550"/>
    </row>
    <row r="1685">
      <c r="A1685" s="601"/>
      <c r="B1685" s="657"/>
      <c r="C1685" s="527"/>
      <c r="D1685" s="545"/>
      <c r="E1685" s="546"/>
      <c r="F1685" s="586"/>
      <c r="G1685" s="545"/>
    </row>
    <row r="1686">
      <c r="A1686" s="600"/>
      <c r="B1686" s="656"/>
      <c r="C1686" s="539"/>
      <c r="D1686" s="550"/>
      <c r="E1686" s="561"/>
      <c r="F1686" s="560"/>
      <c r="G1686" s="550"/>
    </row>
    <row r="1687">
      <c r="A1687" s="601"/>
      <c r="B1687" s="657"/>
      <c r="C1687" s="527"/>
      <c r="D1687" s="545"/>
      <c r="E1687" s="546"/>
      <c r="F1687" s="586"/>
      <c r="G1687" s="545"/>
    </row>
    <row r="1688">
      <c r="A1688" s="600"/>
      <c r="B1688" s="656"/>
      <c r="C1688" s="539"/>
      <c r="D1688" s="550"/>
      <c r="E1688" s="561"/>
      <c r="F1688" s="560"/>
      <c r="G1688" s="550"/>
    </row>
    <row r="1689">
      <c r="A1689" s="601"/>
      <c r="B1689" s="657"/>
      <c r="C1689" s="527"/>
      <c r="D1689" s="545"/>
      <c r="E1689" s="546"/>
      <c r="F1689" s="586"/>
      <c r="G1689" s="545"/>
    </row>
    <row r="1690">
      <c r="A1690" s="600"/>
      <c r="B1690" s="656"/>
      <c r="C1690" s="539"/>
      <c r="D1690" s="550"/>
      <c r="E1690" s="561"/>
      <c r="F1690" s="560"/>
      <c r="G1690" s="550"/>
    </row>
    <row r="1691">
      <c r="A1691" s="601"/>
      <c r="B1691" s="657"/>
      <c r="C1691" s="527"/>
      <c r="D1691" s="545"/>
      <c r="E1691" s="546"/>
      <c r="F1691" s="586"/>
      <c r="G1691" s="545"/>
    </row>
    <row r="1692">
      <c r="A1692" s="600"/>
      <c r="B1692" s="656"/>
      <c r="C1692" s="539"/>
      <c r="D1692" s="550"/>
      <c r="E1692" s="561"/>
      <c r="F1692" s="560"/>
      <c r="G1692" s="550"/>
    </row>
    <row r="1693">
      <c r="A1693" s="601"/>
      <c r="B1693" s="657"/>
      <c r="C1693" s="527"/>
      <c r="D1693" s="545"/>
      <c r="E1693" s="546"/>
      <c r="F1693" s="586"/>
      <c r="G1693" s="545"/>
    </row>
    <row r="1694">
      <c r="A1694" s="600"/>
      <c r="B1694" s="656"/>
      <c r="C1694" s="539"/>
      <c r="D1694" s="550"/>
      <c r="E1694" s="561"/>
      <c r="F1694" s="560"/>
      <c r="G1694" s="550"/>
    </row>
    <row r="1695">
      <c r="A1695" s="601"/>
      <c r="B1695" s="657"/>
      <c r="C1695" s="527"/>
      <c r="D1695" s="545"/>
      <c r="E1695" s="546"/>
      <c r="F1695" s="586"/>
      <c r="G1695" s="545"/>
    </row>
    <row r="1696">
      <c r="A1696" s="600"/>
      <c r="B1696" s="656"/>
      <c r="C1696" s="539"/>
      <c r="D1696" s="550"/>
      <c r="E1696" s="561"/>
      <c r="F1696" s="560"/>
      <c r="G1696" s="550"/>
    </row>
    <row r="1697">
      <c r="A1697" s="601"/>
      <c r="B1697" s="657"/>
      <c r="C1697" s="527"/>
      <c r="D1697" s="545"/>
      <c r="E1697" s="546"/>
      <c r="F1697" s="586"/>
      <c r="G1697" s="545"/>
    </row>
    <row r="1698">
      <c r="A1698" s="600"/>
      <c r="B1698" s="656"/>
      <c r="C1698" s="539"/>
      <c r="D1698" s="550"/>
      <c r="E1698" s="561"/>
      <c r="F1698" s="560"/>
      <c r="G1698" s="550"/>
    </row>
    <row r="1699">
      <c r="A1699" s="601"/>
      <c r="B1699" s="657"/>
      <c r="C1699" s="527"/>
      <c r="D1699" s="545"/>
      <c r="E1699" s="546"/>
      <c r="F1699" s="586"/>
      <c r="G1699" s="545"/>
    </row>
    <row r="1700">
      <c r="A1700" s="600"/>
      <c r="B1700" s="656"/>
      <c r="C1700" s="539"/>
      <c r="D1700" s="550"/>
      <c r="E1700" s="561"/>
      <c r="F1700" s="560"/>
      <c r="G1700" s="550"/>
    </row>
    <row r="1701">
      <c r="A1701" s="601"/>
      <c r="B1701" s="657"/>
      <c r="C1701" s="527"/>
      <c r="D1701" s="545"/>
      <c r="E1701" s="546"/>
      <c r="F1701" s="586"/>
      <c r="G1701" s="545"/>
    </row>
    <row r="1702">
      <c r="A1702" s="600"/>
      <c r="B1702" s="656"/>
      <c r="C1702" s="539"/>
      <c r="D1702" s="550"/>
      <c r="E1702" s="561"/>
      <c r="F1702" s="560"/>
      <c r="G1702" s="550"/>
    </row>
    <row r="1703">
      <c r="A1703" s="601"/>
      <c r="B1703" s="657"/>
      <c r="C1703" s="527"/>
      <c r="D1703" s="545"/>
      <c r="E1703" s="546"/>
      <c r="F1703" s="586"/>
      <c r="G1703" s="545"/>
    </row>
    <row r="1704">
      <c r="A1704" s="600"/>
      <c r="B1704" s="656"/>
      <c r="C1704" s="539"/>
      <c r="D1704" s="550"/>
      <c r="E1704" s="561"/>
      <c r="F1704" s="560"/>
      <c r="G1704" s="550"/>
    </row>
    <row r="1705">
      <c r="A1705" s="601"/>
      <c r="B1705" s="657"/>
      <c r="C1705" s="527"/>
      <c r="D1705" s="545"/>
      <c r="E1705" s="546"/>
      <c r="F1705" s="586"/>
      <c r="G1705" s="545"/>
    </row>
    <row r="1706">
      <c r="A1706" s="600"/>
      <c r="B1706" s="656"/>
      <c r="C1706" s="539"/>
      <c r="D1706" s="550"/>
      <c r="E1706" s="561"/>
      <c r="F1706" s="560"/>
      <c r="G1706" s="550"/>
    </row>
    <row r="1707">
      <c r="A1707" s="601"/>
      <c r="B1707" s="657"/>
      <c r="C1707" s="527"/>
      <c r="D1707" s="545"/>
      <c r="E1707" s="546"/>
      <c r="F1707" s="586"/>
      <c r="G1707" s="545"/>
    </row>
    <row r="1708">
      <c r="A1708" s="600"/>
      <c r="B1708" s="656"/>
      <c r="C1708" s="539"/>
      <c r="D1708" s="550"/>
      <c r="E1708" s="561"/>
      <c r="F1708" s="560"/>
      <c r="G1708" s="550"/>
    </row>
    <row r="1709">
      <c r="A1709" s="601"/>
      <c r="B1709" s="657"/>
      <c r="C1709" s="527"/>
      <c r="D1709" s="545"/>
      <c r="E1709" s="546"/>
      <c r="F1709" s="586"/>
      <c r="G1709" s="545"/>
    </row>
    <row r="1710">
      <c r="A1710" s="600"/>
      <c r="B1710" s="656"/>
      <c r="C1710" s="539"/>
      <c r="D1710" s="550"/>
      <c r="E1710" s="561"/>
      <c r="F1710" s="560"/>
      <c r="G1710" s="550"/>
    </row>
    <row r="1711">
      <c r="A1711" s="601"/>
      <c r="B1711" s="657"/>
      <c r="C1711" s="527"/>
      <c r="D1711" s="545"/>
      <c r="E1711" s="546"/>
      <c r="F1711" s="586"/>
      <c r="G1711" s="545"/>
    </row>
    <row r="1712">
      <c r="A1712" s="600"/>
      <c r="B1712" s="656"/>
      <c r="C1712" s="539"/>
      <c r="D1712" s="550"/>
      <c r="E1712" s="561"/>
      <c r="F1712" s="560"/>
      <c r="G1712" s="550"/>
    </row>
    <row r="1713">
      <c r="A1713" s="601"/>
      <c r="B1713" s="657"/>
      <c r="C1713" s="527"/>
      <c r="D1713" s="545"/>
      <c r="E1713" s="546"/>
      <c r="F1713" s="586"/>
      <c r="G1713" s="545"/>
    </row>
    <row r="1714">
      <c r="A1714" s="600"/>
      <c r="B1714" s="656"/>
      <c r="C1714" s="539"/>
      <c r="D1714" s="550"/>
      <c r="E1714" s="561"/>
      <c r="F1714" s="560"/>
      <c r="G1714" s="550"/>
    </row>
    <row r="1715">
      <c r="A1715" s="601"/>
      <c r="B1715" s="657"/>
      <c r="C1715" s="527"/>
      <c r="D1715" s="545"/>
      <c r="E1715" s="546"/>
      <c r="F1715" s="586"/>
      <c r="G1715" s="545"/>
    </row>
    <row r="1716">
      <c r="A1716" s="600"/>
      <c r="B1716" s="656"/>
      <c r="C1716" s="539"/>
      <c r="D1716" s="550"/>
      <c r="E1716" s="561"/>
      <c r="F1716" s="560"/>
      <c r="G1716" s="550"/>
    </row>
    <row r="1717">
      <c r="A1717" s="601"/>
      <c r="B1717" s="657"/>
      <c r="C1717" s="527"/>
      <c r="D1717" s="545"/>
      <c r="E1717" s="546"/>
      <c r="F1717" s="586"/>
      <c r="G1717" s="545"/>
    </row>
    <row r="1718">
      <c r="A1718" s="600"/>
      <c r="B1718" s="656"/>
      <c r="C1718" s="539"/>
      <c r="D1718" s="550"/>
      <c r="E1718" s="561"/>
      <c r="F1718" s="560"/>
      <c r="G1718" s="550"/>
    </row>
    <row r="1719">
      <c r="A1719" s="601"/>
      <c r="B1719" s="657"/>
      <c r="C1719" s="527"/>
      <c r="D1719" s="545"/>
      <c r="E1719" s="546"/>
      <c r="F1719" s="586"/>
      <c r="G1719" s="545"/>
    </row>
    <row r="1720">
      <c r="A1720" s="600"/>
      <c r="B1720" s="656"/>
      <c r="C1720" s="539"/>
      <c r="D1720" s="550"/>
      <c r="E1720" s="561"/>
      <c r="F1720" s="560"/>
      <c r="G1720" s="550"/>
    </row>
    <row r="1721">
      <c r="A1721" s="601"/>
      <c r="B1721" s="657"/>
      <c r="C1721" s="527"/>
      <c r="D1721" s="545"/>
      <c r="E1721" s="546"/>
      <c r="F1721" s="586"/>
      <c r="G1721" s="545"/>
    </row>
    <row r="1722">
      <c r="A1722" s="600"/>
      <c r="B1722" s="656"/>
      <c r="C1722" s="539"/>
      <c r="D1722" s="550"/>
      <c r="E1722" s="561"/>
      <c r="F1722" s="560"/>
      <c r="G1722" s="550"/>
    </row>
    <row r="1723">
      <c r="A1723" s="601"/>
      <c r="B1723" s="657"/>
      <c r="C1723" s="527"/>
      <c r="D1723" s="545"/>
      <c r="E1723" s="546"/>
      <c r="F1723" s="586"/>
      <c r="G1723" s="545"/>
    </row>
    <row r="1724">
      <c r="A1724" s="600"/>
      <c r="B1724" s="656"/>
      <c r="C1724" s="539"/>
      <c r="D1724" s="550"/>
      <c r="E1724" s="561"/>
      <c r="F1724" s="560"/>
      <c r="G1724" s="550"/>
    </row>
    <row r="1725">
      <c r="A1725" s="601"/>
      <c r="B1725" s="657"/>
      <c r="C1725" s="527"/>
      <c r="D1725" s="545"/>
      <c r="E1725" s="546"/>
      <c r="F1725" s="586"/>
      <c r="G1725" s="545"/>
    </row>
    <row r="1726">
      <c r="A1726" s="600"/>
      <c r="B1726" s="656"/>
      <c r="C1726" s="539"/>
      <c r="D1726" s="550"/>
      <c r="E1726" s="561"/>
      <c r="F1726" s="560"/>
      <c r="G1726" s="550"/>
    </row>
    <row r="1727">
      <c r="A1727" s="601"/>
      <c r="B1727" s="657"/>
      <c r="C1727" s="527"/>
      <c r="D1727" s="545"/>
      <c r="E1727" s="546"/>
      <c r="F1727" s="586"/>
      <c r="G1727" s="545"/>
    </row>
    <row r="1728">
      <c r="A1728" s="600"/>
      <c r="B1728" s="656"/>
      <c r="C1728" s="539"/>
      <c r="D1728" s="550"/>
      <c r="E1728" s="561"/>
      <c r="F1728" s="560"/>
      <c r="G1728" s="550"/>
    </row>
    <row r="1729">
      <c r="A1729" s="601"/>
      <c r="B1729" s="657"/>
      <c r="C1729" s="527"/>
      <c r="D1729" s="545"/>
      <c r="E1729" s="546"/>
      <c r="F1729" s="586"/>
      <c r="G1729" s="545"/>
    </row>
    <row r="1730">
      <c r="A1730" s="600"/>
      <c r="B1730" s="656"/>
      <c r="C1730" s="539"/>
      <c r="D1730" s="550"/>
      <c r="E1730" s="561"/>
      <c r="F1730" s="560"/>
      <c r="G1730" s="550"/>
    </row>
    <row r="1731">
      <c r="A1731" s="601"/>
      <c r="B1731" s="657"/>
      <c r="C1731" s="527"/>
      <c r="D1731" s="545"/>
      <c r="E1731" s="546"/>
      <c r="F1731" s="586"/>
      <c r="G1731" s="545"/>
    </row>
    <row r="1732">
      <c r="A1732" s="600"/>
      <c r="B1732" s="656"/>
      <c r="C1732" s="539"/>
      <c r="D1732" s="550"/>
      <c r="E1732" s="561"/>
      <c r="F1732" s="560"/>
      <c r="G1732" s="550"/>
    </row>
    <row r="1733">
      <c r="A1733" s="601"/>
      <c r="B1733" s="657"/>
      <c r="C1733" s="527"/>
      <c r="D1733" s="545"/>
      <c r="E1733" s="546"/>
      <c r="F1733" s="586"/>
      <c r="G1733" s="545"/>
    </row>
    <row r="1734">
      <c r="A1734" s="600"/>
      <c r="B1734" s="656"/>
      <c r="C1734" s="539"/>
      <c r="D1734" s="550"/>
      <c r="E1734" s="561"/>
      <c r="F1734" s="560"/>
      <c r="G1734" s="550"/>
    </row>
    <row r="1735">
      <c r="A1735" s="601"/>
      <c r="B1735" s="657"/>
      <c r="C1735" s="527"/>
      <c r="D1735" s="545"/>
      <c r="E1735" s="546"/>
      <c r="F1735" s="586"/>
      <c r="G1735" s="545"/>
    </row>
    <row r="1736">
      <c r="A1736" s="600"/>
      <c r="B1736" s="656"/>
      <c r="C1736" s="539"/>
      <c r="D1736" s="550"/>
      <c r="E1736" s="561"/>
      <c r="F1736" s="560"/>
      <c r="G1736" s="550"/>
    </row>
    <row r="1737">
      <c r="A1737" s="601"/>
      <c r="B1737" s="657"/>
      <c r="C1737" s="527"/>
      <c r="D1737" s="545"/>
      <c r="E1737" s="546"/>
      <c r="F1737" s="586"/>
      <c r="G1737" s="545"/>
    </row>
    <row r="1738">
      <c r="A1738" s="600"/>
      <c r="B1738" s="656"/>
      <c r="C1738" s="539"/>
      <c r="D1738" s="550"/>
      <c r="E1738" s="561"/>
      <c r="F1738" s="560"/>
      <c r="G1738" s="550"/>
    </row>
    <row r="1739">
      <c r="A1739" s="601"/>
      <c r="B1739" s="657"/>
      <c r="C1739" s="527"/>
      <c r="D1739" s="545"/>
      <c r="E1739" s="546"/>
      <c r="F1739" s="586"/>
      <c r="G1739" s="545"/>
    </row>
    <row r="1740">
      <c r="A1740" s="600"/>
      <c r="B1740" s="656"/>
      <c r="C1740" s="539"/>
      <c r="D1740" s="550"/>
      <c r="E1740" s="561"/>
      <c r="F1740" s="560"/>
      <c r="G1740" s="550"/>
    </row>
    <row r="1741">
      <c r="A1741" s="601"/>
      <c r="B1741" s="657"/>
      <c r="C1741" s="527"/>
      <c r="D1741" s="545"/>
      <c r="E1741" s="546"/>
      <c r="F1741" s="586"/>
      <c r="G1741" s="545"/>
    </row>
    <row r="1742">
      <c r="A1742" s="600"/>
      <c r="B1742" s="656"/>
      <c r="C1742" s="539"/>
      <c r="D1742" s="550"/>
      <c r="E1742" s="561"/>
      <c r="F1742" s="560"/>
      <c r="G1742" s="550"/>
    </row>
    <row r="1743">
      <c r="A1743" s="601"/>
      <c r="B1743" s="657"/>
      <c r="C1743" s="527"/>
      <c r="D1743" s="545"/>
      <c r="E1743" s="546"/>
      <c r="F1743" s="586"/>
      <c r="G1743" s="545"/>
    </row>
    <row r="1744">
      <c r="A1744" s="600"/>
      <c r="B1744" s="656"/>
      <c r="C1744" s="539"/>
      <c r="D1744" s="550"/>
      <c r="E1744" s="561"/>
      <c r="F1744" s="560"/>
      <c r="G1744" s="550"/>
    </row>
    <row r="1745">
      <c r="A1745" s="601"/>
      <c r="B1745" s="657"/>
      <c r="C1745" s="527"/>
      <c r="D1745" s="545"/>
      <c r="E1745" s="546"/>
      <c r="F1745" s="586"/>
      <c r="G1745" s="545"/>
    </row>
    <row r="1746">
      <c r="A1746" s="600"/>
      <c r="B1746" s="656"/>
      <c r="C1746" s="539"/>
      <c r="D1746" s="550"/>
      <c r="E1746" s="561"/>
      <c r="F1746" s="560"/>
      <c r="G1746" s="550"/>
    </row>
    <row r="1747">
      <c r="A1747" s="601"/>
      <c r="B1747" s="657"/>
      <c r="C1747" s="527"/>
      <c r="D1747" s="545"/>
      <c r="E1747" s="546"/>
      <c r="F1747" s="586"/>
      <c r="G1747" s="545"/>
    </row>
    <row r="1748">
      <c r="A1748" s="600"/>
      <c r="B1748" s="656"/>
      <c r="C1748" s="539"/>
      <c r="D1748" s="550"/>
      <c r="E1748" s="561"/>
      <c r="F1748" s="560"/>
      <c r="G1748" s="550"/>
    </row>
    <row r="1749">
      <c r="A1749" s="601"/>
      <c r="B1749" s="657"/>
      <c r="C1749" s="527"/>
      <c r="D1749" s="545"/>
      <c r="E1749" s="546"/>
      <c r="F1749" s="586"/>
      <c r="G1749" s="545"/>
    </row>
    <row r="1750">
      <c r="A1750" s="600"/>
      <c r="B1750" s="656"/>
      <c r="C1750" s="539"/>
      <c r="D1750" s="550"/>
      <c r="E1750" s="561"/>
      <c r="F1750" s="560"/>
      <c r="G1750" s="550"/>
    </row>
    <row r="1751">
      <c r="A1751" s="601"/>
      <c r="B1751" s="657"/>
      <c r="C1751" s="527"/>
      <c r="D1751" s="545"/>
      <c r="E1751" s="546"/>
      <c r="F1751" s="586"/>
      <c r="G1751" s="545"/>
    </row>
    <row r="1752">
      <c r="A1752" s="600"/>
      <c r="B1752" s="656"/>
      <c r="C1752" s="539"/>
      <c r="D1752" s="550"/>
      <c r="E1752" s="561"/>
      <c r="F1752" s="560"/>
      <c r="G1752" s="550"/>
    </row>
    <row r="1753">
      <c r="A1753" s="601"/>
      <c r="B1753" s="657"/>
      <c r="C1753" s="527"/>
      <c r="D1753" s="545"/>
      <c r="E1753" s="546"/>
      <c r="F1753" s="586"/>
      <c r="G1753" s="545"/>
    </row>
    <row r="1754">
      <c r="A1754" s="600"/>
      <c r="B1754" s="656"/>
      <c r="C1754" s="539"/>
      <c r="D1754" s="550"/>
      <c r="E1754" s="561"/>
      <c r="F1754" s="560"/>
      <c r="G1754" s="550"/>
    </row>
    <row r="1755">
      <c r="A1755" s="601"/>
      <c r="B1755" s="657"/>
      <c r="C1755" s="527"/>
      <c r="D1755" s="545"/>
      <c r="E1755" s="546"/>
      <c r="F1755" s="586"/>
      <c r="G1755" s="545"/>
    </row>
    <row r="1756">
      <c r="A1756" s="600"/>
      <c r="B1756" s="656"/>
      <c r="C1756" s="539"/>
      <c r="D1756" s="550"/>
      <c r="E1756" s="561"/>
      <c r="F1756" s="560"/>
      <c r="G1756" s="550"/>
    </row>
    <row r="1757">
      <c r="A1757" s="601"/>
      <c r="B1757" s="657"/>
      <c r="C1757" s="527"/>
      <c r="D1757" s="545"/>
      <c r="E1757" s="546"/>
      <c r="F1757" s="586"/>
      <c r="G1757" s="545"/>
    </row>
    <row r="1758">
      <c r="A1758" s="600"/>
      <c r="B1758" s="656"/>
      <c r="C1758" s="539"/>
      <c r="D1758" s="550"/>
      <c r="E1758" s="561"/>
      <c r="F1758" s="560"/>
      <c r="G1758" s="550"/>
    </row>
    <row r="1759">
      <c r="A1759" s="601"/>
      <c r="B1759" s="657"/>
      <c r="C1759" s="527"/>
      <c r="D1759" s="545"/>
      <c r="E1759" s="546"/>
      <c r="F1759" s="586"/>
      <c r="G1759" s="545"/>
    </row>
    <row r="1760">
      <c r="A1760" s="600"/>
      <c r="B1760" s="656"/>
      <c r="C1760" s="539"/>
      <c r="D1760" s="550"/>
      <c r="E1760" s="561"/>
      <c r="F1760" s="560"/>
      <c r="G1760" s="550"/>
    </row>
    <row r="1761">
      <c r="A1761" s="601"/>
      <c r="B1761" s="657"/>
      <c r="C1761" s="527"/>
      <c r="D1761" s="545"/>
      <c r="E1761" s="546"/>
      <c r="F1761" s="586"/>
      <c r="G1761" s="545"/>
    </row>
    <row r="1762">
      <c r="A1762" s="600"/>
      <c r="B1762" s="656"/>
      <c r="C1762" s="539"/>
      <c r="D1762" s="550"/>
      <c r="E1762" s="561"/>
      <c r="F1762" s="560"/>
      <c r="G1762" s="550"/>
    </row>
    <row r="1763">
      <c r="A1763" s="601"/>
      <c r="B1763" s="657"/>
      <c r="C1763" s="527"/>
      <c r="D1763" s="545"/>
      <c r="E1763" s="546"/>
      <c r="F1763" s="586"/>
      <c r="G1763" s="545"/>
    </row>
    <row r="1764">
      <c r="A1764" s="600"/>
      <c r="B1764" s="656"/>
      <c r="C1764" s="539"/>
      <c r="D1764" s="550"/>
      <c r="E1764" s="561"/>
      <c r="F1764" s="560"/>
      <c r="G1764" s="550"/>
    </row>
    <row r="1765">
      <c r="A1765" s="601"/>
      <c r="B1765" s="657"/>
      <c r="C1765" s="527"/>
      <c r="D1765" s="545"/>
      <c r="E1765" s="546"/>
      <c r="F1765" s="586"/>
      <c r="G1765" s="545"/>
    </row>
    <row r="1766">
      <c r="A1766" s="600"/>
      <c r="B1766" s="656"/>
      <c r="C1766" s="539"/>
      <c r="D1766" s="550"/>
      <c r="E1766" s="561"/>
      <c r="F1766" s="560"/>
      <c r="G1766" s="550"/>
    </row>
    <row r="1767">
      <c r="A1767" s="601"/>
      <c r="B1767" s="657"/>
      <c r="C1767" s="527"/>
      <c r="D1767" s="545"/>
      <c r="E1767" s="546"/>
      <c r="F1767" s="586"/>
      <c r="G1767" s="545"/>
    </row>
    <row r="1768">
      <c r="A1768" s="600"/>
      <c r="B1768" s="656"/>
      <c r="C1768" s="539"/>
      <c r="D1768" s="550"/>
      <c r="E1768" s="561"/>
      <c r="F1768" s="560"/>
      <c r="G1768" s="550"/>
    </row>
    <row r="1769">
      <c r="A1769" s="601"/>
      <c r="B1769" s="657"/>
      <c r="C1769" s="527"/>
      <c r="D1769" s="545"/>
      <c r="E1769" s="546"/>
      <c r="F1769" s="586"/>
      <c r="G1769" s="545"/>
    </row>
    <row r="1770">
      <c r="A1770" s="600"/>
      <c r="B1770" s="656"/>
      <c r="C1770" s="539"/>
      <c r="D1770" s="550"/>
      <c r="E1770" s="561"/>
      <c r="F1770" s="560"/>
      <c r="G1770" s="550"/>
    </row>
    <row r="1771">
      <c r="A1771" s="601"/>
      <c r="B1771" s="657"/>
      <c r="C1771" s="527"/>
      <c r="D1771" s="545"/>
      <c r="E1771" s="546"/>
      <c r="F1771" s="586"/>
      <c r="G1771" s="545"/>
    </row>
    <row r="1772">
      <c r="A1772" s="600"/>
      <c r="B1772" s="656"/>
      <c r="C1772" s="539"/>
      <c r="D1772" s="550"/>
      <c r="E1772" s="561"/>
      <c r="F1772" s="560"/>
      <c r="G1772" s="550"/>
    </row>
    <row r="1773">
      <c r="A1773" s="601"/>
      <c r="B1773" s="657"/>
      <c r="C1773" s="527"/>
      <c r="D1773" s="545"/>
      <c r="E1773" s="546"/>
      <c r="F1773" s="586"/>
      <c r="G1773" s="545"/>
    </row>
    <row r="1774">
      <c r="A1774" s="600"/>
      <c r="B1774" s="656"/>
      <c r="C1774" s="539"/>
      <c r="D1774" s="550"/>
      <c r="E1774" s="561"/>
      <c r="F1774" s="560"/>
      <c r="G1774" s="550"/>
    </row>
    <row r="1775">
      <c r="A1775" s="601"/>
      <c r="B1775" s="657"/>
      <c r="C1775" s="527"/>
      <c r="D1775" s="545"/>
      <c r="E1775" s="546"/>
      <c r="F1775" s="586"/>
      <c r="G1775" s="545"/>
    </row>
    <row r="1776">
      <c r="A1776" s="600"/>
      <c r="B1776" s="656"/>
      <c r="C1776" s="539"/>
      <c r="D1776" s="550"/>
      <c r="E1776" s="561"/>
      <c r="F1776" s="560"/>
      <c r="G1776" s="550"/>
    </row>
    <row r="1777">
      <c r="A1777" s="601"/>
      <c r="B1777" s="657"/>
      <c r="C1777" s="527"/>
      <c r="D1777" s="545"/>
      <c r="E1777" s="546"/>
      <c r="F1777" s="586"/>
      <c r="G1777" s="545"/>
    </row>
    <row r="1778">
      <c r="A1778" s="600"/>
      <c r="B1778" s="656"/>
      <c r="C1778" s="539"/>
      <c r="D1778" s="550"/>
      <c r="E1778" s="561"/>
      <c r="F1778" s="560"/>
      <c r="G1778" s="550"/>
    </row>
    <row r="1779">
      <c r="A1779" s="601"/>
      <c r="B1779" s="657"/>
      <c r="C1779" s="527"/>
      <c r="D1779" s="545"/>
      <c r="E1779" s="546"/>
      <c r="F1779" s="586"/>
      <c r="G1779" s="545"/>
    </row>
    <row r="1780">
      <c r="A1780" s="600"/>
      <c r="B1780" s="656"/>
      <c r="C1780" s="539"/>
      <c r="D1780" s="550"/>
      <c r="E1780" s="561"/>
      <c r="F1780" s="560"/>
      <c r="G1780" s="550"/>
    </row>
    <row r="1781">
      <c r="A1781" s="601"/>
      <c r="B1781" s="657"/>
      <c r="C1781" s="527"/>
      <c r="D1781" s="545"/>
      <c r="E1781" s="546"/>
      <c r="F1781" s="586"/>
      <c r="G1781" s="545"/>
    </row>
    <row r="1782">
      <c r="A1782" s="600"/>
      <c r="B1782" s="656"/>
      <c r="C1782" s="539"/>
      <c r="D1782" s="550"/>
      <c r="E1782" s="561"/>
      <c r="F1782" s="560"/>
      <c r="G1782" s="550"/>
    </row>
    <row r="1783">
      <c r="A1783" s="601"/>
      <c r="B1783" s="657"/>
      <c r="C1783" s="527"/>
      <c r="D1783" s="545"/>
      <c r="E1783" s="546"/>
      <c r="F1783" s="586"/>
      <c r="G1783" s="545"/>
    </row>
    <row r="1784">
      <c r="A1784" s="600"/>
      <c r="B1784" s="656"/>
      <c r="C1784" s="539"/>
      <c r="D1784" s="550"/>
      <c r="E1784" s="561"/>
      <c r="F1784" s="560"/>
      <c r="G1784" s="550"/>
    </row>
    <row r="1785">
      <c r="A1785" s="601"/>
      <c r="B1785" s="657"/>
      <c r="C1785" s="527"/>
      <c r="D1785" s="545"/>
      <c r="E1785" s="546"/>
      <c r="F1785" s="586"/>
      <c r="G1785" s="545"/>
    </row>
    <row r="1786">
      <c r="A1786" s="600"/>
      <c r="B1786" s="656"/>
      <c r="C1786" s="539"/>
      <c r="D1786" s="550"/>
      <c r="E1786" s="561"/>
      <c r="F1786" s="560"/>
      <c r="G1786" s="550"/>
    </row>
    <row r="1787">
      <c r="A1787" s="601"/>
      <c r="B1787" s="657"/>
      <c r="C1787" s="527"/>
      <c r="D1787" s="545"/>
      <c r="E1787" s="546"/>
      <c r="F1787" s="586"/>
      <c r="G1787" s="545"/>
    </row>
    <row r="1788">
      <c r="A1788" s="600"/>
      <c r="B1788" s="656"/>
      <c r="C1788" s="539"/>
      <c r="D1788" s="550"/>
      <c r="E1788" s="561"/>
      <c r="F1788" s="560"/>
      <c r="G1788" s="550"/>
    </row>
    <row r="1789">
      <c r="A1789" s="601"/>
      <c r="B1789" s="657"/>
      <c r="C1789" s="527"/>
      <c r="D1789" s="545"/>
      <c r="E1789" s="546"/>
      <c r="F1789" s="586"/>
      <c r="G1789" s="545"/>
    </row>
    <row r="1790">
      <c r="A1790" s="600"/>
      <c r="B1790" s="656"/>
      <c r="C1790" s="539"/>
      <c r="D1790" s="550"/>
      <c r="E1790" s="561"/>
      <c r="F1790" s="560"/>
      <c r="G1790" s="550"/>
    </row>
    <row r="1791">
      <c r="A1791" s="601"/>
      <c r="B1791" s="657"/>
      <c r="C1791" s="527"/>
      <c r="D1791" s="545"/>
      <c r="E1791" s="546"/>
      <c r="F1791" s="586"/>
      <c r="G1791" s="545"/>
    </row>
    <row r="1792">
      <c r="A1792" s="600"/>
      <c r="B1792" s="656"/>
      <c r="C1792" s="539"/>
      <c r="D1792" s="550"/>
      <c r="E1792" s="561"/>
      <c r="F1792" s="560"/>
      <c r="G1792" s="550"/>
    </row>
    <row r="1793">
      <c r="A1793" s="601"/>
      <c r="B1793" s="657"/>
      <c r="C1793" s="527"/>
      <c r="D1793" s="545"/>
      <c r="E1793" s="546"/>
      <c r="F1793" s="586"/>
      <c r="G1793" s="545"/>
    </row>
    <row r="1794">
      <c r="A1794" s="600"/>
      <c r="B1794" s="656"/>
      <c r="C1794" s="539"/>
      <c r="D1794" s="550"/>
      <c r="E1794" s="561"/>
      <c r="F1794" s="560"/>
      <c r="G1794" s="550"/>
    </row>
    <row r="1795">
      <c r="A1795" s="601"/>
      <c r="B1795" s="657"/>
      <c r="C1795" s="527"/>
      <c r="D1795" s="545"/>
      <c r="E1795" s="546"/>
      <c r="F1795" s="586"/>
      <c r="G1795" s="545"/>
    </row>
    <row r="1796">
      <c r="A1796" s="600"/>
      <c r="B1796" s="656"/>
      <c r="C1796" s="539"/>
      <c r="D1796" s="550"/>
      <c r="E1796" s="561"/>
      <c r="F1796" s="560"/>
      <c r="G1796" s="550"/>
    </row>
    <row r="1797">
      <c r="A1797" s="601"/>
      <c r="B1797" s="657"/>
      <c r="C1797" s="527"/>
      <c r="D1797" s="545"/>
      <c r="E1797" s="546"/>
      <c r="F1797" s="586"/>
      <c r="G1797" s="545"/>
    </row>
    <row r="1798">
      <c r="A1798" s="600"/>
      <c r="B1798" s="656"/>
      <c r="C1798" s="539"/>
      <c r="D1798" s="550"/>
      <c r="E1798" s="561"/>
      <c r="F1798" s="560"/>
      <c r="G1798" s="550"/>
    </row>
    <row r="1799">
      <c r="A1799" s="601"/>
      <c r="B1799" s="657"/>
      <c r="C1799" s="527"/>
      <c r="D1799" s="545"/>
      <c r="E1799" s="546"/>
      <c r="F1799" s="586"/>
      <c r="G1799" s="545"/>
    </row>
    <row r="1800">
      <c r="A1800" s="600"/>
      <c r="B1800" s="656"/>
      <c r="C1800" s="539"/>
      <c r="D1800" s="550"/>
      <c r="E1800" s="561"/>
      <c r="F1800" s="560"/>
      <c r="G1800" s="550"/>
    </row>
    <row r="1801">
      <c r="A1801" s="601"/>
      <c r="B1801" s="657"/>
      <c r="C1801" s="527"/>
      <c r="D1801" s="545"/>
      <c r="E1801" s="546"/>
      <c r="F1801" s="586"/>
      <c r="G1801" s="545"/>
    </row>
    <row r="1802">
      <c r="A1802" s="600"/>
      <c r="B1802" s="656"/>
      <c r="C1802" s="539"/>
      <c r="D1802" s="550"/>
      <c r="E1802" s="561"/>
      <c r="F1802" s="560"/>
      <c r="G1802" s="550"/>
    </row>
    <row r="1803">
      <c r="A1803" s="601"/>
      <c r="B1803" s="657"/>
      <c r="C1803" s="527"/>
      <c r="D1803" s="545"/>
      <c r="E1803" s="546"/>
      <c r="F1803" s="586"/>
      <c r="G1803" s="545"/>
    </row>
    <row r="1804">
      <c r="A1804" s="600"/>
      <c r="B1804" s="656"/>
      <c r="C1804" s="539"/>
      <c r="D1804" s="550"/>
      <c r="E1804" s="561"/>
      <c r="F1804" s="560"/>
      <c r="G1804" s="550"/>
    </row>
    <row r="1805">
      <c r="A1805" s="601"/>
      <c r="B1805" s="657"/>
      <c r="C1805" s="527"/>
      <c r="D1805" s="545"/>
      <c r="E1805" s="546"/>
      <c r="F1805" s="586"/>
      <c r="G1805" s="545"/>
    </row>
    <row r="1806">
      <c r="A1806" s="600"/>
      <c r="B1806" s="656"/>
      <c r="C1806" s="539"/>
      <c r="D1806" s="550"/>
      <c r="E1806" s="561"/>
      <c r="F1806" s="560"/>
      <c r="G1806" s="550"/>
    </row>
    <row r="1807">
      <c r="A1807" s="601"/>
      <c r="B1807" s="657"/>
      <c r="C1807" s="527"/>
      <c r="D1807" s="545"/>
      <c r="E1807" s="546"/>
      <c r="F1807" s="586"/>
      <c r="G1807" s="545"/>
    </row>
    <row r="1808">
      <c r="A1808" s="600"/>
      <c r="B1808" s="656"/>
      <c r="C1808" s="539"/>
      <c r="D1808" s="550"/>
      <c r="E1808" s="561"/>
      <c r="F1808" s="560"/>
      <c r="G1808" s="550"/>
    </row>
    <row r="1809">
      <c r="A1809" s="601"/>
      <c r="B1809" s="657"/>
      <c r="C1809" s="527"/>
      <c r="D1809" s="545"/>
      <c r="E1809" s="546"/>
      <c r="F1809" s="586"/>
      <c r="G1809" s="545"/>
    </row>
    <row r="1810">
      <c r="A1810" s="600"/>
      <c r="B1810" s="656"/>
      <c r="C1810" s="539"/>
      <c r="D1810" s="550"/>
      <c r="E1810" s="561"/>
      <c r="F1810" s="560"/>
      <c r="G1810" s="550"/>
    </row>
    <row r="1811">
      <c r="A1811" s="601"/>
      <c r="B1811" s="657"/>
      <c r="C1811" s="527"/>
      <c r="D1811" s="545"/>
      <c r="E1811" s="546"/>
      <c r="F1811" s="586"/>
      <c r="G1811" s="545"/>
    </row>
    <row r="1812">
      <c r="A1812" s="600"/>
      <c r="B1812" s="656"/>
      <c r="C1812" s="539"/>
      <c r="D1812" s="550"/>
      <c r="E1812" s="561"/>
      <c r="F1812" s="560"/>
      <c r="G1812" s="550"/>
    </row>
    <row r="1813">
      <c r="A1813" s="601"/>
      <c r="B1813" s="657"/>
      <c r="C1813" s="527"/>
      <c r="D1813" s="545"/>
      <c r="E1813" s="546"/>
      <c r="F1813" s="586"/>
      <c r="G1813" s="545"/>
    </row>
    <row r="1814">
      <c r="A1814" s="600"/>
      <c r="B1814" s="656"/>
      <c r="C1814" s="539"/>
      <c r="D1814" s="550"/>
      <c r="E1814" s="561"/>
      <c r="F1814" s="560"/>
      <c r="G1814" s="550"/>
    </row>
    <row r="1815">
      <c r="A1815" s="601"/>
      <c r="B1815" s="657"/>
      <c r="C1815" s="527"/>
      <c r="D1815" s="545"/>
      <c r="E1815" s="546"/>
      <c r="F1815" s="586"/>
      <c r="G1815" s="545"/>
    </row>
    <row r="1816">
      <c r="A1816" s="600"/>
      <c r="B1816" s="656"/>
      <c r="C1816" s="539"/>
      <c r="D1816" s="550"/>
      <c r="E1816" s="561"/>
      <c r="F1816" s="560"/>
      <c r="G1816" s="550"/>
    </row>
    <row r="1817">
      <c r="A1817" s="601"/>
      <c r="B1817" s="657"/>
      <c r="C1817" s="527"/>
      <c r="D1817" s="545"/>
      <c r="E1817" s="546"/>
      <c r="F1817" s="586"/>
      <c r="G1817" s="545"/>
    </row>
    <row r="1818">
      <c r="A1818" s="600"/>
      <c r="B1818" s="656"/>
      <c r="C1818" s="539"/>
      <c r="D1818" s="550"/>
      <c r="E1818" s="561"/>
      <c r="F1818" s="560"/>
      <c r="G1818" s="550"/>
    </row>
    <row r="1819">
      <c r="A1819" s="601"/>
      <c r="B1819" s="657"/>
      <c r="C1819" s="527"/>
      <c r="D1819" s="545"/>
      <c r="E1819" s="546"/>
      <c r="F1819" s="586"/>
      <c r="G1819" s="545"/>
    </row>
    <row r="1820">
      <c r="A1820" s="600"/>
      <c r="B1820" s="656"/>
      <c r="C1820" s="539"/>
      <c r="D1820" s="550"/>
      <c r="E1820" s="561"/>
      <c r="F1820" s="560"/>
      <c r="G1820" s="550"/>
    </row>
    <row r="1821">
      <c r="A1821" s="601"/>
      <c r="B1821" s="657"/>
      <c r="C1821" s="527"/>
      <c r="D1821" s="545"/>
      <c r="E1821" s="546"/>
      <c r="F1821" s="586"/>
      <c r="G1821" s="545"/>
    </row>
    <row r="1822">
      <c r="A1822" s="600"/>
      <c r="B1822" s="656"/>
      <c r="C1822" s="539"/>
      <c r="D1822" s="550"/>
      <c r="E1822" s="561"/>
      <c r="F1822" s="560"/>
      <c r="G1822" s="550"/>
    </row>
    <row r="1823">
      <c r="A1823" s="601"/>
      <c r="B1823" s="657"/>
      <c r="C1823" s="527"/>
      <c r="D1823" s="545"/>
      <c r="E1823" s="546"/>
      <c r="F1823" s="586"/>
      <c r="G1823" s="545"/>
    </row>
    <row r="1824">
      <c r="A1824" s="600"/>
      <c r="B1824" s="656"/>
      <c r="C1824" s="539"/>
      <c r="D1824" s="550"/>
      <c r="E1824" s="561"/>
      <c r="F1824" s="560"/>
      <c r="G1824" s="550"/>
    </row>
    <row r="1825">
      <c r="A1825" s="601"/>
      <c r="B1825" s="657"/>
      <c r="C1825" s="527"/>
      <c r="D1825" s="545"/>
      <c r="E1825" s="546"/>
      <c r="F1825" s="586"/>
      <c r="G1825" s="545"/>
    </row>
    <row r="1826">
      <c r="A1826" s="600"/>
      <c r="B1826" s="656"/>
      <c r="C1826" s="539"/>
      <c r="D1826" s="550"/>
      <c r="E1826" s="561"/>
      <c r="F1826" s="560"/>
      <c r="G1826" s="550"/>
    </row>
    <row r="1827">
      <c r="A1827" s="601"/>
      <c r="B1827" s="657"/>
      <c r="C1827" s="527"/>
      <c r="D1827" s="545"/>
      <c r="E1827" s="546"/>
      <c r="F1827" s="586"/>
      <c r="G1827" s="545"/>
    </row>
    <row r="1828">
      <c r="A1828" s="600"/>
      <c r="B1828" s="656"/>
      <c r="C1828" s="539"/>
      <c r="D1828" s="550"/>
      <c r="E1828" s="561"/>
      <c r="F1828" s="560"/>
      <c r="G1828" s="550"/>
    </row>
    <row r="1829">
      <c r="A1829" s="601"/>
      <c r="B1829" s="657"/>
      <c r="C1829" s="527"/>
      <c r="D1829" s="545"/>
      <c r="E1829" s="546"/>
      <c r="F1829" s="586"/>
      <c r="G1829" s="545"/>
    </row>
    <row r="1830">
      <c r="A1830" s="600"/>
      <c r="B1830" s="656"/>
      <c r="C1830" s="539"/>
      <c r="D1830" s="550"/>
      <c r="E1830" s="561"/>
      <c r="F1830" s="560"/>
      <c r="G1830" s="550"/>
    </row>
    <row r="1831">
      <c r="A1831" s="601"/>
      <c r="B1831" s="657"/>
      <c r="C1831" s="527"/>
      <c r="D1831" s="545"/>
      <c r="E1831" s="546"/>
      <c r="F1831" s="586"/>
      <c r="G1831" s="545"/>
    </row>
    <row r="1832">
      <c r="A1832" s="600"/>
      <c r="B1832" s="656"/>
      <c r="C1832" s="539"/>
      <c r="D1832" s="550"/>
      <c r="E1832" s="561"/>
      <c r="F1832" s="560"/>
      <c r="G1832" s="550"/>
    </row>
    <row r="1833">
      <c r="A1833" s="601"/>
      <c r="B1833" s="657"/>
      <c r="C1833" s="527"/>
      <c r="D1833" s="545"/>
      <c r="E1833" s="546"/>
      <c r="F1833" s="586"/>
      <c r="G1833" s="545"/>
    </row>
    <row r="1834">
      <c r="A1834" s="600"/>
      <c r="B1834" s="656"/>
      <c r="C1834" s="539"/>
      <c r="D1834" s="550"/>
      <c r="E1834" s="561"/>
      <c r="F1834" s="560"/>
      <c r="G1834" s="550"/>
    </row>
    <row r="1835">
      <c r="A1835" s="601"/>
      <c r="B1835" s="657"/>
      <c r="C1835" s="527"/>
      <c r="D1835" s="545"/>
      <c r="E1835" s="546"/>
      <c r="F1835" s="586"/>
      <c r="G1835" s="545"/>
    </row>
    <row r="1836">
      <c r="A1836" s="600"/>
      <c r="B1836" s="656"/>
      <c r="C1836" s="539"/>
      <c r="D1836" s="550"/>
      <c r="E1836" s="561"/>
      <c r="F1836" s="560"/>
      <c r="G1836" s="550"/>
    </row>
    <row r="1837">
      <c r="A1837" s="601"/>
      <c r="B1837" s="657"/>
      <c r="C1837" s="527"/>
      <c r="D1837" s="545"/>
      <c r="E1837" s="546"/>
      <c r="F1837" s="586"/>
      <c r="G1837" s="545"/>
    </row>
    <row r="1838">
      <c r="A1838" s="600"/>
      <c r="B1838" s="656"/>
      <c r="C1838" s="539"/>
      <c r="D1838" s="550"/>
      <c r="E1838" s="561"/>
      <c r="F1838" s="560"/>
      <c r="G1838" s="550"/>
    </row>
    <row r="1839">
      <c r="A1839" s="601"/>
      <c r="B1839" s="657"/>
      <c r="C1839" s="527"/>
      <c r="D1839" s="545"/>
      <c r="E1839" s="546"/>
      <c r="F1839" s="586"/>
      <c r="G1839" s="545"/>
    </row>
    <row r="1840">
      <c r="A1840" s="600"/>
      <c r="B1840" s="656"/>
      <c r="C1840" s="539"/>
      <c r="D1840" s="550"/>
      <c r="E1840" s="561"/>
      <c r="F1840" s="560"/>
      <c r="G1840" s="550"/>
    </row>
    <row r="1841">
      <c r="A1841" s="601"/>
      <c r="B1841" s="657"/>
      <c r="C1841" s="527"/>
      <c r="D1841" s="545"/>
      <c r="E1841" s="546"/>
      <c r="F1841" s="586"/>
      <c r="G1841" s="545"/>
    </row>
    <row r="1842">
      <c r="A1842" s="600"/>
      <c r="B1842" s="656"/>
      <c r="C1842" s="539"/>
      <c r="D1842" s="550"/>
      <c r="E1842" s="561"/>
      <c r="F1842" s="560"/>
      <c r="G1842" s="550"/>
    </row>
    <row r="1843">
      <c r="A1843" s="601"/>
      <c r="B1843" s="657"/>
      <c r="C1843" s="527"/>
      <c r="D1843" s="545"/>
      <c r="E1843" s="546"/>
      <c r="F1843" s="586"/>
      <c r="G1843" s="545"/>
    </row>
    <row r="1844">
      <c r="A1844" s="600"/>
      <c r="B1844" s="656"/>
      <c r="C1844" s="539"/>
      <c r="D1844" s="550"/>
      <c r="E1844" s="561"/>
      <c r="F1844" s="560"/>
      <c r="G1844" s="550"/>
    </row>
    <row r="1845">
      <c r="A1845" s="601"/>
      <c r="B1845" s="657"/>
      <c r="C1845" s="527"/>
      <c r="D1845" s="545"/>
      <c r="E1845" s="546"/>
      <c r="F1845" s="586"/>
      <c r="G1845" s="545"/>
    </row>
    <row r="1846">
      <c r="A1846" s="600"/>
      <c r="B1846" s="656"/>
      <c r="C1846" s="539"/>
      <c r="D1846" s="550"/>
      <c r="E1846" s="561"/>
      <c r="F1846" s="560"/>
      <c r="G1846" s="550"/>
    </row>
    <row r="1847">
      <c r="A1847" s="601"/>
      <c r="B1847" s="657"/>
      <c r="C1847" s="527"/>
      <c r="D1847" s="545"/>
      <c r="E1847" s="546"/>
      <c r="F1847" s="586"/>
      <c r="G1847" s="545"/>
    </row>
    <row r="1848">
      <c r="A1848" s="600"/>
      <c r="B1848" s="656"/>
      <c r="C1848" s="539"/>
      <c r="D1848" s="550"/>
      <c r="E1848" s="561"/>
      <c r="F1848" s="560"/>
      <c r="G1848" s="550"/>
    </row>
    <row r="1849">
      <c r="A1849" s="601"/>
      <c r="B1849" s="657"/>
      <c r="C1849" s="527"/>
      <c r="D1849" s="545"/>
      <c r="E1849" s="546"/>
      <c r="F1849" s="586"/>
      <c r="G1849" s="545"/>
    </row>
    <row r="1850">
      <c r="A1850" s="600"/>
      <c r="B1850" s="656"/>
      <c r="C1850" s="539"/>
      <c r="D1850" s="550"/>
      <c r="E1850" s="561"/>
      <c r="F1850" s="560"/>
      <c r="G1850" s="550"/>
    </row>
    <row r="1851">
      <c r="A1851" s="601"/>
      <c r="B1851" s="657"/>
      <c r="C1851" s="527"/>
      <c r="D1851" s="545"/>
      <c r="E1851" s="546"/>
      <c r="F1851" s="586"/>
      <c r="G1851" s="545"/>
    </row>
    <row r="1852">
      <c r="A1852" s="600"/>
      <c r="B1852" s="656"/>
      <c r="C1852" s="539"/>
      <c r="D1852" s="550"/>
      <c r="E1852" s="561"/>
      <c r="F1852" s="560"/>
      <c r="G1852" s="550"/>
    </row>
    <row r="1853">
      <c r="A1853" s="601"/>
      <c r="B1853" s="657"/>
      <c r="C1853" s="527"/>
      <c r="D1853" s="545"/>
      <c r="E1853" s="546"/>
      <c r="F1853" s="586"/>
      <c r="G1853" s="545"/>
    </row>
    <row r="1854">
      <c r="A1854" s="600"/>
      <c r="B1854" s="656"/>
      <c r="C1854" s="539"/>
      <c r="D1854" s="550"/>
      <c r="E1854" s="561"/>
      <c r="F1854" s="560"/>
      <c r="G1854" s="550"/>
    </row>
    <row r="1855">
      <c r="A1855" s="601"/>
      <c r="B1855" s="657"/>
      <c r="C1855" s="527"/>
      <c r="D1855" s="545"/>
      <c r="E1855" s="546"/>
      <c r="F1855" s="586"/>
      <c r="G1855" s="545"/>
    </row>
    <row r="1856">
      <c r="A1856" s="600"/>
      <c r="B1856" s="656"/>
      <c r="C1856" s="539"/>
      <c r="D1856" s="550"/>
      <c r="E1856" s="561"/>
      <c r="F1856" s="560"/>
      <c r="G1856" s="550"/>
    </row>
    <row r="1857">
      <c r="A1857" s="601"/>
      <c r="B1857" s="657"/>
      <c r="C1857" s="527"/>
      <c r="D1857" s="545"/>
      <c r="E1857" s="546"/>
      <c r="F1857" s="586"/>
      <c r="G1857" s="545"/>
    </row>
    <row r="1858">
      <c r="A1858" s="600"/>
      <c r="B1858" s="656"/>
      <c r="C1858" s="539"/>
      <c r="D1858" s="550"/>
      <c r="E1858" s="561"/>
      <c r="F1858" s="560"/>
      <c r="G1858" s="550"/>
    </row>
    <row r="1859">
      <c r="A1859" s="601"/>
      <c r="B1859" s="657"/>
      <c r="C1859" s="527"/>
      <c r="D1859" s="545"/>
      <c r="E1859" s="546"/>
      <c r="F1859" s="586"/>
      <c r="G1859" s="545"/>
    </row>
    <row r="1860">
      <c r="A1860" s="600"/>
      <c r="B1860" s="656"/>
      <c r="C1860" s="539"/>
      <c r="D1860" s="550"/>
      <c r="E1860" s="561"/>
      <c r="F1860" s="560"/>
      <c r="G1860" s="550"/>
    </row>
    <row r="1861">
      <c r="A1861" s="601"/>
      <c r="B1861" s="657"/>
      <c r="C1861" s="527"/>
      <c r="D1861" s="545"/>
      <c r="E1861" s="546"/>
      <c r="F1861" s="586"/>
      <c r="G1861" s="545"/>
    </row>
    <row r="1862">
      <c r="A1862" s="600"/>
      <c r="B1862" s="656"/>
      <c r="C1862" s="539"/>
      <c r="D1862" s="550"/>
      <c r="E1862" s="561"/>
      <c r="F1862" s="560"/>
      <c r="G1862" s="550"/>
    </row>
    <row r="1863">
      <c r="A1863" s="601"/>
      <c r="B1863" s="657"/>
      <c r="C1863" s="527"/>
      <c r="D1863" s="545"/>
      <c r="E1863" s="546"/>
      <c r="F1863" s="586"/>
      <c r="G1863" s="545"/>
    </row>
    <row r="1864">
      <c r="A1864" s="600"/>
      <c r="B1864" s="656"/>
      <c r="C1864" s="539"/>
      <c r="D1864" s="550"/>
      <c r="E1864" s="561"/>
      <c r="F1864" s="560"/>
      <c r="G1864" s="550"/>
    </row>
    <row r="1865">
      <c r="A1865" s="601"/>
      <c r="B1865" s="657"/>
      <c r="C1865" s="527"/>
      <c r="D1865" s="545"/>
      <c r="E1865" s="546"/>
      <c r="F1865" s="586"/>
      <c r="G1865" s="545"/>
    </row>
    <row r="1866">
      <c r="A1866" s="600"/>
      <c r="B1866" s="656"/>
      <c r="C1866" s="539"/>
      <c r="D1866" s="550"/>
      <c r="E1866" s="561"/>
      <c r="F1866" s="560"/>
      <c r="G1866" s="550"/>
    </row>
    <row r="1867">
      <c r="A1867" s="601"/>
      <c r="B1867" s="657"/>
      <c r="C1867" s="527"/>
      <c r="D1867" s="545"/>
      <c r="E1867" s="546"/>
      <c r="F1867" s="586"/>
      <c r="G1867" s="545"/>
    </row>
    <row r="1868">
      <c r="A1868" s="600"/>
      <c r="B1868" s="656"/>
      <c r="C1868" s="539"/>
      <c r="D1868" s="550"/>
      <c r="E1868" s="561"/>
      <c r="F1868" s="560"/>
      <c r="G1868" s="550"/>
    </row>
    <row r="1869">
      <c r="A1869" s="601"/>
      <c r="B1869" s="657"/>
      <c r="C1869" s="527"/>
      <c r="D1869" s="545"/>
      <c r="E1869" s="546"/>
      <c r="F1869" s="586"/>
      <c r="G1869" s="545"/>
    </row>
    <row r="1870">
      <c r="A1870" s="600"/>
      <c r="B1870" s="656"/>
      <c r="C1870" s="539"/>
      <c r="D1870" s="550"/>
      <c r="E1870" s="561"/>
      <c r="F1870" s="560"/>
      <c r="G1870" s="550"/>
    </row>
    <row r="1871">
      <c r="A1871" s="601"/>
      <c r="B1871" s="657"/>
      <c r="C1871" s="527"/>
      <c r="D1871" s="545"/>
      <c r="E1871" s="546"/>
      <c r="F1871" s="586"/>
      <c r="G1871" s="545"/>
    </row>
    <row r="1872">
      <c r="A1872" s="600"/>
      <c r="B1872" s="656"/>
      <c r="C1872" s="539"/>
      <c r="D1872" s="550"/>
      <c r="E1872" s="561"/>
      <c r="F1872" s="560"/>
      <c r="G1872" s="550"/>
    </row>
    <row r="1873">
      <c r="A1873" s="601"/>
      <c r="B1873" s="657"/>
      <c r="C1873" s="527"/>
      <c r="D1873" s="545"/>
      <c r="E1873" s="546"/>
      <c r="F1873" s="586"/>
      <c r="G1873" s="545"/>
    </row>
    <row r="1874">
      <c r="A1874" s="600"/>
      <c r="B1874" s="656"/>
      <c r="C1874" s="539"/>
      <c r="D1874" s="550"/>
      <c r="E1874" s="561"/>
      <c r="F1874" s="560"/>
      <c r="G1874" s="550"/>
    </row>
    <row r="1875">
      <c r="A1875" s="601"/>
      <c r="B1875" s="657"/>
      <c r="C1875" s="527"/>
      <c r="D1875" s="545"/>
      <c r="E1875" s="546"/>
      <c r="F1875" s="586"/>
      <c r="G1875" s="545"/>
    </row>
    <row r="1876">
      <c r="A1876" s="600"/>
      <c r="B1876" s="656"/>
      <c r="C1876" s="539"/>
      <c r="D1876" s="550"/>
      <c r="E1876" s="561"/>
      <c r="F1876" s="560"/>
      <c r="G1876" s="550"/>
    </row>
    <row r="1877">
      <c r="A1877" s="601"/>
      <c r="B1877" s="657"/>
      <c r="C1877" s="527"/>
      <c r="D1877" s="545"/>
      <c r="E1877" s="546"/>
      <c r="F1877" s="586"/>
      <c r="G1877" s="545"/>
    </row>
    <row r="1878">
      <c r="A1878" s="600"/>
      <c r="B1878" s="656"/>
      <c r="C1878" s="539"/>
      <c r="D1878" s="550"/>
      <c r="E1878" s="561"/>
      <c r="F1878" s="560"/>
      <c r="G1878" s="550"/>
    </row>
    <row r="1879">
      <c r="A1879" s="601"/>
      <c r="B1879" s="657"/>
      <c r="C1879" s="527"/>
      <c r="D1879" s="545"/>
      <c r="E1879" s="546"/>
      <c r="F1879" s="586"/>
      <c r="G1879" s="545"/>
    </row>
    <row r="1880">
      <c r="A1880" s="600"/>
      <c r="B1880" s="656"/>
      <c r="C1880" s="539"/>
      <c r="D1880" s="550"/>
      <c r="E1880" s="561"/>
      <c r="F1880" s="560"/>
      <c r="G1880" s="550"/>
    </row>
    <row r="1881">
      <c r="A1881" s="601"/>
      <c r="B1881" s="657"/>
      <c r="C1881" s="527"/>
      <c r="D1881" s="545"/>
      <c r="E1881" s="546"/>
      <c r="F1881" s="586"/>
      <c r="G1881" s="545"/>
    </row>
    <row r="1882">
      <c r="A1882" s="600"/>
      <c r="B1882" s="656"/>
      <c r="C1882" s="539"/>
      <c r="D1882" s="550"/>
      <c r="E1882" s="561"/>
      <c r="F1882" s="560"/>
      <c r="G1882" s="550"/>
    </row>
    <row r="1883">
      <c r="A1883" s="601"/>
      <c r="B1883" s="657"/>
      <c r="C1883" s="527"/>
      <c r="D1883" s="545"/>
      <c r="E1883" s="546"/>
      <c r="F1883" s="586"/>
      <c r="G1883" s="545"/>
    </row>
    <row r="1884">
      <c r="A1884" s="600"/>
      <c r="B1884" s="656"/>
      <c r="C1884" s="539"/>
      <c r="D1884" s="550"/>
      <c r="E1884" s="561"/>
      <c r="F1884" s="560"/>
      <c r="G1884" s="550"/>
    </row>
    <row r="1885">
      <c r="A1885" s="601"/>
      <c r="B1885" s="657"/>
      <c r="C1885" s="527"/>
      <c r="D1885" s="545"/>
      <c r="E1885" s="546"/>
      <c r="F1885" s="586"/>
      <c r="G1885" s="545"/>
    </row>
    <row r="1886">
      <c r="A1886" s="600"/>
      <c r="B1886" s="656"/>
      <c r="C1886" s="539"/>
      <c r="D1886" s="550"/>
      <c r="E1886" s="561"/>
      <c r="F1886" s="560"/>
      <c r="G1886" s="550"/>
    </row>
    <row r="1887">
      <c r="A1887" s="601"/>
      <c r="B1887" s="657"/>
      <c r="C1887" s="527"/>
      <c r="D1887" s="545"/>
      <c r="E1887" s="546"/>
      <c r="F1887" s="586"/>
      <c r="G1887" s="545"/>
    </row>
    <row r="1888">
      <c r="A1888" s="600"/>
      <c r="B1888" s="656"/>
      <c r="C1888" s="539"/>
      <c r="D1888" s="550"/>
      <c r="E1888" s="561"/>
      <c r="F1888" s="560"/>
      <c r="G1888" s="550"/>
    </row>
    <row r="1889">
      <c r="A1889" s="601"/>
      <c r="B1889" s="657"/>
      <c r="C1889" s="527"/>
      <c r="D1889" s="545"/>
      <c r="E1889" s="546"/>
      <c r="F1889" s="586"/>
      <c r="G1889" s="545"/>
    </row>
    <row r="1890">
      <c r="A1890" s="600"/>
      <c r="B1890" s="656"/>
      <c r="C1890" s="539"/>
      <c r="D1890" s="550"/>
      <c r="E1890" s="561"/>
      <c r="F1890" s="560"/>
      <c r="G1890" s="550"/>
    </row>
    <row r="1891">
      <c r="A1891" s="601"/>
      <c r="B1891" s="657"/>
      <c r="C1891" s="527"/>
      <c r="D1891" s="545"/>
      <c r="E1891" s="546"/>
      <c r="F1891" s="586"/>
      <c r="G1891" s="545"/>
    </row>
    <row r="1892">
      <c r="A1892" s="600"/>
      <c r="B1892" s="656"/>
      <c r="C1892" s="539"/>
      <c r="D1892" s="550"/>
      <c r="E1892" s="561"/>
      <c r="F1892" s="560"/>
      <c r="G1892" s="550"/>
    </row>
    <row r="1893">
      <c r="A1893" s="601"/>
      <c r="B1893" s="657"/>
      <c r="C1893" s="527"/>
      <c r="D1893" s="545"/>
      <c r="E1893" s="546"/>
      <c r="F1893" s="586"/>
      <c r="G1893" s="545"/>
    </row>
    <row r="1894">
      <c r="A1894" s="600"/>
      <c r="B1894" s="656"/>
      <c r="C1894" s="539"/>
      <c r="D1894" s="550"/>
      <c r="E1894" s="561"/>
      <c r="F1894" s="560"/>
      <c r="G1894" s="550"/>
    </row>
    <row r="1895">
      <c r="A1895" s="601"/>
      <c r="B1895" s="657"/>
      <c r="C1895" s="527"/>
      <c r="D1895" s="545"/>
      <c r="E1895" s="546"/>
      <c r="F1895" s="586"/>
      <c r="G1895" s="545"/>
    </row>
    <row r="1896">
      <c r="A1896" s="600"/>
      <c r="B1896" s="656"/>
      <c r="C1896" s="539"/>
      <c r="D1896" s="550"/>
      <c r="E1896" s="561"/>
      <c r="F1896" s="560"/>
      <c r="G1896" s="550"/>
    </row>
    <row r="1897">
      <c r="A1897" s="601"/>
      <c r="B1897" s="657"/>
      <c r="C1897" s="527"/>
      <c r="D1897" s="545"/>
      <c r="E1897" s="546"/>
      <c r="F1897" s="586"/>
      <c r="G1897" s="545"/>
    </row>
    <row r="1898">
      <c r="A1898" s="600"/>
      <c r="B1898" s="656"/>
      <c r="C1898" s="539"/>
      <c r="D1898" s="550"/>
      <c r="E1898" s="561"/>
      <c r="F1898" s="560"/>
      <c r="G1898" s="550"/>
    </row>
    <row r="1899">
      <c r="A1899" s="601"/>
      <c r="B1899" s="657"/>
      <c r="C1899" s="527"/>
      <c r="D1899" s="545"/>
      <c r="E1899" s="546"/>
      <c r="F1899" s="586"/>
      <c r="G1899" s="545"/>
    </row>
    <row r="1900">
      <c r="A1900" s="600"/>
      <c r="B1900" s="656"/>
      <c r="C1900" s="539"/>
      <c r="D1900" s="550"/>
      <c r="E1900" s="561"/>
      <c r="F1900" s="560"/>
      <c r="G1900" s="550"/>
    </row>
    <row r="1901">
      <c r="A1901" s="601"/>
      <c r="B1901" s="657"/>
      <c r="C1901" s="527"/>
      <c r="D1901" s="545"/>
      <c r="E1901" s="546"/>
      <c r="F1901" s="586"/>
      <c r="G1901" s="545"/>
    </row>
    <row r="1902">
      <c r="A1902" s="600"/>
      <c r="B1902" s="656"/>
      <c r="C1902" s="539"/>
      <c r="D1902" s="550"/>
      <c r="E1902" s="561"/>
      <c r="F1902" s="560"/>
      <c r="G1902" s="550"/>
    </row>
    <row r="1903">
      <c r="A1903" s="601"/>
      <c r="B1903" s="657"/>
      <c r="C1903" s="527"/>
      <c r="D1903" s="545"/>
      <c r="E1903" s="546"/>
      <c r="F1903" s="586"/>
      <c r="G1903" s="545"/>
    </row>
    <row r="1904">
      <c r="A1904" s="600"/>
      <c r="B1904" s="656"/>
      <c r="C1904" s="539"/>
      <c r="D1904" s="550"/>
      <c r="E1904" s="561"/>
      <c r="F1904" s="560"/>
      <c r="G1904" s="550"/>
    </row>
    <row r="1905">
      <c r="A1905" s="601"/>
      <c r="B1905" s="657"/>
      <c r="C1905" s="527"/>
      <c r="D1905" s="545"/>
      <c r="E1905" s="546"/>
      <c r="F1905" s="586"/>
      <c r="G1905" s="545"/>
    </row>
    <row r="1906">
      <c r="A1906" s="600"/>
      <c r="B1906" s="656"/>
      <c r="C1906" s="539"/>
      <c r="D1906" s="550"/>
      <c r="E1906" s="561"/>
      <c r="F1906" s="560"/>
      <c r="G1906" s="550"/>
    </row>
    <row r="1907">
      <c r="A1907" s="601"/>
      <c r="B1907" s="657"/>
      <c r="C1907" s="527"/>
      <c r="D1907" s="545"/>
      <c r="E1907" s="546"/>
      <c r="F1907" s="586"/>
      <c r="G1907" s="545"/>
    </row>
    <row r="1908">
      <c r="A1908" s="600"/>
      <c r="B1908" s="656"/>
      <c r="C1908" s="539"/>
      <c r="D1908" s="550"/>
      <c r="E1908" s="561"/>
      <c r="F1908" s="560"/>
      <c r="G1908" s="550"/>
    </row>
    <row r="1909">
      <c r="A1909" s="601"/>
      <c r="B1909" s="657"/>
      <c r="C1909" s="527"/>
      <c r="D1909" s="545"/>
      <c r="E1909" s="546"/>
      <c r="F1909" s="586"/>
      <c r="G1909" s="545"/>
    </row>
    <row r="1910">
      <c r="A1910" s="600"/>
      <c r="B1910" s="656"/>
      <c r="C1910" s="539"/>
      <c r="D1910" s="550"/>
      <c r="E1910" s="561"/>
      <c r="F1910" s="560"/>
      <c r="G1910" s="550"/>
    </row>
    <row r="1911">
      <c r="A1911" s="601"/>
      <c r="B1911" s="657"/>
      <c r="C1911" s="527"/>
      <c r="D1911" s="545"/>
      <c r="E1911" s="546"/>
      <c r="F1911" s="586"/>
      <c r="G1911" s="545"/>
    </row>
    <row r="1912">
      <c r="A1912" s="600"/>
      <c r="B1912" s="656"/>
      <c r="C1912" s="539"/>
      <c r="D1912" s="550"/>
      <c r="E1912" s="561"/>
      <c r="F1912" s="560"/>
      <c r="G1912" s="550"/>
    </row>
    <row r="1913">
      <c r="A1913" s="601"/>
      <c r="B1913" s="657"/>
      <c r="C1913" s="527"/>
      <c r="D1913" s="545"/>
      <c r="E1913" s="546"/>
      <c r="F1913" s="586"/>
      <c r="G1913" s="545"/>
    </row>
    <row r="1914">
      <c r="A1914" s="600"/>
      <c r="B1914" s="656"/>
      <c r="C1914" s="539"/>
      <c r="D1914" s="550"/>
      <c r="E1914" s="561"/>
      <c r="F1914" s="560"/>
      <c r="G1914" s="550"/>
    </row>
    <row r="1915">
      <c r="A1915" s="601"/>
      <c r="B1915" s="657"/>
      <c r="C1915" s="527"/>
      <c r="D1915" s="545"/>
      <c r="E1915" s="546"/>
      <c r="F1915" s="586"/>
      <c r="G1915" s="545"/>
    </row>
    <row r="1916">
      <c r="A1916" s="600"/>
      <c r="B1916" s="656"/>
      <c r="C1916" s="539"/>
      <c r="D1916" s="550"/>
      <c r="E1916" s="561"/>
      <c r="F1916" s="560"/>
      <c r="G1916" s="550"/>
    </row>
    <row r="1917">
      <c r="A1917" s="601"/>
      <c r="B1917" s="657"/>
      <c r="C1917" s="527"/>
      <c r="D1917" s="545"/>
      <c r="E1917" s="546"/>
      <c r="F1917" s="586"/>
      <c r="G1917" s="545"/>
    </row>
    <row r="1918">
      <c r="A1918" s="600"/>
      <c r="B1918" s="656"/>
      <c r="C1918" s="539"/>
      <c r="D1918" s="550"/>
      <c r="E1918" s="561"/>
      <c r="F1918" s="560"/>
      <c r="G1918" s="550"/>
    </row>
    <row r="1919">
      <c r="A1919" s="601"/>
      <c r="B1919" s="657"/>
      <c r="C1919" s="527"/>
      <c r="D1919" s="545"/>
      <c r="E1919" s="546"/>
      <c r="F1919" s="586"/>
      <c r="G1919" s="545"/>
    </row>
    <row r="1920">
      <c r="A1920" s="600"/>
      <c r="B1920" s="656"/>
      <c r="C1920" s="539"/>
      <c r="D1920" s="550"/>
      <c r="E1920" s="561"/>
      <c r="F1920" s="560"/>
      <c r="G1920" s="550"/>
    </row>
    <row r="1921">
      <c r="A1921" s="601"/>
      <c r="B1921" s="657"/>
      <c r="C1921" s="527"/>
      <c r="D1921" s="545"/>
      <c r="E1921" s="546"/>
      <c r="F1921" s="586"/>
      <c r="G1921" s="545"/>
    </row>
    <row r="1922">
      <c r="A1922" s="600"/>
      <c r="B1922" s="656"/>
      <c r="C1922" s="539"/>
      <c r="D1922" s="550"/>
      <c r="E1922" s="561"/>
      <c r="F1922" s="560"/>
      <c r="G1922" s="550"/>
    </row>
    <row r="1923">
      <c r="A1923" s="601"/>
      <c r="B1923" s="657"/>
      <c r="C1923" s="527"/>
      <c r="D1923" s="545"/>
      <c r="E1923" s="546"/>
      <c r="F1923" s="586"/>
      <c r="G1923" s="545"/>
    </row>
    <row r="1924">
      <c r="A1924" s="600"/>
      <c r="B1924" s="656"/>
      <c r="C1924" s="539"/>
      <c r="D1924" s="550"/>
      <c r="E1924" s="561"/>
      <c r="F1924" s="560"/>
      <c r="G1924" s="550"/>
    </row>
    <row r="1925">
      <c r="A1925" s="601"/>
      <c r="B1925" s="657"/>
      <c r="C1925" s="527"/>
      <c r="D1925" s="545"/>
      <c r="E1925" s="546"/>
      <c r="F1925" s="586"/>
      <c r="G1925" s="545"/>
    </row>
    <row r="1926">
      <c r="A1926" s="600"/>
      <c r="B1926" s="656"/>
      <c r="C1926" s="539"/>
      <c r="D1926" s="550"/>
      <c r="E1926" s="561"/>
      <c r="F1926" s="560"/>
      <c r="G1926" s="550"/>
    </row>
    <row r="1927">
      <c r="A1927" s="601"/>
      <c r="B1927" s="657"/>
      <c r="C1927" s="527"/>
      <c r="D1927" s="545"/>
      <c r="E1927" s="546"/>
      <c r="F1927" s="586"/>
      <c r="G1927" s="545"/>
    </row>
    <row r="1928">
      <c r="A1928" s="600"/>
      <c r="B1928" s="656"/>
      <c r="C1928" s="539"/>
      <c r="D1928" s="550"/>
      <c r="E1928" s="561"/>
      <c r="F1928" s="560"/>
      <c r="G1928" s="550"/>
    </row>
    <row r="1929">
      <c r="A1929" s="601"/>
      <c r="B1929" s="657"/>
      <c r="C1929" s="527"/>
      <c r="D1929" s="545"/>
      <c r="E1929" s="546"/>
      <c r="F1929" s="586"/>
      <c r="G1929" s="545"/>
    </row>
    <row r="1930">
      <c r="A1930" s="600"/>
      <c r="B1930" s="656"/>
      <c r="C1930" s="539"/>
      <c r="D1930" s="550"/>
      <c r="E1930" s="561"/>
      <c r="F1930" s="560"/>
      <c r="G1930" s="550"/>
    </row>
    <row r="1931">
      <c r="A1931" s="601"/>
      <c r="B1931" s="657"/>
      <c r="C1931" s="527"/>
      <c r="D1931" s="545"/>
      <c r="E1931" s="546"/>
      <c r="F1931" s="586"/>
      <c r="G1931" s="545"/>
    </row>
    <row r="1932">
      <c r="A1932" s="600"/>
      <c r="B1932" s="656"/>
      <c r="C1932" s="539"/>
      <c r="D1932" s="550"/>
      <c r="E1932" s="561"/>
      <c r="F1932" s="560"/>
      <c r="G1932" s="550"/>
    </row>
    <row r="1933">
      <c r="A1933" s="601"/>
      <c r="B1933" s="657"/>
      <c r="C1933" s="527"/>
      <c r="D1933" s="545"/>
      <c r="E1933" s="546"/>
      <c r="F1933" s="586"/>
      <c r="G1933" s="545"/>
    </row>
    <row r="1934">
      <c r="A1934" s="600"/>
      <c r="B1934" s="656"/>
      <c r="C1934" s="539"/>
      <c r="D1934" s="550"/>
      <c r="E1934" s="561"/>
      <c r="F1934" s="560"/>
      <c r="G1934" s="550"/>
    </row>
    <row r="1935">
      <c r="A1935" s="601"/>
      <c r="B1935" s="657"/>
      <c r="C1935" s="527"/>
      <c r="D1935" s="545"/>
      <c r="E1935" s="546"/>
      <c r="F1935" s="586"/>
      <c r="G1935" s="545"/>
    </row>
    <row r="1936">
      <c r="A1936" s="600"/>
      <c r="B1936" s="656"/>
      <c r="C1936" s="539"/>
      <c r="D1936" s="550"/>
      <c r="E1936" s="561"/>
      <c r="F1936" s="560"/>
      <c r="G1936" s="550"/>
    </row>
    <row r="1937">
      <c r="A1937" s="601"/>
      <c r="B1937" s="657"/>
      <c r="C1937" s="527"/>
      <c r="D1937" s="545"/>
      <c r="E1937" s="546"/>
      <c r="F1937" s="586"/>
      <c r="G1937" s="545"/>
    </row>
    <row r="1938">
      <c r="A1938" s="600"/>
      <c r="B1938" s="656"/>
      <c r="C1938" s="539"/>
      <c r="D1938" s="550"/>
      <c r="E1938" s="561"/>
      <c r="F1938" s="560"/>
      <c r="G1938" s="550"/>
    </row>
    <row r="1939">
      <c r="A1939" s="601"/>
      <c r="B1939" s="657"/>
      <c r="C1939" s="527"/>
      <c r="D1939" s="545"/>
      <c r="E1939" s="546"/>
      <c r="F1939" s="586"/>
      <c r="G1939" s="545"/>
    </row>
    <row r="1940">
      <c r="A1940" s="600"/>
      <c r="B1940" s="656"/>
      <c r="C1940" s="539"/>
      <c r="D1940" s="550"/>
      <c r="E1940" s="561"/>
      <c r="F1940" s="560"/>
      <c r="G1940" s="550"/>
    </row>
    <row r="1941">
      <c r="A1941" s="601"/>
      <c r="B1941" s="657"/>
      <c r="C1941" s="527"/>
      <c r="D1941" s="545"/>
      <c r="E1941" s="546"/>
      <c r="F1941" s="586"/>
      <c r="G1941" s="545"/>
    </row>
    <row r="1942">
      <c r="A1942" s="600"/>
      <c r="B1942" s="656"/>
      <c r="C1942" s="539"/>
      <c r="D1942" s="550"/>
      <c r="E1942" s="561"/>
      <c r="F1942" s="560"/>
      <c r="G1942" s="550"/>
    </row>
    <row r="1943">
      <c r="A1943" s="601"/>
      <c r="B1943" s="657"/>
      <c r="C1943" s="527"/>
      <c r="D1943" s="545"/>
      <c r="E1943" s="546"/>
      <c r="F1943" s="586"/>
      <c r="G1943" s="545"/>
    </row>
    <row r="1944">
      <c r="A1944" s="600"/>
      <c r="B1944" s="656"/>
      <c r="C1944" s="539"/>
      <c r="D1944" s="550"/>
      <c r="E1944" s="561"/>
      <c r="F1944" s="560"/>
      <c r="G1944" s="550"/>
    </row>
    <row r="1945">
      <c r="A1945" s="601"/>
      <c r="B1945" s="657"/>
      <c r="C1945" s="527"/>
      <c r="D1945" s="545"/>
      <c r="E1945" s="546"/>
      <c r="F1945" s="586"/>
      <c r="G1945" s="545"/>
    </row>
    <row r="1946">
      <c r="A1946" s="600"/>
      <c r="B1946" s="656"/>
      <c r="C1946" s="539"/>
      <c r="D1946" s="550"/>
      <c r="E1946" s="561"/>
      <c r="F1946" s="560"/>
      <c r="G1946" s="550"/>
    </row>
    <row r="1947">
      <c r="A1947" s="601"/>
      <c r="B1947" s="657"/>
      <c r="C1947" s="527"/>
      <c r="D1947" s="545"/>
      <c r="E1947" s="546"/>
      <c r="F1947" s="586"/>
      <c r="G1947" s="545"/>
    </row>
    <row r="1948">
      <c r="A1948" s="600"/>
      <c r="B1948" s="656"/>
      <c r="C1948" s="539"/>
      <c r="D1948" s="550"/>
      <c r="E1948" s="561"/>
      <c r="F1948" s="560"/>
      <c r="G1948" s="550"/>
    </row>
    <row r="1949">
      <c r="A1949" s="601"/>
      <c r="B1949" s="657"/>
      <c r="C1949" s="527"/>
      <c r="D1949" s="545"/>
      <c r="E1949" s="546"/>
      <c r="F1949" s="586"/>
      <c r="G1949" s="545"/>
    </row>
    <row r="1950">
      <c r="A1950" s="600"/>
      <c r="B1950" s="656"/>
      <c r="C1950" s="539"/>
      <c r="D1950" s="550"/>
      <c r="E1950" s="561"/>
      <c r="F1950" s="560"/>
      <c r="G1950" s="550"/>
    </row>
    <row r="1951">
      <c r="A1951" s="601"/>
      <c r="B1951" s="657"/>
      <c r="C1951" s="527"/>
      <c r="D1951" s="545"/>
      <c r="E1951" s="546"/>
      <c r="F1951" s="586"/>
      <c r="G1951" s="545"/>
    </row>
    <row r="1952">
      <c r="A1952" s="600"/>
      <c r="B1952" s="656"/>
      <c r="C1952" s="539"/>
      <c r="D1952" s="550"/>
      <c r="E1952" s="561"/>
      <c r="F1952" s="560"/>
      <c r="G1952" s="550"/>
    </row>
    <row r="1953">
      <c r="A1953" s="601"/>
      <c r="B1953" s="657"/>
      <c r="C1953" s="527"/>
      <c r="D1953" s="545"/>
      <c r="E1953" s="546"/>
      <c r="F1953" s="586"/>
      <c r="G1953" s="545"/>
    </row>
    <row r="1954">
      <c r="A1954" s="600"/>
      <c r="B1954" s="656"/>
      <c r="C1954" s="539"/>
      <c r="D1954" s="550"/>
      <c r="E1954" s="561"/>
      <c r="F1954" s="560"/>
      <c r="G1954" s="550"/>
    </row>
    <row r="1955">
      <c r="A1955" s="601"/>
      <c r="B1955" s="657"/>
      <c r="C1955" s="527"/>
      <c r="D1955" s="545"/>
      <c r="E1955" s="546"/>
      <c r="F1955" s="586"/>
      <c r="G1955" s="545"/>
    </row>
    <row r="1956">
      <c r="A1956" s="600"/>
      <c r="B1956" s="656"/>
      <c r="C1956" s="539"/>
      <c r="D1956" s="550"/>
      <c r="E1956" s="561"/>
      <c r="F1956" s="560"/>
      <c r="G1956" s="550"/>
    </row>
    <row r="1957">
      <c r="A1957" s="601"/>
      <c r="B1957" s="657"/>
      <c r="C1957" s="527"/>
      <c r="D1957" s="545"/>
      <c r="E1957" s="546"/>
      <c r="F1957" s="586"/>
      <c r="G1957" s="545"/>
    </row>
    <row r="1958">
      <c r="A1958" s="600"/>
      <c r="B1958" s="656"/>
      <c r="C1958" s="539"/>
      <c r="D1958" s="550"/>
      <c r="E1958" s="561"/>
      <c r="F1958" s="560"/>
      <c r="G1958" s="550"/>
    </row>
    <row r="1959">
      <c r="A1959" s="601"/>
      <c r="B1959" s="657"/>
      <c r="C1959" s="527"/>
      <c r="D1959" s="545"/>
      <c r="E1959" s="546"/>
      <c r="F1959" s="586"/>
      <c r="G1959" s="545"/>
    </row>
    <row r="1960">
      <c r="A1960" s="600"/>
      <c r="B1960" s="656"/>
      <c r="C1960" s="539"/>
      <c r="D1960" s="550"/>
      <c r="E1960" s="561"/>
      <c r="F1960" s="560"/>
      <c r="G1960" s="550"/>
    </row>
    <row r="1961">
      <c r="A1961" s="601"/>
      <c r="B1961" s="657"/>
      <c r="C1961" s="527"/>
      <c r="D1961" s="545"/>
      <c r="E1961" s="546"/>
      <c r="F1961" s="586"/>
      <c r="G1961" s="545"/>
    </row>
    <row r="1962">
      <c r="A1962" s="600"/>
      <c r="B1962" s="656"/>
      <c r="C1962" s="539"/>
      <c r="D1962" s="550"/>
      <c r="E1962" s="561"/>
      <c r="F1962" s="560"/>
      <c r="G1962" s="550"/>
    </row>
    <row r="1963">
      <c r="A1963" s="601"/>
      <c r="B1963" s="657"/>
      <c r="C1963" s="527"/>
      <c r="D1963" s="545"/>
      <c r="E1963" s="546"/>
      <c r="F1963" s="586"/>
      <c r="G1963" s="545"/>
    </row>
    <row r="1964">
      <c r="A1964" s="600"/>
      <c r="B1964" s="656"/>
      <c r="C1964" s="539"/>
      <c r="D1964" s="550"/>
      <c r="E1964" s="561"/>
      <c r="F1964" s="560"/>
      <c r="G1964" s="550"/>
    </row>
    <row r="1965">
      <c r="A1965" s="601"/>
      <c r="B1965" s="657"/>
      <c r="C1965" s="527"/>
      <c r="D1965" s="545"/>
      <c r="E1965" s="546"/>
      <c r="F1965" s="586"/>
      <c r="G1965" s="545"/>
    </row>
    <row r="1966">
      <c r="A1966" s="600"/>
      <c r="B1966" s="656"/>
      <c r="C1966" s="539"/>
      <c r="D1966" s="550"/>
      <c r="E1966" s="561"/>
      <c r="F1966" s="560"/>
      <c r="G1966" s="550"/>
    </row>
    <row r="1967">
      <c r="A1967" s="601"/>
      <c r="B1967" s="657"/>
      <c r="C1967" s="527"/>
      <c r="D1967" s="545"/>
      <c r="E1967" s="546"/>
      <c r="F1967" s="586"/>
      <c r="G1967" s="545"/>
    </row>
    <row r="1968">
      <c r="A1968" s="600"/>
      <c r="B1968" s="656"/>
      <c r="C1968" s="539"/>
      <c r="D1968" s="550"/>
      <c r="E1968" s="561"/>
      <c r="F1968" s="560"/>
      <c r="G1968" s="550"/>
    </row>
    <row r="1969">
      <c r="A1969" s="601"/>
      <c r="B1969" s="657"/>
      <c r="C1969" s="527"/>
      <c r="D1969" s="545"/>
      <c r="E1969" s="546"/>
      <c r="F1969" s="586"/>
      <c r="G1969" s="545"/>
    </row>
    <row r="1970">
      <c r="A1970" s="600"/>
      <c r="B1970" s="656"/>
      <c r="C1970" s="539"/>
      <c r="D1970" s="550"/>
      <c r="E1970" s="561"/>
      <c r="F1970" s="560"/>
      <c r="G1970" s="550"/>
    </row>
    <row r="1971">
      <c r="A1971" s="601"/>
      <c r="B1971" s="657"/>
      <c r="C1971" s="527"/>
      <c r="D1971" s="545"/>
      <c r="E1971" s="546"/>
      <c r="F1971" s="586"/>
      <c r="G1971" s="545"/>
    </row>
    <row r="1972">
      <c r="A1972" s="600"/>
      <c r="B1972" s="656"/>
      <c r="C1972" s="539"/>
      <c r="D1972" s="550"/>
      <c r="E1972" s="561"/>
      <c r="F1972" s="560"/>
      <c r="G1972" s="550"/>
    </row>
    <row r="1973">
      <c r="A1973" s="601"/>
      <c r="B1973" s="657"/>
      <c r="C1973" s="527"/>
      <c r="D1973" s="545"/>
      <c r="E1973" s="546"/>
      <c r="F1973" s="586"/>
      <c r="G1973" s="545"/>
    </row>
    <row r="1974">
      <c r="A1974" s="600"/>
      <c r="B1974" s="656"/>
      <c r="C1974" s="539"/>
      <c r="D1974" s="550"/>
      <c r="E1974" s="561"/>
      <c r="F1974" s="560"/>
      <c r="G1974" s="550"/>
    </row>
    <row r="1975">
      <c r="A1975" s="601"/>
      <c r="B1975" s="657"/>
      <c r="C1975" s="527"/>
      <c r="D1975" s="545"/>
      <c r="E1975" s="546"/>
      <c r="F1975" s="586"/>
      <c r="G1975" s="545"/>
    </row>
    <row r="1976">
      <c r="A1976" s="600"/>
      <c r="B1976" s="656"/>
      <c r="C1976" s="539"/>
      <c r="D1976" s="550"/>
      <c r="E1976" s="561"/>
      <c r="F1976" s="560"/>
      <c r="G1976" s="550"/>
    </row>
    <row r="1977">
      <c r="A1977" s="601"/>
      <c r="B1977" s="657"/>
      <c r="C1977" s="527"/>
      <c r="D1977" s="545"/>
      <c r="E1977" s="546"/>
      <c r="F1977" s="586"/>
      <c r="G1977" s="545"/>
    </row>
    <row r="1978">
      <c r="A1978" s="600"/>
      <c r="B1978" s="656"/>
      <c r="C1978" s="539"/>
      <c r="D1978" s="550"/>
      <c r="E1978" s="561"/>
      <c r="F1978" s="560"/>
      <c r="G1978" s="550"/>
    </row>
    <row r="1979">
      <c r="A1979" s="601"/>
      <c r="B1979" s="657"/>
      <c r="C1979" s="527"/>
      <c r="D1979" s="545"/>
      <c r="E1979" s="546"/>
      <c r="F1979" s="586"/>
      <c r="G1979" s="545"/>
    </row>
    <row r="1980">
      <c r="A1980" s="600"/>
      <c r="B1980" s="656"/>
      <c r="C1980" s="539"/>
      <c r="D1980" s="550"/>
      <c r="E1980" s="561"/>
      <c r="F1980" s="560"/>
      <c r="G1980" s="550"/>
    </row>
    <row r="1981">
      <c r="A1981" s="601"/>
      <c r="B1981" s="657"/>
      <c r="C1981" s="527"/>
      <c r="D1981" s="545"/>
      <c r="E1981" s="546"/>
      <c r="F1981" s="586"/>
      <c r="G1981" s="545"/>
    </row>
    <row r="1982">
      <c r="A1982" s="600"/>
      <c r="B1982" s="656"/>
      <c r="C1982" s="539"/>
      <c r="D1982" s="550"/>
      <c r="E1982" s="561"/>
      <c r="F1982" s="560"/>
      <c r="G1982" s="550"/>
    </row>
    <row r="1983">
      <c r="A1983" s="601"/>
      <c r="B1983" s="657"/>
      <c r="C1983" s="527"/>
      <c r="D1983" s="545"/>
      <c r="E1983" s="546"/>
      <c r="F1983" s="586"/>
      <c r="G1983" s="545"/>
    </row>
    <row r="1984">
      <c r="A1984" s="600"/>
      <c r="B1984" s="656"/>
      <c r="C1984" s="539"/>
      <c r="D1984" s="550"/>
      <c r="E1984" s="561"/>
      <c r="F1984" s="560"/>
      <c r="G1984" s="550"/>
    </row>
    <row r="1985">
      <c r="A1985" s="601"/>
      <c r="B1985" s="657"/>
      <c r="C1985" s="527"/>
      <c r="D1985" s="545"/>
      <c r="E1985" s="546"/>
      <c r="F1985" s="586"/>
      <c r="G1985" s="545"/>
    </row>
    <row r="1986">
      <c r="A1986" s="600"/>
      <c r="B1986" s="656"/>
      <c r="C1986" s="539"/>
      <c r="D1986" s="550"/>
      <c r="E1986" s="561"/>
      <c r="F1986" s="560"/>
      <c r="G1986" s="550"/>
    </row>
    <row r="1987">
      <c r="A1987" s="601"/>
      <c r="B1987" s="657"/>
      <c r="C1987" s="527"/>
      <c r="D1987" s="545"/>
      <c r="E1987" s="546"/>
      <c r="F1987" s="586"/>
      <c r="G1987" s="545"/>
    </row>
    <row r="1988">
      <c r="A1988" s="600"/>
      <c r="B1988" s="656"/>
      <c r="C1988" s="539"/>
      <c r="D1988" s="550"/>
      <c r="E1988" s="561"/>
      <c r="F1988" s="560"/>
      <c r="G1988" s="550"/>
    </row>
    <row r="1989">
      <c r="A1989" s="601"/>
      <c r="B1989" s="657"/>
      <c r="C1989" s="527"/>
      <c r="D1989" s="545"/>
      <c r="E1989" s="546"/>
      <c r="F1989" s="586"/>
      <c r="G1989" s="545"/>
    </row>
    <row r="1990">
      <c r="A1990" s="600"/>
      <c r="B1990" s="656"/>
      <c r="C1990" s="539"/>
      <c r="D1990" s="550"/>
      <c r="E1990" s="561"/>
      <c r="F1990" s="560"/>
      <c r="G1990" s="550"/>
    </row>
    <row r="1991">
      <c r="A1991" s="601"/>
      <c r="B1991" s="657"/>
      <c r="C1991" s="527"/>
      <c r="D1991" s="545"/>
      <c r="E1991" s="546"/>
      <c r="F1991" s="586"/>
      <c r="G1991" s="545"/>
    </row>
    <row r="1992">
      <c r="A1992" s="600"/>
      <c r="B1992" s="656"/>
      <c r="C1992" s="539"/>
      <c r="D1992" s="550"/>
      <c r="E1992" s="561"/>
      <c r="F1992" s="560"/>
      <c r="G1992" s="550"/>
    </row>
    <row r="1993">
      <c r="A1993" s="601"/>
      <c r="B1993" s="657"/>
      <c r="C1993" s="527"/>
      <c r="D1993" s="545"/>
      <c r="E1993" s="546"/>
      <c r="F1993" s="586"/>
      <c r="G1993" s="545"/>
    </row>
    <row r="1994">
      <c r="A1994" s="600"/>
      <c r="B1994" s="656"/>
      <c r="C1994" s="539"/>
      <c r="D1994" s="550"/>
      <c r="E1994" s="561"/>
      <c r="F1994" s="560"/>
      <c r="G1994" s="550"/>
    </row>
    <row r="1995">
      <c r="A1995" s="601"/>
      <c r="B1995" s="657"/>
      <c r="C1995" s="527"/>
      <c r="D1995" s="545"/>
      <c r="E1995" s="546"/>
      <c r="F1995" s="586"/>
      <c r="G1995" s="545"/>
    </row>
    <row r="1996">
      <c r="A1996" s="600"/>
      <c r="B1996" s="656"/>
      <c r="C1996" s="539"/>
      <c r="D1996" s="550"/>
      <c r="E1996" s="561"/>
      <c r="F1996" s="560"/>
      <c r="G1996" s="550"/>
    </row>
    <row r="1997">
      <c r="A1997" s="601"/>
      <c r="B1997" s="657"/>
      <c r="C1997" s="527"/>
      <c r="D1997" s="545"/>
      <c r="E1997" s="546"/>
      <c r="F1997" s="586"/>
      <c r="G1997" s="545"/>
    </row>
    <row r="1998">
      <c r="A1998" s="600"/>
      <c r="B1998" s="656"/>
      <c r="C1998" s="539"/>
      <c r="D1998" s="550"/>
      <c r="E1998" s="561"/>
      <c r="F1998" s="560"/>
      <c r="G1998" s="550"/>
    </row>
    <row r="1999">
      <c r="A1999" s="601"/>
      <c r="B1999" s="657"/>
      <c r="C1999" s="527"/>
      <c r="D1999" s="545"/>
      <c r="E1999" s="546"/>
      <c r="F1999" s="586"/>
      <c r="G1999" s="545"/>
    </row>
    <row r="2000">
      <c r="A2000" s="600"/>
      <c r="B2000" s="656"/>
      <c r="C2000" s="539"/>
      <c r="D2000" s="550"/>
      <c r="E2000" s="561"/>
      <c r="F2000" s="560"/>
      <c r="G2000" s="550"/>
    </row>
    <row r="2001">
      <c r="A2001" s="601"/>
      <c r="B2001" s="657"/>
      <c r="C2001" s="527"/>
      <c r="D2001" s="545"/>
      <c r="E2001" s="546"/>
      <c r="F2001" s="586"/>
      <c r="G2001" s="545"/>
    </row>
    <row r="2002">
      <c r="A2002" s="600"/>
      <c r="B2002" s="656"/>
      <c r="C2002" s="539"/>
      <c r="D2002" s="550"/>
      <c r="E2002" s="561"/>
      <c r="F2002" s="560"/>
      <c r="G2002" s="550"/>
    </row>
    <row r="2003">
      <c r="A2003" s="601"/>
      <c r="B2003" s="657"/>
      <c r="C2003" s="527"/>
      <c r="D2003" s="545"/>
      <c r="E2003" s="546"/>
      <c r="F2003" s="586"/>
      <c r="G2003" s="545"/>
    </row>
    <row r="2004">
      <c r="A2004" s="600"/>
      <c r="B2004" s="656"/>
      <c r="C2004" s="539"/>
      <c r="D2004" s="550"/>
      <c r="E2004" s="561"/>
      <c r="F2004" s="560"/>
      <c r="G2004" s="550"/>
    </row>
    <row r="2005">
      <c r="A2005" s="601"/>
      <c r="B2005" s="657"/>
      <c r="C2005" s="527"/>
      <c r="D2005" s="545"/>
      <c r="E2005" s="546"/>
      <c r="F2005" s="586"/>
      <c r="G2005" s="545"/>
    </row>
    <row r="2006">
      <c r="A2006" s="600"/>
      <c r="B2006" s="656"/>
      <c r="C2006" s="539"/>
      <c r="D2006" s="550"/>
      <c r="E2006" s="561"/>
      <c r="F2006" s="560"/>
      <c r="G2006" s="550"/>
    </row>
    <row r="2007">
      <c r="A2007" s="601"/>
      <c r="B2007" s="657"/>
      <c r="C2007" s="527"/>
      <c r="D2007" s="545"/>
      <c r="E2007" s="546"/>
      <c r="F2007" s="586"/>
      <c r="G2007" s="545"/>
    </row>
    <row r="2008">
      <c r="A2008" s="600"/>
      <c r="B2008" s="656"/>
      <c r="C2008" s="539"/>
      <c r="D2008" s="550"/>
      <c r="E2008" s="561"/>
      <c r="F2008" s="560"/>
      <c r="G2008" s="550"/>
    </row>
    <row r="2009">
      <c r="A2009" s="601"/>
      <c r="B2009" s="657"/>
      <c r="C2009" s="527"/>
      <c r="D2009" s="545"/>
      <c r="E2009" s="546"/>
      <c r="F2009" s="586"/>
      <c r="G2009" s="545"/>
    </row>
    <row r="2010">
      <c r="A2010" s="600"/>
      <c r="B2010" s="656"/>
      <c r="C2010" s="539"/>
      <c r="D2010" s="550"/>
      <c r="E2010" s="561"/>
      <c r="F2010" s="560"/>
      <c r="G2010" s="550"/>
    </row>
    <row r="2011">
      <c r="A2011" s="601"/>
      <c r="B2011" s="657"/>
      <c r="C2011" s="527"/>
      <c r="D2011" s="545"/>
      <c r="E2011" s="546"/>
      <c r="F2011" s="586"/>
      <c r="G2011" s="545"/>
    </row>
    <row r="2012">
      <c r="A2012" s="600"/>
      <c r="B2012" s="656"/>
      <c r="C2012" s="539"/>
      <c r="D2012" s="550"/>
      <c r="E2012" s="561"/>
      <c r="F2012" s="560"/>
      <c r="G2012" s="550"/>
    </row>
    <row r="2013">
      <c r="A2013" s="601"/>
      <c r="B2013" s="657"/>
      <c r="C2013" s="527"/>
      <c r="D2013" s="545"/>
      <c r="E2013" s="546"/>
      <c r="F2013" s="586"/>
      <c r="G2013" s="545"/>
    </row>
    <row r="2014">
      <c r="A2014" s="600"/>
      <c r="B2014" s="656"/>
      <c r="C2014" s="539"/>
      <c r="D2014" s="550"/>
      <c r="E2014" s="561"/>
      <c r="F2014" s="560"/>
      <c r="G2014" s="550"/>
    </row>
    <row r="2015">
      <c r="A2015" s="601"/>
      <c r="B2015" s="657"/>
      <c r="C2015" s="527"/>
      <c r="D2015" s="545"/>
      <c r="E2015" s="546"/>
      <c r="F2015" s="586"/>
      <c r="G2015" s="545"/>
    </row>
    <row r="2016">
      <c r="A2016" s="600"/>
      <c r="B2016" s="656"/>
      <c r="C2016" s="539"/>
      <c r="D2016" s="550"/>
      <c r="E2016" s="561"/>
      <c r="F2016" s="560"/>
      <c r="G2016" s="550"/>
    </row>
    <row r="2017">
      <c r="A2017" s="601"/>
      <c r="B2017" s="657"/>
      <c r="C2017" s="527"/>
      <c r="D2017" s="545"/>
      <c r="E2017" s="546"/>
      <c r="F2017" s="586"/>
      <c r="G2017" s="545"/>
    </row>
    <row r="2018">
      <c r="A2018" s="600"/>
      <c r="B2018" s="656"/>
      <c r="C2018" s="539"/>
      <c r="D2018" s="550"/>
      <c r="E2018" s="561"/>
      <c r="F2018" s="560"/>
      <c r="G2018" s="550"/>
    </row>
    <row r="2019">
      <c r="A2019" s="601"/>
      <c r="B2019" s="657"/>
      <c r="C2019" s="527"/>
      <c r="D2019" s="545"/>
      <c r="E2019" s="546"/>
      <c r="F2019" s="586"/>
      <c r="G2019" s="545"/>
    </row>
    <row r="2020">
      <c r="A2020" s="600"/>
      <c r="B2020" s="656"/>
      <c r="C2020" s="539"/>
      <c r="D2020" s="550"/>
      <c r="E2020" s="561"/>
      <c r="F2020" s="560"/>
      <c r="G2020" s="550"/>
    </row>
    <row r="2021">
      <c r="A2021" s="601"/>
      <c r="B2021" s="657"/>
      <c r="C2021" s="527"/>
      <c r="D2021" s="545"/>
      <c r="E2021" s="546"/>
      <c r="F2021" s="586"/>
      <c r="G2021" s="545"/>
    </row>
    <row r="2022">
      <c r="A2022" s="600"/>
      <c r="B2022" s="656"/>
      <c r="C2022" s="539"/>
      <c r="D2022" s="550"/>
      <c r="E2022" s="561"/>
      <c r="F2022" s="560"/>
      <c r="G2022" s="550"/>
    </row>
    <row r="2023">
      <c r="A2023" s="601"/>
      <c r="B2023" s="657"/>
      <c r="C2023" s="527"/>
      <c r="D2023" s="545"/>
      <c r="E2023" s="546"/>
      <c r="F2023" s="586"/>
      <c r="G2023" s="545"/>
    </row>
    <row r="2024">
      <c r="A2024" s="600"/>
      <c r="B2024" s="656"/>
      <c r="C2024" s="539"/>
      <c r="D2024" s="550"/>
      <c r="E2024" s="561"/>
      <c r="F2024" s="560"/>
      <c r="G2024" s="550"/>
    </row>
    <row r="2025">
      <c r="A2025" s="601"/>
      <c r="B2025" s="657"/>
      <c r="C2025" s="527"/>
      <c r="D2025" s="545"/>
      <c r="E2025" s="546"/>
      <c r="F2025" s="586"/>
      <c r="G2025" s="545"/>
    </row>
    <row r="2026">
      <c r="A2026" s="600"/>
      <c r="B2026" s="656"/>
      <c r="C2026" s="539"/>
      <c r="D2026" s="550"/>
      <c r="E2026" s="561"/>
      <c r="F2026" s="560"/>
      <c r="G2026" s="550"/>
    </row>
    <row r="2027">
      <c r="A2027" s="601"/>
      <c r="B2027" s="657"/>
      <c r="C2027" s="527"/>
      <c r="D2027" s="545"/>
      <c r="E2027" s="546"/>
      <c r="F2027" s="586"/>
      <c r="G2027" s="545"/>
    </row>
    <row r="2028">
      <c r="A2028" s="600"/>
      <c r="B2028" s="656"/>
      <c r="C2028" s="539"/>
      <c r="D2028" s="550"/>
      <c r="E2028" s="561"/>
      <c r="F2028" s="560"/>
      <c r="G2028" s="550"/>
    </row>
    <row r="2029">
      <c r="A2029" s="601"/>
      <c r="B2029" s="657"/>
      <c r="C2029" s="527"/>
      <c r="D2029" s="545"/>
      <c r="E2029" s="546"/>
      <c r="F2029" s="586"/>
      <c r="G2029" s="545"/>
    </row>
    <row r="2030">
      <c r="A2030" s="600"/>
      <c r="B2030" s="656"/>
      <c r="C2030" s="539"/>
      <c r="D2030" s="550"/>
      <c r="E2030" s="561"/>
      <c r="F2030" s="560"/>
      <c r="G2030" s="550"/>
    </row>
    <row r="2031">
      <c r="A2031" s="601"/>
      <c r="B2031" s="657"/>
      <c r="C2031" s="527"/>
      <c r="D2031" s="545"/>
      <c r="E2031" s="546"/>
      <c r="F2031" s="586"/>
      <c r="G2031" s="545"/>
    </row>
    <row r="2032">
      <c r="A2032" s="600"/>
      <c r="B2032" s="656"/>
      <c r="C2032" s="539"/>
      <c r="D2032" s="550"/>
      <c r="E2032" s="561"/>
      <c r="F2032" s="560"/>
      <c r="G2032" s="550"/>
    </row>
    <row r="2033">
      <c r="A2033" s="601"/>
      <c r="B2033" s="657"/>
      <c r="C2033" s="527"/>
      <c r="D2033" s="545"/>
      <c r="E2033" s="546"/>
      <c r="F2033" s="586"/>
      <c r="G2033" s="545"/>
    </row>
    <row r="2034">
      <c r="A2034" s="600"/>
      <c r="B2034" s="656"/>
      <c r="C2034" s="539"/>
      <c r="D2034" s="550"/>
      <c r="E2034" s="561"/>
      <c r="F2034" s="560"/>
      <c r="G2034" s="550"/>
    </row>
    <row r="2035">
      <c r="A2035" s="601"/>
      <c r="B2035" s="657"/>
      <c r="C2035" s="527"/>
      <c r="D2035" s="545"/>
      <c r="E2035" s="546"/>
      <c r="F2035" s="586"/>
      <c r="G2035" s="545"/>
    </row>
    <row r="2036">
      <c r="A2036" s="600"/>
      <c r="B2036" s="656"/>
      <c r="C2036" s="539"/>
      <c r="D2036" s="550"/>
      <c r="E2036" s="561"/>
      <c r="F2036" s="560"/>
      <c r="G2036" s="550"/>
    </row>
    <row r="2037">
      <c r="A2037" s="601"/>
      <c r="B2037" s="657"/>
      <c r="C2037" s="527"/>
      <c r="D2037" s="545"/>
      <c r="E2037" s="546"/>
      <c r="F2037" s="586"/>
      <c r="G2037" s="545"/>
    </row>
    <row r="2038">
      <c r="A2038" s="600"/>
      <c r="B2038" s="656"/>
      <c r="C2038" s="539"/>
      <c r="D2038" s="550"/>
      <c r="E2038" s="561"/>
      <c r="F2038" s="560"/>
      <c r="G2038" s="550"/>
    </row>
    <row r="2039">
      <c r="A2039" s="601"/>
      <c r="B2039" s="657"/>
      <c r="C2039" s="527"/>
      <c r="D2039" s="545"/>
      <c r="E2039" s="546"/>
      <c r="F2039" s="586"/>
      <c r="G2039" s="545"/>
    </row>
    <row r="2040">
      <c r="A2040" s="600"/>
      <c r="B2040" s="656"/>
      <c r="C2040" s="539"/>
      <c r="D2040" s="550"/>
      <c r="E2040" s="561"/>
      <c r="F2040" s="560"/>
      <c r="G2040" s="550"/>
    </row>
    <row r="2041">
      <c r="A2041" s="601"/>
      <c r="B2041" s="657"/>
      <c r="C2041" s="527"/>
      <c r="D2041" s="545"/>
      <c r="E2041" s="546"/>
      <c r="F2041" s="586"/>
      <c r="G2041" s="545"/>
    </row>
    <row r="2042">
      <c r="A2042" s="600"/>
      <c r="B2042" s="656"/>
      <c r="C2042" s="539"/>
      <c r="D2042" s="550"/>
      <c r="E2042" s="561"/>
      <c r="F2042" s="560"/>
      <c r="G2042" s="550"/>
    </row>
    <row r="2043">
      <c r="A2043" s="601"/>
      <c r="B2043" s="657"/>
      <c r="C2043" s="527"/>
      <c r="D2043" s="545"/>
      <c r="E2043" s="546"/>
      <c r="F2043" s="586"/>
      <c r="G2043" s="545"/>
    </row>
    <row r="2044">
      <c r="A2044" s="600"/>
      <c r="B2044" s="656"/>
      <c r="C2044" s="539"/>
      <c r="D2044" s="550"/>
      <c r="E2044" s="561"/>
      <c r="F2044" s="560"/>
      <c r="G2044" s="550"/>
    </row>
    <row r="2045">
      <c r="A2045" s="601"/>
      <c r="B2045" s="657"/>
      <c r="C2045" s="527"/>
      <c r="D2045" s="545"/>
      <c r="E2045" s="546"/>
      <c r="F2045" s="586"/>
      <c r="G2045" s="545"/>
    </row>
    <row r="2046">
      <c r="A2046" s="600"/>
      <c r="B2046" s="656"/>
      <c r="C2046" s="539"/>
      <c r="D2046" s="550"/>
      <c r="E2046" s="561"/>
      <c r="F2046" s="560"/>
      <c r="G2046" s="550"/>
    </row>
    <row r="2047">
      <c r="A2047" s="601"/>
      <c r="B2047" s="657"/>
      <c r="C2047" s="527"/>
      <c r="D2047" s="545"/>
      <c r="E2047" s="546"/>
      <c r="F2047" s="586"/>
      <c r="G2047" s="545"/>
    </row>
    <row r="2048">
      <c r="A2048" s="600"/>
      <c r="B2048" s="656"/>
      <c r="C2048" s="539"/>
      <c r="D2048" s="550"/>
      <c r="E2048" s="561"/>
      <c r="F2048" s="560"/>
      <c r="G2048" s="550"/>
    </row>
    <row r="2049">
      <c r="A2049" s="601"/>
      <c r="B2049" s="657"/>
      <c r="C2049" s="527"/>
      <c r="D2049" s="545"/>
      <c r="E2049" s="546"/>
      <c r="F2049" s="586"/>
      <c r="G2049" s="545"/>
    </row>
    <row r="2050">
      <c r="A2050" s="600"/>
      <c r="B2050" s="656"/>
      <c r="C2050" s="539"/>
      <c r="D2050" s="550"/>
      <c r="E2050" s="561"/>
      <c r="F2050" s="560"/>
      <c r="G2050" s="550"/>
    </row>
    <row r="2051">
      <c r="A2051" s="601"/>
      <c r="B2051" s="657"/>
      <c r="C2051" s="527"/>
      <c r="D2051" s="545"/>
      <c r="E2051" s="546"/>
      <c r="F2051" s="586"/>
      <c r="G2051" s="545"/>
    </row>
    <row r="2052">
      <c r="A2052" s="600"/>
      <c r="B2052" s="656"/>
      <c r="C2052" s="539"/>
      <c r="D2052" s="550"/>
      <c r="E2052" s="561"/>
      <c r="F2052" s="560"/>
      <c r="G2052" s="550"/>
    </row>
    <row r="2053">
      <c r="A2053" s="601"/>
      <c r="B2053" s="657"/>
      <c r="C2053" s="527"/>
      <c r="D2053" s="545"/>
      <c r="E2053" s="546"/>
      <c r="F2053" s="586"/>
      <c r="G2053" s="545"/>
    </row>
    <row r="2054">
      <c r="A2054" s="600"/>
      <c r="B2054" s="656"/>
      <c r="C2054" s="539"/>
      <c r="D2054" s="550"/>
      <c r="E2054" s="561"/>
      <c r="F2054" s="560"/>
      <c r="G2054" s="550"/>
    </row>
    <row r="2055">
      <c r="A2055" s="601"/>
      <c r="B2055" s="657"/>
      <c r="C2055" s="527"/>
      <c r="D2055" s="545"/>
      <c r="E2055" s="546"/>
      <c r="F2055" s="586"/>
      <c r="G2055" s="545"/>
    </row>
    <row r="2056">
      <c r="A2056" s="600"/>
      <c r="B2056" s="656"/>
      <c r="C2056" s="539"/>
      <c r="D2056" s="550"/>
      <c r="E2056" s="561"/>
      <c r="F2056" s="560"/>
      <c r="G2056" s="550"/>
    </row>
    <row r="2057">
      <c r="A2057" s="601"/>
      <c r="B2057" s="657"/>
      <c r="C2057" s="527"/>
      <c r="D2057" s="545"/>
      <c r="E2057" s="546"/>
      <c r="F2057" s="586"/>
      <c r="G2057" s="545"/>
    </row>
    <row r="2058">
      <c r="A2058" s="600"/>
      <c r="B2058" s="656"/>
      <c r="C2058" s="539"/>
      <c r="D2058" s="550"/>
      <c r="E2058" s="561"/>
      <c r="F2058" s="560"/>
      <c r="G2058" s="550"/>
    </row>
    <row r="2059">
      <c r="A2059" s="601"/>
      <c r="B2059" s="657"/>
      <c r="C2059" s="527"/>
      <c r="D2059" s="545"/>
      <c r="E2059" s="546"/>
      <c r="F2059" s="586"/>
      <c r="G2059" s="545"/>
    </row>
    <row r="2060">
      <c r="A2060" s="600"/>
      <c r="B2060" s="656"/>
      <c r="C2060" s="539"/>
      <c r="D2060" s="550"/>
      <c r="E2060" s="561"/>
      <c r="F2060" s="560"/>
      <c r="G2060" s="550"/>
    </row>
    <row r="2061">
      <c r="A2061" s="601"/>
      <c r="B2061" s="657"/>
      <c r="C2061" s="527"/>
      <c r="D2061" s="545"/>
      <c r="E2061" s="546"/>
      <c r="F2061" s="586"/>
      <c r="G2061" s="545"/>
    </row>
    <row r="2062">
      <c r="A2062" s="600"/>
      <c r="B2062" s="656"/>
      <c r="C2062" s="539"/>
      <c r="D2062" s="550"/>
      <c r="E2062" s="561"/>
      <c r="F2062" s="560"/>
      <c r="G2062" s="550"/>
    </row>
    <row r="2063">
      <c r="A2063" s="601"/>
      <c r="B2063" s="657"/>
      <c r="C2063" s="527"/>
      <c r="D2063" s="545"/>
      <c r="E2063" s="546"/>
      <c r="F2063" s="586"/>
      <c r="G2063" s="545"/>
    </row>
    <row r="2064">
      <c r="A2064" s="600"/>
      <c r="B2064" s="656"/>
      <c r="C2064" s="539"/>
      <c r="D2064" s="550"/>
      <c r="E2064" s="561"/>
      <c r="F2064" s="560"/>
      <c r="G2064" s="550"/>
    </row>
    <row r="2065">
      <c r="A2065" s="601"/>
      <c r="B2065" s="657"/>
      <c r="C2065" s="527"/>
      <c r="D2065" s="545"/>
      <c r="E2065" s="546"/>
      <c r="F2065" s="586"/>
      <c r="G2065" s="545"/>
    </row>
    <row r="2066">
      <c r="A2066" s="600"/>
      <c r="B2066" s="656"/>
      <c r="C2066" s="539"/>
      <c r="D2066" s="550"/>
      <c r="E2066" s="561"/>
      <c r="F2066" s="560"/>
      <c r="G2066" s="550"/>
    </row>
    <row r="2067">
      <c r="A2067" s="601"/>
      <c r="B2067" s="657"/>
      <c r="C2067" s="527"/>
      <c r="D2067" s="545"/>
      <c r="E2067" s="546"/>
      <c r="F2067" s="586"/>
      <c r="G2067" s="545"/>
    </row>
    <row r="2068">
      <c r="A2068" s="600"/>
      <c r="B2068" s="656"/>
      <c r="C2068" s="539"/>
      <c r="D2068" s="550"/>
      <c r="E2068" s="561"/>
      <c r="F2068" s="560"/>
      <c r="G2068" s="550"/>
    </row>
    <row r="2069">
      <c r="A2069" s="601"/>
      <c r="B2069" s="657"/>
      <c r="C2069" s="527"/>
      <c r="D2069" s="545"/>
      <c r="E2069" s="546"/>
      <c r="F2069" s="586"/>
      <c r="G2069" s="545"/>
    </row>
    <row r="2070">
      <c r="A2070" s="600"/>
      <c r="B2070" s="656"/>
      <c r="C2070" s="539"/>
      <c r="D2070" s="550"/>
      <c r="E2070" s="561"/>
      <c r="F2070" s="560"/>
      <c r="G2070" s="550"/>
    </row>
    <row r="2071">
      <c r="A2071" s="601"/>
      <c r="B2071" s="657"/>
      <c r="C2071" s="527"/>
      <c r="D2071" s="545"/>
      <c r="E2071" s="546"/>
      <c r="F2071" s="586"/>
      <c r="G2071" s="545"/>
    </row>
    <row r="2072">
      <c r="A2072" s="600"/>
      <c r="B2072" s="656"/>
      <c r="C2072" s="539"/>
      <c r="D2072" s="550"/>
      <c r="E2072" s="561"/>
      <c r="F2072" s="560"/>
      <c r="G2072" s="550"/>
    </row>
    <row r="2073">
      <c r="A2073" s="601"/>
      <c r="B2073" s="657"/>
      <c r="C2073" s="527"/>
      <c r="D2073" s="545"/>
      <c r="E2073" s="546"/>
      <c r="F2073" s="586"/>
      <c r="G2073" s="545"/>
    </row>
    <row r="2074">
      <c r="A2074" s="600"/>
      <c r="B2074" s="656"/>
      <c r="C2074" s="539"/>
      <c r="D2074" s="550"/>
      <c r="E2074" s="561"/>
      <c r="F2074" s="560"/>
      <c r="G2074" s="550"/>
    </row>
    <row r="2075">
      <c r="A2075" s="601"/>
      <c r="B2075" s="657"/>
      <c r="C2075" s="527"/>
      <c r="D2075" s="545"/>
      <c r="E2075" s="546"/>
      <c r="F2075" s="586"/>
      <c r="G2075" s="545"/>
    </row>
    <row r="2076">
      <c r="A2076" s="600"/>
      <c r="B2076" s="656"/>
      <c r="C2076" s="539"/>
      <c r="D2076" s="550"/>
      <c r="E2076" s="561"/>
      <c r="F2076" s="560"/>
      <c r="G2076" s="550"/>
    </row>
    <row r="2077">
      <c r="A2077" s="601"/>
      <c r="B2077" s="657"/>
      <c r="C2077" s="527"/>
      <c r="D2077" s="545"/>
      <c r="E2077" s="546"/>
      <c r="F2077" s="586"/>
      <c r="G2077" s="545"/>
    </row>
    <row r="2078">
      <c r="A2078" s="600"/>
      <c r="B2078" s="656"/>
      <c r="C2078" s="539"/>
      <c r="D2078" s="550"/>
      <c r="E2078" s="561"/>
      <c r="F2078" s="560"/>
      <c r="G2078" s="550"/>
    </row>
    <row r="2079">
      <c r="A2079" s="601"/>
      <c r="B2079" s="657"/>
      <c r="C2079" s="527"/>
      <c r="D2079" s="545"/>
      <c r="E2079" s="546"/>
      <c r="F2079" s="586"/>
      <c r="G2079" s="545"/>
    </row>
    <row r="2080">
      <c r="A2080" s="600"/>
      <c r="B2080" s="656"/>
      <c r="C2080" s="539"/>
      <c r="D2080" s="550"/>
      <c r="E2080" s="561"/>
      <c r="F2080" s="560"/>
      <c r="G2080" s="550"/>
    </row>
    <row r="2081">
      <c r="A2081" s="601"/>
      <c r="B2081" s="657"/>
      <c r="C2081" s="527"/>
      <c r="D2081" s="545"/>
      <c r="E2081" s="546"/>
      <c r="F2081" s="586"/>
      <c r="G2081" s="545"/>
    </row>
    <row r="2082">
      <c r="A2082" s="600"/>
      <c r="B2082" s="656"/>
      <c r="C2082" s="539"/>
      <c r="D2082" s="550"/>
      <c r="E2082" s="561"/>
      <c r="F2082" s="560"/>
      <c r="G2082" s="550"/>
    </row>
    <row r="2083">
      <c r="A2083" s="601"/>
      <c r="B2083" s="657"/>
      <c r="C2083" s="527"/>
      <c r="D2083" s="545"/>
      <c r="E2083" s="546"/>
      <c r="F2083" s="586"/>
      <c r="G2083" s="545"/>
    </row>
    <row r="2084">
      <c r="A2084" s="600"/>
      <c r="B2084" s="656"/>
      <c r="C2084" s="539"/>
      <c r="D2084" s="550"/>
      <c r="E2084" s="561"/>
      <c r="F2084" s="560"/>
      <c r="G2084" s="550"/>
    </row>
    <row r="2085">
      <c r="A2085" s="601"/>
      <c r="B2085" s="657"/>
      <c r="C2085" s="527"/>
      <c r="D2085" s="545"/>
      <c r="E2085" s="546"/>
      <c r="F2085" s="586"/>
      <c r="G2085" s="545"/>
    </row>
    <row r="2086">
      <c r="A2086" s="600"/>
      <c r="B2086" s="656"/>
      <c r="C2086" s="539"/>
      <c r="D2086" s="550"/>
      <c r="E2086" s="561"/>
      <c r="F2086" s="560"/>
      <c r="G2086" s="550"/>
    </row>
    <row r="2087">
      <c r="A2087" s="601"/>
      <c r="B2087" s="657"/>
      <c r="C2087" s="527"/>
      <c r="D2087" s="545"/>
      <c r="E2087" s="546"/>
      <c r="F2087" s="586"/>
      <c r="G2087" s="545"/>
    </row>
    <row r="2088">
      <c r="A2088" s="600"/>
      <c r="B2088" s="656"/>
      <c r="C2088" s="539"/>
      <c r="D2088" s="550"/>
      <c r="E2088" s="561"/>
      <c r="F2088" s="560"/>
      <c r="G2088" s="550"/>
    </row>
    <row r="2089">
      <c r="A2089" s="601"/>
      <c r="B2089" s="657"/>
      <c r="C2089" s="527"/>
      <c r="D2089" s="545"/>
      <c r="E2089" s="546"/>
      <c r="F2089" s="586"/>
      <c r="G2089" s="545"/>
    </row>
    <row r="2090">
      <c r="A2090" s="600"/>
      <c r="B2090" s="656"/>
      <c r="C2090" s="539"/>
      <c r="D2090" s="550"/>
      <c r="E2090" s="561"/>
      <c r="F2090" s="560"/>
      <c r="G2090" s="550"/>
    </row>
    <row r="2091">
      <c r="A2091" s="601"/>
      <c r="B2091" s="657"/>
      <c r="C2091" s="527"/>
      <c r="D2091" s="545"/>
      <c r="E2091" s="546"/>
      <c r="F2091" s="586"/>
      <c r="G2091" s="545"/>
    </row>
    <row r="2092">
      <c r="A2092" s="600"/>
      <c r="B2092" s="656"/>
      <c r="C2092" s="539"/>
      <c r="D2092" s="550"/>
      <c r="E2092" s="561"/>
      <c r="F2092" s="560"/>
      <c r="G2092" s="550"/>
    </row>
    <row r="2093">
      <c r="A2093" s="601"/>
      <c r="B2093" s="657"/>
      <c r="C2093" s="527"/>
      <c r="D2093" s="545"/>
      <c r="E2093" s="546"/>
      <c r="F2093" s="586"/>
      <c r="G2093" s="545"/>
    </row>
    <row r="2094">
      <c r="A2094" s="600"/>
      <c r="B2094" s="656"/>
      <c r="C2094" s="539"/>
      <c r="D2094" s="550"/>
      <c r="E2094" s="561"/>
      <c r="F2094" s="560"/>
      <c r="G2094" s="550"/>
    </row>
    <row r="2095">
      <c r="A2095" s="601"/>
      <c r="B2095" s="657"/>
      <c r="C2095" s="527"/>
      <c r="D2095" s="545"/>
      <c r="E2095" s="546"/>
      <c r="F2095" s="586"/>
      <c r="G2095" s="545"/>
    </row>
    <row r="2096">
      <c r="A2096" s="600"/>
      <c r="B2096" s="656"/>
      <c r="C2096" s="539"/>
      <c r="D2096" s="550"/>
      <c r="E2096" s="561"/>
      <c r="F2096" s="560"/>
      <c r="G2096" s="550"/>
    </row>
    <row r="2097">
      <c r="A2097" s="601"/>
      <c r="B2097" s="657"/>
      <c r="C2097" s="527"/>
      <c r="D2097" s="545"/>
      <c r="E2097" s="546"/>
      <c r="F2097" s="586"/>
      <c r="G2097" s="545"/>
    </row>
    <row r="2098">
      <c r="A2098" s="600"/>
      <c r="B2098" s="656"/>
      <c r="C2098" s="539"/>
      <c r="D2098" s="550"/>
      <c r="E2098" s="561"/>
      <c r="F2098" s="560"/>
      <c r="G2098" s="550"/>
    </row>
    <row r="2099">
      <c r="A2099" s="601"/>
      <c r="B2099" s="657"/>
      <c r="C2099" s="527"/>
      <c r="D2099" s="545"/>
      <c r="E2099" s="546"/>
      <c r="F2099" s="586"/>
      <c r="G2099" s="545"/>
    </row>
    <row r="2100">
      <c r="A2100" s="600"/>
      <c r="B2100" s="656"/>
      <c r="C2100" s="539"/>
      <c r="D2100" s="550"/>
      <c r="E2100" s="561"/>
      <c r="F2100" s="560"/>
      <c r="G2100" s="550"/>
    </row>
    <row r="2101">
      <c r="A2101" s="601"/>
      <c r="B2101" s="657"/>
      <c r="C2101" s="527"/>
      <c r="D2101" s="545"/>
      <c r="E2101" s="546"/>
      <c r="F2101" s="586"/>
      <c r="G2101" s="545"/>
    </row>
    <row r="2102">
      <c r="A2102" s="600"/>
      <c r="B2102" s="656"/>
      <c r="C2102" s="539"/>
      <c r="D2102" s="550"/>
      <c r="E2102" s="561"/>
      <c r="F2102" s="560"/>
      <c r="G2102" s="550"/>
    </row>
    <row r="2103">
      <c r="A2103" s="601"/>
      <c r="B2103" s="657"/>
      <c r="C2103" s="527"/>
      <c r="D2103" s="545"/>
      <c r="E2103" s="546"/>
      <c r="F2103" s="586"/>
      <c r="G2103" s="545"/>
    </row>
    <row r="2104">
      <c r="A2104" s="600"/>
      <c r="B2104" s="656"/>
      <c r="C2104" s="539"/>
      <c r="D2104" s="550"/>
      <c r="E2104" s="561"/>
      <c r="F2104" s="560"/>
      <c r="G2104" s="550"/>
    </row>
    <row r="2105">
      <c r="A2105" s="601"/>
      <c r="B2105" s="657"/>
      <c r="C2105" s="527"/>
      <c r="D2105" s="545"/>
      <c r="E2105" s="546"/>
      <c r="F2105" s="586"/>
      <c r="G2105" s="545"/>
    </row>
    <row r="2106">
      <c r="A2106" s="600"/>
      <c r="B2106" s="656"/>
      <c r="C2106" s="539"/>
      <c r="D2106" s="550"/>
      <c r="E2106" s="561"/>
      <c r="F2106" s="560"/>
      <c r="G2106" s="550"/>
    </row>
    <row r="2107">
      <c r="A2107" s="601"/>
      <c r="B2107" s="657"/>
      <c r="C2107" s="527"/>
      <c r="D2107" s="545"/>
      <c r="E2107" s="546"/>
      <c r="F2107" s="586"/>
      <c r="G2107" s="545"/>
    </row>
    <row r="2108">
      <c r="A2108" s="600"/>
      <c r="B2108" s="656"/>
      <c r="C2108" s="539"/>
      <c r="D2108" s="550"/>
      <c r="E2108" s="561"/>
      <c r="F2108" s="560"/>
      <c r="G2108" s="550"/>
    </row>
    <row r="2109">
      <c r="A2109" s="601"/>
      <c r="B2109" s="657"/>
      <c r="C2109" s="527"/>
      <c r="D2109" s="545"/>
      <c r="E2109" s="546"/>
      <c r="F2109" s="586"/>
      <c r="G2109" s="545"/>
    </row>
    <row r="2110">
      <c r="A2110" s="600"/>
      <c r="B2110" s="656"/>
      <c r="C2110" s="539"/>
      <c r="D2110" s="550"/>
      <c r="E2110" s="561"/>
      <c r="F2110" s="560"/>
      <c r="G2110" s="550"/>
    </row>
    <row r="2111">
      <c r="A2111" s="601"/>
      <c r="B2111" s="657"/>
      <c r="C2111" s="527"/>
      <c r="D2111" s="545"/>
      <c r="E2111" s="546"/>
      <c r="F2111" s="586"/>
      <c r="G2111" s="545"/>
    </row>
    <row r="2112">
      <c r="A2112" s="600"/>
      <c r="B2112" s="656"/>
      <c r="C2112" s="539"/>
      <c r="D2112" s="550"/>
      <c r="E2112" s="561"/>
      <c r="F2112" s="560"/>
      <c r="G2112" s="550"/>
    </row>
    <row r="2113">
      <c r="A2113" s="601"/>
      <c r="B2113" s="657"/>
      <c r="C2113" s="527"/>
      <c r="D2113" s="545"/>
      <c r="E2113" s="546"/>
      <c r="F2113" s="586"/>
      <c r="G2113" s="545"/>
    </row>
    <row r="2114">
      <c r="A2114" s="600"/>
      <c r="B2114" s="656"/>
      <c r="C2114" s="539"/>
      <c r="D2114" s="550"/>
      <c r="E2114" s="561"/>
      <c r="F2114" s="560"/>
      <c r="G2114" s="550"/>
    </row>
    <row r="2115">
      <c r="A2115" s="601"/>
      <c r="B2115" s="657"/>
      <c r="C2115" s="527"/>
      <c r="D2115" s="545"/>
      <c r="E2115" s="546"/>
      <c r="F2115" s="586"/>
      <c r="G2115" s="545"/>
    </row>
    <row r="2116">
      <c r="A2116" s="600"/>
      <c r="B2116" s="656"/>
      <c r="C2116" s="539"/>
      <c r="D2116" s="550"/>
      <c r="E2116" s="561"/>
      <c r="F2116" s="560"/>
      <c r="G2116" s="550"/>
    </row>
    <row r="2117">
      <c r="A2117" s="601"/>
      <c r="B2117" s="657"/>
      <c r="C2117" s="527"/>
      <c r="D2117" s="545"/>
      <c r="E2117" s="546"/>
      <c r="F2117" s="586"/>
      <c r="G2117" s="545"/>
    </row>
    <row r="2118">
      <c r="A2118" s="600"/>
      <c r="B2118" s="656"/>
      <c r="C2118" s="539"/>
      <c r="D2118" s="550"/>
      <c r="E2118" s="561"/>
      <c r="F2118" s="560"/>
      <c r="G2118" s="550"/>
    </row>
    <row r="2119">
      <c r="A2119" s="601"/>
      <c r="B2119" s="657"/>
      <c r="C2119" s="527"/>
      <c r="D2119" s="545"/>
      <c r="E2119" s="546"/>
      <c r="F2119" s="586"/>
      <c r="G2119" s="545"/>
    </row>
    <row r="2120">
      <c r="A2120" s="600"/>
      <c r="B2120" s="656"/>
      <c r="C2120" s="539"/>
      <c r="D2120" s="550"/>
      <c r="E2120" s="561"/>
      <c r="F2120" s="560"/>
      <c r="G2120" s="550"/>
    </row>
    <row r="2121">
      <c r="A2121" s="601"/>
      <c r="B2121" s="657"/>
      <c r="C2121" s="527"/>
      <c r="D2121" s="545"/>
      <c r="E2121" s="546"/>
      <c r="F2121" s="586"/>
      <c r="G2121" s="545"/>
    </row>
    <row r="2122">
      <c r="A2122" s="600"/>
      <c r="B2122" s="656"/>
      <c r="C2122" s="539"/>
      <c r="D2122" s="550"/>
      <c r="E2122" s="561"/>
      <c r="F2122" s="560"/>
      <c r="G2122" s="550"/>
    </row>
    <row r="2123">
      <c r="A2123" s="601"/>
      <c r="B2123" s="657"/>
      <c r="C2123" s="527"/>
      <c r="D2123" s="545"/>
      <c r="E2123" s="546"/>
      <c r="F2123" s="586"/>
      <c r="G2123" s="545"/>
    </row>
    <row r="2124">
      <c r="A2124" s="600"/>
      <c r="B2124" s="656"/>
      <c r="C2124" s="539"/>
      <c r="D2124" s="550"/>
      <c r="E2124" s="561"/>
      <c r="F2124" s="560"/>
      <c r="G2124" s="550"/>
    </row>
    <row r="2125">
      <c r="A2125" s="601"/>
      <c r="B2125" s="657"/>
      <c r="C2125" s="527"/>
      <c r="D2125" s="545"/>
      <c r="E2125" s="546"/>
      <c r="F2125" s="586"/>
      <c r="G2125" s="545"/>
    </row>
    <row r="2126">
      <c r="A2126" s="600"/>
      <c r="B2126" s="656"/>
      <c r="C2126" s="539"/>
      <c r="D2126" s="550"/>
      <c r="E2126" s="561"/>
      <c r="F2126" s="560"/>
      <c r="G2126" s="550"/>
    </row>
    <row r="2127">
      <c r="A2127" s="601"/>
      <c r="B2127" s="657"/>
      <c r="C2127" s="527"/>
      <c r="D2127" s="545"/>
      <c r="E2127" s="546"/>
      <c r="F2127" s="586"/>
      <c r="G2127" s="545"/>
    </row>
    <row r="2128">
      <c r="A2128" s="600"/>
      <c r="B2128" s="656"/>
      <c r="C2128" s="539"/>
      <c r="D2128" s="550"/>
      <c r="E2128" s="561"/>
      <c r="F2128" s="560"/>
      <c r="G2128" s="550"/>
    </row>
    <row r="2129">
      <c r="A2129" s="601"/>
      <c r="B2129" s="657"/>
      <c r="C2129" s="527"/>
      <c r="D2129" s="545"/>
      <c r="E2129" s="546"/>
      <c r="F2129" s="586"/>
      <c r="G2129" s="545"/>
    </row>
    <row r="2130">
      <c r="A2130" s="600"/>
      <c r="B2130" s="656"/>
      <c r="C2130" s="539"/>
      <c r="D2130" s="550"/>
      <c r="E2130" s="561"/>
      <c r="F2130" s="560"/>
      <c r="G2130" s="550"/>
    </row>
    <row r="2131">
      <c r="A2131" s="601"/>
      <c r="B2131" s="657"/>
      <c r="C2131" s="527"/>
      <c r="D2131" s="545"/>
      <c r="E2131" s="546"/>
      <c r="F2131" s="586"/>
      <c r="G2131" s="545"/>
    </row>
    <row r="2132">
      <c r="A2132" s="600"/>
      <c r="B2132" s="656"/>
      <c r="C2132" s="539"/>
      <c r="D2132" s="550"/>
      <c r="E2132" s="561"/>
      <c r="F2132" s="560"/>
      <c r="G2132" s="550"/>
    </row>
    <row r="2133">
      <c r="A2133" s="601"/>
      <c r="B2133" s="657"/>
      <c r="C2133" s="527"/>
      <c r="D2133" s="545"/>
      <c r="E2133" s="546"/>
      <c r="F2133" s="586"/>
      <c r="G2133" s="545"/>
    </row>
    <row r="2134">
      <c r="A2134" s="600"/>
      <c r="B2134" s="656"/>
      <c r="C2134" s="539"/>
      <c r="D2134" s="550"/>
      <c r="E2134" s="561"/>
      <c r="F2134" s="560"/>
      <c r="G2134" s="550"/>
    </row>
    <row r="2135">
      <c r="A2135" s="601"/>
      <c r="B2135" s="657"/>
      <c r="C2135" s="527"/>
      <c r="D2135" s="545"/>
      <c r="E2135" s="546"/>
      <c r="F2135" s="586"/>
      <c r="G2135" s="545"/>
    </row>
    <row r="2136">
      <c r="A2136" s="600"/>
      <c r="B2136" s="656"/>
      <c r="C2136" s="539"/>
      <c r="D2136" s="550"/>
      <c r="E2136" s="561"/>
      <c r="F2136" s="560"/>
      <c r="G2136" s="550"/>
    </row>
    <row r="2137">
      <c r="A2137" s="601"/>
      <c r="B2137" s="657"/>
      <c r="C2137" s="527"/>
      <c r="D2137" s="545"/>
      <c r="E2137" s="546"/>
      <c r="F2137" s="586"/>
      <c r="G2137" s="545"/>
    </row>
    <row r="2138">
      <c r="A2138" s="600"/>
      <c r="B2138" s="656"/>
      <c r="C2138" s="539"/>
      <c r="D2138" s="550"/>
      <c r="E2138" s="561"/>
      <c r="F2138" s="560"/>
      <c r="G2138" s="550"/>
    </row>
    <row r="2139">
      <c r="A2139" s="601"/>
      <c r="B2139" s="657"/>
      <c r="C2139" s="527"/>
      <c r="D2139" s="545"/>
      <c r="E2139" s="546"/>
      <c r="F2139" s="586"/>
      <c r="G2139" s="545"/>
    </row>
    <row r="2140">
      <c r="A2140" s="600"/>
      <c r="B2140" s="656"/>
      <c r="C2140" s="539"/>
      <c r="D2140" s="550"/>
      <c r="E2140" s="561"/>
      <c r="F2140" s="560"/>
      <c r="G2140" s="550"/>
    </row>
    <row r="2141">
      <c r="A2141" s="601"/>
      <c r="B2141" s="657"/>
      <c r="C2141" s="527"/>
      <c r="D2141" s="545"/>
      <c r="E2141" s="546"/>
      <c r="F2141" s="586"/>
      <c r="G2141" s="545"/>
    </row>
    <row r="2142">
      <c r="A2142" s="600"/>
      <c r="B2142" s="656"/>
      <c r="C2142" s="539"/>
      <c r="D2142" s="550"/>
      <c r="E2142" s="561"/>
      <c r="F2142" s="560"/>
      <c r="G2142" s="550"/>
    </row>
    <row r="2143">
      <c r="A2143" s="601"/>
      <c r="B2143" s="657"/>
      <c r="C2143" s="527"/>
      <c r="D2143" s="545"/>
      <c r="E2143" s="546"/>
      <c r="F2143" s="586"/>
      <c r="G2143" s="545"/>
    </row>
    <row r="2144">
      <c r="A2144" s="600"/>
      <c r="B2144" s="656"/>
      <c r="C2144" s="539"/>
      <c r="D2144" s="550"/>
      <c r="E2144" s="561"/>
      <c r="F2144" s="560"/>
      <c r="G2144" s="550"/>
    </row>
    <row r="2145">
      <c r="A2145" s="601"/>
      <c r="B2145" s="657"/>
      <c r="C2145" s="527"/>
      <c r="D2145" s="545"/>
      <c r="E2145" s="546"/>
      <c r="F2145" s="586"/>
      <c r="G2145" s="545"/>
    </row>
    <row r="2146">
      <c r="A2146" s="600"/>
      <c r="B2146" s="656"/>
      <c r="C2146" s="539"/>
      <c r="D2146" s="550"/>
      <c r="E2146" s="561"/>
      <c r="F2146" s="560"/>
      <c r="G2146" s="550"/>
    </row>
    <row r="2147">
      <c r="A2147" s="601"/>
      <c r="B2147" s="657"/>
      <c r="C2147" s="527"/>
      <c r="D2147" s="545"/>
      <c r="E2147" s="546"/>
      <c r="F2147" s="586"/>
      <c r="G2147" s="545"/>
    </row>
    <row r="2148">
      <c r="A2148" s="600"/>
      <c r="B2148" s="656"/>
      <c r="C2148" s="539"/>
      <c r="D2148" s="550"/>
      <c r="E2148" s="561"/>
      <c r="F2148" s="560"/>
      <c r="G2148" s="550"/>
    </row>
    <row r="2149">
      <c r="A2149" s="601"/>
      <c r="B2149" s="657"/>
      <c r="C2149" s="527"/>
      <c r="D2149" s="545"/>
      <c r="E2149" s="546"/>
      <c r="F2149" s="586"/>
      <c r="G2149" s="545"/>
    </row>
    <row r="2150">
      <c r="A2150" s="600"/>
      <c r="B2150" s="656"/>
      <c r="C2150" s="539"/>
      <c r="D2150" s="550"/>
      <c r="E2150" s="561"/>
      <c r="F2150" s="560"/>
      <c r="G2150" s="550"/>
    </row>
    <row r="2151">
      <c r="A2151" s="601"/>
      <c r="B2151" s="657"/>
      <c r="C2151" s="527"/>
      <c r="D2151" s="545"/>
      <c r="E2151" s="546"/>
      <c r="F2151" s="586"/>
      <c r="G2151" s="545"/>
    </row>
    <row r="2152">
      <c r="A2152" s="600"/>
      <c r="B2152" s="656"/>
      <c r="C2152" s="539"/>
      <c r="D2152" s="550"/>
      <c r="E2152" s="561"/>
      <c r="F2152" s="560"/>
      <c r="G2152" s="550"/>
    </row>
    <row r="2153">
      <c r="A2153" s="601"/>
      <c r="B2153" s="657"/>
      <c r="C2153" s="527"/>
      <c r="D2153" s="545"/>
      <c r="E2153" s="546"/>
      <c r="F2153" s="586"/>
      <c r="G2153" s="545"/>
    </row>
    <row r="2154">
      <c r="A2154" s="600"/>
      <c r="B2154" s="656"/>
      <c r="C2154" s="539"/>
      <c r="D2154" s="550"/>
      <c r="E2154" s="561"/>
      <c r="F2154" s="560"/>
      <c r="G2154" s="550"/>
    </row>
    <row r="2155">
      <c r="A2155" s="601"/>
      <c r="B2155" s="657"/>
      <c r="C2155" s="527"/>
      <c r="D2155" s="545"/>
      <c r="E2155" s="546"/>
      <c r="F2155" s="586"/>
      <c r="G2155" s="545"/>
    </row>
    <row r="2156">
      <c r="A2156" s="600"/>
      <c r="B2156" s="656"/>
      <c r="C2156" s="539"/>
      <c r="D2156" s="550"/>
      <c r="E2156" s="561"/>
      <c r="F2156" s="560"/>
      <c r="G2156" s="550"/>
    </row>
    <row r="2157">
      <c r="A2157" s="601"/>
      <c r="B2157" s="657"/>
      <c r="C2157" s="527"/>
      <c r="D2157" s="545"/>
      <c r="E2157" s="546"/>
      <c r="F2157" s="586"/>
      <c r="G2157" s="545"/>
    </row>
    <row r="2158">
      <c r="A2158" s="600"/>
      <c r="B2158" s="656"/>
      <c r="C2158" s="539"/>
      <c r="D2158" s="550"/>
      <c r="E2158" s="561"/>
      <c r="F2158" s="560"/>
      <c r="G2158" s="550"/>
    </row>
    <row r="2159">
      <c r="A2159" s="601"/>
      <c r="B2159" s="657"/>
      <c r="C2159" s="527"/>
      <c r="D2159" s="545"/>
      <c r="E2159" s="546"/>
      <c r="F2159" s="586"/>
      <c r="G2159" s="545"/>
    </row>
    <row r="2160">
      <c r="A2160" s="600"/>
      <c r="B2160" s="656"/>
      <c r="C2160" s="539"/>
      <c r="D2160" s="550"/>
      <c r="E2160" s="561"/>
      <c r="F2160" s="560"/>
      <c r="G2160" s="550"/>
    </row>
    <row r="2161">
      <c r="A2161" s="601"/>
      <c r="B2161" s="657"/>
      <c r="C2161" s="527"/>
      <c r="D2161" s="545"/>
      <c r="E2161" s="546"/>
      <c r="F2161" s="586"/>
      <c r="G2161" s="545"/>
    </row>
    <row r="2162">
      <c r="A2162" s="600"/>
      <c r="B2162" s="656"/>
      <c r="C2162" s="539"/>
      <c r="D2162" s="550"/>
      <c r="E2162" s="561"/>
      <c r="F2162" s="560"/>
      <c r="G2162" s="550"/>
    </row>
    <row r="2163">
      <c r="A2163" s="601"/>
      <c r="B2163" s="657"/>
      <c r="C2163" s="527"/>
      <c r="D2163" s="545"/>
      <c r="E2163" s="546"/>
      <c r="F2163" s="586"/>
      <c r="G2163" s="545"/>
    </row>
    <row r="2164">
      <c r="A2164" s="600"/>
      <c r="B2164" s="656"/>
      <c r="C2164" s="539"/>
      <c r="D2164" s="550"/>
      <c r="E2164" s="561"/>
      <c r="F2164" s="560"/>
      <c r="G2164" s="550"/>
    </row>
    <row r="2165">
      <c r="A2165" s="601"/>
      <c r="B2165" s="657"/>
      <c r="C2165" s="527"/>
      <c r="D2165" s="545"/>
      <c r="E2165" s="546"/>
      <c r="F2165" s="586"/>
      <c r="G2165" s="545"/>
    </row>
    <row r="2166">
      <c r="A2166" s="600"/>
      <c r="B2166" s="656"/>
      <c r="C2166" s="539"/>
      <c r="D2166" s="550"/>
      <c r="E2166" s="561"/>
      <c r="F2166" s="560"/>
      <c r="G2166" s="550"/>
    </row>
    <row r="2167">
      <c r="A2167" s="601"/>
      <c r="B2167" s="657"/>
      <c r="C2167" s="527"/>
      <c r="D2167" s="545"/>
      <c r="E2167" s="546"/>
      <c r="F2167" s="586"/>
      <c r="G2167" s="545"/>
    </row>
    <row r="2168">
      <c r="A2168" s="600"/>
      <c r="B2168" s="656"/>
      <c r="C2168" s="539"/>
      <c r="D2168" s="550"/>
      <c r="E2168" s="561"/>
      <c r="F2168" s="560"/>
      <c r="G2168" s="550"/>
    </row>
    <row r="2169">
      <c r="A2169" s="601"/>
      <c r="B2169" s="657"/>
      <c r="C2169" s="527"/>
      <c r="D2169" s="545"/>
      <c r="E2169" s="546"/>
      <c r="F2169" s="586"/>
      <c r="G2169" s="545"/>
    </row>
    <row r="2170">
      <c r="A2170" s="600"/>
      <c r="B2170" s="656"/>
      <c r="C2170" s="539"/>
      <c r="D2170" s="550"/>
      <c r="E2170" s="561"/>
      <c r="F2170" s="560"/>
      <c r="G2170" s="550"/>
    </row>
    <row r="2171">
      <c r="A2171" s="601"/>
      <c r="B2171" s="657"/>
      <c r="C2171" s="527"/>
      <c r="D2171" s="545"/>
      <c r="E2171" s="546"/>
      <c r="F2171" s="586"/>
      <c r="G2171" s="545"/>
    </row>
    <row r="2172">
      <c r="A2172" s="600"/>
      <c r="B2172" s="656"/>
      <c r="C2172" s="539"/>
      <c r="D2172" s="550"/>
      <c r="E2172" s="561"/>
      <c r="F2172" s="560"/>
      <c r="G2172" s="550"/>
    </row>
    <row r="2173">
      <c r="A2173" s="601"/>
      <c r="B2173" s="657"/>
      <c r="C2173" s="527"/>
      <c r="D2173" s="545"/>
      <c r="E2173" s="546"/>
      <c r="F2173" s="586"/>
      <c r="G2173" s="545"/>
    </row>
    <row r="2174">
      <c r="A2174" s="600"/>
      <c r="B2174" s="656"/>
      <c r="C2174" s="539"/>
      <c r="D2174" s="550"/>
      <c r="E2174" s="561"/>
      <c r="F2174" s="560"/>
      <c r="G2174" s="550"/>
    </row>
    <row r="2175">
      <c r="A2175" s="601"/>
      <c r="B2175" s="657"/>
      <c r="C2175" s="527"/>
      <c r="D2175" s="545"/>
      <c r="E2175" s="546"/>
      <c r="F2175" s="586"/>
      <c r="G2175" s="545"/>
    </row>
    <row r="2176">
      <c r="A2176" s="600"/>
      <c r="B2176" s="656"/>
      <c r="C2176" s="539"/>
      <c r="D2176" s="550"/>
      <c r="E2176" s="561"/>
      <c r="F2176" s="560"/>
      <c r="G2176" s="550"/>
    </row>
    <row r="2177">
      <c r="A2177" s="601"/>
      <c r="B2177" s="657"/>
      <c r="C2177" s="527"/>
      <c r="D2177" s="545"/>
      <c r="E2177" s="546"/>
      <c r="F2177" s="586"/>
      <c r="G2177" s="545"/>
    </row>
    <row r="2178">
      <c r="A2178" s="600"/>
      <c r="B2178" s="656"/>
      <c r="C2178" s="539"/>
      <c r="D2178" s="550"/>
      <c r="E2178" s="561"/>
      <c r="F2178" s="560"/>
      <c r="G2178" s="550"/>
    </row>
    <row r="2179">
      <c r="A2179" s="601"/>
      <c r="B2179" s="657"/>
      <c r="C2179" s="527"/>
      <c r="D2179" s="545"/>
      <c r="E2179" s="546"/>
      <c r="F2179" s="586"/>
      <c r="G2179" s="545"/>
    </row>
    <row r="2180">
      <c r="A2180" s="600"/>
      <c r="B2180" s="656"/>
      <c r="C2180" s="539"/>
      <c r="D2180" s="550"/>
      <c r="E2180" s="561"/>
      <c r="F2180" s="560"/>
      <c r="G2180" s="550"/>
    </row>
    <row r="2181">
      <c r="A2181" s="601"/>
      <c r="B2181" s="657"/>
      <c r="C2181" s="527"/>
      <c r="D2181" s="545"/>
      <c r="E2181" s="546"/>
      <c r="F2181" s="586"/>
      <c r="G2181" s="545"/>
    </row>
    <row r="2182">
      <c r="A2182" s="600"/>
      <c r="B2182" s="656"/>
      <c r="C2182" s="539"/>
      <c r="D2182" s="550"/>
      <c r="E2182" s="561"/>
      <c r="F2182" s="560"/>
      <c r="G2182" s="550"/>
    </row>
    <row r="2183">
      <c r="A2183" s="601"/>
      <c r="B2183" s="657"/>
      <c r="C2183" s="527"/>
      <c r="D2183" s="545"/>
      <c r="E2183" s="546"/>
      <c r="F2183" s="586"/>
      <c r="G2183" s="545"/>
    </row>
    <row r="2184">
      <c r="A2184" s="600"/>
      <c r="B2184" s="656"/>
      <c r="C2184" s="539"/>
      <c r="D2184" s="550"/>
      <c r="E2184" s="561"/>
      <c r="F2184" s="560"/>
      <c r="G2184" s="550"/>
    </row>
    <row r="2185">
      <c r="A2185" s="601"/>
      <c r="B2185" s="657"/>
      <c r="C2185" s="527"/>
      <c r="D2185" s="545"/>
      <c r="E2185" s="546"/>
      <c r="F2185" s="586"/>
      <c r="G2185" s="545"/>
    </row>
    <row r="2186">
      <c r="A2186" s="600"/>
      <c r="B2186" s="656"/>
      <c r="C2186" s="539"/>
      <c r="D2186" s="550"/>
      <c r="E2186" s="561"/>
      <c r="F2186" s="560"/>
      <c r="G2186" s="550"/>
    </row>
    <row r="2187">
      <c r="A2187" s="601"/>
      <c r="B2187" s="657"/>
      <c r="C2187" s="527"/>
      <c r="D2187" s="545"/>
      <c r="E2187" s="546"/>
      <c r="F2187" s="586"/>
      <c r="G2187" s="545"/>
    </row>
    <row r="2188">
      <c r="A2188" s="600"/>
      <c r="B2188" s="656"/>
      <c r="C2188" s="539"/>
      <c r="D2188" s="550"/>
      <c r="E2188" s="561"/>
      <c r="F2188" s="560"/>
      <c r="G2188" s="550"/>
    </row>
    <row r="2189">
      <c r="A2189" s="601"/>
      <c r="B2189" s="657"/>
      <c r="C2189" s="527"/>
      <c r="D2189" s="545"/>
      <c r="E2189" s="546"/>
      <c r="F2189" s="586"/>
      <c r="G2189" s="545"/>
    </row>
    <row r="2190">
      <c r="A2190" s="600"/>
      <c r="B2190" s="656"/>
      <c r="C2190" s="539"/>
      <c r="D2190" s="550"/>
      <c r="E2190" s="561"/>
      <c r="F2190" s="560"/>
      <c r="G2190" s="550"/>
    </row>
    <row r="2191">
      <c r="A2191" s="601"/>
      <c r="B2191" s="657"/>
      <c r="C2191" s="527"/>
      <c r="D2191" s="545"/>
      <c r="E2191" s="546"/>
      <c r="F2191" s="586"/>
      <c r="G2191" s="545"/>
    </row>
    <row r="2192">
      <c r="A2192" s="600"/>
      <c r="B2192" s="656"/>
      <c r="C2192" s="539"/>
      <c r="D2192" s="550"/>
      <c r="E2192" s="561"/>
      <c r="F2192" s="560"/>
      <c r="G2192" s="550"/>
    </row>
    <row r="2193">
      <c r="A2193" s="601"/>
      <c r="B2193" s="657"/>
      <c r="C2193" s="527"/>
      <c r="D2193" s="545"/>
      <c r="E2193" s="546"/>
      <c r="F2193" s="586"/>
      <c r="G2193" s="545"/>
    </row>
    <row r="2194">
      <c r="A2194" s="600"/>
      <c r="B2194" s="656"/>
      <c r="C2194" s="539"/>
      <c r="D2194" s="550"/>
      <c r="E2194" s="561"/>
      <c r="F2194" s="560"/>
      <c r="G2194" s="550"/>
    </row>
    <row r="2195">
      <c r="A2195" s="601"/>
      <c r="B2195" s="657"/>
      <c r="C2195" s="527"/>
      <c r="D2195" s="545"/>
      <c r="E2195" s="546"/>
      <c r="F2195" s="586"/>
      <c r="G2195" s="545"/>
    </row>
    <row r="2196">
      <c r="A2196" s="600"/>
      <c r="B2196" s="656"/>
      <c r="C2196" s="539"/>
      <c r="D2196" s="550"/>
      <c r="E2196" s="561"/>
      <c r="F2196" s="560"/>
      <c r="G2196" s="550"/>
    </row>
    <row r="2197">
      <c r="A2197" s="601"/>
      <c r="B2197" s="657"/>
      <c r="C2197" s="527"/>
      <c r="D2197" s="545"/>
      <c r="E2197" s="546"/>
      <c r="F2197" s="586"/>
      <c r="G2197" s="545"/>
    </row>
    <row r="2198">
      <c r="A2198" s="600"/>
      <c r="B2198" s="656"/>
      <c r="C2198" s="539"/>
      <c r="D2198" s="550"/>
      <c r="E2198" s="561"/>
      <c r="F2198" s="560"/>
      <c r="G2198" s="550"/>
    </row>
    <row r="2199">
      <c r="A2199" s="601"/>
      <c r="B2199" s="657"/>
      <c r="C2199" s="527"/>
      <c r="D2199" s="545"/>
      <c r="E2199" s="546"/>
      <c r="F2199" s="586"/>
      <c r="G2199" s="545"/>
    </row>
    <row r="2200">
      <c r="A2200" s="600"/>
      <c r="B2200" s="656"/>
      <c r="C2200" s="539"/>
      <c r="D2200" s="550"/>
      <c r="E2200" s="561"/>
      <c r="F2200" s="560"/>
      <c r="G2200" s="550"/>
    </row>
    <row r="2201">
      <c r="A2201" s="601"/>
      <c r="B2201" s="657"/>
      <c r="C2201" s="527"/>
      <c r="D2201" s="545"/>
      <c r="E2201" s="546"/>
      <c r="F2201" s="586"/>
      <c r="G2201" s="545"/>
    </row>
    <row r="2202">
      <c r="A2202" s="600"/>
      <c r="B2202" s="656"/>
      <c r="C2202" s="539"/>
      <c r="D2202" s="550"/>
      <c r="E2202" s="561"/>
      <c r="F2202" s="560"/>
      <c r="G2202" s="550"/>
    </row>
    <row r="2203">
      <c r="A2203" s="601"/>
      <c r="B2203" s="657"/>
      <c r="C2203" s="527"/>
      <c r="D2203" s="545"/>
      <c r="E2203" s="546"/>
      <c r="F2203" s="586"/>
      <c r="G2203" s="545"/>
    </row>
    <row r="2204">
      <c r="A2204" s="600"/>
      <c r="B2204" s="656"/>
      <c r="C2204" s="539"/>
      <c r="D2204" s="550"/>
      <c r="E2204" s="561"/>
      <c r="F2204" s="560"/>
      <c r="G2204" s="550"/>
    </row>
    <row r="2205">
      <c r="A2205" s="601"/>
      <c r="B2205" s="657"/>
      <c r="C2205" s="527"/>
      <c r="D2205" s="545"/>
      <c r="E2205" s="546"/>
      <c r="F2205" s="586"/>
      <c r="G2205" s="545"/>
    </row>
    <row r="2206">
      <c r="A2206" s="600"/>
      <c r="B2206" s="656"/>
      <c r="C2206" s="539"/>
      <c r="D2206" s="550"/>
      <c r="E2206" s="561"/>
      <c r="F2206" s="560"/>
      <c r="G2206" s="550"/>
    </row>
    <row r="2207">
      <c r="A2207" s="601"/>
      <c r="B2207" s="657"/>
      <c r="C2207" s="527"/>
      <c r="D2207" s="545"/>
      <c r="E2207" s="546"/>
      <c r="F2207" s="586"/>
      <c r="G2207" s="545"/>
    </row>
    <row r="2208">
      <c r="A2208" s="600"/>
      <c r="B2208" s="656"/>
      <c r="C2208" s="539"/>
      <c r="D2208" s="550"/>
      <c r="E2208" s="561"/>
      <c r="F2208" s="560"/>
      <c r="G2208" s="550"/>
    </row>
    <row r="2209">
      <c r="A2209" s="601"/>
      <c r="B2209" s="657"/>
      <c r="C2209" s="527"/>
      <c r="D2209" s="545"/>
      <c r="E2209" s="546"/>
      <c r="F2209" s="586"/>
      <c r="G2209" s="545"/>
    </row>
    <row r="2210">
      <c r="A2210" s="600"/>
      <c r="B2210" s="656"/>
      <c r="C2210" s="539"/>
      <c r="D2210" s="550"/>
      <c r="E2210" s="561"/>
      <c r="F2210" s="560"/>
      <c r="G2210" s="550"/>
    </row>
    <row r="2211">
      <c r="A2211" s="601"/>
      <c r="B2211" s="657"/>
      <c r="C2211" s="527"/>
      <c r="D2211" s="545"/>
      <c r="E2211" s="546"/>
      <c r="F2211" s="586"/>
      <c r="G2211" s="545"/>
    </row>
    <row r="2212">
      <c r="A2212" s="600"/>
      <c r="B2212" s="656"/>
      <c r="C2212" s="539"/>
      <c r="D2212" s="550"/>
      <c r="E2212" s="561"/>
      <c r="F2212" s="560"/>
      <c r="G2212" s="550"/>
    </row>
    <row r="2213">
      <c r="A2213" s="601"/>
      <c r="B2213" s="657"/>
      <c r="C2213" s="527"/>
      <c r="D2213" s="545"/>
      <c r="E2213" s="546"/>
      <c r="F2213" s="586"/>
      <c r="G2213" s="545"/>
    </row>
    <row r="2214">
      <c r="A2214" s="600"/>
      <c r="B2214" s="656"/>
      <c r="C2214" s="539"/>
      <c r="D2214" s="550"/>
      <c r="E2214" s="561"/>
      <c r="F2214" s="560"/>
      <c r="G2214" s="550"/>
    </row>
    <row r="2215">
      <c r="A2215" s="601"/>
      <c r="B2215" s="657"/>
      <c r="C2215" s="527"/>
      <c r="D2215" s="545"/>
      <c r="E2215" s="546"/>
      <c r="F2215" s="586"/>
      <c r="G2215" s="545"/>
    </row>
    <row r="2216">
      <c r="A2216" s="600"/>
      <c r="B2216" s="656"/>
      <c r="C2216" s="539"/>
      <c r="D2216" s="550"/>
      <c r="E2216" s="561"/>
      <c r="F2216" s="560"/>
      <c r="G2216" s="550"/>
    </row>
    <row r="2217">
      <c r="A2217" s="601"/>
      <c r="B2217" s="657"/>
      <c r="C2217" s="527"/>
      <c r="D2217" s="545"/>
      <c r="E2217" s="546"/>
      <c r="F2217" s="586"/>
      <c r="G2217" s="545"/>
    </row>
    <row r="2218">
      <c r="A2218" s="600"/>
      <c r="B2218" s="656"/>
      <c r="C2218" s="539"/>
      <c r="D2218" s="550"/>
      <c r="E2218" s="561"/>
      <c r="F2218" s="560"/>
      <c r="G2218" s="550"/>
    </row>
    <row r="2219">
      <c r="A2219" s="601"/>
      <c r="B2219" s="657"/>
      <c r="C2219" s="527"/>
      <c r="D2219" s="545"/>
      <c r="E2219" s="546"/>
      <c r="F2219" s="586"/>
      <c r="G2219" s="545"/>
    </row>
    <row r="2220">
      <c r="A2220" s="600"/>
      <c r="B2220" s="656"/>
      <c r="C2220" s="539"/>
      <c r="D2220" s="550"/>
      <c r="E2220" s="561"/>
      <c r="F2220" s="560"/>
      <c r="G2220" s="550"/>
    </row>
    <row r="2221">
      <c r="A2221" s="601"/>
      <c r="B2221" s="657"/>
      <c r="C2221" s="527"/>
      <c r="D2221" s="545"/>
      <c r="E2221" s="546"/>
      <c r="F2221" s="586"/>
      <c r="G2221" s="545"/>
    </row>
    <row r="2222">
      <c r="A2222" s="600"/>
      <c r="B2222" s="656"/>
      <c r="C2222" s="539"/>
      <c r="D2222" s="550"/>
      <c r="E2222" s="561"/>
      <c r="F2222" s="560"/>
      <c r="G2222" s="550"/>
    </row>
    <row r="2223">
      <c r="A2223" s="601"/>
      <c r="B2223" s="657"/>
      <c r="C2223" s="527"/>
      <c r="D2223" s="545"/>
      <c r="E2223" s="546"/>
      <c r="F2223" s="586"/>
      <c r="G2223" s="545"/>
    </row>
    <row r="2224">
      <c r="A2224" s="600"/>
      <c r="B2224" s="656"/>
      <c r="C2224" s="539"/>
      <c r="D2224" s="550"/>
      <c r="E2224" s="561"/>
      <c r="F2224" s="560"/>
      <c r="G2224" s="550"/>
    </row>
    <row r="2225">
      <c r="A2225" s="601"/>
      <c r="B2225" s="657"/>
      <c r="C2225" s="527"/>
      <c r="D2225" s="545"/>
      <c r="E2225" s="546"/>
      <c r="F2225" s="586"/>
      <c r="G2225" s="545"/>
    </row>
    <row r="2226">
      <c r="A2226" s="600"/>
      <c r="B2226" s="656"/>
      <c r="C2226" s="539"/>
      <c r="D2226" s="550"/>
      <c r="E2226" s="561"/>
      <c r="F2226" s="560"/>
      <c r="G2226" s="550"/>
    </row>
    <row r="2227">
      <c r="A2227" s="601"/>
      <c r="B2227" s="657"/>
      <c r="C2227" s="527"/>
      <c r="D2227" s="545"/>
      <c r="E2227" s="546"/>
      <c r="F2227" s="586"/>
      <c r="G2227" s="545"/>
    </row>
    <row r="2228">
      <c r="A2228" s="600"/>
      <c r="B2228" s="656"/>
      <c r="C2228" s="539"/>
      <c r="D2228" s="550"/>
      <c r="E2228" s="561"/>
      <c r="F2228" s="560"/>
      <c r="G2228" s="550"/>
    </row>
    <row r="2229">
      <c r="A2229" s="601"/>
      <c r="B2229" s="657"/>
      <c r="C2229" s="527"/>
      <c r="D2229" s="545"/>
      <c r="E2229" s="546"/>
      <c r="F2229" s="586"/>
      <c r="G2229" s="545"/>
    </row>
    <row r="2230">
      <c r="A2230" s="600"/>
      <c r="B2230" s="656"/>
      <c r="C2230" s="539"/>
      <c r="D2230" s="550"/>
      <c r="E2230" s="561"/>
      <c r="F2230" s="560"/>
      <c r="G2230" s="550"/>
    </row>
    <row r="2231">
      <c r="A2231" s="601"/>
      <c r="B2231" s="657"/>
      <c r="C2231" s="527"/>
      <c r="D2231" s="545"/>
      <c r="E2231" s="546"/>
      <c r="F2231" s="586"/>
      <c r="G2231" s="545"/>
    </row>
    <row r="2232">
      <c r="A2232" s="600"/>
      <c r="B2232" s="656"/>
      <c r="C2232" s="539"/>
      <c r="D2232" s="550"/>
      <c r="E2232" s="561"/>
      <c r="F2232" s="560"/>
      <c r="G2232" s="550"/>
    </row>
    <row r="2233">
      <c r="A2233" s="601"/>
      <c r="B2233" s="657"/>
      <c r="C2233" s="527"/>
      <c r="D2233" s="545"/>
      <c r="E2233" s="546"/>
      <c r="F2233" s="586"/>
      <c r="G2233" s="545"/>
    </row>
    <row r="2234">
      <c r="A2234" s="600"/>
      <c r="B2234" s="656"/>
      <c r="C2234" s="539"/>
      <c r="D2234" s="550"/>
      <c r="E2234" s="561"/>
      <c r="F2234" s="560"/>
      <c r="G2234" s="550"/>
    </row>
    <row r="2235">
      <c r="A2235" s="601"/>
      <c r="B2235" s="657"/>
      <c r="C2235" s="527"/>
      <c r="D2235" s="545"/>
      <c r="E2235" s="546"/>
      <c r="F2235" s="586"/>
      <c r="G2235" s="545"/>
    </row>
    <row r="2236">
      <c r="A2236" s="600"/>
      <c r="B2236" s="656"/>
      <c r="C2236" s="539"/>
      <c r="D2236" s="550"/>
      <c r="E2236" s="561"/>
      <c r="F2236" s="560"/>
      <c r="G2236" s="550"/>
    </row>
    <row r="2237">
      <c r="A2237" s="601"/>
      <c r="B2237" s="657"/>
      <c r="C2237" s="527"/>
      <c r="D2237" s="545"/>
      <c r="E2237" s="546"/>
      <c r="F2237" s="586"/>
      <c r="G2237" s="545"/>
    </row>
    <row r="2238">
      <c r="A2238" s="600"/>
      <c r="B2238" s="656"/>
      <c r="C2238" s="539"/>
      <c r="D2238" s="550"/>
      <c r="E2238" s="561"/>
      <c r="F2238" s="560"/>
      <c r="G2238" s="550"/>
    </row>
    <row r="2239">
      <c r="A2239" s="601"/>
      <c r="B2239" s="657"/>
      <c r="C2239" s="527"/>
      <c r="D2239" s="545"/>
      <c r="E2239" s="546"/>
      <c r="F2239" s="586"/>
      <c r="G2239" s="545"/>
    </row>
    <row r="2240">
      <c r="A2240" s="600"/>
      <c r="B2240" s="656"/>
      <c r="C2240" s="539"/>
      <c r="D2240" s="550"/>
      <c r="E2240" s="561"/>
      <c r="F2240" s="560"/>
      <c r="G2240" s="550"/>
    </row>
    <row r="2241">
      <c r="A2241" s="601"/>
      <c r="B2241" s="657"/>
      <c r="C2241" s="527"/>
      <c r="D2241" s="545"/>
      <c r="E2241" s="546"/>
      <c r="F2241" s="586"/>
      <c r="G2241" s="545"/>
    </row>
    <row r="2242">
      <c r="A2242" s="600"/>
      <c r="B2242" s="656"/>
      <c r="C2242" s="539"/>
      <c r="D2242" s="550"/>
      <c r="E2242" s="561"/>
      <c r="F2242" s="560"/>
      <c r="G2242" s="550"/>
    </row>
    <row r="2243">
      <c r="A2243" s="601"/>
      <c r="B2243" s="657"/>
      <c r="C2243" s="527"/>
      <c r="D2243" s="545"/>
      <c r="E2243" s="546"/>
      <c r="F2243" s="586"/>
      <c r="G2243" s="545"/>
    </row>
    <row r="2244">
      <c r="A2244" s="600"/>
      <c r="B2244" s="656"/>
      <c r="C2244" s="539"/>
      <c r="D2244" s="550"/>
      <c r="E2244" s="561"/>
      <c r="F2244" s="560"/>
      <c r="G2244" s="550"/>
    </row>
    <row r="2245">
      <c r="A2245" s="601"/>
      <c r="B2245" s="657"/>
      <c r="C2245" s="527"/>
      <c r="D2245" s="545"/>
      <c r="E2245" s="546"/>
      <c r="F2245" s="586"/>
      <c r="G2245" s="545"/>
    </row>
    <row r="2246">
      <c r="A2246" s="600"/>
      <c r="B2246" s="656"/>
      <c r="C2246" s="539"/>
      <c r="D2246" s="550"/>
      <c r="E2246" s="561"/>
      <c r="F2246" s="560"/>
      <c r="G2246" s="550"/>
    </row>
    <row r="2247">
      <c r="A2247" s="601"/>
      <c r="B2247" s="657"/>
      <c r="C2247" s="527"/>
      <c r="D2247" s="545"/>
      <c r="E2247" s="546"/>
      <c r="F2247" s="586"/>
      <c r="G2247" s="545"/>
    </row>
    <row r="2248">
      <c r="A2248" s="600"/>
      <c r="B2248" s="656"/>
      <c r="C2248" s="539"/>
      <c r="D2248" s="550"/>
      <c r="E2248" s="561"/>
      <c r="F2248" s="560"/>
      <c r="G2248" s="550"/>
    </row>
    <row r="2249">
      <c r="A2249" s="601"/>
      <c r="B2249" s="657"/>
      <c r="C2249" s="527"/>
      <c r="D2249" s="545"/>
      <c r="E2249" s="546"/>
      <c r="F2249" s="586"/>
      <c r="G2249" s="545"/>
    </row>
    <row r="2250">
      <c r="A2250" s="600"/>
      <c r="B2250" s="656"/>
      <c r="C2250" s="539"/>
      <c r="D2250" s="550"/>
      <c r="E2250" s="561"/>
      <c r="F2250" s="560"/>
      <c r="G2250" s="550"/>
    </row>
    <row r="2251">
      <c r="A2251" s="601"/>
      <c r="B2251" s="657"/>
      <c r="C2251" s="527"/>
      <c r="D2251" s="545"/>
      <c r="E2251" s="546"/>
      <c r="F2251" s="586"/>
      <c r="G2251" s="545"/>
    </row>
    <row r="2252">
      <c r="A2252" s="600"/>
      <c r="B2252" s="656"/>
      <c r="C2252" s="539"/>
      <c r="D2252" s="550"/>
      <c r="E2252" s="561"/>
      <c r="F2252" s="560"/>
      <c r="G2252" s="550"/>
    </row>
    <row r="2253">
      <c r="A2253" s="601"/>
      <c r="B2253" s="657"/>
      <c r="C2253" s="527"/>
      <c r="D2253" s="545"/>
      <c r="E2253" s="546"/>
      <c r="F2253" s="586"/>
      <c r="G2253" s="545"/>
    </row>
    <row r="2254">
      <c r="A2254" s="600"/>
      <c r="B2254" s="656"/>
      <c r="C2254" s="539"/>
      <c r="D2254" s="550"/>
      <c r="E2254" s="561"/>
      <c r="F2254" s="560"/>
      <c r="G2254" s="550"/>
    </row>
    <row r="2255">
      <c r="A2255" s="601"/>
      <c r="B2255" s="657"/>
      <c r="C2255" s="527"/>
      <c r="D2255" s="545"/>
      <c r="E2255" s="546"/>
      <c r="F2255" s="586"/>
      <c r="G2255" s="545"/>
    </row>
    <row r="2256">
      <c r="A2256" s="600"/>
      <c r="B2256" s="656"/>
      <c r="C2256" s="539"/>
      <c r="D2256" s="550"/>
      <c r="E2256" s="561"/>
      <c r="F2256" s="560"/>
      <c r="G2256" s="550"/>
    </row>
    <row r="2257">
      <c r="A2257" s="601"/>
      <c r="B2257" s="657"/>
      <c r="C2257" s="527"/>
      <c r="D2257" s="545"/>
      <c r="E2257" s="546"/>
      <c r="F2257" s="586"/>
      <c r="G2257" s="545"/>
    </row>
    <row r="2258">
      <c r="A2258" s="600"/>
      <c r="B2258" s="656"/>
      <c r="C2258" s="539"/>
      <c r="D2258" s="550"/>
      <c r="E2258" s="561"/>
      <c r="F2258" s="560"/>
      <c r="G2258" s="550"/>
    </row>
    <row r="2259">
      <c r="A2259" s="601"/>
      <c r="B2259" s="657"/>
      <c r="C2259" s="527"/>
      <c r="D2259" s="545"/>
      <c r="E2259" s="546"/>
      <c r="F2259" s="586"/>
      <c r="G2259" s="545"/>
    </row>
    <row r="2260">
      <c r="A2260" s="600"/>
      <c r="B2260" s="656"/>
      <c r="C2260" s="539"/>
      <c r="D2260" s="550"/>
      <c r="E2260" s="561"/>
      <c r="F2260" s="560"/>
      <c r="G2260" s="550"/>
    </row>
    <row r="2261">
      <c r="A2261" s="601"/>
      <c r="B2261" s="657"/>
      <c r="C2261" s="527"/>
      <c r="D2261" s="545"/>
      <c r="E2261" s="546"/>
      <c r="F2261" s="586"/>
      <c r="G2261" s="545"/>
    </row>
    <row r="2262">
      <c r="A2262" s="600"/>
      <c r="B2262" s="656"/>
      <c r="C2262" s="539"/>
      <c r="D2262" s="550"/>
      <c r="E2262" s="561"/>
      <c r="F2262" s="560"/>
      <c r="G2262" s="550"/>
    </row>
    <row r="2263">
      <c r="A2263" s="601"/>
      <c r="B2263" s="657"/>
      <c r="C2263" s="527"/>
      <c r="D2263" s="545"/>
      <c r="E2263" s="546"/>
      <c r="F2263" s="586"/>
      <c r="G2263" s="545"/>
    </row>
    <row r="2264">
      <c r="A2264" s="600"/>
      <c r="B2264" s="656"/>
      <c r="C2264" s="539"/>
      <c r="D2264" s="550"/>
      <c r="E2264" s="561"/>
      <c r="F2264" s="560"/>
      <c r="G2264" s="550"/>
    </row>
    <row r="2265">
      <c r="A2265" s="601"/>
      <c r="B2265" s="657"/>
      <c r="C2265" s="527"/>
      <c r="D2265" s="545"/>
      <c r="E2265" s="546"/>
      <c r="F2265" s="586"/>
      <c r="G2265" s="545"/>
    </row>
    <row r="2266">
      <c r="A2266" s="600"/>
      <c r="B2266" s="656"/>
      <c r="C2266" s="539"/>
      <c r="D2266" s="550"/>
      <c r="E2266" s="561"/>
      <c r="F2266" s="560"/>
      <c r="G2266" s="550"/>
    </row>
    <row r="2267">
      <c r="A2267" s="601"/>
      <c r="B2267" s="657"/>
      <c r="C2267" s="527"/>
      <c r="D2267" s="545"/>
      <c r="E2267" s="546"/>
      <c r="F2267" s="586"/>
      <c r="G2267" s="545"/>
    </row>
    <row r="2268">
      <c r="A2268" s="600"/>
      <c r="B2268" s="656"/>
      <c r="C2268" s="539"/>
      <c r="D2268" s="550"/>
      <c r="E2268" s="561"/>
      <c r="F2268" s="560"/>
      <c r="G2268" s="550"/>
    </row>
    <row r="2269">
      <c r="A2269" s="601"/>
      <c r="B2269" s="657"/>
      <c r="C2269" s="527"/>
      <c r="D2269" s="545"/>
      <c r="E2269" s="546"/>
      <c r="F2269" s="586"/>
      <c r="G2269" s="545"/>
    </row>
    <row r="2270">
      <c r="A2270" s="600"/>
      <c r="B2270" s="656"/>
      <c r="C2270" s="539"/>
      <c r="D2270" s="550"/>
      <c r="E2270" s="561"/>
      <c r="F2270" s="560"/>
      <c r="G2270" s="550"/>
    </row>
    <row r="2271">
      <c r="A2271" s="601"/>
      <c r="B2271" s="657"/>
      <c r="C2271" s="527"/>
      <c r="D2271" s="545"/>
      <c r="E2271" s="546"/>
      <c r="F2271" s="586"/>
      <c r="G2271" s="545"/>
    </row>
    <row r="2272">
      <c r="A2272" s="600"/>
      <c r="B2272" s="656"/>
      <c r="C2272" s="539"/>
      <c r="D2272" s="550"/>
      <c r="E2272" s="561"/>
      <c r="F2272" s="560"/>
      <c r="G2272" s="550"/>
    </row>
    <row r="2273">
      <c r="A2273" s="601"/>
      <c r="B2273" s="657"/>
      <c r="C2273" s="527"/>
      <c r="D2273" s="545"/>
      <c r="E2273" s="546"/>
      <c r="F2273" s="586"/>
      <c r="G2273" s="545"/>
    </row>
    <row r="2274">
      <c r="A2274" s="600"/>
      <c r="B2274" s="656"/>
      <c r="C2274" s="539"/>
      <c r="D2274" s="550"/>
      <c r="E2274" s="561"/>
      <c r="F2274" s="560"/>
      <c r="G2274" s="550"/>
    </row>
    <row r="2275">
      <c r="A2275" s="601"/>
      <c r="B2275" s="657"/>
      <c r="C2275" s="527"/>
      <c r="D2275" s="545"/>
      <c r="E2275" s="546"/>
      <c r="F2275" s="586"/>
      <c r="G2275" s="545"/>
    </row>
    <row r="2276">
      <c r="A2276" s="600"/>
      <c r="B2276" s="656"/>
      <c r="C2276" s="539"/>
      <c r="D2276" s="550"/>
      <c r="E2276" s="561"/>
      <c r="F2276" s="560"/>
      <c r="G2276" s="550"/>
    </row>
    <row r="2277">
      <c r="A2277" s="601"/>
      <c r="B2277" s="657"/>
      <c r="C2277" s="527"/>
      <c r="D2277" s="545"/>
      <c r="E2277" s="546"/>
      <c r="F2277" s="586"/>
      <c r="G2277" s="545"/>
    </row>
    <row r="2278">
      <c r="A2278" s="600"/>
      <c r="B2278" s="656"/>
      <c r="C2278" s="539"/>
      <c r="D2278" s="550"/>
      <c r="E2278" s="561"/>
      <c r="F2278" s="560"/>
      <c r="G2278" s="550"/>
    </row>
    <row r="2279">
      <c r="A2279" s="601"/>
      <c r="B2279" s="657"/>
      <c r="C2279" s="527"/>
      <c r="D2279" s="545"/>
      <c r="E2279" s="546"/>
      <c r="F2279" s="586"/>
      <c r="G2279" s="545"/>
    </row>
    <row r="2280">
      <c r="A2280" s="600"/>
      <c r="B2280" s="656"/>
      <c r="C2280" s="539"/>
      <c r="D2280" s="550"/>
      <c r="E2280" s="561"/>
      <c r="F2280" s="560"/>
      <c r="G2280" s="550"/>
    </row>
    <row r="2281">
      <c r="A2281" s="601"/>
      <c r="B2281" s="657"/>
      <c r="C2281" s="527"/>
      <c r="D2281" s="545"/>
      <c r="E2281" s="546"/>
      <c r="F2281" s="586"/>
      <c r="G2281" s="545"/>
    </row>
    <row r="2282">
      <c r="A2282" s="600"/>
      <c r="B2282" s="656"/>
      <c r="C2282" s="539"/>
      <c r="D2282" s="550"/>
      <c r="E2282" s="561"/>
      <c r="F2282" s="560"/>
      <c r="G2282" s="550"/>
    </row>
    <row r="2283">
      <c r="A2283" s="601"/>
      <c r="B2283" s="657"/>
      <c r="C2283" s="527"/>
      <c r="D2283" s="545"/>
      <c r="E2283" s="546"/>
      <c r="F2283" s="586"/>
      <c r="G2283" s="545"/>
    </row>
    <row r="2284">
      <c r="A2284" s="600"/>
      <c r="B2284" s="656"/>
      <c r="C2284" s="539"/>
      <c r="D2284" s="550"/>
      <c r="E2284" s="561"/>
      <c r="F2284" s="560"/>
      <c r="G2284" s="550"/>
    </row>
    <row r="2285">
      <c r="A2285" s="601"/>
      <c r="B2285" s="657"/>
      <c r="C2285" s="527"/>
      <c r="D2285" s="545"/>
      <c r="E2285" s="546"/>
      <c r="F2285" s="586"/>
      <c r="G2285" s="545"/>
    </row>
    <row r="2286">
      <c r="A2286" s="600"/>
      <c r="B2286" s="656"/>
      <c r="C2286" s="539"/>
      <c r="D2286" s="550"/>
      <c r="E2286" s="561"/>
      <c r="F2286" s="560"/>
      <c r="G2286" s="550"/>
    </row>
    <row r="2287">
      <c r="A2287" s="601"/>
      <c r="B2287" s="657"/>
      <c r="C2287" s="527"/>
      <c r="D2287" s="545"/>
      <c r="E2287" s="546"/>
      <c r="F2287" s="586"/>
      <c r="G2287" s="545"/>
    </row>
    <row r="2288">
      <c r="A2288" s="600"/>
      <c r="B2288" s="656"/>
      <c r="C2288" s="539"/>
      <c r="D2288" s="550"/>
      <c r="E2288" s="561"/>
      <c r="F2288" s="560"/>
      <c r="G2288" s="550"/>
    </row>
    <row r="2289">
      <c r="A2289" s="601"/>
      <c r="B2289" s="657"/>
      <c r="C2289" s="527"/>
      <c r="D2289" s="545"/>
      <c r="E2289" s="546"/>
      <c r="F2289" s="586"/>
      <c r="G2289" s="545"/>
    </row>
    <row r="2290">
      <c r="A2290" s="600"/>
      <c r="B2290" s="656"/>
      <c r="C2290" s="539"/>
      <c r="D2290" s="550"/>
      <c r="E2290" s="561"/>
      <c r="F2290" s="560"/>
      <c r="G2290" s="550"/>
    </row>
    <row r="2291">
      <c r="A2291" s="601"/>
      <c r="B2291" s="657"/>
      <c r="C2291" s="527"/>
      <c r="D2291" s="545"/>
      <c r="E2291" s="546"/>
      <c r="F2291" s="586"/>
      <c r="G2291" s="545"/>
    </row>
    <row r="2292">
      <c r="A2292" s="600"/>
      <c r="B2292" s="656"/>
      <c r="C2292" s="539"/>
      <c r="D2292" s="550"/>
      <c r="E2292" s="561"/>
      <c r="F2292" s="560"/>
      <c r="G2292" s="550"/>
    </row>
    <row r="2293">
      <c r="A2293" s="601"/>
      <c r="B2293" s="657"/>
      <c r="C2293" s="527"/>
      <c r="D2293" s="545"/>
      <c r="E2293" s="546"/>
      <c r="F2293" s="586"/>
      <c r="G2293" s="545"/>
    </row>
    <row r="2294">
      <c r="A2294" s="600"/>
      <c r="B2294" s="656"/>
      <c r="C2294" s="539"/>
      <c r="D2294" s="550"/>
      <c r="E2294" s="561"/>
      <c r="F2294" s="560"/>
      <c r="G2294" s="550"/>
    </row>
    <row r="2295">
      <c r="A2295" s="601"/>
      <c r="B2295" s="657"/>
      <c r="C2295" s="527"/>
      <c r="D2295" s="545"/>
      <c r="E2295" s="546"/>
      <c r="F2295" s="586"/>
      <c r="G2295" s="545"/>
    </row>
    <row r="2296">
      <c r="A2296" s="600"/>
      <c r="B2296" s="656"/>
      <c r="C2296" s="539"/>
      <c r="D2296" s="550"/>
      <c r="E2296" s="561"/>
      <c r="F2296" s="560"/>
      <c r="G2296" s="550"/>
    </row>
    <row r="2297">
      <c r="A2297" s="601"/>
      <c r="B2297" s="657"/>
      <c r="C2297" s="527"/>
      <c r="D2297" s="545"/>
      <c r="E2297" s="546"/>
      <c r="F2297" s="586"/>
      <c r="G2297" s="545"/>
    </row>
    <row r="2298">
      <c r="A2298" s="600"/>
      <c r="B2298" s="656"/>
      <c r="C2298" s="539"/>
      <c r="D2298" s="550"/>
      <c r="E2298" s="561"/>
      <c r="F2298" s="560"/>
      <c r="G2298" s="550"/>
    </row>
    <row r="2299">
      <c r="A2299" s="601"/>
      <c r="B2299" s="657"/>
      <c r="C2299" s="527"/>
      <c r="D2299" s="545"/>
      <c r="E2299" s="546"/>
      <c r="F2299" s="586"/>
      <c r="G2299" s="545"/>
    </row>
    <row r="2300">
      <c r="A2300" s="600"/>
      <c r="B2300" s="656"/>
      <c r="C2300" s="539"/>
      <c r="D2300" s="550"/>
      <c r="E2300" s="561"/>
      <c r="F2300" s="560"/>
      <c r="G2300" s="550"/>
    </row>
    <row r="2301">
      <c r="A2301" s="601"/>
      <c r="B2301" s="657"/>
      <c r="C2301" s="527"/>
      <c r="D2301" s="545"/>
      <c r="E2301" s="546"/>
      <c r="F2301" s="586"/>
      <c r="G2301" s="545"/>
    </row>
    <row r="2302">
      <c r="A2302" s="600"/>
      <c r="B2302" s="656"/>
      <c r="C2302" s="539"/>
      <c r="D2302" s="550"/>
      <c r="E2302" s="561"/>
      <c r="F2302" s="560"/>
      <c r="G2302" s="550"/>
    </row>
    <row r="2303">
      <c r="A2303" s="601"/>
      <c r="B2303" s="657"/>
      <c r="C2303" s="527"/>
      <c r="D2303" s="545"/>
      <c r="E2303" s="546"/>
      <c r="F2303" s="586"/>
      <c r="G2303" s="545"/>
    </row>
    <row r="2304">
      <c r="A2304" s="600"/>
      <c r="B2304" s="656"/>
      <c r="C2304" s="539"/>
      <c r="D2304" s="550"/>
      <c r="E2304" s="561"/>
      <c r="F2304" s="560"/>
      <c r="G2304" s="550"/>
    </row>
    <row r="2305">
      <c r="A2305" s="601"/>
      <c r="B2305" s="657"/>
      <c r="C2305" s="527"/>
      <c r="D2305" s="545"/>
      <c r="E2305" s="546"/>
      <c r="F2305" s="586"/>
      <c r="G2305" s="545"/>
    </row>
    <row r="2306">
      <c r="A2306" s="600"/>
      <c r="B2306" s="656"/>
      <c r="C2306" s="539"/>
      <c r="D2306" s="550"/>
      <c r="E2306" s="561"/>
      <c r="F2306" s="560"/>
      <c r="G2306" s="550"/>
    </row>
    <row r="2307">
      <c r="A2307" s="601"/>
      <c r="B2307" s="657"/>
      <c r="C2307" s="527"/>
      <c r="D2307" s="545"/>
      <c r="E2307" s="546"/>
      <c r="F2307" s="586"/>
      <c r="G2307" s="545"/>
    </row>
    <row r="2308">
      <c r="A2308" s="600"/>
      <c r="B2308" s="656"/>
      <c r="C2308" s="539"/>
      <c r="D2308" s="550"/>
      <c r="E2308" s="561"/>
      <c r="F2308" s="560"/>
      <c r="G2308" s="550"/>
    </row>
    <row r="2309">
      <c r="A2309" s="601"/>
      <c r="B2309" s="657"/>
      <c r="C2309" s="527"/>
      <c r="D2309" s="545"/>
      <c r="E2309" s="546"/>
      <c r="F2309" s="586"/>
      <c r="G2309" s="545"/>
    </row>
    <row r="2310">
      <c r="A2310" s="600"/>
      <c r="B2310" s="656"/>
      <c r="C2310" s="539"/>
      <c r="D2310" s="550"/>
      <c r="E2310" s="561"/>
      <c r="F2310" s="560"/>
      <c r="G2310" s="550"/>
    </row>
  </sheetData>
  <autoFilter ref="$A$1:$G$157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22"/>
    <col customWidth="1" min="4" max="4" width="9.33"/>
    <col customWidth="1" min="5" max="5" width="25.33"/>
    <col customWidth="1" min="6" max="6" width="24.78"/>
    <col customWidth="1" min="7" max="7" width="7.89"/>
    <col customWidth="1" min="8" max="8" width="8.11"/>
    <col customWidth="1" min="9" max="9" width="28.11"/>
    <col customWidth="1" min="10" max="10" width="6.78"/>
    <col customWidth="1" min="11" max="11" width="7.0"/>
    <col customWidth="1" min="12" max="12" width="30.78"/>
  </cols>
  <sheetData>
    <row r="1">
      <c r="A1" s="658">
        <f>A23</f>
        <v>3</v>
      </c>
      <c r="B1" s="659" t="s">
        <v>8</v>
      </c>
      <c r="C1" s="659" t="s">
        <v>3639</v>
      </c>
      <c r="D1" s="659" t="s">
        <v>3640</v>
      </c>
      <c r="E1" s="659" t="s">
        <v>3641</v>
      </c>
      <c r="F1" s="659" t="s">
        <v>3642</v>
      </c>
      <c r="G1" s="660" t="s">
        <v>15</v>
      </c>
      <c r="H1" s="659" t="s">
        <v>16</v>
      </c>
      <c r="I1" s="659" t="s">
        <v>3643</v>
      </c>
      <c r="J1" s="659" t="s">
        <v>3644</v>
      </c>
      <c r="K1" s="659" t="s">
        <v>16</v>
      </c>
      <c r="L1" s="659" t="s">
        <v>3645</v>
      </c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661"/>
      <c r="AA1" s="661"/>
    </row>
    <row r="2">
      <c r="A2" s="662">
        <v>1.0</v>
      </c>
      <c r="B2" s="663">
        <v>46207.0</v>
      </c>
      <c r="C2" s="664" t="s">
        <v>3646</v>
      </c>
      <c r="D2" s="664" t="s">
        <v>92</v>
      </c>
      <c r="E2" s="664" t="s">
        <v>1914</v>
      </c>
      <c r="F2" s="664" t="s">
        <v>3647</v>
      </c>
      <c r="G2" s="665">
        <v>15.0</v>
      </c>
      <c r="H2" s="664" t="s">
        <v>156</v>
      </c>
      <c r="I2" s="666" t="s">
        <v>3648</v>
      </c>
      <c r="J2" s="664">
        <v>2.0</v>
      </c>
      <c r="K2" s="664" t="s">
        <v>156</v>
      </c>
      <c r="L2" s="664" t="s">
        <v>3649</v>
      </c>
      <c r="M2" s="667"/>
      <c r="N2" s="668" t="s">
        <v>3650</v>
      </c>
      <c r="O2" s="669"/>
      <c r="P2" s="669"/>
      <c r="Q2" s="669"/>
      <c r="R2" s="669"/>
      <c r="S2" s="669"/>
      <c r="T2" s="669"/>
      <c r="U2" s="669"/>
      <c r="V2" s="669"/>
      <c r="W2" s="669"/>
      <c r="X2" s="669"/>
      <c r="Y2" s="669"/>
      <c r="Z2" s="669"/>
      <c r="AA2" s="669"/>
    </row>
    <row r="3">
      <c r="A3" s="662">
        <v>2.0</v>
      </c>
      <c r="B3" s="663">
        <v>46207.0</v>
      </c>
      <c r="C3" s="664" t="s">
        <v>3646</v>
      </c>
      <c r="D3" s="664" t="s">
        <v>92</v>
      </c>
      <c r="E3" s="664" t="s">
        <v>1915</v>
      </c>
      <c r="F3" s="664" t="s">
        <v>3647</v>
      </c>
      <c r="G3" s="665">
        <v>15.0</v>
      </c>
      <c r="H3" s="664" t="s">
        <v>156</v>
      </c>
      <c r="I3" s="666" t="s">
        <v>3651</v>
      </c>
      <c r="J3" s="664">
        <v>5.0</v>
      </c>
      <c r="K3" s="664" t="s">
        <v>156</v>
      </c>
      <c r="L3" s="664" t="s">
        <v>3649</v>
      </c>
      <c r="M3" s="670"/>
      <c r="N3" s="668" t="s">
        <v>3652</v>
      </c>
      <c r="O3" s="669"/>
      <c r="P3" s="669"/>
      <c r="Q3" s="669"/>
      <c r="R3" s="669"/>
      <c r="S3" s="669"/>
      <c r="T3" s="669"/>
      <c r="U3" s="669"/>
      <c r="V3" s="669"/>
      <c r="W3" s="669"/>
      <c r="X3" s="669"/>
      <c r="Y3" s="669"/>
      <c r="Z3" s="669"/>
      <c r="AA3" s="669"/>
    </row>
    <row r="4">
      <c r="A4" s="662">
        <v>3.0</v>
      </c>
      <c r="B4" s="663">
        <v>46207.0</v>
      </c>
      <c r="C4" s="664" t="s">
        <v>3646</v>
      </c>
      <c r="D4" s="664" t="s">
        <v>92</v>
      </c>
      <c r="E4" s="664" t="s">
        <v>1367</v>
      </c>
      <c r="F4" s="664" t="s">
        <v>3647</v>
      </c>
      <c r="G4" s="665">
        <v>5.0</v>
      </c>
      <c r="H4" s="664" t="s">
        <v>156</v>
      </c>
      <c r="I4" s="671" t="s">
        <v>3653</v>
      </c>
      <c r="J4" s="664">
        <v>0.0</v>
      </c>
      <c r="K4" s="664">
        <v>0.0</v>
      </c>
      <c r="L4" s="664" t="s">
        <v>3654</v>
      </c>
      <c r="M4" s="672"/>
      <c r="N4" s="668" t="s">
        <v>3655</v>
      </c>
      <c r="O4" s="669"/>
      <c r="P4" s="669"/>
      <c r="Q4" s="669"/>
      <c r="R4" s="669"/>
      <c r="S4" s="669"/>
      <c r="T4" s="669"/>
      <c r="U4" s="669"/>
      <c r="V4" s="669"/>
      <c r="W4" s="669"/>
      <c r="X4" s="669"/>
      <c r="Y4" s="669"/>
      <c r="Z4" s="669"/>
      <c r="AA4" s="669"/>
    </row>
    <row r="5">
      <c r="A5" s="662">
        <v>4.0</v>
      </c>
      <c r="B5" s="663">
        <v>46207.0</v>
      </c>
      <c r="C5" s="664" t="s">
        <v>3646</v>
      </c>
      <c r="D5" s="664" t="s">
        <v>92</v>
      </c>
      <c r="E5" s="664" t="s">
        <v>2717</v>
      </c>
      <c r="F5" s="664" t="s">
        <v>3656</v>
      </c>
      <c r="G5" s="665">
        <v>50.0</v>
      </c>
      <c r="H5" s="664" t="s">
        <v>156</v>
      </c>
      <c r="I5" s="666" t="s">
        <v>3657</v>
      </c>
      <c r="J5" s="664">
        <v>21.0</v>
      </c>
      <c r="K5" s="664" t="s">
        <v>156</v>
      </c>
      <c r="L5" s="664"/>
      <c r="M5" s="673"/>
      <c r="N5" s="668" t="s">
        <v>3658</v>
      </c>
      <c r="O5" s="669"/>
      <c r="P5" s="669"/>
      <c r="Q5" s="669"/>
      <c r="R5" s="669"/>
      <c r="S5" s="669"/>
      <c r="T5" s="669"/>
      <c r="U5" s="669"/>
      <c r="V5" s="669"/>
      <c r="W5" s="669"/>
      <c r="X5" s="669"/>
      <c r="Y5" s="669"/>
      <c r="Z5" s="669"/>
      <c r="AA5" s="669"/>
    </row>
    <row r="6">
      <c r="A6" s="662">
        <v>5.0</v>
      </c>
      <c r="B6" s="663">
        <v>46207.0</v>
      </c>
      <c r="C6" s="664" t="s">
        <v>3646</v>
      </c>
      <c r="D6" s="664" t="s">
        <v>92</v>
      </c>
      <c r="E6" s="664" t="s">
        <v>3659</v>
      </c>
      <c r="F6" s="664" t="s">
        <v>3656</v>
      </c>
      <c r="G6" s="665">
        <v>10.0</v>
      </c>
      <c r="H6" s="664" t="s">
        <v>156</v>
      </c>
      <c r="I6" s="671" t="s">
        <v>3660</v>
      </c>
      <c r="J6" s="664">
        <v>0.0</v>
      </c>
      <c r="K6" s="664">
        <v>0.0</v>
      </c>
      <c r="L6" s="664" t="s">
        <v>3654</v>
      </c>
      <c r="M6" s="669"/>
      <c r="N6" s="669"/>
      <c r="O6" s="669"/>
      <c r="P6" s="669"/>
      <c r="Q6" s="669"/>
      <c r="R6" s="669"/>
      <c r="S6" s="669"/>
      <c r="T6" s="669"/>
      <c r="U6" s="669"/>
      <c r="V6" s="669"/>
      <c r="W6" s="669"/>
      <c r="X6" s="669"/>
      <c r="Y6" s="669"/>
      <c r="Z6" s="669"/>
      <c r="AA6" s="669"/>
    </row>
    <row r="7">
      <c r="A7" s="674" t="s">
        <v>3661</v>
      </c>
      <c r="B7" s="675"/>
      <c r="C7" s="675"/>
      <c r="D7" s="675"/>
      <c r="E7" s="675"/>
      <c r="F7" s="675"/>
      <c r="G7" s="676"/>
      <c r="H7" s="675"/>
      <c r="I7" s="675"/>
      <c r="J7" s="675"/>
      <c r="K7" s="675"/>
      <c r="L7" s="675"/>
      <c r="M7" s="669"/>
      <c r="N7" s="669"/>
      <c r="O7" s="669"/>
      <c r="P7" s="669"/>
      <c r="Q7" s="669"/>
      <c r="R7" s="669"/>
      <c r="S7" s="669"/>
      <c r="T7" s="669"/>
      <c r="U7" s="669"/>
      <c r="V7" s="669"/>
      <c r="W7" s="669"/>
      <c r="X7" s="669"/>
      <c r="Y7" s="669"/>
      <c r="Z7" s="669"/>
      <c r="AA7" s="669"/>
    </row>
    <row r="8">
      <c r="A8" s="662">
        <v>1.0</v>
      </c>
      <c r="B8" s="664" t="s">
        <v>3662</v>
      </c>
      <c r="C8" s="664">
        <v>856.0</v>
      </c>
      <c r="D8" s="664" t="s">
        <v>92</v>
      </c>
      <c r="E8" s="664" t="s">
        <v>3663</v>
      </c>
      <c r="F8" s="664" t="s">
        <v>3664</v>
      </c>
      <c r="G8" s="665">
        <v>142.0</v>
      </c>
      <c r="H8" s="664" t="s">
        <v>156</v>
      </c>
      <c r="I8" s="677" t="s">
        <v>3655</v>
      </c>
      <c r="J8" s="678"/>
      <c r="K8" s="678"/>
      <c r="L8" s="664" t="s">
        <v>3665</v>
      </c>
      <c r="M8" s="669"/>
      <c r="N8" s="669"/>
      <c r="O8" s="669"/>
      <c r="P8" s="669"/>
      <c r="Q8" s="669"/>
      <c r="R8" s="669"/>
      <c r="S8" s="669"/>
      <c r="T8" s="669"/>
      <c r="U8" s="669"/>
      <c r="V8" s="669"/>
      <c r="W8" s="669"/>
      <c r="X8" s="669"/>
      <c r="Y8" s="669"/>
      <c r="Z8" s="669"/>
      <c r="AA8" s="669"/>
    </row>
    <row r="9">
      <c r="A9" s="662">
        <v>2.0</v>
      </c>
      <c r="B9" s="664" t="s">
        <v>3662</v>
      </c>
      <c r="C9" s="664">
        <v>856.0</v>
      </c>
      <c r="D9" s="664" t="s">
        <v>92</v>
      </c>
      <c r="E9" s="664" t="s">
        <v>1909</v>
      </c>
      <c r="F9" s="664" t="s">
        <v>3664</v>
      </c>
      <c r="G9" s="665">
        <v>173.0</v>
      </c>
      <c r="H9" s="664" t="s">
        <v>405</v>
      </c>
      <c r="I9" s="677" t="s">
        <v>3655</v>
      </c>
      <c r="J9" s="678"/>
      <c r="K9" s="678"/>
      <c r="L9" s="664" t="s">
        <v>3665</v>
      </c>
      <c r="M9" s="669"/>
      <c r="N9" s="669"/>
      <c r="O9" s="669"/>
      <c r="P9" s="669"/>
      <c r="Q9" s="669"/>
      <c r="R9" s="669"/>
      <c r="S9" s="669"/>
      <c r="T9" s="669"/>
      <c r="U9" s="669"/>
      <c r="V9" s="669"/>
      <c r="W9" s="669"/>
      <c r="X9" s="669"/>
      <c r="Y9" s="669"/>
      <c r="Z9" s="669"/>
      <c r="AA9" s="669"/>
    </row>
    <row r="10">
      <c r="A10" s="662">
        <v>3.0</v>
      </c>
      <c r="B10" s="664" t="s">
        <v>3662</v>
      </c>
      <c r="C10" s="664">
        <v>856.0</v>
      </c>
      <c r="D10" s="664" t="s">
        <v>92</v>
      </c>
      <c r="E10" s="664" t="s">
        <v>3666</v>
      </c>
      <c r="F10" s="664" t="s">
        <v>3664</v>
      </c>
      <c r="G10" s="665">
        <v>25.0</v>
      </c>
      <c r="H10" s="664" t="s">
        <v>156</v>
      </c>
      <c r="I10" s="677" t="s">
        <v>3655</v>
      </c>
      <c r="J10" s="678"/>
      <c r="K10" s="678"/>
      <c r="L10" s="664" t="s">
        <v>3665</v>
      </c>
      <c r="M10" s="669"/>
      <c r="N10" s="669"/>
      <c r="O10" s="669"/>
      <c r="P10" s="669"/>
      <c r="Q10" s="669"/>
      <c r="R10" s="669"/>
      <c r="S10" s="669"/>
      <c r="T10" s="669"/>
      <c r="U10" s="669"/>
      <c r="V10" s="669"/>
      <c r="W10" s="669"/>
      <c r="X10" s="669"/>
      <c r="Y10" s="669"/>
      <c r="Z10" s="669"/>
      <c r="AA10" s="669"/>
    </row>
    <row r="11">
      <c r="A11" s="662">
        <v>4.0</v>
      </c>
      <c r="B11" s="664" t="s">
        <v>3662</v>
      </c>
      <c r="C11" s="664">
        <v>856.0</v>
      </c>
      <c r="D11" s="664" t="s">
        <v>92</v>
      </c>
      <c r="E11" s="664" t="s">
        <v>3667</v>
      </c>
      <c r="F11" s="664" t="s">
        <v>3668</v>
      </c>
      <c r="G11" s="665">
        <v>6.0</v>
      </c>
      <c r="H11" s="664" t="s">
        <v>405</v>
      </c>
      <c r="I11" s="677" t="s">
        <v>3655</v>
      </c>
      <c r="J11" s="678"/>
      <c r="K11" s="678"/>
      <c r="L11" s="664" t="s">
        <v>3665</v>
      </c>
      <c r="M11" s="669"/>
      <c r="N11" s="669"/>
      <c r="O11" s="669"/>
      <c r="P11" s="669"/>
      <c r="Q11" s="669"/>
      <c r="R11" s="669"/>
      <c r="S11" s="669"/>
      <c r="T11" s="669"/>
      <c r="U11" s="669"/>
      <c r="V11" s="669"/>
      <c r="W11" s="669"/>
      <c r="X11" s="669"/>
      <c r="Y11" s="669"/>
      <c r="Z11" s="669"/>
      <c r="AA11" s="669"/>
    </row>
    <row r="12">
      <c r="A12" s="662">
        <v>5.0</v>
      </c>
      <c r="B12" s="664" t="s">
        <v>3662</v>
      </c>
      <c r="C12" s="664">
        <v>856.0</v>
      </c>
      <c r="D12" s="664" t="s">
        <v>92</v>
      </c>
      <c r="E12" s="664" t="s">
        <v>3669</v>
      </c>
      <c r="F12" s="664" t="s">
        <v>3670</v>
      </c>
      <c r="G12" s="665">
        <v>16.0</v>
      </c>
      <c r="H12" s="664" t="s">
        <v>405</v>
      </c>
      <c r="I12" s="677" t="s">
        <v>3655</v>
      </c>
      <c r="J12" s="678"/>
      <c r="K12" s="678"/>
      <c r="L12" s="664" t="s">
        <v>3665</v>
      </c>
      <c r="M12" s="669"/>
      <c r="N12" s="669"/>
      <c r="O12" s="669"/>
      <c r="P12" s="669"/>
      <c r="Q12" s="669"/>
      <c r="R12" s="669"/>
      <c r="S12" s="669"/>
      <c r="T12" s="669"/>
      <c r="U12" s="669"/>
      <c r="V12" s="669"/>
      <c r="W12" s="669"/>
      <c r="X12" s="669"/>
      <c r="Y12" s="669"/>
      <c r="Z12" s="669"/>
      <c r="AA12" s="669"/>
    </row>
    <row r="13">
      <c r="A13" s="662">
        <v>6.0</v>
      </c>
      <c r="B13" s="664" t="s">
        <v>3662</v>
      </c>
      <c r="C13" s="664">
        <v>856.0</v>
      </c>
      <c r="D13" s="664" t="s">
        <v>92</v>
      </c>
      <c r="E13" s="664" t="s">
        <v>3669</v>
      </c>
      <c r="F13" s="664" t="s">
        <v>3671</v>
      </c>
      <c r="G13" s="665">
        <v>9.0</v>
      </c>
      <c r="H13" s="664" t="s">
        <v>405</v>
      </c>
      <c r="I13" s="677" t="s">
        <v>3655</v>
      </c>
      <c r="J13" s="678"/>
      <c r="K13" s="678"/>
      <c r="L13" s="664" t="s">
        <v>3665</v>
      </c>
      <c r="M13" s="669"/>
      <c r="N13" s="669"/>
      <c r="O13" s="669"/>
      <c r="P13" s="669"/>
      <c r="Q13" s="669"/>
      <c r="R13" s="669"/>
      <c r="S13" s="669"/>
      <c r="T13" s="669"/>
      <c r="U13" s="669"/>
      <c r="V13" s="669"/>
      <c r="W13" s="669"/>
      <c r="X13" s="669"/>
      <c r="Y13" s="669"/>
      <c r="Z13" s="669"/>
      <c r="AA13" s="669"/>
    </row>
    <row r="14">
      <c r="A14" s="662">
        <v>7.0</v>
      </c>
      <c r="B14" s="664" t="s">
        <v>3662</v>
      </c>
      <c r="C14" s="664">
        <v>856.0</v>
      </c>
      <c r="D14" s="664" t="s">
        <v>92</v>
      </c>
      <c r="E14" s="664" t="s">
        <v>3669</v>
      </c>
      <c r="F14" s="664" t="s">
        <v>3672</v>
      </c>
      <c r="G14" s="665">
        <v>2.0</v>
      </c>
      <c r="H14" s="664" t="s">
        <v>405</v>
      </c>
      <c r="I14" s="677" t="s">
        <v>3655</v>
      </c>
      <c r="J14" s="678"/>
      <c r="K14" s="678"/>
      <c r="L14" s="664" t="s">
        <v>3665</v>
      </c>
      <c r="M14" s="669"/>
      <c r="N14" s="669"/>
      <c r="O14" s="669"/>
      <c r="P14" s="669"/>
      <c r="Q14" s="669"/>
      <c r="R14" s="669"/>
      <c r="S14" s="669"/>
      <c r="T14" s="669"/>
      <c r="U14" s="669"/>
      <c r="V14" s="669"/>
      <c r="W14" s="669"/>
      <c r="X14" s="669"/>
      <c r="Y14" s="669"/>
      <c r="Z14" s="669"/>
      <c r="AA14" s="669"/>
    </row>
    <row r="15">
      <c r="A15" s="662">
        <v>8.0</v>
      </c>
      <c r="B15" s="664" t="s">
        <v>3662</v>
      </c>
      <c r="C15" s="664">
        <v>856.0</v>
      </c>
      <c r="D15" s="664" t="s">
        <v>92</v>
      </c>
      <c r="E15" s="664" t="s">
        <v>3669</v>
      </c>
      <c r="F15" s="664" t="s">
        <v>3668</v>
      </c>
      <c r="G15" s="665">
        <v>36.0</v>
      </c>
      <c r="H15" s="664" t="s">
        <v>405</v>
      </c>
      <c r="I15" s="677" t="s">
        <v>3655</v>
      </c>
      <c r="J15" s="678"/>
      <c r="K15" s="678"/>
      <c r="L15" s="664" t="s">
        <v>3665</v>
      </c>
      <c r="M15" s="669"/>
      <c r="N15" s="669"/>
      <c r="O15" s="669"/>
      <c r="P15" s="669"/>
      <c r="Q15" s="669"/>
      <c r="R15" s="669"/>
      <c r="S15" s="669"/>
      <c r="T15" s="669"/>
      <c r="U15" s="669"/>
      <c r="V15" s="669"/>
      <c r="W15" s="669"/>
      <c r="X15" s="669"/>
      <c r="Y15" s="669"/>
      <c r="Z15" s="669"/>
      <c r="AA15" s="669"/>
    </row>
    <row r="16">
      <c r="A16" s="662">
        <v>9.0</v>
      </c>
      <c r="B16" s="664" t="s">
        <v>3662</v>
      </c>
      <c r="C16" s="664">
        <v>856.0</v>
      </c>
      <c r="D16" s="664" t="s">
        <v>92</v>
      </c>
      <c r="E16" s="664" t="s">
        <v>3669</v>
      </c>
      <c r="F16" s="664" t="s">
        <v>3670</v>
      </c>
      <c r="G16" s="665">
        <v>151.0</v>
      </c>
      <c r="H16" s="664" t="s">
        <v>405</v>
      </c>
      <c r="I16" s="677" t="s">
        <v>3655</v>
      </c>
      <c r="J16" s="678"/>
      <c r="K16" s="678"/>
      <c r="L16" s="664" t="s">
        <v>3665</v>
      </c>
      <c r="M16" s="669"/>
      <c r="N16" s="669"/>
      <c r="O16" s="669"/>
      <c r="P16" s="669"/>
      <c r="Q16" s="669"/>
      <c r="R16" s="669"/>
      <c r="S16" s="669"/>
      <c r="T16" s="669"/>
      <c r="U16" s="669"/>
      <c r="V16" s="669"/>
      <c r="W16" s="669"/>
      <c r="X16" s="669"/>
      <c r="Y16" s="669"/>
      <c r="Z16" s="669"/>
      <c r="AA16" s="669"/>
    </row>
    <row r="17">
      <c r="A17" s="662">
        <v>10.0</v>
      </c>
      <c r="B17" s="664" t="s">
        <v>3662</v>
      </c>
      <c r="C17" s="664">
        <v>856.0</v>
      </c>
      <c r="D17" s="664" t="s">
        <v>92</v>
      </c>
      <c r="E17" s="664" t="s">
        <v>3669</v>
      </c>
      <c r="F17" s="664" t="s">
        <v>3671</v>
      </c>
      <c r="G17" s="665">
        <v>39.0</v>
      </c>
      <c r="H17" s="664" t="s">
        <v>405</v>
      </c>
      <c r="I17" s="677" t="s">
        <v>3655</v>
      </c>
      <c r="J17" s="678"/>
      <c r="K17" s="678"/>
      <c r="L17" s="664" t="s">
        <v>3665</v>
      </c>
      <c r="M17" s="669"/>
      <c r="N17" s="669"/>
      <c r="O17" s="669"/>
      <c r="P17" s="669"/>
      <c r="Q17" s="669"/>
      <c r="R17" s="669"/>
      <c r="S17" s="669"/>
      <c r="T17" s="669"/>
      <c r="U17" s="669"/>
      <c r="V17" s="669"/>
      <c r="W17" s="669"/>
      <c r="X17" s="669"/>
      <c r="Y17" s="669"/>
      <c r="Z17" s="669"/>
      <c r="AA17" s="669"/>
    </row>
    <row r="18">
      <c r="A18" s="674"/>
      <c r="B18" s="679"/>
      <c r="C18" s="675"/>
      <c r="D18" s="679"/>
      <c r="E18" s="679"/>
      <c r="F18" s="679"/>
      <c r="G18" s="680"/>
      <c r="H18" s="679"/>
      <c r="I18" s="679"/>
      <c r="J18" s="675"/>
      <c r="K18" s="675"/>
      <c r="L18" s="679"/>
      <c r="M18" s="669"/>
      <c r="N18" s="669"/>
      <c r="O18" s="669"/>
      <c r="P18" s="669"/>
      <c r="Q18" s="669"/>
      <c r="R18" s="669"/>
      <c r="S18" s="669"/>
      <c r="T18" s="669"/>
      <c r="U18" s="669"/>
      <c r="V18" s="669"/>
      <c r="W18" s="669"/>
      <c r="X18" s="669"/>
      <c r="Y18" s="669"/>
      <c r="Z18" s="669"/>
      <c r="AA18" s="669"/>
    </row>
    <row r="19">
      <c r="A19" s="681">
        <v>1.0</v>
      </c>
      <c r="B19" s="682" t="s">
        <v>3673</v>
      </c>
      <c r="C19" s="682">
        <v>4.0</v>
      </c>
      <c r="D19" s="682" t="s">
        <v>92</v>
      </c>
      <c r="E19" s="682" t="s">
        <v>3674</v>
      </c>
      <c r="F19" s="682" t="s">
        <v>3675</v>
      </c>
      <c r="G19" s="683">
        <v>4.0</v>
      </c>
      <c r="H19" s="682" t="s">
        <v>156</v>
      </c>
      <c r="I19" s="684" t="s">
        <v>3655</v>
      </c>
      <c r="J19" s="685"/>
      <c r="K19" s="685"/>
      <c r="L19" s="682" t="s">
        <v>3676</v>
      </c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686"/>
    </row>
    <row r="20">
      <c r="A20" s="687"/>
      <c r="B20" s="688"/>
      <c r="C20" s="688"/>
      <c r="D20" s="688"/>
      <c r="E20" s="688"/>
      <c r="F20" s="688"/>
      <c r="G20" s="689"/>
      <c r="H20" s="688"/>
      <c r="I20" s="688"/>
      <c r="J20" s="690"/>
      <c r="K20" s="690"/>
      <c r="L20" s="690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69"/>
    </row>
    <row r="21">
      <c r="A21" s="662">
        <v>1.0</v>
      </c>
      <c r="B21" s="664" t="s">
        <v>3673</v>
      </c>
      <c r="C21" s="664">
        <v>3.0</v>
      </c>
      <c r="D21" s="664" t="s">
        <v>92</v>
      </c>
      <c r="E21" s="664" t="s">
        <v>3214</v>
      </c>
      <c r="F21" s="664" t="s">
        <v>3677</v>
      </c>
      <c r="G21" s="665">
        <v>10.0</v>
      </c>
      <c r="H21" s="664" t="s">
        <v>3142</v>
      </c>
      <c r="I21" s="677" t="s">
        <v>3655</v>
      </c>
      <c r="J21" s="678"/>
      <c r="K21" s="678"/>
      <c r="L21" s="664" t="s">
        <v>3678</v>
      </c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9"/>
    </row>
    <row r="22">
      <c r="A22" s="662">
        <v>2.0</v>
      </c>
      <c r="B22" s="664" t="s">
        <v>3673</v>
      </c>
      <c r="C22" s="664">
        <v>3.0</v>
      </c>
      <c r="D22" s="664" t="s">
        <v>92</v>
      </c>
      <c r="E22" s="664" t="s">
        <v>3679</v>
      </c>
      <c r="F22" s="664" t="s">
        <v>3680</v>
      </c>
      <c r="G22" s="665">
        <v>10.0</v>
      </c>
      <c r="H22" s="664" t="s">
        <v>3142</v>
      </c>
      <c r="I22" s="677" t="s">
        <v>3655</v>
      </c>
      <c r="J22" s="678"/>
      <c r="K22" s="678"/>
      <c r="L22" s="664" t="s">
        <v>3678</v>
      </c>
      <c r="M22" s="669"/>
      <c r="N22" s="669"/>
      <c r="O22" s="669"/>
      <c r="P22" s="669"/>
      <c r="Q22" s="669"/>
      <c r="R22" s="669"/>
      <c r="S22" s="669"/>
      <c r="T22" s="669"/>
      <c r="U22" s="669"/>
      <c r="V22" s="669"/>
      <c r="W22" s="669"/>
      <c r="X22" s="669"/>
      <c r="Y22" s="669"/>
      <c r="Z22" s="669"/>
      <c r="AA22" s="669"/>
    </row>
    <row r="23">
      <c r="A23" s="662">
        <v>3.0</v>
      </c>
      <c r="B23" s="664" t="s">
        <v>3673</v>
      </c>
      <c r="C23" s="664">
        <v>3.0</v>
      </c>
      <c r="D23" s="664" t="s">
        <v>92</v>
      </c>
      <c r="E23" s="664" t="s">
        <v>3681</v>
      </c>
      <c r="F23" s="664" t="s">
        <v>3682</v>
      </c>
      <c r="G23" s="665">
        <v>10.0</v>
      </c>
      <c r="H23" s="664" t="s">
        <v>156</v>
      </c>
      <c r="I23" s="677" t="s">
        <v>3655</v>
      </c>
      <c r="J23" s="678"/>
      <c r="K23" s="678"/>
      <c r="L23" s="664" t="s">
        <v>3678</v>
      </c>
      <c r="M23" s="669"/>
      <c r="N23" s="669"/>
      <c r="O23" s="669"/>
      <c r="P23" s="669"/>
      <c r="Q23" s="669"/>
      <c r="R23" s="669"/>
      <c r="S23" s="669"/>
      <c r="T23" s="669"/>
      <c r="U23" s="669"/>
      <c r="V23" s="669"/>
      <c r="W23" s="669"/>
      <c r="X23" s="669"/>
      <c r="Y23" s="669"/>
      <c r="Z23" s="669"/>
      <c r="AA23" s="669"/>
    </row>
    <row r="24">
      <c r="A24" s="662">
        <v>4.0</v>
      </c>
      <c r="B24" s="664" t="s">
        <v>3673</v>
      </c>
      <c r="C24" s="664">
        <v>3.0</v>
      </c>
      <c r="D24" s="664" t="s">
        <v>92</v>
      </c>
      <c r="E24" s="664" t="s">
        <v>299</v>
      </c>
      <c r="F24" s="664"/>
      <c r="G24" s="665">
        <v>4.0</v>
      </c>
      <c r="H24" s="664" t="s">
        <v>156</v>
      </c>
      <c r="I24" s="677" t="s">
        <v>3655</v>
      </c>
      <c r="J24" s="678"/>
      <c r="K24" s="678"/>
      <c r="L24" s="664" t="s">
        <v>3678</v>
      </c>
      <c r="M24" s="669"/>
      <c r="N24" s="669"/>
      <c r="O24" s="669"/>
      <c r="P24" s="669"/>
      <c r="Q24" s="669"/>
      <c r="R24" s="669"/>
      <c r="S24" s="669"/>
      <c r="T24" s="669"/>
      <c r="U24" s="669"/>
      <c r="V24" s="669"/>
      <c r="W24" s="669"/>
      <c r="X24" s="669"/>
      <c r="Y24" s="669"/>
      <c r="Z24" s="669"/>
      <c r="AA24" s="669"/>
    </row>
    <row r="25">
      <c r="A25" s="662">
        <v>5.0</v>
      </c>
      <c r="B25" s="664" t="s">
        <v>3673</v>
      </c>
      <c r="C25" s="664">
        <v>3.0</v>
      </c>
      <c r="D25" s="664" t="s">
        <v>92</v>
      </c>
      <c r="E25" s="664" t="s">
        <v>309</v>
      </c>
      <c r="F25" s="664"/>
      <c r="G25" s="665">
        <v>4.0</v>
      </c>
      <c r="H25" s="664" t="s">
        <v>156</v>
      </c>
      <c r="I25" s="677" t="s">
        <v>3655</v>
      </c>
      <c r="J25" s="678"/>
      <c r="K25" s="678"/>
      <c r="L25" s="664" t="s">
        <v>3678</v>
      </c>
      <c r="M25" s="669"/>
      <c r="N25" s="669"/>
      <c r="O25" s="669"/>
      <c r="P25" s="669"/>
      <c r="Q25" s="669"/>
      <c r="R25" s="669"/>
      <c r="S25" s="669"/>
      <c r="T25" s="669"/>
      <c r="U25" s="669"/>
      <c r="V25" s="669"/>
      <c r="W25" s="669"/>
      <c r="X25" s="669"/>
      <c r="Y25" s="669"/>
      <c r="Z25" s="669"/>
      <c r="AA25" s="669"/>
    </row>
    <row r="26">
      <c r="A26" s="662">
        <v>6.0</v>
      </c>
      <c r="B26" s="664" t="s">
        <v>3673</v>
      </c>
      <c r="C26" s="664">
        <v>3.0</v>
      </c>
      <c r="D26" s="664" t="s">
        <v>92</v>
      </c>
      <c r="E26" s="664" t="s">
        <v>301</v>
      </c>
      <c r="F26" s="664" t="s">
        <v>3683</v>
      </c>
      <c r="G26" s="665">
        <v>2.0</v>
      </c>
      <c r="H26" s="664" t="s">
        <v>156</v>
      </c>
      <c r="I26" s="677" t="s">
        <v>3655</v>
      </c>
      <c r="J26" s="678"/>
      <c r="K26" s="678"/>
      <c r="L26" s="664" t="s">
        <v>3678</v>
      </c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69"/>
    </row>
    <row r="27">
      <c r="A27" s="662">
        <v>7.0</v>
      </c>
      <c r="B27" s="664" t="s">
        <v>3673</v>
      </c>
      <c r="C27" s="664">
        <v>3.0</v>
      </c>
      <c r="D27" s="664" t="s">
        <v>92</v>
      </c>
      <c r="E27" s="664" t="s">
        <v>914</v>
      </c>
      <c r="F27" s="664"/>
      <c r="G27" s="665">
        <v>10.0</v>
      </c>
      <c r="H27" s="664" t="s">
        <v>156</v>
      </c>
      <c r="I27" s="677" t="s">
        <v>3655</v>
      </c>
      <c r="J27" s="678"/>
      <c r="K27" s="678"/>
      <c r="L27" s="664" t="s">
        <v>3678</v>
      </c>
      <c r="M27" s="669"/>
      <c r="N27" s="669"/>
      <c r="O27" s="669"/>
      <c r="P27" s="669"/>
      <c r="Q27" s="669"/>
      <c r="R27" s="669"/>
      <c r="S27" s="669"/>
      <c r="T27" s="669"/>
      <c r="U27" s="669"/>
      <c r="V27" s="669"/>
      <c r="W27" s="669"/>
      <c r="X27" s="669"/>
      <c r="Y27" s="669"/>
      <c r="Z27" s="669"/>
      <c r="AA27" s="669"/>
    </row>
    <row r="28">
      <c r="A28" s="662">
        <v>8.0</v>
      </c>
      <c r="B28" s="664" t="s">
        <v>3673</v>
      </c>
      <c r="C28" s="664">
        <v>3.0</v>
      </c>
      <c r="D28" s="664" t="s">
        <v>92</v>
      </c>
      <c r="E28" s="664" t="s">
        <v>372</v>
      </c>
      <c r="F28" s="664" t="s">
        <v>3684</v>
      </c>
      <c r="G28" s="665">
        <v>4.0</v>
      </c>
      <c r="H28" s="664" t="s">
        <v>156</v>
      </c>
      <c r="I28" s="677" t="s">
        <v>3655</v>
      </c>
      <c r="J28" s="678"/>
      <c r="K28" s="678"/>
      <c r="L28" s="664" t="s">
        <v>3678</v>
      </c>
      <c r="M28" s="669"/>
      <c r="N28" s="669"/>
      <c r="O28" s="669"/>
      <c r="P28" s="669"/>
      <c r="Q28" s="669"/>
      <c r="R28" s="669"/>
      <c r="S28" s="669"/>
      <c r="T28" s="669"/>
      <c r="U28" s="669"/>
      <c r="V28" s="669"/>
      <c r="W28" s="669"/>
      <c r="X28" s="669"/>
      <c r="Y28" s="669"/>
      <c r="Z28" s="669"/>
      <c r="AA28" s="669"/>
    </row>
    <row r="29">
      <c r="A29" s="662">
        <v>9.0</v>
      </c>
      <c r="B29" s="664" t="s">
        <v>3673</v>
      </c>
      <c r="C29" s="664">
        <v>3.0</v>
      </c>
      <c r="D29" s="664" t="s">
        <v>92</v>
      </c>
      <c r="E29" s="664" t="s">
        <v>3685</v>
      </c>
      <c r="F29" s="664"/>
      <c r="G29" s="665">
        <v>5.0</v>
      </c>
      <c r="H29" s="664" t="s">
        <v>156</v>
      </c>
      <c r="I29" s="677" t="s">
        <v>3655</v>
      </c>
      <c r="J29" s="678"/>
      <c r="K29" s="678"/>
      <c r="L29" s="664" t="s">
        <v>3678</v>
      </c>
      <c r="M29" s="669"/>
      <c r="N29" s="669"/>
      <c r="O29" s="669"/>
      <c r="P29" s="669"/>
      <c r="Q29" s="669"/>
      <c r="R29" s="669"/>
      <c r="S29" s="669"/>
      <c r="T29" s="669"/>
      <c r="U29" s="669"/>
      <c r="V29" s="669"/>
      <c r="W29" s="669"/>
      <c r="X29" s="669"/>
      <c r="Y29" s="669"/>
      <c r="Z29" s="669"/>
      <c r="AA29" s="669"/>
    </row>
    <row r="30">
      <c r="A30" s="662">
        <v>10.0</v>
      </c>
      <c r="B30" s="664" t="s">
        <v>3673</v>
      </c>
      <c r="C30" s="664">
        <v>3.0</v>
      </c>
      <c r="D30" s="664" t="s">
        <v>92</v>
      </c>
      <c r="E30" s="664" t="s">
        <v>88</v>
      </c>
      <c r="F30" s="664"/>
      <c r="G30" s="665">
        <v>4.0</v>
      </c>
      <c r="H30" s="664" t="s">
        <v>156</v>
      </c>
      <c r="I30" s="677" t="s">
        <v>3655</v>
      </c>
      <c r="J30" s="678"/>
      <c r="K30" s="678"/>
      <c r="L30" s="664" t="s">
        <v>3678</v>
      </c>
      <c r="M30" s="669"/>
      <c r="N30" s="669"/>
      <c r="O30" s="669"/>
      <c r="P30" s="669"/>
      <c r="Q30" s="669"/>
      <c r="R30" s="669"/>
      <c r="S30" s="669"/>
      <c r="T30" s="669"/>
      <c r="U30" s="669"/>
      <c r="V30" s="669"/>
      <c r="W30" s="669"/>
      <c r="X30" s="669"/>
      <c r="Y30" s="669"/>
      <c r="Z30" s="669"/>
      <c r="AA30" s="669"/>
    </row>
    <row r="31">
      <c r="A31" s="662">
        <v>11.0</v>
      </c>
      <c r="B31" s="664" t="s">
        <v>3673</v>
      </c>
      <c r="C31" s="664">
        <v>3.0</v>
      </c>
      <c r="D31" s="664" t="s">
        <v>92</v>
      </c>
      <c r="E31" s="664" t="s">
        <v>372</v>
      </c>
      <c r="F31" s="664" t="s">
        <v>3686</v>
      </c>
      <c r="G31" s="665">
        <v>1.0</v>
      </c>
      <c r="H31" s="664" t="s">
        <v>156</v>
      </c>
      <c r="I31" s="677" t="s">
        <v>3655</v>
      </c>
      <c r="J31" s="678"/>
      <c r="K31" s="678"/>
      <c r="L31" s="664" t="s">
        <v>3678</v>
      </c>
      <c r="M31" s="669"/>
      <c r="N31" s="669"/>
      <c r="O31" s="669"/>
      <c r="P31" s="669"/>
      <c r="Q31" s="669"/>
      <c r="R31" s="669"/>
      <c r="S31" s="669"/>
      <c r="T31" s="669"/>
      <c r="U31" s="669"/>
      <c r="V31" s="669"/>
      <c r="W31" s="669"/>
      <c r="X31" s="669"/>
      <c r="Y31" s="669"/>
      <c r="Z31" s="669"/>
      <c r="AA31" s="669"/>
    </row>
    <row r="32">
      <c r="A32" s="662">
        <v>12.0</v>
      </c>
      <c r="B32" s="664" t="s">
        <v>3673</v>
      </c>
      <c r="C32" s="664">
        <v>3.0</v>
      </c>
      <c r="D32" s="664" t="s">
        <v>92</v>
      </c>
      <c r="E32" s="664" t="s">
        <v>3687</v>
      </c>
      <c r="F32" s="664"/>
      <c r="G32" s="665">
        <v>10.0</v>
      </c>
      <c r="H32" s="664" t="s">
        <v>156</v>
      </c>
      <c r="I32" s="677" t="s">
        <v>3655</v>
      </c>
      <c r="J32" s="678"/>
      <c r="K32" s="678"/>
      <c r="L32" s="664" t="s">
        <v>3678</v>
      </c>
      <c r="M32" s="669"/>
      <c r="N32" s="669"/>
      <c r="O32" s="669"/>
      <c r="P32" s="669"/>
      <c r="Q32" s="669"/>
      <c r="R32" s="669"/>
      <c r="S32" s="669"/>
      <c r="T32" s="669"/>
      <c r="U32" s="669"/>
      <c r="V32" s="669"/>
      <c r="W32" s="669"/>
      <c r="X32" s="669"/>
      <c r="Y32" s="669"/>
      <c r="Z32" s="669"/>
      <c r="AA32" s="669"/>
    </row>
    <row r="33">
      <c r="A33" s="662">
        <v>13.0</v>
      </c>
      <c r="B33" s="664" t="s">
        <v>3673</v>
      </c>
      <c r="C33" s="664">
        <v>3.0</v>
      </c>
      <c r="D33" s="664" t="s">
        <v>92</v>
      </c>
      <c r="E33" s="664" t="s">
        <v>798</v>
      </c>
      <c r="F33" s="664" t="s">
        <v>3688</v>
      </c>
      <c r="G33" s="665">
        <v>25.0</v>
      </c>
      <c r="H33" s="664" t="s">
        <v>1673</v>
      </c>
      <c r="I33" s="677" t="s">
        <v>3655</v>
      </c>
      <c r="J33" s="678"/>
      <c r="K33" s="678"/>
      <c r="L33" s="664" t="s">
        <v>3678</v>
      </c>
      <c r="M33" s="669"/>
      <c r="N33" s="669"/>
      <c r="O33" s="669"/>
      <c r="P33" s="669"/>
      <c r="Q33" s="669"/>
      <c r="R33" s="669"/>
      <c r="S33" s="669"/>
      <c r="T33" s="669"/>
      <c r="U33" s="669"/>
      <c r="V33" s="669"/>
      <c r="W33" s="669"/>
      <c r="X33" s="669"/>
      <c r="Y33" s="669"/>
      <c r="Z33" s="669"/>
      <c r="AA33" s="669"/>
    </row>
    <row r="34">
      <c r="A34" s="662">
        <v>14.0</v>
      </c>
      <c r="B34" s="664" t="s">
        <v>3673</v>
      </c>
      <c r="C34" s="664">
        <v>3.0</v>
      </c>
      <c r="D34" s="664" t="s">
        <v>92</v>
      </c>
      <c r="E34" s="664" t="s">
        <v>798</v>
      </c>
      <c r="F34" s="664" t="s">
        <v>3689</v>
      </c>
      <c r="G34" s="665">
        <v>25.0</v>
      </c>
      <c r="H34" s="664" t="s">
        <v>1673</v>
      </c>
      <c r="I34" s="677" t="s">
        <v>3655</v>
      </c>
      <c r="J34" s="678"/>
      <c r="K34" s="678"/>
      <c r="L34" s="664" t="s">
        <v>3678</v>
      </c>
      <c r="M34" s="669"/>
      <c r="N34" s="669"/>
      <c r="O34" s="669"/>
      <c r="P34" s="669"/>
      <c r="Q34" s="669"/>
      <c r="R34" s="669"/>
      <c r="S34" s="669"/>
      <c r="T34" s="669"/>
      <c r="U34" s="669"/>
      <c r="V34" s="669"/>
      <c r="W34" s="669"/>
      <c r="X34" s="669"/>
      <c r="Y34" s="669"/>
      <c r="Z34" s="669"/>
      <c r="AA34" s="669"/>
    </row>
    <row r="35">
      <c r="A35" s="662">
        <v>15.0</v>
      </c>
      <c r="B35" s="664" t="s">
        <v>3673</v>
      </c>
      <c r="C35" s="664">
        <v>3.0</v>
      </c>
      <c r="D35" s="664" t="s">
        <v>92</v>
      </c>
      <c r="E35" s="664" t="s">
        <v>28</v>
      </c>
      <c r="F35" s="678"/>
      <c r="G35" s="665">
        <v>2.0</v>
      </c>
      <c r="H35" s="664" t="s">
        <v>156</v>
      </c>
      <c r="I35" s="677" t="s">
        <v>3655</v>
      </c>
      <c r="J35" s="678"/>
      <c r="K35" s="678"/>
      <c r="L35" s="664" t="s">
        <v>3678</v>
      </c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69"/>
    </row>
    <row r="36">
      <c r="A36" s="662">
        <v>16.0</v>
      </c>
      <c r="B36" s="664" t="s">
        <v>3673</v>
      </c>
      <c r="C36" s="664">
        <v>3.0</v>
      </c>
      <c r="D36" s="664" t="s">
        <v>92</v>
      </c>
      <c r="E36" s="664" t="s">
        <v>300</v>
      </c>
      <c r="F36" s="678"/>
      <c r="G36" s="665">
        <v>4.0</v>
      </c>
      <c r="H36" s="664" t="s">
        <v>156</v>
      </c>
      <c r="I36" s="677" t="s">
        <v>3655</v>
      </c>
      <c r="J36" s="678"/>
      <c r="K36" s="678"/>
      <c r="L36" s="664" t="s">
        <v>3678</v>
      </c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9"/>
    </row>
    <row r="37">
      <c r="A37" s="687"/>
      <c r="B37" s="690"/>
      <c r="C37" s="690"/>
      <c r="D37" s="690"/>
      <c r="E37" s="690"/>
      <c r="F37" s="690"/>
      <c r="G37" s="691"/>
      <c r="H37" s="690"/>
      <c r="I37" s="690"/>
      <c r="J37" s="690"/>
      <c r="K37" s="690"/>
      <c r="L37" s="690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669"/>
    </row>
    <row r="38">
      <c r="A38" s="662">
        <v>1.0</v>
      </c>
      <c r="B38" s="664" t="s">
        <v>3673</v>
      </c>
      <c r="C38" s="664">
        <v>5.0</v>
      </c>
      <c r="D38" s="664" t="s">
        <v>92</v>
      </c>
      <c r="E38" s="664" t="s">
        <v>3349</v>
      </c>
      <c r="F38" s="664" t="s">
        <v>3690</v>
      </c>
      <c r="G38" s="665">
        <v>20.0</v>
      </c>
      <c r="H38" s="664" t="s">
        <v>981</v>
      </c>
      <c r="I38" s="671" t="s">
        <v>3691</v>
      </c>
      <c r="J38" s="678"/>
      <c r="K38" s="678"/>
      <c r="L38" s="664" t="s">
        <v>3665</v>
      </c>
      <c r="M38" s="669"/>
      <c r="N38" s="669"/>
      <c r="O38" s="669"/>
      <c r="P38" s="669"/>
      <c r="Q38" s="669"/>
      <c r="R38" s="669"/>
      <c r="S38" s="669"/>
      <c r="T38" s="669"/>
      <c r="U38" s="669"/>
      <c r="V38" s="669"/>
      <c r="W38" s="669"/>
      <c r="X38" s="669"/>
      <c r="Y38" s="669"/>
      <c r="Z38" s="669"/>
      <c r="AA38" s="669"/>
    </row>
    <row r="39">
      <c r="A39" s="662">
        <v>2.0</v>
      </c>
      <c r="B39" s="664" t="s">
        <v>3673</v>
      </c>
      <c r="C39" s="664">
        <v>5.0</v>
      </c>
      <c r="D39" s="664" t="s">
        <v>92</v>
      </c>
      <c r="E39" s="664" t="s">
        <v>3692</v>
      </c>
      <c r="F39" s="664" t="s">
        <v>3693</v>
      </c>
      <c r="G39" s="665">
        <v>50.0</v>
      </c>
      <c r="H39" s="664" t="s">
        <v>156</v>
      </c>
      <c r="I39" s="666" t="s">
        <v>3694</v>
      </c>
      <c r="J39" s="678"/>
      <c r="K39" s="678"/>
      <c r="L39" s="664" t="s">
        <v>3654</v>
      </c>
      <c r="M39" s="669"/>
      <c r="N39" s="669"/>
      <c r="O39" s="669"/>
      <c r="P39" s="669"/>
      <c r="Q39" s="669"/>
      <c r="R39" s="669"/>
      <c r="S39" s="669"/>
      <c r="T39" s="669"/>
      <c r="U39" s="669"/>
      <c r="V39" s="669"/>
      <c r="W39" s="669"/>
      <c r="X39" s="669"/>
      <c r="Y39" s="669"/>
      <c r="Z39" s="669"/>
      <c r="AA39" s="669"/>
    </row>
    <row r="40">
      <c r="A40" s="662">
        <v>3.0</v>
      </c>
      <c r="B40" s="664" t="s">
        <v>3673</v>
      </c>
      <c r="C40" s="664">
        <v>5.0</v>
      </c>
      <c r="D40" s="664" t="s">
        <v>92</v>
      </c>
      <c r="E40" s="692" t="s">
        <v>3692</v>
      </c>
      <c r="F40" s="664" t="s">
        <v>3695</v>
      </c>
      <c r="G40" s="665">
        <v>10.0</v>
      </c>
      <c r="H40" s="664" t="s">
        <v>156</v>
      </c>
      <c r="I40" s="671" t="s">
        <v>3696</v>
      </c>
      <c r="J40" s="678"/>
      <c r="K40" s="678"/>
      <c r="L40" s="664" t="s">
        <v>3654</v>
      </c>
      <c r="M40" s="669"/>
      <c r="N40" s="669"/>
      <c r="O40" s="669"/>
      <c r="P40" s="669"/>
      <c r="Q40" s="669"/>
      <c r="R40" s="669"/>
      <c r="S40" s="669"/>
      <c r="T40" s="669"/>
      <c r="U40" s="669"/>
      <c r="V40" s="669"/>
      <c r="W40" s="669"/>
      <c r="X40" s="669"/>
      <c r="Y40" s="669"/>
      <c r="Z40" s="669"/>
      <c r="AA40" s="669"/>
    </row>
    <row r="41">
      <c r="A41" s="662">
        <v>4.0</v>
      </c>
      <c r="B41" s="664" t="s">
        <v>3673</v>
      </c>
      <c r="C41" s="664">
        <v>5.0</v>
      </c>
      <c r="D41" s="664" t="s">
        <v>92</v>
      </c>
      <c r="E41" s="664" t="s">
        <v>863</v>
      </c>
      <c r="F41" s="664" t="s">
        <v>3697</v>
      </c>
      <c r="G41" s="665">
        <v>20.0</v>
      </c>
      <c r="H41" s="664" t="s">
        <v>156</v>
      </c>
      <c r="I41" s="671" t="s">
        <v>3691</v>
      </c>
      <c r="J41" s="678"/>
      <c r="K41" s="678"/>
      <c r="L41" s="664" t="s">
        <v>3665</v>
      </c>
      <c r="M41" s="669"/>
      <c r="N41" s="669"/>
      <c r="O41" s="669"/>
      <c r="P41" s="669"/>
      <c r="Q41" s="669"/>
      <c r="R41" s="669"/>
      <c r="S41" s="669"/>
      <c r="T41" s="669"/>
      <c r="U41" s="669"/>
      <c r="V41" s="669"/>
      <c r="W41" s="669"/>
      <c r="X41" s="669"/>
      <c r="Y41" s="669"/>
      <c r="Z41" s="669"/>
      <c r="AA41" s="669"/>
    </row>
    <row r="42">
      <c r="A42" s="687"/>
      <c r="B42" s="690"/>
      <c r="C42" s="690"/>
      <c r="D42" s="690"/>
      <c r="E42" s="690"/>
      <c r="F42" s="690"/>
      <c r="G42" s="691"/>
      <c r="H42" s="690"/>
      <c r="I42" s="690"/>
      <c r="J42" s="690"/>
      <c r="K42" s="690"/>
      <c r="L42" s="690"/>
      <c r="M42" s="669"/>
      <c r="N42" s="669"/>
      <c r="O42" s="669"/>
      <c r="P42" s="669"/>
      <c r="Q42" s="669"/>
      <c r="R42" s="669"/>
      <c r="S42" s="669"/>
      <c r="T42" s="669"/>
      <c r="U42" s="669"/>
      <c r="V42" s="669"/>
      <c r="W42" s="669"/>
      <c r="X42" s="669"/>
      <c r="Y42" s="669"/>
      <c r="Z42" s="669"/>
      <c r="AA42" s="669"/>
    </row>
    <row r="43">
      <c r="A43" s="662">
        <v>1.0</v>
      </c>
      <c r="B43" s="664" t="s">
        <v>3698</v>
      </c>
      <c r="C43" s="664">
        <v>6.0</v>
      </c>
      <c r="D43" s="664" t="s">
        <v>92</v>
      </c>
      <c r="E43" s="664" t="s">
        <v>3699</v>
      </c>
      <c r="F43" s="664" t="s">
        <v>3700</v>
      </c>
      <c r="G43" s="665">
        <v>2.0</v>
      </c>
      <c r="H43" s="664" t="s">
        <v>2765</v>
      </c>
      <c r="I43" s="677" t="s">
        <v>3655</v>
      </c>
      <c r="J43" s="678"/>
      <c r="K43" s="678"/>
      <c r="L43" s="664" t="s">
        <v>3665</v>
      </c>
      <c r="M43" s="669"/>
      <c r="N43" s="669"/>
      <c r="O43" s="669"/>
      <c r="P43" s="669"/>
      <c r="Q43" s="669"/>
      <c r="R43" s="669"/>
      <c r="S43" s="669"/>
      <c r="T43" s="669"/>
      <c r="U43" s="669"/>
      <c r="V43" s="669"/>
      <c r="W43" s="669"/>
      <c r="X43" s="669"/>
      <c r="Y43" s="669"/>
      <c r="Z43" s="669"/>
      <c r="AA43" s="669"/>
    </row>
    <row r="44">
      <c r="A44" s="662">
        <v>2.0</v>
      </c>
      <c r="B44" s="664" t="s">
        <v>3698</v>
      </c>
      <c r="C44" s="664">
        <v>6.0</v>
      </c>
      <c r="D44" s="664" t="s">
        <v>92</v>
      </c>
      <c r="E44" s="664" t="s">
        <v>414</v>
      </c>
      <c r="F44" s="664" t="s">
        <v>3700</v>
      </c>
      <c r="G44" s="665">
        <v>1.0</v>
      </c>
      <c r="H44" s="664" t="s">
        <v>319</v>
      </c>
      <c r="I44" s="677" t="s">
        <v>3655</v>
      </c>
      <c r="J44" s="678"/>
      <c r="K44" s="678"/>
      <c r="L44" s="664" t="s">
        <v>3665</v>
      </c>
      <c r="M44" s="669"/>
      <c r="N44" s="669"/>
      <c r="O44" s="669"/>
      <c r="P44" s="669"/>
      <c r="Q44" s="669"/>
      <c r="R44" s="669"/>
      <c r="S44" s="669"/>
      <c r="T44" s="669"/>
      <c r="U44" s="669"/>
      <c r="V44" s="669"/>
      <c r="W44" s="669"/>
      <c r="X44" s="669"/>
      <c r="Y44" s="669"/>
      <c r="Z44" s="669"/>
      <c r="AA44" s="669"/>
    </row>
    <row r="45">
      <c r="A45" s="662">
        <v>3.0</v>
      </c>
      <c r="B45" s="664" t="s">
        <v>3698</v>
      </c>
      <c r="C45" s="664">
        <v>6.0</v>
      </c>
      <c r="D45" s="664" t="s">
        <v>92</v>
      </c>
      <c r="E45" s="664" t="s">
        <v>3701</v>
      </c>
      <c r="F45" s="664" t="s">
        <v>3700</v>
      </c>
      <c r="G45" s="665">
        <v>1.0</v>
      </c>
      <c r="H45" s="664" t="s">
        <v>319</v>
      </c>
      <c r="I45" s="677" t="s">
        <v>3655</v>
      </c>
      <c r="J45" s="678"/>
      <c r="K45" s="678"/>
      <c r="L45" s="664" t="s">
        <v>3665</v>
      </c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69"/>
    </row>
    <row r="46">
      <c r="A46" s="687"/>
      <c r="B46" s="690"/>
      <c r="C46" s="690"/>
      <c r="D46" s="690"/>
      <c r="E46" s="690"/>
      <c r="F46" s="690"/>
      <c r="G46" s="691"/>
      <c r="H46" s="690"/>
      <c r="I46" s="690"/>
      <c r="J46" s="690"/>
      <c r="K46" s="690"/>
      <c r="L46" s="690"/>
      <c r="M46" s="669"/>
      <c r="N46" s="669"/>
      <c r="O46" s="669"/>
      <c r="P46" s="669"/>
      <c r="Q46" s="669"/>
      <c r="R46" s="669"/>
      <c r="S46" s="669"/>
      <c r="T46" s="669"/>
      <c r="U46" s="669"/>
      <c r="V46" s="669"/>
      <c r="W46" s="669"/>
      <c r="X46" s="669"/>
      <c r="Y46" s="669"/>
      <c r="Z46" s="669"/>
      <c r="AA46" s="669"/>
    </row>
    <row r="47">
      <c r="A47" s="662">
        <v>1.0</v>
      </c>
      <c r="B47" s="664" t="s">
        <v>3698</v>
      </c>
      <c r="C47" s="664">
        <v>7.0</v>
      </c>
      <c r="D47" s="664" t="s">
        <v>92</v>
      </c>
      <c r="E47" s="664" t="s">
        <v>3702</v>
      </c>
      <c r="F47" s="664" t="s">
        <v>3703</v>
      </c>
      <c r="G47" s="665">
        <v>10.0</v>
      </c>
      <c r="H47" s="664" t="s">
        <v>156</v>
      </c>
      <c r="I47" s="666" t="s">
        <v>3704</v>
      </c>
      <c r="J47" s="664">
        <v>5.0</v>
      </c>
      <c r="K47" s="664" t="s">
        <v>156</v>
      </c>
      <c r="L47" s="664" t="s">
        <v>3665</v>
      </c>
      <c r="M47" s="669"/>
      <c r="N47" s="669"/>
      <c r="O47" s="669"/>
      <c r="P47" s="669"/>
      <c r="Q47" s="669"/>
      <c r="R47" s="669"/>
      <c r="S47" s="669"/>
      <c r="T47" s="669"/>
      <c r="U47" s="669"/>
      <c r="V47" s="669"/>
      <c r="W47" s="669"/>
      <c r="X47" s="669"/>
      <c r="Y47" s="669"/>
      <c r="Z47" s="669"/>
      <c r="AA47" s="669"/>
    </row>
    <row r="48">
      <c r="A48" s="662">
        <v>2.0</v>
      </c>
      <c r="B48" s="664" t="s">
        <v>3698</v>
      </c>
      <c r="C48" s="664">
        <v>7.0</v>
      </c>
      <c r="D48" s="664" t="s">
        <v>92</v>
      </c>
      <c r="E48" s="664" t="s">
        <v>3702</v>
      </c>
      <c r="F48" s="664" t="s">
        <v>3705</v>
      </c>
      <c r="G48" s="665">
        <v>8.0</v>
      </c>
      <c r="H48" s="664" t="s">
        <v>156</v>
      </c>
      <c r="I48" s="671" t="s">
        <v>3706</v>
      </c>
      <c r="J48" s="664">
        <v>0.0</v>
      </c>
      <c r="K48" s="664">
        <v>0.0</v>
      </c>
      <c r="L48" s="664" t="s">
        <v>3654</v>
      </c>
      <c r="M48" s="669"/>
      <c r="N48" s="669"/>
      <c r="O48" s="669"/>
      <c r="P48" s="669"/>
      <c r="Q48" s="669"/>
      <c r="R48" s="669"/>
      <c r="S48" s="669"/>
      <c r="T48" s="669"/>
      <c r="U48" s="669"/>
      <c r="V48" s="669"/>
      <c r="W48" s="669"/>
      <c r="X48" s="669"/>
      <c r="Y48" s="669"/>
      <c r="Z48" s="669"/>
      <c r="AA48" s="669"/>
    </row>
    <row r="49">
      <c r="A49" s="662">
        <v>3.0</v>
      </c>
      <c r="B49" s="664" t="s">
        <v>3698</v>
      </c>
      <c r="C49" s="664">
        <v>7.0</v>
      </c>
      <c r="D49" s="664" t="s">
        <v>92</v>
      </c>
      <c r="E49" s="664" t="s">
        <v>3286</v>
      </c>
      <c r="F49" s="664" t="s">
        <v>3707</v>
      </c>
      <c r="G49" s="665">
        <v>9.0</v>
      </c>
      <c r="H49" s="664" t="s">
        <v>156</v>
      </c>
      <c r="I49" s="671" t="s">
        <v>3708</v>
      </c>
      <c r="J49" s="664">
        <v>0.0</v>
      </c>
      <c r="K49" s="664">
        <v>0.0</v>
      </c>
      <c r="L49" s="664" t="s">
        <v>3654</v>
      </c>
      <c r="M49" s="669"/>
      <c r="N49" s="669"/>
      <c r="O49" s="669"/>
      <c r="P49" s="669"/>
      <c r="Q49" s="669"/>
      <c r="R49" s="669"/>
      <c r="S49" s="669"/>
      <c r="T49" s="669"/>
      <c r="U49" s="669"/>
      <c r="V49" s="669"/>
      <c r="W49" s="669"/>
      <c r="X49" s="669"/>
      <c r="Y49" s="669"/>
      <c r="Z49" s="669"/>
      <c r="AA49" s="669"/>
    </row>
    <row r="50">
      <c r="A50" s="662">
        <v>4.0</v>
      </c>
      <c r="B50" s="664" t="s">
        <v>3698</v>
      </c>
      <c r="C50" s="664">
        <v>7.0</v>
      </c>
      <c r="D50" s="664" t="s">
        <v>92</v>
      </c>
      <c r="E50" s="664" t="s">
        <v>1371</v>
      </c>
      <c r="F50" s="664" t="s">
        <v>3709</v>
      </c>
      <c r="G50" s="665">
        <v>9.0</v>
      </c>
      <c r="H50" s="664" t="s">
        <v>156</v>
      </c>
      <c r="I50" s="671" t="s">
        <v>3710</v>
      </c>
      <c r="J50" s="664">
        <v>0.0</v>
      </c>
      <c r="K50" s="664" t="s">
        <v>156</v>
      </c>
      <c r="L50" s="664" t="s">
        <v>3665</v>
      </c>
      <c r="M50" s="669"/>
      <c r="N50" s="669"/>
      <c r="O50" s="669"/>
      <c r="P50" s="669"/>
      <c r="Q50" s="669"/>
      <c r="R50" s="669"/>
      <c r="S50" s="669"/>
      <c r="T50" s="669"/>
      <c r="U50" s="669"/>
      <c r="V50" s="669"/>
      <c r="W50" s="669"/>
      <c r="X50" s="669"/>
      <c r="Y50" s="669"/>
      <c r="Z50" s="669"/>
      <c r="AA50" s="669"/>
    </row>
    <row r="51">
      <c r="A51" s="687"/>
      <c r="B51" s="690"/>
      <c r="C51" s="690"/>
      <c r="D51" s="690"/>
      <c r="E51" s="690"/>
      <c r="F51" s="690"/>
      <c r="G51" s="691"/>
      <c r="H51" s="690"/>
      <c r="I51" s="690"/>
      <c r="J51" s="690"/>
      <c r="K51" s="690"/>
      <c r="L51" s="690"/>
      <c r="M51" s="669"/>
      <c r="N51" s="669"/>
      <c r="O51" s="669"/>
      <c r="P51" s="669"/>
      <c r="Q51" s="669"/>
      <c r="R51" s="669"/>
      <c r="S51" s="669"/>
      <c r="T51" s="669"/>
      <c r="U51" s="669"/>
      <c r="V51" s="669"/>
      <c r="W51" s="669"/>
      <c r="X51" s="669"/>
      <c r="Y51" s="669"/>
      <c r="Z51" s="669"/>
      <c r="AA51" s="669"/>
    </row>
    <row r="52">
      <c r="A52" s="662">
        <v>1.0</v>
      </c>
      <c r="B52" s="663">
        <v>46027.0</v>
      </c>
      <c r="C52" s="664">
        <v>8.0</v>
      </c>
      <c r="D52" s="664" t="s">
        <v>92</v>
      </c>
      <c r="E52" s="664" t="s">
        <v>3141</v>
      </c>
      <c r="F52" s="664" t="s">
        <v>3711</v>
      </c>
      <c r="G52" s="665">
        <v>50.0</v>
      </c>
      <c r="H52" s="664" t="s">
        <v>3142</v>
      </c>
      <c r="I52" s="677" t="s">
        <v>3655</v>
      </c>
      <c r="J52" s="664">
        <v>50.0</v>
      </c>
      <c r="K52" s="664" t="s">
        <v>3142</v>
      </c>
      <c r="L52" s="678"/>
      <c r="M52" s="669"/>
      <c r="N52" s="669"/>
      <c r="O52" s="669"/>
      <c r="P52" s="669"/>
      <c r="Q52" s="669"/>
      <c r="R52" s="669"/>
      <c r="S52" s="669"/>
      <c r="T52" s="669"/>
      <c r="U52" s="669"/>
      <c r="V52" s="669"/>
      <c r="W52" s="669"/>
      <c r="X52" s="669"/>
      <c r="Y52" s="669"/>
      <c r="Z52" s="669"/>
      <c r="AA52" s="669"/>
    </row>
    <row r="53">
      <c r="A53" s="687"/>
      <c r="B53" s="690"/>
      <c r="C53" s="690"/>
      <c r="D53" s="690"/>
      <c r="E53" s="690"/>
      <c r="F53" s="690"/>
      <c r="G53" s="691"/>
      <c r="H53" s="690"/>
      <c r="I53" s="690"/>
      <c r="J53" s="690"/>
      <c r="K53" s="690"/>
      <c r="L53" s="690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69"/>
    </row>
    <row r="54">
      <c r="A54" s="662">
        <v>1.0</v>
      </c>
      <c r="B54" s="663">
        <v>46027.0</v>
      </c>
      <c r="C54" s="664">
        <v>9.0</v>
      </c>
      <c r="D54" s="664" t="s">
        <v>92</v>
      </c>
      <c r="E54" s="664" t="s">
        <v>2756</v>
      </c>
      <c r="F54" s="664" t="s">
        <v>3712</v>
      </c>
      <c r="G54" s="665">
        <v>7.0</v>
      </c>
      <c r="H54" s="664" t="s">
        <v>156</v>
      </c>
      <c r="I54" s="677" t="s">
        <v>3655</v>
      </c>
      <c r="J54" s="664">
        <v>7.0</v>
      </c>
      <c r="K54" s="664" t="s">
        <v>156</v>
      </c>
      <c r="L54" s="664" t="s">
        <v>3713</v>
      </c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9"/>
    </row>
    <row r="55">
      <c r="A55" s="662">
        <v>2.0</v>
      </c>
      <c r="B55" s="663">
        <v>46027.0</v>
      </c>
      <c r="C55" s="664">
        <v>9.0</v>
      </c>
      <c r="D55" s="664" t="s">
        <v>92</v>
      </c>
      <c r="E55" s="664" t="s">
        <v>1427</v>
      </c>
      <c r="F55" s="664" t="s">
        <v>3714</v>
      </c>
      <c r="G55" s="665">
        <v>4.0</v>
      </c>
      <c r="H55" s="664" t="s">
        <v>156</v>
      </c>
      <c r="I55" s="677" t="s">
        <v>3655</v>
      </c>
      <c r="J55" s="664">
        <v>4.0</v>
      </c>
      <c r="K55" s="664" t="s">
        <v>156</v>
      </c>
      <c r="L55" s="664" t="s">
        <v>3713</v>
      </c>
      <c r="M55" s="669"/>
      <c r="N55" s="669"/>
      <c r="O55" s="669"/>
      <c r="P55" s="669"/>
      <c r="Q55" s="669"/>
      <c r="R55" s="669"/>
      <c r="S55" s="669"/>
      <c r="T55" s="669"/>
      <c r="U55" s="669"/>
      <c r="V55" s="669"/>
      <c r="W55" s="669"/>
      <c r="X55" s="669"/>
      <c r="Y55" s="669"/>
      <c r="Z55" s="669"/>
      <c r="AA55" s="669"/>
    </row>
    <row r="56">
      <c r="A56" s="662">
        <v>3.0</v>
      </c>
      <c r="B56" s="663">
        <v>46027.0</v>
      </c>
      <c r="C56" s="664">
        <v>9.0</v>
      </c>
      <c r="D56" s="664" t="s">
        <v>92</v>
      </c>
      <c r="E56" s="664" t="s">
        <v>345</v>
      </c>
      <c r="F56" s="664" t="s">
        <v>3715</v>
      </c>
      <c r="G56" s="665">
        <v>4.0</v>
      </c>
      <c r="H56" s="664" t="s">
        <v>156</v>
      </c>
      <c r="I56" s="677" t="s">
        <v>3655</v>
      </c>
      <c r="J56" s="664">
        <v>4.0</v>
      </c>
      <c r="K56" s="664" t="s">
        <v>156</v>
      </c>
      <c r="L56" s="664" t="s">
        <v>3713</v>
      </c>
      <c r="M56" s="669"/>
      <c r="N56" s="669"/>
      <c r="O56" s="669"/>
      <c r="P56" s="669"/>
      <c r="Q56" s="669"/>
      <c r="R56" s="669"/>
      <c r="S56" s="669"/>
      <c r="T56" s="669"/>
      <c r="U56" s="669"/>
      <c r="V56" s="669"/>
      <c r="W56" s="669"/>
      <c r="X56" s="669"/>
      <c r="Y56" s="669"/>
      <c r="Z56" s="669"/>
      <c r="AA56" s="669"/>
    </row>
    <row r="57">
      <c r="A57" s="662">
        <v>4.0</v>
      </c>
      <c r="B57" s="663">
        <v>46027.0</v>
      </c>
      <c r="C57" s="664">
        <v>9.0</v>
      </c>
      <c r="D57" s="664" t="s">
        <v>92</v>
      </c>
      <c r="E57" s="664" t="s">
        <v>346</v>
      </c>
      <c r="F57" s="664" t="s">
        <v>3716</v>
      </c>
      <c r="G57" s="665">
        <v>4.0</v>
      </c>
      <c r="H57" s="664" t="s">
        <v>156</v>
      </c>
      <c r="I57" s="677" t="s">
        <v>3655</v>
      </c>
      <c r="J57" s="664">
        <v>4.0</v>
      </c>
      <c r="K57" s="664" t="s">
        <v>156</v>
      </c>
      <c r="L57" s="664" t="s">
        <v>3713</v>
      </c>
      <c r="M57" s="669"/>
      <c r="N57" s="669"/>
      <c r="O57" s="669"/>
      <c r="P57" s="669"/>
      <c r="Q57" s="669"/>
      <c r="R57" s="669"/>
      <c r="S57" s="669"/>
      <c r="T57" s="669"/>
      <c r="U57" s="669"/>
      <c r="V57" s="669"/>
      <c r="W57" s="669"/>
      <c r="X57" s="669"/>
      <c r="Y57" s="669"/>
      <c r="Z57" s="669"/>
      <c r="AA57" s="669"/>
    </row>
    <row r="58">
      <c r="A58" s="662">
        <v>5.0</v>
      </c>
      <c r="B58" s="663">
        <v>46027.0</v>
      </c>
      <c r="C58" s="664">
        <v>9.0</v>
      </c>
      <c r="D58" s="664" t="s">
        <v>92</v>
      </c>
      <c r="E58" s="664" t="s">
        <v>3717</v>
      </c>
      <c r="F58" s="664" t="s">
        <v>3718</v>
      </c>
      <c r="G58" s="665">
        <v>4.0</v>
      </c>
      <c r="H58" s="664" t="s">
        <v>156</v>
      </c>
      <c r="I58" s="677" t="s">
        <v>3655</v>
      </c>
      <c r="J58" s="664">
        <v>4.0</v>
      </c>
      <c r="K58" s="664" t="s">
        <v>156</v>
      </c>
      <c r="L58" s="664" t="s">
        <v>3713</v>
      </c>
      <c r="M58" s="669"/>
      <c r="N58" s="669"/>
      <c r="O58" s="669"/>
      <c r="P58" s="669"/>
      <c r="Q58" s="669"/>
      <c r="R58" s="669"/>
      <c r="S58" s="669"/>
      <c r="T58" s="669"/>
      <c r="U58" s="669"/>
      <c r="V58" s="669"/>
      <c r="W58" s="669"/>
      <c r="X58" s="669"/>
      <c r="Y58" s="669"/>
      <c r="Z58" s="669"/>
      <c r="AA58" s="669"/>
    </row>
    <row r="59">
      <c r="A59" s="662">
        <v>6.0</v>
      </c>
      <c r="B59" s="663">
        <v>46027.0</v>
      </c>
      <c r="C59" s="664">
        <v>9.0</v>
      </c>
      <c r="D59" s="664" t="s">
        <v>92</v>
      </c>
      <c r="E59" s="664" t="s">
        <v>3719</v>
      </c>
      <c r="F59" s="664" t="s">
        <v>3720</v>
      </c>
      <c r="G59" s="665">
        <v>4.0</v>
      </c>
      <c r="H59" s="664" t="s">
        <v>156</v>
      </c>
      <c r="I59" s="677" t="s">
        <v>3655</v>
      </c>
      <c r="J59" s="664">
        <v>4.0</v>
      </c>
      <c r="K59" s="664" t="s">
        <v>156</v>
      </c>
      <c r="L59" s="664" t="s">
        <v>3713</v>
      </c>
      <c r="M59" s="669"/>
      <c r="N59" s="669"/>
      <c r="O59" s="669"/>
      <c r="P59" s="669"/>
      <c r="Q59" s="669"/>
      <c r="R59" s="669"/>
      <c r="S59" s="669"/>
      <c r="T59" s="669"/>
      <c r="U59" s="669"/>
      <c r="V59" s="669"/>
      <c r="W59" s="669"/>
      <c r="X59" s="669"/>
      <c r="Y59" s="669"/>
      <c r="Z59" s="669"/>
      <c r="AA59" s="669"/>
    </row>
    <row r="60">
      <c r="A60" s="662">
        <v>7.0</v>
      </c>
      <c r="B60" s="663">
        <v>46027.0</v>
      </c>
      <c r="C60" s="664">
        <v>9.0</v>
      </c>
      <c r="D60" s="664" t="s">
        <v>92</v>
      </c>
      <c r="E60" s="664" t="s">
        <v>3721</v>
      </c>
      <c r="F60" s="664" t="s">
        <v>3722</v>
      </c>
      <c r="G60" s="665">
        <v>2.0</v>
      </c>
      <c r="H60" s="664" t="s">
        <v>156</v>
      </c>
      <c r="I60" s="677" t="s">
        <v>3655</v>
      </c>
      <c r="J60" s="664">
        <v>2.0</v>
      </c>
      <c r="K60" s="664" t="s">
        <v>156</v>
      </c>
      <c r="L60" s="664" t="s">
        <v>3713</v>
      </c>
      <c r="M60" s="669"/>
      <c r="N60" s="669"/>
      <c r="O60" s="669"/>
      <c r="P60" s="669"/>
      <c r="Q60" s="669"/>
      <c r="R60" s="669"/>
      <c r="S60" s="669"/>
      <c r="T60" s="669"/>
      <c r="U60" s="669"/>
      <c r="V60" s="669"/>
      <c r="W60" s="669"/>
      <c r="X60" s="669"/>
      <c r="Y60" s="669"/>
      <c r="Z60" s="669"/>
      <c r="AA60" s="669"/>
    </row>
    <row r="61">
      <c r="A61" s="662">
        <v>8.0</v>
      </c>
      <c r="B61" s="663">
        <v>46027.0</v>
      </c>
      <c r="C61" s="664">
        <v>9.0</v>
      </c>
      <c r="D61" s="664" t="s">
        <v>92</v>
      </c>
      <c r="E61" s="664" t="s">
        <v>3723</v>
      </c>
      <c r="F61" s="664" t="s">
        <v>3724</v>
      </c>
      <c r="G61" s="665">
        <v>3.0</v>
      </c>
      <c r="H61" s="664" t="s">
        <v>981</v>
      </c>
      <c r="I61" s="677" t="s">
        <v>3655</v>
      </c>
      <c r="J61" s="664">
        <v>3.0</v>
      </c>
      <c r="K61" s="664" t="s">
        <v>981</v>
      </c>
      <c r="L61" s="664" t="s">
        <v>3713</v>
      </c>
      <c r="M61" s="669"/>
      <c r="N61" s="669"/>
      <c r="O61" s="669"/>
      <c r="P61" s="669"/>
      <c r="Q61" s="669"/>
      <c r="R61" s="669"/>
      <c r="S61" s="669"/>
      <c r="T61" s="669"/>
      <c r="U61" s="669"/>
      <c r="V61" s="669"/>
      <c r="W61" s="669"/>
      <c r="X61" s="669"/>
      <c r="Y61" s="669"/>
      <c r="Z61" s="669"/>
      <c r="AA61" s="669"/>
    </row>
    <row r="62">
      <c r="A62" s="662">
        <v>9.0</v>
      </c>
      <c r="B62" s="663">
        <v>46027.0</v>
      </c>
      <c r="C62" s="664">
        <v>9.0</v>
      </c>
      <c r="D62" s="664" t="s">
        <v>92</v>
      </c>
      <c r="E62" s="664" t="s">
        <v>3723</v>
      </c>
      <c r="F62" s="693" t="s">
        <v>3725</v>
      </c>
      <c r="G62" s="665">
        <v>3.0</v>
      </c>
      <c r="H62" s="664" t="s">
        <v>981</v>
      </c>
      <c r="I62" s="677" t="s">
        <v>3655</v>
      </c>
      <c r="J62" s="664">
        <v>3.0</v>
      </c>
      <c r="K62" s="664" t="s">
        <v>981</v>
      </c>
      <c r="L62" s="664" t="s">
        <v>3713</v>
      </c>
      <c r="M62" s="669"/>
      <c r="N62" s="669"/>
      <c r="O62" s="669"/>
      <c r="P62" s="669"/>
      <c r="Q62" s="669"/>
      <c r="R62" s="669"/>
      <c r="S62" s="669"/>
      <c r="T62" s="669"/>
      <c r="U62" s="669"/>
      <c r="V62" s="669"/>
      <c r="W62" s="669"/>
      <c r="X62" s="669"/>
      <c r="Y62" s="669"/>
      <c r="Z62" s="669"/>
      <c r="AA62" s="669"/>
    </row>
    <row r="63">
      <c r="A63" s="662">
        <v>10.0</v>
      </c>
      <c r="B63" s="663">
        <v>46027.0</v>
      </c>
      <c r="C63" s="664">
        <v>9.0</v>
      </c>
      <c r="D63" s="664" t="s">
        <v>92</v>
      </c>
      <c r="E63" s="664" t="s">
        <v>3726</v>
      </c>
      <c r="F63" s="664" t="s">
        <v>3727</v>
      </c>
      <c r="G63" s="665">
        <v>4.0</v>
      </c>
      <c r="H63" s="664" t="s">
        <v>156</v>
      </c>
      <c r="I63" s="677" t="s">
        <v>3655</v>
      </c>
      <c r="J63" s="664">
        <v>4.0</v>
      </c>
      <c r="K63" s="664" t="s">
        <v>156</v>
      </c>
      <c r="L63" s="664" t="s">
        <v>3713</v>
      </c>
      <c r="M63" s="669"/>
      <c r="N63" s="669"/>
      <c r="O63" s="669"/>
      <c r="P63" s="669"/>
      <c r="Q63" s="669"/>
      <c r="R63" s="669"/>
      <c r="S63" s="669"/>
      <c r="T63" s="669"/>
      <c r="U63" s="669"/>
      <c r="V63" s="669"/>
      <c r="W63" s="669"/>
      <c r="X63" s="669"/>
      <c r="Y63" s="669"/>
      <c r="Z63" s="669"/>
      <c r="AA63" s="669"/>
    </row>
    <row r="64">
      <c r="A64" s="662">
        <v>11.0</v>
      </c>
      <c r="B64" s="663">
        <v>46027.0</v>
      </c>
      <c r="C64" s="664">
        <v>9.0</v>
      </c>
      <c r="D64" s="664" t="s">
        <v>92</v>
      </c>
      <c r="E64" s="664" t="s">
        <v>3728</v>
      </c>
      <c r="F64" s="664" t="s">
        <v>3729</v>
      </c>
      <c r="G64" s="665">
        <v>25.0</v>
      </c>
      <c r="H64" s="664" t="s">
        <v>654</v>
      </c>
      <c r="I64" s="677" t="s">
        <v>3730</v>
      </c>
      <c r="J64" s="664">
        <v>25.0</v>
      </c>
      <c r="K64" s="664" t="s">
        <v>654</v>
      </c>
      <c r="L64" s="664" t="s">
        <v>3713</v>
      </c>
      <c r="M64" s="669"/>
      <c r="N64" s="669"/>
      <c r="O64" s="669"/>
      <c r="P64" s="669"/>
      <c r="Q64" s="669"/>
      <c r="R64" s="669"/>
      <c r="S64" s="669"/>
      <c r="T64" s="669"/>
      <c r="U64" s="669"/>
      <c r="V64" s="669"/>
      <c r="W64" s="669"/>
      <c r="X64" s="669"/>
      <c r="Y64" s="669"/>
      <c r="Z64" s="669"/>
      <c r="AA64" s="669"/>
    </row>
    <row r="65">
      <c r="A65" s="662">
        <v>12.0</v>
      </c>
      <c r="B65" s="663">
        <v>46027.0</v>
      </c>
      <c r="C65" s="664">
        <v>9.0</v>
      </c>
      <c r="D65" s="664" t="s">
        <v>92</v>
      </c>
      <c r="E65" s="664" t="s">
        <v>3728</v>
      </c>
      <c r="F65" s="664" t="s">
        <v>3731</v>
      </c>
      <c r="G65" s="665">
        <v>50.0</v>
      </c>
      <c r="H65" s="664" t="s">
        <v>654</v>
      </c>
      <c r="I65" s="677" t="s">
        <v>3655</v>
      </c>
      <c r="J65" s="664">
        <v>50.0</v>
      </c>
      <c r="K65" s="664" t="s">
        <v>654</v>
      </c>
      <c r="L65" s="664" t="s">
        <v>3713</v>
      </c>
      <c r="M65" s="669"/>
      <c r="N65" s="669"/>
      <c r="O65" s="669"/>
      <c r="P65" s="669"/>
      <c r="Q65" s="669"/>
      <c r="R65" s="669"/>
      <c r="S65" s="669"/>
      <c r="T65" s="669"/>
      <c r="U65" s="669"/>
      <c r="V65" s="669"/>
      <c r="W65" s="669"/>
      <c r="X65" s="669"/>
      <c r="Y65" s="669"/>
      <c r="Z65" s="669"/>
      <c r="AA65" s="669"/>
    </row>
    <row r="66">
      <c r="A66" s="662">
        <v>13.0</v>
      </c>
      <c r="B66" s="663">
        <v>46027.0</v>
      </c>
      <c r="C66" s="664">
        <v>9.0</v>
      </c>
      <c r="D66" s="664" t="s">
        <v>92</v>
      </c>
      <c r="E66" s="664" t="s">
        <v>3728</v>
      </c>
      <c r="F66" s="664" t="s">
        <v>3732</v>
      </c>
      <c r="G66" s="665">
        <v>50.0</v>
      </c>
      <c r="H66" s="664" t="s">
        <v>654</v>
      </c>
      <c r="I66" s="677" t="s">
        <v>3655</v>
      </c>
      <c r="J66" s="664">
        <v>50.0</v>
      </c>
      <c r="K66" s="664" t="s">
        <v>654</v>
      </c>
      <c r="L66" s="664" t="s">
        <v>3713</v>
      </c>
      <c r="M66" s="669"/>
      <c r="N66" s="669"/>
      <c r="O66" s="669"/>
      <c r="P66" s="669"/>
      <c r="Q66" s="669"/>
      <c r="R66" s="669"/>
      <c r="S66" s="669"/>
      <c r="T66" s="669"/>
      <c r="U66" s="669"/>
      <c r="V66" s="669"/>
      <c r="W66" s="669"/>
      <c r="X66" s="669"/>
      <c r="Y66" s="669"/>
      <c r="Z66" s="669"/>
      <c r="AA66" s="669"/>
    </row>
    <row r="67">
      <c r="A67" s="662">
        <v>14.0</v>
      </c>
      <c r="B67" s="663">
        <v>46027.0</v>
      </c>
      <c r="C67" s="664">
        <v>9.0</v>
      </c>
      <c r="D67" s="664" t="s">
        <v>92</v>
      </c>
      <c r="E67" s="664" t="s">
        <v>122</v>
      </c>
      <c r="F67" s="664" t="s">
        <v>3733</v>
      </c>
      <c r="G67" s="665">
        <v>8.0</v>
      </c>
      <c r="H67" s="664" t="s">
        <v>391</v>
      </c>
      <c r="I67" s="677" t="s">
        <v>3655</v>
      </c>
      <c r="J67" s="664">
        <v>8.0</v>
      </c>
      <c r="K67" s="664" t="s">
        <v>391</v>
      </c>
      <c r="L67" s="664" t="s">
        <v>3713</v>
      </c>
      <c r="M67" s="669"/>
      <c r="N67" s="669"/>
      <c r="O67" s="669"/>
      <c r="P67" s="669"/>
      <c r="Q67" s="669"/>
      <c r="R67" s="669"/>
      <c r="S67" s="669"/>
      <c r="T67" s="669"/>
      <c r="U67" s="669"/>
      <c r="V67" s="669"/>
      <c r="W67" s="669"/>
      <c r="X67" s="669"/>
      <c r="Y67" s="669"/>
      <c r="Z67" s="669"/>
      <c r="AA67" s="669"/>
    </row>
    <row r="68">
      <c r="A68" s="662">
        <v>15.0</v>
      </c>
      <c r="B68" s="663">
        <v>46027.0</v>
      </c>
      <c r="C68" s="664">
        <v>9.0</v>
      </c>
      <c r="D68" s="664" t="s">
        <v>92</v>
      </c>
      <c r="E68" s="664" t="s">
        <v>3734</v>
      </c>
      <c r="F68" s="664" t="s">
        <v>3735</v>
      </c>
      <c r="G68" s="665">
        <v>8.0</v>
      </c>
      <c r="H68" s="664" t="s">
        <v>156</v>
      </c>
      <c r="I68" s="677" t="s">
        <v>3655</v>
      </c>
      <c r="J68" s="664">
        <v>8.0</v>
      </c>
      <c r="K68" s="664" t="s">
        <v>156</v>
      </c>
      <c r="L68" s="664" t="s">
        <v>3713</v>
      </c>
      <c r="M68" s="669"/>
      <c r="N68" s="669"/>
      <c r="O68" s="669"/>
      <c r="P68" s="669"/>
      <c r="Q68" s="669"/>
      <c r="R68" s="669"/>
      <c r="S68" s="669"/>
      <c r="T68" s="669"/>
      <c r="U68" s="669"/>
      <c r="V68" s="669"/>
      <c r="W68" s="669"/>
      <c r="X68" s="669"/>
      <c r="Y68" s="669"/>
      <c r="Z68" s="669"/>
      <c r="AA68" s="669"/>
    </row>
    <row r="69">
      <c r="A69" s="662">
        <v>16.0</v>
      </c>
      <c r="B69" s="663">
        <v>46027.0</v>
      </c>
      <c r="C69" s="664">
        <v>9.0</v>
      </c>
      <c r="D69" s="664" t="s">
        <v>92</v>
      </c>
      <c r="E69" s="664" t="s">
        <v>3734</v>
      </c>
      <c r="F69" s="664" t="s">
        <v>3735</v>
      </c>
      <c r="G69" s="665">
        <v>11.0</v>
      </c>
      <c r="H69" s="664" t="s">
        <v>156</v>
      </c>
      <c r="I69" s="677" t="s">
        <v>3655</v>
      </c>
      <c r="J69" s="664">
        <v>11.0</v>
      </c>
      <c r="K69" s="664" t="s">
        <v>156</v>
      </c>
      <c r="L69" s="664" t="s">
        <v>3713</v>
      </c>
      <c r="M69" s="669"/>
      <c r="N69" s="669"/>
      <c r="O69" s="669"/>
      <c r="P69" s="669"/>
      <c r="Q69" s="669"/>
      <c r="R69" s="669"/>
      <c r="S69" s="669"/>
      <c r="T69" s="669"/>
      <c r="U69" s="669"/>
      <c r="V69" s="669"/>
      <c r="W69" s="669"/>
      <c r="X69" s="669"/>
      <c r="Y69" s="669"/>
      <c r="Z69" s="669"/>
      <c r="AA69" s="669"/>
    </row>
    <row r="70">
      <c r="A70" s="662">
        <v>17.0</v>
      </c>
      <c r="B70" s="663">
        <v>46027.0</v>
      </c>
      <c r="C70" s="664">
        <v>9.0</v>
      </c>
      <c r="D70" s="664" t="s">
        <v>92</v>
      </c>
      <c r="E70" s="664" t="s">
        <v>3734</v>
      </c>
      <c r="F70" s="664" t="s">
        <v>3735</v>
      </c>
      <c r="G70" s="665">
        <v>9.0</v>
      </c>
      <c r="H70" s="664" t="s">
        <v>156</v>
      </c>
      <c r="I70" s="677" t="s">
        <v>3655</v>
      </c>
      <c r="J70" s="664">
        <v>9.0</v>
      </c>
      <c r="K70" s="664" t="s">
        <v>156</v>
      </c>
      <c r="L70" s="664" t="s">
        <v>3713</v>
      </c>
      <c r="M70" s="669"/>
      <c r="N70" s="669"/>
      <c r="O70" s="669"/>
      <c r="P70" s="669"/>
      <c r="Q70" s="669"/>
      <c r="R70" s="669"/>
      <c r="S70" s="669"/>
      <c r="T70" s="669"/>
      <c r="U70" s="669"/>
      <c r="V70" s="669"/>
      <c r="W70" s="669"/>
      <c r="X70" s="669"/>
      <c r="Y70" s="669"/>
      <c r="Z70" s="669"/>
      <c r="AA70" s="669"/>
    </row>
    <row r="71">
      <c r="A71" s="662">
        <v>18.0</v>
      </c>
      <c r="B71" s="663">
        <v>46027.0</v>
      </c>
      <c r="C71" s="664">
        <v>9.0</v>
      </c>
      <c r="D71" s="664" t="s">
        <v>92</v>
      </c>
      <c r="E71" s="664" t="s">
        <v>3734</v>
      </c>
      <c r="F71" s="664" t="s">
        <v>3735</v>
      </c>
      <c r="G71" s="665">
        <v>11.0</v>
      </c>
      <c r="H71" s="664" t="s">
        <v>156</v>
      </c>
      <c r="I71" s="677" t="s">
        <v>3655</v>
      </c>
      <c r="J71" s="664">
        <v>11.0</v>
      </c>
      <c r="K71" s="664" t="s">
        <v>156</v>
      </c>
      <c r="L71" s="664" t="s">
        <v>3713</v>
      </c>
      <c r="M71" s="669"/>
      <c r="N71" s="669"/>
      <c r="O71" s="669"/>
      <c r="P71" s="669"/>
      <c r="Q71" s="669"/>
      <c r="R71" s="669"/>
      <c r="S71" s="669"/>
      <c r="T71" s="669"/>
      <c r="U71" s="669"/>
      <c r="V71" s="669"/>
      <c r="W71" s="669"/>
      <c r="X71" s="669"/>
      <c r="Y71" s="669"/>
      <c r="Z71" s="669"/>
      <c r="AA71" s="669"/>
    </row>
    <row r="72">
      <c r="A72" s="662">
        <v>19.0</v>
      </c>
      <c r="B72" s="663">
        <v>46027.0</v>
      </c>
      <c r="C72" s="664">
        <v>9.0</v>
      </c>
      <c r="D72" s="664" t="s">
        <v>92</v>
      </c>
      <c r="E72" s="664" t="s">
        <v>3736</v>
      </c>
      <c r="F72" s="664" t="s">
        <v>3737</v>
      </c>
      <c r="G72" s="665">
        <v>10.0</v>
      </c>
      <c r="H72" s="664" t="s">
        <v>156</v>
      </c>
      <c r="I72" s="677" t="s">
        <v>3655</v>
      </c>
      <c r="J72" s="664">
        <v>10.0</v>
      </c>
      <c r="K72" s="664" t="s">
        <v>156</v>
      </c>
      <c r="L72" s="664" t="s">
        <v>3713</v>
      </c>
      <c r="M72" s="669"/>
      <c r="N72" s="669"/>
      <c r="O72" s="669"/>
      <c r="P72" s="669"/>
      <c r="Q72" s="669"/>
      <c r="R72" s="669"/>
      <c r="S72" s="669"/>
      <c r="T72" s="669"/>
      <c r="U72" s="669"/>
      <c r="V72" s="669"/>
      <c r="W72" s="669"/>
      <c r="X72" s="669"/>
      <c r="Y72" s="669"/>
      <c r="Z72" s="669"/>
      <c r="AA72" s="669"/>
    </row>
    <row r="73">
      <c r="A73" s="662">
        <v>20.0</v>
      </c>
      <c r="B73" s="663">
        <v>46027.0</v>
      </c>
      <c r="C73" s="664">
        <v>9.0</v>
      </c>
      <c r="D73" s="664" t="s">
        <v>92</v>
      </c>
      <c r="E73" s="664" t="s">
        <v>3736</v>
      </c>
      <c r="F73" s="664" t="s">
        <v>3737</v>
      </c>
      <c r="G73" s="665">
        <v>23.0</v>
      </c>
      <c r="H73" s="664" t="s">
        <v>156</v>
      </c>
      <c r="I73" s="677" t="s">
        <v>3655</v>
      </c>
      <c r="J73" s="664">
        <v>23.0</v>
      </c>
      <c r="K73" s="664" t="s">
        <v>156</v>
      </c>
      <c r="L73" s="664" t="s">
        <v>3713</v>
      </c>
      <c r="M73" s="669"/>
      <c r="N73" s="669"/>
      <c r="O73" s="669"/>
      <c r="P73" s="669"/>
      <c r="Q73" s="669"/>
      <c r="R73" s="669"/>
      <c r="S73" s="669"/>
      <c r="T73" s="669"/>
      <c r="U73" s="669"/>
      <c r="V73" s="669"/>
      <c r="W73" s="669"/>
      <c r="X73" s="669"/>
      <c r="Y73" s="669"/>
      <c r="Z73" s="669"/>
      <c r="AA73" s="669"/>
    </row>
    <row r="74">
      <c r="A74" s="662">
        <v>21.0</v>
      </c>
      <c r="B74" s="663">
        <v>46027.0</v>
      </c>
      <c r="C74" s="664">
        <v>9.0</v>
      </c>
      <c r="D74" s="664" t="s">
        <v>92</v>
      </c>
      <c r="E74" s="664" t="s">
        <v>3736</v>
      </c>
      <c r="F74" s="664" t="s">
        <v>3737</v>
      </c>
      <c r="G74" s="665">
        <v>14.0</v>
      </c>
      <c r="H74" s="664" t="s">
        <v>156</v>
      </c>
      <c r="I74" s="677" t="s">
        <v>3655</v>
      </c>
      <c r="J74" s="664">
        <v>14.0</v>
      </c>
      <c r="K74" s="664" t="s">
        <v>156</v>
      </c>
      <c r="L74" s="664" t="s">
        <v>3713</v>
      </c>
      <c r="M74" s="669"/>
      <c r="N74" s="669"/>
      <c r="O74" s="669"/>
      <c r="P74" s="669"/>
      <c r="Q74" s="669"/>
      <c r="R74" s="669"/>
      <c r="S74" s="669"/>
      <c r="T74" s="669"/>
      <c r="U74" s="669"/>
      <c r="V74" s="669"/>
      <c r="W74" s="669"/>
      <c r="X74" s="669"/>
      <c r="Y74" s="669"/>
      <c r="Z74" s="669"/>
      <c r="AA74" s="669"/>
    </row>
    <row r="75">
      <c r="A75" s="662">
        <v>22.0</v>
      </c>
      <c r="B75" s="663">
        <v>46027.0</v>
      </c>
      <c r="C75" s="664">
        <v>9.0</v>
      </c>
      <c r="D75" s="664" t="s">
        <v>92</v>
      </c>
      <c r="E75" s="664" t="s">
        <v>3738</v>
      </c>
      <c r="F75" s="664" t="s">
        <v>3737</v>
      </c>
      <c r="G75" s="665">
        <v>16.0</v>
      </c>
      <c r="H75" s="664" t="s">
        <v>156</v>
      </c>
      <c r="I75" s="677" t="s">
        <v>3655</v>
      </c>
      <c r="J75" s="664">
        <v>16.0</v>
      </c>
      <c r="K75" s="664" t="s">
        <v>156</v>
      </c>
      <c r="L75" s="664" t="s">
        <v>3713</v>
      </c>
      <c r="M75" s="669"/>
      <c r="N75" s="669"/>
      <c r="O75" s="669"/>
      <c r="P75" s="669"/>
      <c r="Q75" s="669"/>
      <c r="R75" s="669"/>
      <c r="S75" s="669"/>
      <c r="T75" s="669"/>
      <c r="U75" s="669"/>
      <c r="V75" s="669"/>
      <c r="W75" s="669"/>
      <c r="X75" s="669"/>
      <c r="Y75" s="669"/>
      <c r="Z75" s="669"/>
      <c r="AA75" s="669"/>
    </row>
    <row r="76">
      <c r="A76" s="662">
        <v>23.0</v>
      </c>
      <c r="B76" s="663">
        <v>46027.0</v>
      </c>
      <c r="C76" s="664">
        <v>9.0</v>
      </c>
      <c r="D76" s="664" t="s">
        <v>92</v>
      </c>
      <c r="E76" s="664" t="s">
        <v>3739</v>
      </c>
      <c r="F76" s="664" t="s">
        <v>3740</v>
      </c>
      <c r="G76" s="665">
        <v>15.0</v>
      </c>
      <c r="H76" s="664" t="s">
        <v>2601</v>
      </c>
      <c r="I76" s="677" t="s">
        <v>3655</v>
      </c>
      <c r="J76" s="664">
        <v>15.0</v>
      </c>
      <c r="K76" s="664" t="s">
        <v>2601</v>
      </c>
      <c r="L76" s="664" t="s">
        <v>3713</v>
      </c>
      <c r="M76" s="669"/>
      <c r="N76" s="669"/>
      <c r="O76" s="669"/>
      <c r="P76" s="669"/>
      <c r="Q76" s="669"/>
      <c r="R76" s="669"/>
      <c r="S76" s="669"/>
      <c r="T76" s="669"/>
      <c r="U76" s="669"/>
      <c r="V76" s="669"/>
      <c r="W76" s="669"/>
      <c r="X76" s="669"/>
      <c r="Y76" s="669"/>
      <c r="Z76" s="669"/>
      <c r="AA76" s="669"/>
    </row>
    <row r="77">
      <c r="A77" s="662">
        <v>24.0</v>
      </c>
      <c r="B77" s="663">
        <v>46027.0</v>
      </c>
      <c r="C77" s="664">
        <v>9.0</v>
      </c>
      <c r="D77" s="664" t="s">
        <v>92</v>
      </c>
      <c r="E77" s="664" t="s">
        <v>3739</v>
      </c>
      <c r="F77" s="664" t="s">
        <v>3741</v>
      </c>
      <c r="G77" s="665">
        <v>12.0</v>
      </c>
      <c r="H77" s="664" t="s">
        <v>2601</v>
      </c>
      <c r="I77" s="677" t="s">
        <v>3655</v>
      </c>
      <c r="J77" s="664">
        <v>12.0</v>
      </c>
      <c r="K77" s="664" t="s">
        <v>2601</v>
      </c>
      <c r="L77" s="664" t="s">
        <v>3713</v>
      </c>
      <c r="M77" s="669"/>
      <c r="N77" s="669"/>
      <c r="O77" s="669"/>
      <c r="P77" s="669"/>
      <c r="Q77" s="669"/>
      <c r="R77" s="669"/>
      <c r="S77" s="669"/>
      <c r="T77" s="669"/>
      <c r="U77" s="669"/>
      <c r="V77" s="669"/>
      <c r="W77" s="669"/>
      <c r="X77" s="669"/>
      <c r="Y77" s="669"/>
      <c r="Z77" s="669"/>
      <c r="AA77" s="669"/>
    </row>
    <row r="78">
      <c r="A78" s="662">
        <v>25.0</v>
      </c>
      <c r="B78" s="663">
        <v>46027.0</v>
      </c>
      <c r="C78" s="664">
        <v>9.0</v>
      </c>
      <c r="D78" s="664" t="s">
        <v>92</v>
      </c>
      <c r="E78" s="664" t="s">
        <v>3739</v>
      </c>
      <c r="F78" s="664" t="s">
        <v>3742</v>
      </c>
      <c r="G78" s="665">
        <v>20.0</v>
      </c>
      <c r="H78" s="664" t="s">
        <v>2601</v>
      </c>
      <c r="I78" s="677" t="s">
        <v>3655</v>
      </c>
      <c r="J78" s="664">
        <v>20.0</v>
      </c>
      <c r="K78" s="664" t="s">
        <v>2601</v>
      </c>
      <c r="L78" s="664" t="s">
        <v>3713</v>
      </c>
      <c r="M78" s="669"/>
      <c r="N78" s="669"/>
      <c r="O78" s="669"/>
      <c r="P78" s="669"/>
      <c r="Q78" s="669"/>
      <c r="R78" s="669"/>
      <c r="S78" s="669"/>
      <c r="T78" s="669"/>
      <c r="U78" s="669"/>
      <c r="V78" s="669"/>
      <c r="W78" s="669"/>
      <c r="X78" s="669"/>
      <c r="Y78" s="669"/>
      <c r="Z78" s="669"/>
      <c r="AA78" s="669"/>
    </row>
    <row r="79">
      <c r="A79" s="687"/>
      <c r="B79" s="694"/>
      <c r="C79" s="688"/>
      <c r="D79" s="688"/>
      <c r="E79" s="688"/>
      <c r="F79" s="688"/>
      <c r="G79" s="689"/>
      <c r="H79" s="688"/>
      <c r="I79" s="688"/>
      <c r="J79" s="688"/>
      <c r="K79" s="688"/>
      <c r="L79" s="690"/>
      <c r="M79" s="669"/>
      <c r="N79" s="669"/>
      <c r="O79" s="669"/>
      <c r="P79" s="669"/>
      <c r="Q79" s="669"/>
      <c r="R79" s="669"/>
      <c r="S79" s="669"/>
      <c r="T79" s="669"/>
      <c r="U79" s="669"/>
      <c r="V79" s="669"/>
      <c r="W79" s="669"/>
      <c r="X79" s="669"/>
      <c r="Y79" s="669"/>
      <c r="Z79" s="669"/>
      <c r="AA79" s="669"/>
    </row>
    <row r="80">
      <c r="A80" s="662">
        <v>1.0</v>
      </c>
      <c r="B80" s="663">
        <v>46208.0</v>
      </c>
      <c r="C80" s="664">
        <v>10.0</v>
      </c>
      <c r="D80" s="664" t="s">
        <v>92</v>
      </c>
      <c r="E80" s="664" t="s">
        <v>1199</v>
      </c>
      <c r="F80" s="664" t="s">
        <v>3656</v>
      </c>
      <c r="G80" s="665">
        <v>20.0</v>
      </c>
      <c r="H80" s="664" t="s">
        <v>156</v>
      </c>
      <c r="I80" s="671" t="s">
        <v>3743</v>
      </c>
      <c r="J80" s="664">
        <v>20.0</v>
      </c>
      <c r="K80" s="664" t="s">
        <v>156</v>
      </c>
      <c r="L80" s="664" t="s">
        <v>3654</v>
      </c>
      <c r="M80" s="669"/>
      <c r="N80" s="669"/>
      <c r="O80" s="669"/>
      <c r="P80" s="669"/>
      <c r="Q80" s="669"/>
      <c r="R80" s="669"/>
      <c r="S80" s="669"/>
      <c r="T80" s="669"/>
      <c r="U80" s="669"/>
      <c r="V80" s="669"/>
      <c r="W80" s="669"/>
      <c r="X80" s="669"/>
      <c r="Y80" s="669"/>
      <c r="Z80" s="669"/>
      <c r="AA80" s="669"/>
    </row>
    <row r="81">
      <c r="A81" s="662">
        <v>2.0</v>
      </c>
      <c r="B81" s="663">
        <v>46208.0</v>
      </c>
      <c r="C81" s="664">
        <v>10.0</v>
      </c>
      <c r="D81" s="664" t="s">
        <v>92</v>
      </c>
      <c r="E81" s="664" t="s">
        <v>3744</v>
      </c>
      <c r="F81" s="664" t="s">
        <v>3745</v>
      </c>
      <c r="G81" s="665">
        <v>30.0</v>
      </c>
      <c r="H81" s="664" t="s">
        <v>156</v>
      </c>
      <c r="I81" s="671" t="s">
        <v>3743</v>
      </c>
      <c r="J81" s="664">
        <v>30.0</v>
      </c>
      <c r="K81" s="664" t="s">
        <v>156</v>
      </c>
      <c r="L81" s="664" t="s">
        <v>3654</v>
      </c>
      <c r="M81" s="669"/>
      <c r="N81" s="669"/>
      <c r="O81" s="669"/>
      <c r="P81" s="669"/>
      <c r="Q81" s="669"/>
      <c r="R81" s="669"/>
      <c r="S81" s="669"/>
      <c r="T81" s="669"/>
      <c r="U81" s="669"/>
      <c r="V81" s="669"/>
      <c r="W81" s="669"/>
      <c r="X81" s="669"/>
      <c r="Y81" s="669"/>
      <c r="Z81" s="669"/>
      <c r="AA81" s="669"/>
    </row>
    <row r="82">
      <c r="A82" s="662">
        <v>3.0</v>
      </c>
      <c r="B82" s="663">
        <v>46208.0</v>
      </c>
      <c r="C82" s="664">
        <v>10.0</v>
      </c>
      <c r="D82" s="664" t="s">
        <v>92</v>
      </c>
      <c r="E82" s="664" t="s">
        <v>3746</v>
      </c>
      <c r="F82" s="664" t="s">
        <v>3747</v>
      </c>
      <c r="G82" s="665">
        <v>1.0</v>
      </c>
      <c r="H82" s="664" t="s">
        <v>3748</v>
      </c>
      <c r="I82" s="671" t="s">
        <v>3749</v>
      </c>
      <c r="J82" s="664">
        <v>1.0</v>
      </c>
      <c r="K82" s="664" t="s">
        <v>3748</v>
      </c>
      <c r="L82" s="664"/>
      <c r="M82" s="669"/>
      <c r="N82" s="669"/>
      <c r="O82" s="669"/>
      <c r="P82" s="669"/>
      <c r="Q82" s="669"/>
      <c r="R82" s="669"/>
      <c r="S82" s="669"/>
      <c r="T82" s="669"/>
      <c r="U82" s="669"/>
      <c r="V82" s="669"/>
      <c r="W82" s="669"/>
      <c r="X82" s="669"/>
      <c r="Y82" s="669"/>
      <c r="Z82" s="669"/>
      <c r="AA82" s="669"/>
    </row>
    <row r="83">
      <c r="A83" s="687"/>
      <c r="B83" s="690"/>
      <c r="C83" s="690"/>
      <c r="D83" s="690"/>
      <c r="E83" s="690"/>
      <c r="F83" s="690"/>
      <c r="G83" s="691"/>
      <c r="H83" s="690"/>
      <c r="I83" s="690"/>
      <c r="J83" s="690"/>
      <c r="K83" s="690"/>
      <c r="L83" s="690"/>
      <c r="M83" s="669"/>
      <c r="N83" s="669"/>
      <c r="O83" s="669"/>
      <c r="P83" s="669"/>
      <c r="Q83" s="669"/>
      <c r="R83" s="669"/>
      <c r="S83" s="669"/>
      <c r="T83" s="669"/>
      <c r="U83" s="669"/>
      <c r="V83" s="669"/>
      <c r="W83" s="669"/>
      <c r="X83" s="669"/>
      <c r="Y83" s="669"/>
      <c r="Z83" s="669"/>
      <c r="AA83" s="669"/>
    </row>
    <row r="84">
      <c r="A84" s="662">
        <v>1.0</v>
      </c>
      <c r="B84" s="663">
        <v>46208.0</v>
      </c>
      <c r="C84" s="664">
        <v>11.0</v>
      </c>
      <c r="D84" s="664" t="s">
        <v>92</v>
      </c>
      <c r="E84" s="664" t="s">
        <v>3750</v>
      </c>
      <c r="F84" s="664" t="s">
        <v>3751</v>
      </c>
      <c r="G84" s="665">
        <v>1.0</v>
      </c>
      <c r="H84" s="664" t="s">
        <v>3752</v>
      </c>
      <c r="I84" s="671" t="s">
        <v>3753</v>
      </c>
      <c r="J84" s="664">
        <v>1.0</v>
      </c>
      <c r="K84" s="664" t="s">
        <v>3752</v>
      </c>
      <c r="L84" s="678"/>
      <c r="M84" s="669"/>
      <c r="N84" s="669"/>
      <c r="O84" s="669"/>
      <c r="P84" s="669"/>
      <c r="Q84" s="669"/>
      <c r="R84" s="669"/>
      <c r="S84" s="669"/>
      <c r="T84" s="669"/>
      <c r="U84" s="669"/>
      <c r="V84" s="669"/>
      <c r="W84" s="669"/>
      <c r="X84" s="669"/>
      <c r="Y84" s="669"/>
      <c r="Z84" s="669"/>
      <c r="AA84" s="669"/>
    </row>
    <row r="85">
      <c r="A85" s="662">
        <v>2.0</v>
      </c>
      <c r="B85" s="663">
        <v>46208.0</v>
      </c>
      <c r="C85" s="664">
        <v>11.0</v>
      </c>
      <c r="D85" s="664" t="s">
        <v>92</v>
      </c>
      <c r="E85" s="664" t="s">
        <v>3754</v>
      </c>
      <c r="F85" s="664" t="s">
        <v>3755</v>
      </c>
      <c r="G85" s="665">
        <v>1.0</v>
      </c>
      <c r="H85" s="664" t="s">
        <v>2819</v>
      </c>
      <c r="I85" s="671" t="s">
        <v>3753</v>
      </c>
      <c r="J85" s="664">
        <v>1.0</v>
      </c>
      <c r="K85" s="664" t="s">
        <v>2819</v>
      </c>
      <c r="L85" s="678"/>
      <c r="M85" s="669"/>
      <c r="N85" s="669"/>
      <c r="O85" s="669"/>
      <c r="P85" s="669"/>
      <c r="Q85" s="669"/>
      <c r="R85" s="669"/>
      <c r="S85" s="669"/>
      <c r="T85" s="669"/>
      <c r="U85" s="669"/>
      <c r="V85" s="669"/>
      <c r="W85" s="669"/>
      <c r="X85" s="669"/>
      <c r="Y85" s="669"/>
      <c r="Z85" s="669"/>
      <c r="AA85" s="669"/>
    </row>
    <row r="86">
      <c r="A86" s="662">
        <v>3.0</v>
      </c>
      <c r="B86" s="663">
        <v>46208.0</v>
      </c>
      <c r="C86" s="664">
        <v>11.0</v>
      </c>
      <c r="D86" s="664" t="s">
        <v>92</v>
      </c>
      <c r="E86" s="664" t="s">
        <v>3756</v>
      </c>
      <c r="F86" s="664" t="s">
        <v>3757</v>
      </c>
      <c r="G86" s="665">
        <v>20.0</v>
      </c>
      <c r="H86" s="664" t="s">
        <v>156</v>
      </c>
      <c r="I86" s="677" t="s">
        <v>3655</v>
      </c>
      <c r="J86" s="664">
        <v>20.0</v>
      </c>
      <c r="K86" s="664" t="s">
        <v>156</v>
      </c>
      <c r="L86" s="678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69"/>
    </row>
    <row r="87">
      <c r="A87" s="662">
        <v>4.0</v>
      </c>
      <c r="B87" s="663">
        <v>46208.0</v>
      </c>
      <c r="C87" s="664">
        <v>11.0</v>
      </c>
      <c r="D87" s="664" t="s">
        <v>92</v>
      </c>
      <c r="E87" s="664" t="s">
        <v>3633</v>
      </c>
      <c r="F87" s="664" t="s">
        <v>3758</v>
      </c>
      <c r="G87" s="665">
        <v>2.0</v>
      </c>
      <c r="H87" s="664" t="s">
        <v>156</v>
      </c>
      <c r="I87" s="671" t="s">
        <v>3753</v>
      </c>
      <c r="J87" s="664">
        <v>2.0</v>
      </c>
      <c r="K87" s="664" t="s">
        <v>156</v>
      </c>
      <c r="L87" s="678"/>
      <c r="M87" s="669"/>
      <c r="N87" s="669"/>
      <c r="O87" s="669"/>
      <c r="P87" s="669"/>
      <c r="Q87" s="669"/>
      <c r="R87" s="669"/>
      <c r="S87" s="669"/>
      <c r="T87" s="669"/>
      <c r="U87" s="669"/>
      <c r="V87" s="669"/>
      <c r="W87" s="669"/>
      <c r="X87" s="669"/>
      <c r="Y87" s="669"/>
      <c r="Z87" s="669"/>
      <c r="AA87" s="669"/>
    </row>
    <row r="88">
      <c r="A88" s="662">
        <v>5.0</v>
      </c>
      <c r="B88" s="663">
        <v>46208.0</v>
      </c>
      <c r="C88" s="664">
        <v>11.0</v>
      </c>
      <c r="D88" s="664" t="s">
        <v>92</v>
      </c>
      <c r="E88" s="664" t="s">
        <v>505</v>
      </c>
      <c r="F88" s="664" t="s">
        <v>3656</v>
      </c>
      <c r="G88" s="665">
        <v>1.0</v>
      </c>
      <c r="H88" s="664" t="s">
        <v>98</v>
      </c>
      <c r="I88" s="671" t="s">
        <v>3749</v>
      </c>
      <c r="J88" s="664">
        <v>1.0</v>
      </c>
      <c r="K88" s="664" t="s">
        <v>981</v>
      </c>
      <c r="L88" s="678"/>
      <c r="M88" s="669"/>
      <c r="N88" s="669"/>
      <c r="O88" s="669"/>
      <c r="P88" s="669"/>
      <c r="Q88" s="669"/>
      <c r="R88" s="669"/>
      <c r="S88" s="669"/>
      <c r="T88" s="669"/>
      <c r="U88" s="669"/>
      <c r="V88" s="669"/>
      <c r="W88" s="669"/>
      <c r="X88" s="669"/>
      <c r="Y88" s="669"/>
      <c r="Z88" s="669"/>
      <c r="AA88" s="669"/>
    </row>
    <row r="89">
      <c r="A89" s="687"/>
      <c r="B89" s="690"/>
      <c r="C89" s="690"/>
      <c r="D89" s="690"/>
      <c r="E89" s="690"/>
      <c r="F89" s="690"/>
      <c r="G89" s="691"/>
      <c r="H89" s="690"/>
      <c r="I89" s="690"/>
      <c r="J89" s="690"/>
      <c r="K89" s="690"/>
      <c r="L89" s="690"/>
      <c r="M89" s="669"/>
      <c r="N89" s="669"/>
      <c r="O89" s="669"/>
      <c r="P89" s="669"/>
      <c r="Q89" s="669"/>
      <c r="R89" s="669"/>
      <c r="S89" s="669"/>
      <c r="T89" s="669"/>
      <c r="U89" s="669"/>
      <c r="V89" s="669"/>
      <c r="W89" s="669"/>
      <c r="X89" s="669"/>
      <c r="Y89" s="669"/>
      <c r="Z89" s="669"/>
      <c r="AA89" s="669"/>
    </row>
    <row r="90">
      <c r="A90" s="662">
        <v>1.0</v>
      </c>
      <c r="B90" s="663">
        <v>46208.0</v>
      </c>
      <c r="C90" s="664">
        <v>12.0</v>
      </c>
      <c r="D90" s="664" t="s">
        <v>92</v>
      </c>
      <c r="E90" s="664" t="s">
        <v>255</v>
      </c>
      <c r="F90" s="664" t="s">
        <v>3759</v>
      </c>
      <c r="G90" s="665">
        <v>100.0</v>
      </c>
      <c r="H90" s="664" t="s">
        <v>3142</v>
      </c>
      <c r="I90" s="677" t="s">
        <v>3655</v>
      </c>
      <c r="J90" s="664">
        <v>100.0</v>
      </c>
      <c r="K90" s="664" t="s">
        <v>3142</v>
      </c>
      <c r="L90" s="678"/>
      <c r="M90" s="669"/>
      <c r="N90" s="669"/>
      <c r="O90" s="669"/>
      <c r="P90" s="669"/>
      <c r="Q90" s="669"/>
      <c r="R90" s="669"/>
      <c r="S90" s="669"/>
      <c r="T90" s="669"/>
      <c r="U90" s="669"/>
      <c r="V90" s="669"/>
      <c r="W90" s="669"/>
      <c r="X90" s="669"/>
      <c r="Y90" s="669"/>
      <c r="Z90" s="669"/>
      <c r="AA90" s="669"/>
    </row>
    <row r="91">
      <c r="A91" s="687"/>
      <c r="B91" s="690"/>
      <c r="C91" s="690"/>
      <c r="D91" s="690"/>
      <c r="E91" s="690"/>
      <c r="F91" s="690"/>
      <c r="G91" s="691"/>
      <c r="H91" s="690"/>
      <c r="I91" s="690"/>
      <c r="J91" s="690"/>
      <c r="K91" s="690"/>
      <c r="L91" s="690"/>
      <c r="M91" s="669"/>
      <c r="N91" s="669"/>
      <c r="O91" s="669"/>
      <c r="P91" s="669"/>
      <c r="Q91" s="669"/>
      <c r="R91" s="669"/>
      <c r="S91" s="669"/>
      <c r="T91" s="669"/>
      <c r="U91" s="669"/>
      <c r="V91" s="669"/>
      <c r="W91" s="669"/>
      <c r="X91" s="669"/>
      <c r="Y91" s="669"/>
      <c r="Z91" s="669"/>
      <c r="AA91" s="669"/>
    </row>
    <row r="92">
      <c r="A92" s="662">
        <v>1.0</v>
      </c>
      <c r="B92" s="663">
        <v>46208.0</v>
      </c>
      <c r="C92" s="664">
        <v>13.0</v>
      </c>
      <c r="D92" s="664" t="s">
        <v>92</v>
      </c>
      <c r="E92" s="695" t="s">
        <v>3760</v>
      </c>
      <c r="F92" s="695"/>
      <c r="G92" s="696"/>
      <c r="H92" s="697"/>
      <c r="I92" s="695"/>
      <c r="J92" s="695"/>
      <c r="K92" s="695"/>
      <c r="L92" s="697"/>
      <c r="M92" s="669"/>
      <c r="N92" s="669"/>
      <c r="O92" s="669"/>
      <c r="P92" s="669"/>
      <c r="Q92" s="669"/>
      <c r="R92" s="669"/>
      <c r="S92" s="669"/>
      <c r="T92" s="669"/>
      <c r="U92" s="669"/>
      <c r="V92" s="669"/>
      <c r="W92" s="669"/>
      <c r="X92" s="669"/>
      <c r="Y92" s="669"/>
      <c r="Z92" s="669"/>
      <c r="AA92" s="669"/>
    </row>
    <row r="93">
      <c r="A93" s="662">
        <v>2.0</v>
      </c>
      <c r="B93" s="663">
        <v>46208.0</v>
      </c>
      <c r="C93" s="664">
        <v>13.0</v>
      </c>
      <c r="D93" s="664" t="s">
        <v>92</v>
      </c>
      <c r="E93" s="695" t="s">
        <v>3761</v>
      </c>
      <c r="F93" s="695" t="s">
        <v>3762</v>
      </c>
      <c r="G93" s="698">
        <v>6.0</v>
      </c>
      <c r="H93" s="695" t="s">
        <v>25</v>
      </c>
      <c r="I93" s="699" t="s">
        <v>3763</v>
      </c>
      <c r="J93" s="695"/>
      <c r="K93" s="695"/>
      <c r="L93" s="699" t="s">
        <v>3764</v>
      </c>
      <c r="M93" s="669"/>
      <c r="N93" s="669"/>
      <c r="O93" s="669"/>
      <c r="P93" s="669"/>
      <c r="Q93" s="669"/>
      <c r="R93" s="669"/>
      <c r="S93" s="669"/>
      <c r="T93" s="669"/>
      <c r="U93" s="669"/>
      <c r="V93" s="669"/>
      <c r="W93" s="669"/>
      <c r="X93" s="669"/>
      <c r="Y93" s="669"/>
      <c r="Z93" s="669"/>
      <c r="AA93" s="669"/>
    </row>
    <row r="94">
      <c r="A94" s="662">
        <v>3.0</v>
      </c>
      <c r="B94" s="663">
        <v>46208.0</v>
      </c>
      <c r="C94" s="664">
        <v>13.0</v>
      </c>
      <c r="D94" s="664" t="s">
        <v>92</v>
      </c>
      <c r="E94" s="695" t="s">
        <v>3765</v>
      </c>
      <c r="F94" s="695" t="s">
        <v>3762</v>
      </c>
      <c r="G94" s="698">
        <v>3.0</v>
      </c>
      <c r="H94" s="695" t="s">
        <v>25</v>
      </c>
      <c r="I94" s="699" t="s">
        <v>3763</v>
      </c>
      <c r="J94" s="695"/>
      <c r="K94" s="695"/>
      <c r="L94" s="699" t="s">
        <v>3764</v>
      </c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69"/>
    </row>
    <row r="95">
      <c r="A95" s="662">
        <v>4.0</v>
      </c>
      <c r="B95" s="663">
        <v>46208.0</v>
      </c>
      <c r="C95" s="664">
        <v>13.0</v>
      </c>
      <c r="D95" s="664" t="s">
        <v>92</v>
      </c>
      <c r="E95" s="695" t="s">
        <v>3766</v>
      </c>
      <c r="F95" s="695" t="s">
        <v>3762</v>
      </c>
      <c r="G95" s="698">
        <v>3.0</v>
      </c>
      <c r="H95" s="695" t="s">
        <v>25</v>
      </c>
      <c r="I95" s="699" t="s">
        <v>3763</v>
      </c>
      <c r="J95" s="695"/>
      <c r="K95" s="695"/>
      <c r="L95" s="699" t="s">
        <v>3764</v>
      </c>
      <c r="M95" s="669"/>
      <c r="N95" s="669"/>
      <c r="O95" s="669"/>
      <c r="P95" s="669"/>
      <c r="Q95" s="669"/>
      <c r="R95" s="669"/>
      <c r="S95" s="669"/>
      <c r="T95" s="669"/>
      <c r="U95" s="669"/>
      <c r="V95" s="669"/>
      <c r="W95" s="669"/>
      <c r="X95" s="669"/>
      <c r="Y95" s="669"/>
      <c r="Z95" s="669"/>
      <c r="AA95" s="669"/>
    </row>
    <row r="96">
      <c r="A96" s="662">
        <v>5.0</v>
      </c>
      <c r="B96" s="663">
        <v>46208.0</v>
      </c>
      <c r="C96" s="664">
        <v>13.0</v>
      </c>
      <c r="D96" s="664" t="s">
        <v>92</v>
      </c>
      <c r="E96" s="695" t="s">
        <v>3767</v>
      </c>
      <c r="F96" s="695" t="s">
        <v>3762</v>
      </c>
      <c r="G96" s="698">
        <v>3.0</v>
      </c>
      <c r="H96" s="695" t="s">
        <v>25</v>
      </c>
      <c r="I96" s="699" t="s">
        <v>3763</v>
      </c>
      <c r="J96" s="695"/>
      <c r="K96" s="695"/>
      <c r="L96" s="699" t="s">
        <v>3764</v>
      </c>
      <c r="M96" s="669"/>
      <c r="N96" s="669"/>
      <c r="O96" s="669"/>
      <c r="P96" s="669"/>
      <c r="Q96" s="669"/>
      <c r="R96" s="669"/>
      <c r="S96" s="669"/>
      <c r="T96" s="669"/>
      <c r="U96" s="669"/>
      <c r="V96" s="669"/>
      <c r="W96" s="669"/>
      <c r="X96" s="669"/>
      <c r="Y96" s="669"/>
      <c r="Z96" s="669"/>
      <c r="AA96" s="669"/>
    </row>
    <row r="97">
      <c r="A97" s="662">
        <v>6.0</v>
      </c>
      <c r="B97" s="663">
        <v>46208.0</v>
      </c>
      <c r="C97" s="664">
        <v>13.0</v>
      </c>
      <c r="D97" s="664" t="s">
        <v>92</v>
      </c>
      <c r="E97" s="695" t="s">
        <v>3768</v>
      </c>
      <c r="F97" s="695" t="s">
        <v>3762</v>
      </c>
      <c r="G97" s="698">
        <v>3.0</v>
      </c>
      <c r="H97" s="695" t="s">
        <v>25</v>
      </c>
      <c r="I97" s="699" t="s">
        <v>3763</v>
      </c>
      <c r="J97" s="695"/>
      <c r="K97" s="695"/>
      <c r="L97" s="699" t="s">
        <v>3764</v>
      </c>
      <c r="M97" s="669"/>
      <c r="N97" s="669"/>
      <c r="O97" s="669"/>
      <c r="P97" s="669"/>
      <c r="Q97" s="669"/>
      <c r="R97" s="669"/>
      <c r="S97" s="669"/>
      <c r="T97" s="669"/>
      <c r="U97" s="669"/>
      <c r="V97" s="669"/>
      <c r="W97" s="669"/>
      <c r="X97" s="669"/>
      <c r="Y97" s="669"/>
      <c r="Z97" s="669"/>
      <c r="AA97" s="669"/>
    </row>
    <row r="98">
      <c r="A98" s="662">
        <v>7.0</v>
      </c>
      <c r="B98" s="663">
        <v>46208.0</v>
      </c>
      <c r="C98" s="664">
        <v>13.0</v>
      </c>
      <c r="D98" s="664" t="s">
        <v>92</v>
      </c>
      <c r="E98" s="695" t="s">
        <v>3769</v>
      </c>
      <c r="F98" s="695" t="s">
        <v>3762</v>
      </c>
      <c r="G98" s="698">
        <v>3.0</v>
      </c>
      <c r="H98" s="695" t="s">
        <v>25</v>
      </c>
      <c r="I98" s="699" t="s">
        <v>3763</v>
      </c>
      <c r="J98" s="695"/>
      <c r="K98" s="695"/>
      <c r="L98" s="699" t="s">
        <v>3764</v>
      </c>
      <c r="M98" s="669"/>
      <c r="N98" s="669"/>
      <c r="O98" s="669"/>
      <c r="P98" s="669"/>
      <c r="Q98" s="669"/>
      <c r="R98" s="669"/>
      <c r="S98" s="669"/>
      <c r="T98" s="669"/>
      <c r="U98" s="669"/>
      <c r="V98" s="669"/>
      <c r="W98" s="669"/>
      <c r="X98" s="669"/>
      <c r="Y98" s="669"/>
      <c r="Z98" s="669"/>
      <c r="AA98" s="669"/>
    </row>
    <row r="99">
      <c r="A99" s="662">
        <v>8.0</v>
      </c>
      <c r="B99" s="663">
        <v>46208.0</v>
      </c>
      <c r="C99" s="664">
        <v>13.0</v>
      </c>
      <c r="D99" s="664" t="s">
        <v>92</v>
      </c>
      <c r="E99" s="695" t="s">
        <v>3770</v>
      </c>
      <c r="F99" s="695"/>
      <c r="G99" s="696"/>
      <c r="H99" s="697"/>
      <c r="I99" s="697"/>
      <c r="J99" s="697"/>
      <c r="K99" s="695"/>
      <c r="L99" s="697"/>
      <c r="M99" s="669"/>
      <c r="N99" s="669"/>
      <c r="O99" s="669"/>
      <c r="P99" s="669"/>
      <c r="Q99" s="669"/>
      <c r="R99" s="669"/>
      <c r="S99" s="669"/>
      <c r="T99" s="669"/>
      <c r="U99" s="669"/>
      <c r="V99" s="669"/>
      <c r="W99" s="669"/>
      <c r="X99" s="669"/>
      <c r="Y99" s="669"/>
      <c r="Z99" s="669"/>
      <c r="AA99" s="669"/>
    </row>
    <row r="100">
      <c r="A100" s="662">
        <v>9.0</v>
      </c>
      <c r="B100" s="663">
        <v>46208.0</v>
      </c>
      <c r="C100" s="664">
        <v>13.0</v>
      </c>
      <c r="D100" s="664" t="s">
        <v>92</v>
      </c>
      <c r="E100" s="695" t="s">
        <v>3771</v>
      </c>
      <c r="F100" s="695" t="s">
        <v>3772</v>
      </c>
      <c r="G100" s="698">
        <v>5.0</v>
      </c>
      <c r="H100" s="695" t="s">
        <v>156</v>
      </c>
      <c r="I100" s="699" t="s">
        <v>3763</v>
      </c>
      <c r="J100" s="697"/>
      <c r="K100" s="697"/>
      <c r="L100" s="699" t="s">
        <v>3764</v>
      </c>
      <c r="M100" s="669"/>
      <c r="N100" s="669"/>
      <c r="O100" s="669"/>
      <c r="P100" s="669"/>
      <c r="Q100" s="669"/>
      <c r="R100" s="669"/>
      <c r="S100" s="669"/>
      <c r="T100" s="669"/>
      <c r="U100" s="669"/>
      <c r="V100" s="669"/>
      <c r="W100" s="669"/>
      <c r="X100" s="669"/>
      <c r="Y100" s="669"/>
      <c r="Z100" s="669"/>
      <c r="AA100" s="669"/>
    </row>
    <row r="101">
      <c r="A101" s="662">
        <v>10.0</v>
      </c>
      <c r="B101" s="663">
        <v>46208.0</v>
      </c>
      <c r="C101" s="664">
        <v>13.0</v>
      </c>
      <c r="D101" s="664" t="s">
        <v>92</v>
      </c>
      <c r="E101" s="695" t="s">
        <v>3773</v>
      </c>
      <c r="F101" s="695" t="s">
        <v>3772</v>
      </c>
      <c r="G101" s="698">
        <v>5.0</v>
      </c>
      <c r="H101" s="695" t="s">
        <v>156</v>
      </c>
      <c r="I101" s="699" t="s">
        <v>3763</v>
      </c>
      <c r="J101" s="697"/>
      <c r="K101" s="697"/>
      <c r="L101" s="699" t="s">
        <v>3764</v>
      </c>
      <c r="M101" s="669"/>
      <c r="N101" s="669"/>
      <c r="O101" s="669"/>
      <c r="P101" s="669"/>
      <c r="Q101" s="669"/>
      <c r="R101" s="669"/>
      <c r="S101" s="669"/>
      <c r="T101" s="669"/>
      <c r="U101" s="669"/>
      <c r="V101" s="669"/>
      <c r="W101" s="669"/>
      <c r="X101" s="669"/>
      <c r="Y101" s="669"/>
      <c r="Z101" s="669"/>
      <c r="AA101" s="669"/>
    </row>
    <row r="102">
      <c r="A102" s="662">
        <v>11.0</v>
      </c>
      <c r="B102" s="663">
        <v>46208.0</v>
      </c>
      <c r="C102" s="664">
        <v>13.0</v>
      </c>
      <c r="D102" s="664" t="s">
        <v>92</v>
      </c>
      <c r="E102" s="695" t="s">
        <v>3774</v>
      </c>
      <c r="F102" s="695" t="s">
        <v>3775</v>
      </c>
      <c r="G102" s="698">
        <v>5.0</v>
      </c>
      <c r="H102" s="695" t="s">
        <v>34</v>
      </c>
      <c r="I102" s="699" t="s">
        <v>3763</v>
      </c>
      <c r="J102" s="697"/>
      <c r="K102" s="695"/>
      <c r="L102" s="699" t="s">
        <v>3764</v>
      </c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69"/>
    </row>
    <row r="103">
      <c r="A103" s="662">
        <v>12.0</v>
      </c>
      <c r="B103" s="663">
        <v>46208.0</v>
      </c>
      <c r="C103" s="664">
        <v>13.0</v>
      </c>
      <c r="D103" s="664" t="s">
        <v>92</v>
      </c>
      <c r="E103" s="695" t="s">
        <v>3776</v>
      </c>
      <c r="F103" s="695"/>
      <c r="G103" s="698">
        <v>10.0</v>
      </c>
      <c r="H103" s="695" t="s">
        <v>25</v>
      </c>
      <c r="I103" s="699" t="s">
        <v>3763</v>
      </c>
      <c r="J103" s="695"/>
      <c r="K103" s="695"/>
      <c r="L103" s="699" t="s">
        <v>3764</v>
      </c>
      <c r="M103" s="669"/>
      <c r="N103" s="669"/>
      <c r="O103" s="669"/>
      <c r="P103" s="669"/>
      <c r="Q103" s="669"/>
      <c r="R103" s="669"/>
      <c r="S103" s="669"/>
      <c r="T103" s="669"/>
      <c r="U103" s="669"/>
      <c r="V103" s="669"/>
      <c r="W103" s="669"/>
      <c r="X103" s="669"/>
      <c r="Y103" s="669"/>
      <c r="Z103" s="669"/>
      <c r="AA103" s="669"/>
    </row>
    <row r="104">
      <c r="A104" s="662">
        <v>13.0</v>
      </c>
      <c r="B104" s="663">
        <v>46208.0</v>
      </c>
      <c r="C104" s="664">
        <v>13.0</v>
      </c>
      <c r="D104" s="664" t="s">
        <v>92</v>
      </c>
      <c r="E104" s="695" t="s">
        <v>871</v>
      </c>
      <c r="F104" s="695" t="s">
        <v>3777</v>
      </c>
      <c r="G104" s="698">
        <v>24.0</v>
      </c>
      <c r="H104" s="695" t="s">
        <v>156</v>
      </c>
      <c r="I104" s="699" t="s">
        <v>3763</v>
      </c>
      <c r="J104" s="695"/>
      <c r="K104" s="695"/>
      <c r="L104" s="699" t="s">
        <v>3764</v>
      </c>
      <c r="M104" s="669"/>
      <c r="N104" s="669"/>
      <c r="O104" s="669"/>
      <c r="P104" s="669"/>
      <c r="Q104" s="669"/>
      <c r="R104" s="669"/>
      <c r="S104" s="669"/>
      <c r="T104" s="669"/>
      <c r="U104" s="669"/>
      <c r="V104" s="669"/>
      <c r="W104" s="669"/>
      <c r="X104" s="669"/>
      <c r="Y104" s="669"/>
      <c r="Z104" s="669"/>
      <c r="AA104" s="669"/>
    </row>
    <row r="105">
      <c r="A105" s="662">
        <v>14.0</v>
      </c>
      <c r="B105" s="663">
        <v>46208.0</v>
      </c>
      <c r="C105" s="664">
        <v>13.0</v>
      </c>
      <c r="D105" s="664" t="s">
        <v>92</v>
      </c>
      <c r="E105" s="695" t="s">
        <v>3778</v>
      </c>
      <c r="F105" s="695" t="s">
        <v>3779</v>
      </c>
      <c r="G105" s="698">
        <v>3.0</v>
      </c>
      <c r="H105" s="695" t="s">
        <v>156</v>
      </c>
      <c r="I105" s="699" t="s">
        <v>3763</v>
      </c>
      <c r="J105" s="695"/>
      <c r="K105" s="695"/>
      <c r="L105" s="699" t="s">
        <v>3764</v>
      </c>
      <c r="M105" s="669"/>
      <c r="N105" s="669"/>
      <c r="O105" s="669"/>
      <c r="P105" s="669"/>
      <c r="Q105" s="669"/>
      <c r="R105" s="669"/>
      <c r="S105" s="669"/>
      <c r="T105" s="669"/>
      <c r="U105" s="669"/>
      <c r="V105" s="669"/>
      <c r="W105" s="669"/>
      <c r="X105" s="669"/>
      <c r="Y105" s="669"/>
      <c r="Z105" s="669"/>
      <c r="AA105" s="669"/>
    </row>
    <row r="106">
      <c r="A106" s="662">
        <v>15.0</v>
      </c>
      <c r="B106" s="663">
        <v>46208.0</v>
      </c>
      <c r="C106" s="664">
        <v>13.0</v>
      </c>
      <c r="D106" s="664" t="s">
        <v>92</v>
      </c>
      <c r="E106" s="695" t="s">
        <v>3778</v>
      </c>
      <c r="F106" s="695" t="s">
        <v>3780</v>
      </c>
      <c r="G106" s="698">
        <v>3.0</v>
      </c>
      <c r="H106" s="695" t="s">
        <v>156</v>
      </c>
      <c r="I106" s="699" t="s">
        <v>3763</v>
      </c>
      <c r="J106" s="695"/>
      <c r="K106" s="695"/>
      <c r="L106" s="699" t="s">
        <v>3764</v>
      </c>
      <c r="M106" s="669"/>
      <c r="N106" s="669"/>
      <c r="O106" s="669"/>
      <c r="P106" s="669"/>
      <c r="Q106" s="669"/>
      <c r="R106" s="669"/>
      <c r="S106" s="669"/>
      <c r="T106" s="669"/>
      <c r="U106" s="669"/>
      <c r="V106" s="669"/>
      <c r="W106" s="669"/>
      <c r="X106" s="669"/>
      <c r="Y106" s="669"/>
      <c r="Z106" s="669"/>
      <c r="AA106" s="669"/>
    </row>
    <row r="107">
      <c r="A107" s="662">
        <v>16.0</v>
      </c>
      <c r="B107" s="663">
        <v>46208.0</v>
      </c>
      <c r="C107" s="664">
        <v>13.0</v>
      </c>
      <c r="D107" s="664" t="s">
        <v>92</v>
      </c>
      <c r="E107" s="695" t="s">
        <v>3778</v>
      </c>
      <c r="F107" s="695" t="s">
        <v>3781</v>
      </c>
      <c r="G107" s="698">
        <v>3.0</v>
      </c>
      <c r="H107" s="695" t="s">
        <v>156</v>
      </c>
      <c r="I107" s="699" t="s">
        <v>3763</v>
      </c>
      <c r="J107" s="695"/>
      <c r="K107" s="695"/>
      <c r="L107" s="699" t="s">
        <v>3764</v>
      </c>
      <c r="M107" s="669"/>
      <c r="N107" s="669"/>
      <c r="O107" s="669"/>
      <c r="P107" s="669"/>
      <c r="Q107" s="669"/>
      <c r="R107" s="669"/>
      <c r="S107" s="669"/>
      <c r="T107" s="669"/>
      <c r="U107" s="669"/>
      <c r="V107" s="669"/>
      <c r="W107" s="669"/>
      <c r="X107" s="669"/>
      <c r="Y107" s="669"/>
      <c r="Z107" s="669"/>
      <c r="AA107" s="669"/>
    </row>
    <row r="108">
      <c r="A108" s="662">
        <v>17.0</v>
      </c>
      <c r="B108" s="663">
        <v>46208.0</v>
      </c>
      <c r="C108" s="664">
        <v>13.0</v>
      </c>
      <c r="D108" s="664" t="s">
        <v>92</v>
      </c>
      <c r="E108" s="695" t="s">
        <v>3778</v>
      </c>
      <c r="F108" s="695" t="s">
        <v>3782</v>
      </c>
      <c r="G108" s="698">
        <v>3.0</v>
      </c>
      <c r="H108" s="695" t="s">
        <v>156</v>
      </c>
      <c r="I108" s="699" t="s">
        <v>3763</v>
      </c>
      <c r="J108" s="695"/>
      <c r="K108" s="695"/>
      <c r="L108" s="699" t="s">
        <v>3764</v>
      </c>
      <c r="M108" s="669"/>
      <c r="N108" s="669"/>
      <c r="O108" s="669"/>
      <c r="P108" s="669"/>
      <c r="Q108" s="669"/>
      <c r="R108" s="669"/>
      <c r="S108" s="669"/>
      <c r="T108" s="669"/>
      <c r="U108" s="669"/>
      <c r="V108" s="669"/>
      <c r="W108" s="669"/>
      <c r="X108" s="669"/>
      <c r="Y108" s="669"/>
      <c r="Z108" s="669"/>
      <c r="AA108" s="669"/>
    </row>
    <row r="109">
      <c r="A109" s="662">
        <v>18.0</v>
      </c>
      <c r="B109" s="663">
        <v>46208.0</v>
      </c>
      <c r="C109" s="664">
        <v>13.0</v>
      </c>
      <c r="D109" s="664" t="s">
        <v>92</v>
      </c>
      <c r="E109" s="695" t="s">
        <v>3778</v>
      </c>
      <c r="F109" s="695" t="s">
        <v>3783</v>
      </c>
      <c r="G109" s="698">
        <v>3.0</v>
      </c>
      <c r="H109" s="695" t="s">
        <v>156</v>
      </c>
      <c r="I109" s="699" t="s">
        <v>3763</v>
      </c>
      <c r="J109" s="695"/>
      <c r="K109" s="695"/>
      <c r="L109" s="699" t="s">
        <v>3764</v>
      </c>
      <c r="M109" s="669"/>
      <c r="N109" s="669"/>
      <c r="O109" s="669"/>
      <c r="P109" s="669"/>
      <c r="Q109" s="669"/>
      <c r="R109" s="669"/>
      <c r="S109" s="669"/>
      <c r="T109" s="669"/>
      <c r="U109" s="669"/>
      <c r="V109" s="669"/>
      <c r="W109" s="669"/>
      <c r="X109" s="669"/>
      <c r="Y109" s="669"/>
      <c r="Z109" s="669"/>
      <c r="AA109" s="669"/>
    </row>
    <row r="110">
      <c r="A110" s="662">
        <v>19.0</v>
      </c>
      <c r="B110" s="663">
        <v>46208.0</v>
      </c>
      <c r="C110" s="664">
        <v>13.0</v>
      </c>
      <c r="D110" s="664" t="s">
        <v>92</v>
      </c>
      <c r="E110" s="695" t="s">
        <v>3778</v>
      </c>
      <c r="F110" s="695" t="s">
        <v>3784</v>
      </c>
      <c r="G110" s="698">
        <v>3.0</v>
      </c>
      <c r="H110" s="695" t="s">
        <v>156</v>
      </c>
      <c r="I110" s="699" t="s">
        <v>3763</v>
      </c>
      <c r="J110" s="695"/>
      <c r="K110" s="695"/>
      <c r="L110" s="699" t="s">
        <v>3764</v>
      </c>
      <c r="M110" s="669"/>
      <c r="N110" s="669"/>
      <c r="O110" s="669"/>
      <c r="P110" s="669"/>
      <c r="Q110" s="669"/>
      <c r="R110" s="669"/>
      <c r="S110" s="669"/>
      <c r="T110" s="669"/>
      <c r="U110" s="669"/>
      <c r="V110" s="669"/>
      <c r="W110" s="669"/>
      <c r="X110" s="669"/>
      <c r="Y110" s="669"/>
      <c r="Z110" s="669"/>
      <c r="AA110" s="669"/>
    </row>
    <row r="111">
      <c r="A111" s="662">
        <v>20.0</v>
      </c>
      <c r="B111" s="663">
        <v>46208.0</v>
      </c>
      <c r="C111" s="664">
        <v>13.0</v>
      </c>
      <c r="D111" s="664" t="s">
        <v>92</v>
      </c>
      <c r="E111" s="695" t="s">
        <v>3778</v>
      </c>
      <c r="F111" s="695" t="s">
        <v>3785</v>
      </c>
      <c r="G111" s="698">
        <v>3.0</v>
      </c>
      <c r="H111" s="695" t="s">
        <v>156</v>
      </c>
      <c r="I111" s="699" t="s">
        <v>3763</v>
      </c>
      <c r="J111" s="695"/>
      <c r="K111" s="695"/>
      <c r="L111" s="699" t="s">
        <v>3764</v>
      </c>
      <c r="M111" s="669"/>
      <c r="N111" s="669"/>
      <c r="O111" s="669"/>
      <c r="P111" s="669"/>
      <c r="Q111" s="669"/>
      <c r="R111" s="669"/>
      <c r="S111" s="669"/>
      <c r="T111" s="669"/>
      <c r="U111" s="669"/>
      <c r="V111" s="669"/>
      <c r="W111" s="669"/>
      <c r="X111" s="669"/>
      <c r="Y111" s="669"/>
      <c r="Z111" s="669"/>
      <c r="AA111" s="669"/>
    </row>
    <row r="112">
      <c r="A112" s="662">
        <v>21.0</v>
      </c>
      <c r="B112" s="663">
        <v>46208.0</v>
      </c>
      <c r="C112" s="664">
        <v>13.0</v>
      </c>
      <c r="D112" s="664" t="s">
        <v>92</v>
      </c>
      <c r="E112" s="695" t="s">
        <v>3786</v>
      </c>
      <c r="F112" s="695" t="s">
        <v>3787</v>
      </c>
      <c r="G112" s="698">
        <v>10.0</v>
      </c>
      <c r="H112" s="695" t="s">
        <v>156</v>
      </c>
      <c r="I112" s="699" t="s">
        <v>3763</v>
      </c>
      <c r="J112" s="695"/>
      <c r="K112" s="695"/>
      <c r="L112" s="699" t="s">
        <v>3764</v>
      </c>
      <c r="M112" s="669"/>
      <c r="N112" s="669"/>
      <c r="O112" s="669"/>
      <c r="P112" s="669"/>
      <c r="Q112" s="669"/>
      <c r="R112" s="669"/>
      <c r="S112" s="669"/>
      <c r="T112" s="669"/>
      <c r="U112" s="669"/>
      <c r="V112" s="669"/>
      <c r="W112" s="669"/>
      <c r="X112" s="669"/>
      <c r="Y112" s="669"/>
      <c r="Z112" s="669"/>
      <c r="AA112" s="669"/>
    </row>
    <row r="113">
      <c r="A113" s="662">
        <v>22.0</v>
      </c>
      <c r="B113" s="663">
        <v>46208.0</v>
      </c>
      <c r="C113" s="664">
        <v>13.0</v>
      </c>
      <c r="D113" s="664" t="s">
        <v>92</v>
      </c>
      <c r="E113" s="695" t="s">
        <v>3786</v>
      </c>
      <c r="F113" s="695" t="s">
        <v>3788</v>
      </c>
      <c r="G113" s="698">
        <v>3.0</v>
      </c>
      <c r="H113" s="695" t="s">
        <v>156</v>
      </c>
      <c r="I113" s="699" t="s">
        <v>3763</v>
      </c>
      <c r="J113" s="695"/>
      <c r="K113" s="695"/>
      <c r="L113" s="699" t="s">
        <v>3764</v>
      </c>
      <c r="M113" s="669"/>
      <c r="N113" s="669"/>
      <c r="O113" s="669"/>
      <c r="P113" s="669"/>
      <c r="Q113" s="669"/>
      <c r="R113" s="669"/>
      <c r="S113" s="669"/>
      <c r="T113" s="669"/>
      <c r="U113" s="669"/>
      <c r="V113" s="669"/>
      <c r="W113" s="669"/>
      <c r="X113" s="669"/>
      <c r="Y113" s="669"/>
      <c r="Z113" s="669"/>
      <c r="AA113" s="669"/>
    </row>
    <row r="114">
      <c r="A114" s="662">
        <v>23.0</v>
      </c>
      <c r="B114" s="663">
        <v>46208.0</v>
      </c>
      <c r="C114" s="664">
        <v>13.0</v>
      </c>
      <c r="D114" s="664" t="s">
        <v>92</v>
      </c>
      <c r="E114" s="695" t="s">
        <v>3786</v>
      </c>
      <c r="F114" s="695" t="s">
        <v>3757</v>
      </c>
      <c r="G114" s="698">
        <v>3.0</v>
      </c>
      <c r="H114" s="695" t="s">
        <v>156</v>
      </c>
      <c r="I114" s="699" t="s">
        <v>3763</v>
      </c>
      <c r="J114" s="695"/>
      <c r="K114" s="695"/>
      <c r="L114" s="699" t="s">
        <v>3764</v>
      </c>
      <c r="M114" s="669"/>
      <c r="N114" s="669"/>
      <c r="O114" s="669"/>
      <c r="P114" s="669"/>
      <c r="Q114" s="669"/>
      <c r="R114" s="669"/>
      <c r="S114" s="669"/>
      <c r="T114" s="669"/>
      <c r="U114" s="669"/>
      <c r="V114" s="669"/>
      <c r="W114" s="669"/>
      <c r="X114" s="669"/>
      <c r="Y114" s="669"/>
      <c r="Z114" s="669"/>
      <c r="AA114" s="669"/>
    </row>
    <row r="115">
      <c r="A115" s="662">
        <v>24.0</v>
      </c>
      <c r="B115" s="663">
        <v>46208.0</v>
      </c>
      <c r="C115" s="664">
        <v>13.0</v>
      </c>
      <c r="D115" s="664" t="s">
        <v>92</v>
      </c>
      <c r="E115" s="695" t="s">
        <v>3786</v>
      </c>
      <c r="F115" s="695" t="s">
        <v>3789</v>
      </c>
      <c r="G115" s="698">
        <v>3.0</v>
      </c>
      <c r="H115" s="695" t="s">
        <v>156</v>
      </c>
      <c r="I115" s="699" t="s">
        <v>3763</v>
      </c>
      <c r="J115" s="695"/>
      <c r="K115" s="695"/>
      <c r="L115" s="699" t="s">
        <v>3764</v>
      </c>
      <c r="M115" s="669"/>
      <c r="N115" s="669"/>
      <c r="O115" s="669"/>
      <c r="P115" s="669"/>
      <c r="Q115" s="669"/>
      <c r="R115" s="669"/>
      <c r="S115" s="669"/>
      <c r="T115" s="669"/>
      <c r="U115" s="669"/>
      <c r="V115" s="669"/>
      <c r="W115" s="669"/>
      <c r="X115" s="669"/>
      <c r="Y115" s="669"/>
      <c r="Z115" s="669"/>
      <c r="AA115" s="669"/>
    </row>
    <row r="116">
      <c r="A116" s="662">
        <v>25.0</v>
      </c>
      <c r="B116" s="663">
        <v>46208.0</v>
      </c>
      <c r="C116" s="664">
        <v>13.0</v>
      </c>
      <c r="D116" s="664" t="s">
        <v>92</v>
      </c>
      <c r="E116" s="695" t="s">
        <v>3786</v>
      </c>
      <c r="F116" s="695" t="s">
        <v>3790</v>
      </c>
      <c r="G116" s="698">
        <v>3.0</v>
      </c>
      <c r="H116" s="695" t="s">
        <v>156</v>
      </c>
      <c r="I116" s="699" t="s">
        <v>3763</v>
      </c>
      <c r="J116" s="695"/>
      <c r="K116" s="695"/>
      <c r="L116" s="699" t="s">
        <v>3764</v>
      </c>
      <c r="M116" s="669"/>
      <c r="N116" s="669"/>
      <c r="O116" s="669"/>
      <c r="P116" s="669"/>
      <c r="Q116" s="669"/>
      <c r="R116" s="669"/>
      <c r="S116" s="669"/>
      <c r="T116" s="669"/>
      <c r="U116" s="669"/>
      <c r="V116" s="669"/>
      <c r="W116" s="669"/>
      <c r="X116" s="669"/>
      <c r="Y116" s="669"/>
      <c r="Z116" s="669"/>
      <c r="AA116" s="669"/>
    </row>
    <row r="117">
      <c r="A117" s="662">
        <v>26.0</v>
      </c>
      <c r="B117" s="663">
        <v>46208.0</v>
      </c>
      <c r="C117" s="664">
        <v>13.0</v>
      </c>
      <c r="D117" s="664" t="s">
        <v>92</v>
      </c>
      <c r="E117" s="695" t="s">
        <v>3791</v>
      </c>
      <c r="F117" s="695" t="s">
        <v>3782</v>
      </c>
      <c r="G117" s="698">
        <v>2.0</v>
      </c>
      <c r="H117" s="695" t="s">
        <v>156</v>
      </c>
      <c r="I117" s="699" t="s">
        <v>3763</v>
      </c>
      <c r="J117" s="695"/>
      <c r="K117" s="695"/>
      <c r="L117" s="699" t="s">
        <v>3764</v>
      </c>
      <c r="M117" s="669"/>
      <c r="N117" s="669"/>
      <c r="O117" s="669"/>
      <c r="P117" s="669"/>
      <c r="Q117" s="669"/>
      <c r="R117" s="669"/>
      <c r="S117" s="669"/>
      <c r="T117" s="669"/>
      <c r="U117" s="669"/>
      <c r="V117" s="669"/>
      <c r="W117" s="669"/>
      <c r="X117" s="669"/>
      <c r="Y117" s="669"/>
      <c r="Z117" s="669"/>
      <c r="AA117" s="669"/>
    </row>
    <row r="118">
      <c r="A118" s="662">
        <v>27.0</v>
      </c>
      <c r="B118" s="663">
        <v>46208.0</v>
      </c>
      <c r="C118" s="664">
        <v>13.0</v>
      </c>
      <c r="D118" s="664" t="s">
        <v>92</v>
      </c>
      <c r="E118" s="695" t="s">
        <v>3791</v>
      </c>
      <c r="F118" s="695" t="s">
        <v>3782</v>
      </c>
      <c r="G118" s="698">
        <v>3.0</v>
      </c>
      <c r="H118" s="695" t="s">
        <v>156</v>
      </c>
      <c r="I118" s="699" t="s">
        <v>3763</v>
      </c>
      <c r="J118" s="695"/>
      <c r="K118" s="695"/>
      <c r="L118" s="699" t="s">
        <v>3764</v>
      </c>
      <c r="M118" s="669"/>
      <c r="N118" s="669"/>
      <c r="O118" s="669"/>
      <c r="P118" s="669"/>
      <c r="Q118" s="669"/>
      <c r="R118" s="669"/>
      <c r="S118" s="669"/>
      <c r="T118" s="669"/>
      <c r="U118" s="669"/>
      <c r="V118" s="669"/>
      <c r="W118" s="669"/>
      <c r="X118" s="669"/>
      <c r="Y118" s="669"/>
      <c r="Z118" s="669"/>
      <c r="AA118" s="669"/>
    </row>
    <row r="119">
      <c r="A119" s="662">
        <v>28.0</v>
      </c>
      <c r="B119" s="663">
        <v>46208.0</v>
      </c>
      <c r="C119" s="664">
        <v>13.0</v>
      </c>
      <c r="D119" s="664" t="s">
        <v>92</v>
      </c>
      <c r="E119" s="695" t="s">
        <v>3792</v>
      </c>
      <c r="F119" s="695" t="s">
        <v>3793</v>
      </c>
      <c r="G119" s="698">
        <v>1.0</v>
      </c>
      <c r="H119" s="695" t="s">
        <v>98</v>
      </c>
      <c r="I119" s="699" t="s">
        <v>3763</v>
      </c>
      <c r="J119" s="695"/>
      <c r="K119" s="695"/>
      <c r="L119" s="699" t="s">
        <v>3764</v>
      </c>
      <c r="M119" s="669"/>
      <c r="N119" s="669"/>
      <c r="O119" s="669"/>
      <c r="P119" s="669"/>
      <c r="Q119" s="669"/>
      <c r="R119" s="669"/>
      <c r="S119" s="669"/>
      <c r="T119" s="669"/>
      <c r="U119" s="669"/>
      <c r="V119" s="669"/>
      <c r="W119" s="669"/>
      <c r="X119" s="669"/>
      <c r="Y119" s="669"/>
      <c r="Z119" s="669"/>
      <c r="AA119" s="669"/>
    </row>
    <row r="120">
      <c r="A120" s="687"/>
      <c r="B120" s="690"/>
      <c r="C120" s="690"/>
      <c r="D120" s="690"/>
      <c r="E120" s="690"/>
      <c r="F120" s="690"/>
      <c r="G120" s="691"/>
      <c r="H120" s="690"/>
      <c r="I120" s="690"/>
      <c r="J120" s="690"/>
      <c r="K120" s="690"/>
      <c r="L120" s="690"/>
      <c r="M120" s="669"/>
      <c r="N120" s="669"/>
      <c r="O120" s="669"/>
      <c r="P120" s="669"/>
      <c r="Q120" s="669"/>
      <c r="R120" s="669"/>
      <c r="S120" s="669"/>
      <c r="T120" s="669"/>
      <c r="U120" s="669"/>
      <c r="V120" s="669"/>
      <c r="W120" s="669"/>
      <c r="X120" s="669"/>
      <c r="Y120" s="669"/>
      <c r="Z120" s="669"/>
      <c r="AA120" s="669"/>
    </row>
    <row r="121">
      <c r="A121" s="662">
        <v>1.0</v>
      </c>
      <c r="B121" s="663">
        <v>46208.0</v>
      </c>
      <c r="C121" s="664">
        <v>14.0</v>
      </c>
      <c r="D121" s="664" t="s">
        <v>92</v>
      </c>
      <c r="E121" s="700" t="s">
        <v>3794</v>
      </c>
      <c r="F121" s="700" t="s">
        <v>3795</v>
      </c>
      <c r="G121" s="701">
        <v>3100.0</v>
      </c>
      <c r="H121" s="700" t="s">
        <v>156</v>
      </c>
      <c r="I121" s="671" t="s">
        <v>3796</v>
      </c>
      <c r="J121" s="678"/>
      <c r="K121" s="678"/>
      <c r="L121" s="678"/>
      <c r="M121" s="669"/>
      <c r="N121" s="669"/>
      <c r="O121" s="669"/>
      <c r="P121" s="669"/>
      <c r="Q121" s="669"/>
      <c r="R121" s="669"/>
      <c r="S121" s="669"/>
      <c r="T121" s="669"/>
      <c r="U121" s="669"/>
      <c r="V121" s="669"/>
      <c r="W121" s="669"/>
      <c r="X121" s="669"/>
      <c r="Y121" s="669"/>
      <c r="Z121" s="669"/>
      <c r="AA121" s="669"/>
    </row>
    <row r="122">
      <c r="A122" s="662">
        <v>2.0</v>
      </c>
      <c r="B122" s="663">
        <v>46208.0</v>
      </c>
      <c r="C122" s="664">
        <v>14.0</v>
      </c>
      <c r="D122" s="664" t="s">
        <v>92</v>
      </c>
      <c r="E122" s="700" t="s">
        <v>3224</v>
      </c>
      <c r="F122" s="700" t="s">
        <v>3797</v>
      </c>
      <c r="G122" s="701">
        <v>1.0</v>
      </c>
      <c r="H122" s="700" t="s">
        <v>89</v>
      </c>
      <c r="I122" s="699" t="s">
        <v>3763</v>
      </c>
      <c r="J122" s="678"/>
      <c r="K122" s="678"/>
      <c r="L122" s="699" t="s">
        <v>3798</v>
      </c>
      <c r="M122" s="669"/>
      <c r="N122" s="669"/>
      <c r="O122" s="669"/>
      <c r="P122" s="669"/>
      <c r="Q122" s="669"/>
      <c r="R122" s="669"/>
      <c r="S122" s="669"/>
      <c r="T122" s="669"/>
      <c r="U122" s="669"/>
      <c r="V122" s="669"/>
      <c r="W122" s="669"/>
      <c r="X122" s="669"/>
      <c r="Y122" s="669"/>
      <c r="Z122" s="669"/>
      <c r="AA122" s="669"/>
    </row>
    <row r="123">
      <c r="A123" s="662">
        <v>3.0</v>
      </c>
      <c r="B123" s="663">
        <v>46208.0</v>
      </c>
      <c r="C123" s="664">
        <v>14.0</v>
      </c>
      <c r="D123" s="664" t="s">
        <v>92</v>
      </c>
      <c r="E123" s="700" t="s">
        <v>1914</v>
      </c>
      <c r="F123" s="700" t="s">
        <v>3799</v>
      </c>
      <c r="G123" s="701">
        <v>1.0</v>
      </c>
      <c r="H123" s="700" t="s">
        <v>89</v>
      </c>
      <c r="I123" s="671" t="s">
        <v>3800</v>
      </c>
      <c r="J123" s="678"/>
      <c r="K123" s="678"/>
      <c r="L123" s="678"/>
      <c r="M123" s="669"/>
      <c r="N123" s="669"/>
      <c r="O123" s="669"/>
      <c r="P123" s="669"/>
      <c r="Q123" s="669"/>
      <c r="R123" s="669"/>
      <c r="S123" s="669"/>
      <c r="T123" s="669"/>
      <c r="U123" s="669"/>
      <c r="V123" s="669"/>
      <c r="W123" s="669"/>
      <c r="X123" s="669"/>
      <c r="Y123" s="669"/>
      <c r="Z123" s="669"/>
      <c r="AA123" s="669"/>
    </row>
    <row r="124">
      <c r="A124" s="662">
        <v>4.0</v>
      </c>
      <c r="B124" s="663">
        <v>46208.0</v>
      </c>
      <c r="C124" s="664">
        <v>14.0</v>
      </c>
      <c r="D124" s="664" t="s">
        <v>92</v>
      </c>
      <c r="E124" s="700" t="s">
        <v>3801</v>
      </c>
      <c r="F124" s="700" t="s">
        <v>3732</v>
      </c>
      <c r="G124" s="701">
        <v>25.0</v>
      </c>
      <c r="H124" s="700" t="s">
        <v>1673</v>
      </c>
      <c r="I124" s="671" t="s">
        <v>3800</v>
      </c>
      <c r="J124" s="678"/>
      <c r="K124" s="678"/>
      <c r="L124" s="678"/>
      <c r="M124" s="669"/>
      <c r="N124" s="669"/>
      <c r="O124" s="669"/>
      <c r="P124" s="669"/>
      <c r="Q124" s="669"/>
      <c r="R124" s="669"/>
      <c r="S124" s="669"/>
      <c r="T124" s="669"/>
      <c r="U124" s="669"/>
      <c r="V124" s="669"/>
      <c r="W124" s="669"/>
      <c r="X124" s="669"/>
      <c r="Y124" s="669"/>
      <c r="Z124" s="669"/>
      <c r="AA124" s="669"/>
    </row>
    <row r="125">
      <c r="A125" s="662">
        <v>5.0</v>
      </c>
      <c r="B125" s="663">
        <v>46208.0</v>
      </c>
      <c r="C125" s="664">
        <v>14.0</v>
      </c>
      <c r="D125" s="664" t="s">
        <v>92</v>
      </c>
      <c r="E125" s="700" t="s">
        <v>3801</v>
      </c>
      <c r="F125" s="700" t="s">
        <v>3802</v>
      </c>
      <c r="G125" s="701">
        <v>25.0</v>
      </c>
      <c r="H125" s="700" t="s">
        <v>1673</v>
      </c>
      <c r="I125" s="671" t="s">
        <v>3800</v>
      </c>
      <c r="J125" s="678"/>
      <c r="K125" s="678"/>
      <c r="L125" s="678"/>
      <c r="M125" s="669"/>
      <c r="N125" s="669"/>
      <c r="O125" s="669"/>
      <c r="P125" s="669"/>
      <c r="Q125" s="669"/>
      <c r="R125" s="669"/>
      <c r="S125" s="669"/>
      <c r="T125" s="669"/>
      <c r="U125" s="669"/>
      <c r="V125" s="669"/>
      <c r="W125" s="669"/>
      <c r="X125" s="669"/>
      <c r="Y125" s="669"/>
      <c r="Z125" s="669"/>
      <c r="AA125" s="669"/>
    </row>
    <row r="126">
      <c r="A126" s="662">
        <v>6.0</v>
      </c>
      <c r="B126" s="663">
        <v>46208.0</v>
      </c>
      <c r="C126" s="664">
        <v>14.0</v>
      </c>
      <c r="D126" s="664" t="s">
        <v>92</v>
      </c>
      <c r="E126" s="700" t="s">
        <v>3803</v>
      </c>
      <c r="F126" s="700" t="s">
        <v>3804</v>
      </c>
      <c r="G126" s="701">
        <v>4.0</v>
      </c>
      <c r="H126" s="700" t="s">
        <v>156</v>
      </c>
      <c r="I126" s="671" t="s">
        <v>3800</v>
      </c>
      <c r="J126" s="678"/>
      <c r="K126" s="678"/>
      <c r="L126" s="678"/>
      <c r="M126" s="669"/>
      <c r="N126" s="669"/>
      <c r="O126" s="669"/>
      <c r="P126" s="669"/>
      <c r="Q126" s="669"/>
      <c r="R126" s="669"/>
      <c r="S126" s="669"/>
      <c r="T126" s="669"/>
      <c r="U126" s="669"/>
      <c r="V126" s="669"/>
      <c r="W126" s="669"/>
      <c r="X126" s="669"/>
      <c r="Y126" s="669"/>
      <c r="Z126" s="669"/>
      <c r="AA126" s="669"/>
    </row>
    <row r="127">
      <c r="A127" s="662">
        <v>7.0</v>
      </c>
      <c r="B127" s="663">
        <v>46208.0</v>
      </c>
      <c r="C127" s="664">
        <v>14.0</v>
      </c>
      <c r="D127" s="664" t="s">
        <v>92</v>
      </c>
      <c r="E127" s="700" t="s">
        <v>330</v>
      </c>
      <c r="F127" s="700" t="s">
        <v>3700</v>
      </c>
      <c r="G127" s="701">
        <v>2.0</v>
      </c>
      <c r="H127" s="700" t="s">
        <v>156</v>
      </c>
      <c r="I127" s="671" t="s">
        <v>3805</v>
      </c>
      <c r="J127" s="678"/>
      <c r="K127" s="678"/>
      <c r="L127" s="678"/>
      <c r="M127" s="669"/>
      <c r="N127" s="669"/>
      <c r="O127" s="669"/>
      <c r="P127" s="669"/>
      <c r="Q127" s="669"/>
      <c r="R127" s="669"/>
      <c r="S127" s="669"/>
      <c r="T127" s="669"/>
      <c r="U127" s="669"/>
      <c r="V127" s="669"/>
      <c r="W127" s="669"/>
      <c r="X127" s="669"/>
      <c r="Y127" s="669"/>
      <c r="Z127" s="669"/>
      <c r="AA127" s="669"/>
    </row>
    <row r="128">
      <c r="A128" s="687"/>
      <c r="B128" s="690"/>
      <c r="C128" s="690"/>
      <c r="D128" s="690"/>
      <c r="E128" s="690"/>
      <c r="F128" s="690"/>
      <c r="G128" s="691"/>
      <c r="H128" s="690"/>
      <c r="I128" s="690"/>
      <c r="J128" s="690"/>
      <c r="K128" s="690"/>
      <c r="L128" s="690"/>
      <c r="M128" s="669"/>
      <c r="N128" s="669"/>
      <c r="O128" s="669"/>
      <c r="P128" s="669"/>
      <c r="Q128" s="669"/>
      <c r="R128" s="669"/>
      <c r="S128" s="669"/>
      <c r="T128" s="669"/>
      <c r="U128" s="669"/>
      <c r="V128" s="669"/>
      <c r="W128" s="669"/>
      <c r="X128" s="669"/>
      <c r="Y128" s="669"/>
      <c r="Z128" s="669"/>
      <c r="AA128" s="669"/>
    </row>
    <row r="129">
      <c r="A129" s="662">
        <v>1.0</v>
      </c>
      <c r="B129" s="663">
        <v>46239.0</v>
      </c>
      <c r="C129" s="664">
        <v>15.0</v>
      </c>
      <c r="D129" s="664" t="s">
        <v>92</v>
      </c>
      <c r="E129" s="664" t="s">
        <v>3806</v>
      </c>
      <c r="F129" s="664" t="s">
        <v>3807</v>
      </c>
      <c r="G129" s="702">
        <v>1.0</v>
      </c>
      <c r="H129" s="703" t="s">
        <v>156</v>
      </c>
      <c r="I129" s="671" t="s">
        <v>3808</v>
      </c>
      <c r="J129" s="678"/>
      <c r="K129" s="678"/>
      <c r="L129" s="678"/>
      <c r="M129" s="669"/>
      <c r="N129" s="669"/>
      <c r="O129" s="669"/>
      <c r="P129" s="669"/>
      <c r="Q129" s="669"/>
      <c r="R129" s="669"/>
      <c r="S129" s="669"/>
      <c r="T129" s="669"/>
      <c r="U129" s="669"/>
      <c r="V129" s="669"/>
      <c r="W129" s="669"/>
      <c r="X129" s="669"/>
      <c r="Y129" s="669"/>
      <c r="Z129" s="669"/>
      <c r="AA129" s="669"/>
    </row>
    <row r="130">
      <c r="A130" s="662">
        <v>2.0</v>
      </c>
      <c r="B130" s="663">
        <v>46239.0</v>
      </c>
      <c r="C130" s="664">
        <v>15.0</v>
      </c>
      <c r="D130" s="664" t="s">
        <v>92</v>
      </c>
      <c r="E130" s="664" t="s">
        <v>3809</v>
      </c>
      <c r="F130" s="664" t="s">
        <v>3810</v>
      </c>
      <c r="G130" s="702">
        <v>300.0</v>
      </c>
      <c r="H130" s="703" t="s">
        <v>74</v>
      </c>
      <c r="I130" s="671" t="s">
        <v>3800</v>
      </c>
      <c r="J130" s="678"/>
      <c r="K130" s="678"/>
      <c r="L130" s="678"/>
      <c r="M130" s="669"/>
      <c r="N130" s="669"/>
      <c r="O130" s="669"/>
      <c r="P130" s="669"/>
      <c r="Q130" s="669"/>
      <c r="R130" s="669"/>
      <c r="S130" s="669"/>
      <c r="T130" s="669"/>
      <c r="U130" s="669"/>
      <c r="V130" s="669"/>
      <c r="W130" s="669"/>
      <c r="X130" s="669"/>
      <c r="Y130" s="669"/>
      <c r="Z130" s="669"/>
      <c r="AA130" s="669"/>
    </row>
    <row r="131">
      <c r="A131" s="662">
        <v>3.0</v>
      </c>
      <c r="B131" s="663">
        <v>46239.0</v>
      </c>
      <c r="C131" s="664">
        <v>15.0</v>
      </c>
      <c r="D131" s="664" t="s">
        <v>92</v>
      </c>
      <c r="E131" s="664" t="s">
        <v>1189</v>
      </c>
      <c r="F131" s="664" t="s">
        <v>3656</v>
      </c>
      <c r="G131" s="702">
        <v>10.0</v>
      </c>
      <c r="H131" s="703" t="s">
        <v>156</v>
      </c>
      <c r="I131" s="677" t="s">
        <v>3655</v>
      </c>
      <c r="J131" s="678"/>
      <c r="K131" s="678"/>
      <c r="L131" s="678"/>
      <c r="M131" s="669"/>
      <c r="N131" s="669"/>
      <c r="O131" s="669"/>
      <c r="P131" s="669"/>
      <c r="Q131" s="669"/>
      <c r="R131" s="669"/>
      <c r="S131" s="669"/>
      <c r="T131" s="669"/>
      <c r="U131" s="669"/>
      <c r="V131" s="669"/>
      <c r="W131" s="669"/>
      <c r="X131" s="669"/>
      <c r="Y131" s="669"/>
      <c r="Z131" s="669"/>
      <c r="AA131" s="669"/>
    </row>
    <row r="132">
      <c r="A132" s="687"/>
      <c r="B132" s="690"/>
      <c r="C132" s="690"/>
      <c r="D132" s="690"/>
      <c r="E132" s="690"/>
      <c r="F132" s="690"/>
      <c r="G132" s="691"/>
      <c r="H132" s="690"/>
      <c r="I132" s="690"/>
      <c r="J132" s="690"/>
      <c r="K132" s="690"/>
      <c r="L132" s="690"/>
      <c r="M132" s="669"/>
      <c r="N132" s="669"/>
      <c r="O132" s="669"/>
      <c r="P132" s="669"/>
      <c r="Q132" s="669"/>
      <c r="R132" s="669"/>
      <c r="S132" s="669"/>
      <c r="T132" s="669"/>
      <c r="U132" s="669"/>
      <c r="V132" s="669"/>
      <c r="W132" s="669"/>
      <c r="X132" s="669"/>
      <c r="Y132" s="669"/>
      <c r="Z132" s="669"/>
      <c r="AA132" s="669"/>
    </row>
    <row r="133">
      <c r="A133" s="662">
        <v>1.0</v>
      </c>
      <c r="B133" s="704">
        <v>46331.0</v>
      </c>
      <c r="C133" s="664">
        <v>16.0</v>
      </c>
      <c r="D133" s="664" t="s">
        <v>3811</v>
      </c>
      <c r="E133" s="664" t="s">
        <v>1634</v>
      </c>
      <c r="F133" s="664" t="s">
        <v>3812</v>
      </c>
      <c r="G133" s="665">
        <v>2.0</v>
      </c>
      <c r="H133" s="664" t="s">
        <v>156</v>
      </c>
      <c r="I133" s="671" t="s">
        <v>3813</v>
      </c>
      <c r="J133" s="678"/>
      <c r="K133" s="678"/>
      <c r="L133" s="678"/>
      <c r="M133" s="669"/>
      <c r="N133" s="669"/>
      <c r="O133" s="669"/>
      <c r="P133" s="669"/>
      <c r="Q133" s="669"/>
      <c r="R133" s="669"/>
      <c r="S133" s="669"/>
      <c r="T133" s="669"/>
      <c r="U133" s="669"/>
      <c r="V133" s="669"/>
      <c r="W133" s="669"/>
      <c r="X133" s="669"/>
      <c r="Y133" s="669"/>
      <c r="Z133" s="669"/>
      <c r="AA133" s="669"/>
    </row>
    <row r="134">
      <c r="A134" s="687"/>
      <c r="B134" s="690"/>
      <c r="C134" s="690"/>
      <c r="D134" s="690"/>
      <c r="E134" s="690"/>
      <c r="F134" s="690"/>
      <c r="G134" s="691"/>
      <c r="H134" s="690"/>
      <c r="I134" s="690"/>
      <c r="J134" s="690"/>
      <c r="K134" s="690"/>
      <c r="L134" s="690"/>
      <c r="M134" s="669"/>
      <c r="N134" s="669"/>
      <c r="O134" s="669"/>
      <c r="P134" s="669"/>
      <c r="Q134" s="669"/>
      <c r="R134" s="669"/>
      <c r="S134" s="669"/>
      <c r="T134" s="669"/>
      <c r="U134" s="669"/>
      <c r="V134" s="669"/>
      <c r="W134" s="669"/>
      <c r="X134" s="669"/>
      <c r="Y134" s="669"/>
      <c r="Z134" s="669"/>
      <c r="AA134" s="669"/>
    </row>
    <row r="135">
      <c r="A135" s="662">
        <v>1.0</v>
      </c>
      <c r="B135" s="704">
        <v>46331.0</v>
      </c>
      <c r="C135" s="664">
        <v>17.0</v>
      </c>
      <c r="D135" s="664" t="s">
        <v>3811</v>
      </c>
      <c r="E135" s="664" t="s">
        <v>3620</v>
      </c>
      <c r="F135" s="664" t="s">
        <v>3814</v>
      </c>
      <c r="G135" s="665">
        <v>10.0</v>
      </c>
      <c r="H135" s="664" t="s">
        <v>156</v>
      </c>
      <c r="I135" s="671" t="s">
        <v>3749</v>
      </c>
      <c r="J135" s="678"/>
      <c r="K135" s="678"/>
      <c r="L135" s="678"/>
      <c r="M135" s="669"/>
      <c r="N135" s="669"/>
      <c r="O135" s="669"/>
      <c r="P135" s="669"/>
      <c r="Q135" s="669"/>
      <c r="R135" s="669"/>
      <c r="S135" s="669"/>
      <c r="T135" s="669"/>
      <c r="U135" s="669"/>
      <c r="V135" s="669"/>
      <c r="W135" s="669"/>
      <c r="X135" s="669"/>
      <c r="Y135" s="669"/>
      <c r="Z135" s="669"/>
      <c r="AA135" s="669"/>
    </row>
    <row r="136">
      <c r="A136" s="687"/>
      <c r="B136" s="690"/>
      <c r="C136" s="690"/>
      <c r="D136" s="690"/>
      <c r="E136" s="690"/>
      <c r="F136" s="690"/>
      <c r="G136" s="691"/>
      <c r="H136" s="690"/>
      <c r="I136" s="690"/>
      <c r="J136" s="690"/>
      <c r="K136" s="690"/>
      <c r="L136" s="690"/>
      <c r="M136" s="669"/>
      <c r="N136" s="669"/>
      <c r="O136" s="669"/>
      <c r="P136" s="669"/>
      <c r="Q136" s="669"/>
      <c r="R136" s="669"/>
      <c r="S136" s="669"/>
      <c r="T136" s="669"/>
      <c r="U136" s="669"/>
      <c r="V136" s="669"/>
      <c r="W136" s="669"/>
      <c r="X136" s="669"/>
      <c r="Y136" s="669"/>
      <c r="Z136" s="669"/>
      <c r="AA136" s="669"/>
    </row>
    <row r="137">
      <c r="A137" s="662">
        <v>1.0</v>
      </c>
      <c r="B137" s="704">
        <v>46331.0</v>
      </c>
      <c r="C137" s="664">
        <v>18.0</v>
      </c>
      <c r="D137" s="664" t="s">
        <v>3811</v>
      </c>
      <c r="E137" s="664" t="s">
        <v>3815</v>
      </c>
      <c r="F137" s="664" t="s">
        <v>3816</v>
      </c>
      <c r="G137" s="665">
        <v>550.0</v>
      </c>
      <c r="H137" s="664" t="s">
        <v>1168</v>
      </c>
      <c r="I137" s="671" t="s">
        <v>3800</v>
      </c>
      <c r="J137" s="678"/>
      <c r="K137" s="678"/>
      <c r="L137" s="664" t="s">
        <v>3817</v>
      </c>
      <c r="M137" s="669"/>
      <c r="N137" s="669"/>
      <c r="O137" s="669"/>
      <c r="P137" s="669"/>
      <c r="Q137" s="669"/>
      <c r="R137" s="669"/>
      <c r="S137" s="669"/>
      <c r="T137" s="669"/>
      <c r="U137" s="669"/>
      <c r="V137" s="669"/>
      <c r="W137" s="669"/>
      <c r="X137" s="669"/>
      <c r="Y137" s="669"/>
      <c r="Z137" s="669"/>
      <c r="AA137" s="669"/>
    </row>
    <row r="138">
      <c r="A138" s="662">
        <v>2.0</v>
      </c>
      <c r="B138" s="704">
        <v>46331.0</v>
      </c>
      <c r="C138" s="664">
        <v>18.0</v>
      </c>
      <c r="D138" s="664" t="s">
        <v>3811</v>
      </c>
      <c r="E138" s="664" t="s">
        <v>3513</v>
      </c>
      <c r="F138" s="664" t="s">
        <v>3818</v>
      </c>
      <c r="G138" s="665">
        <v>12.0</v>
      </c>
      <c r="H138" s="664" t="s">
        <v>156</v>
      </c>
      <c r="I138" s="664" t="s">
        <v>3819</v>
      </c>
      <c r="J138" s="678"/>
      <c r="K138" s="678"/>
      <c r="L138" s="664" t="s">
        <v>3817</v>
      </c>
      <c r="M138" s="669"/>
      <c r="N138" s="669"/>
      <c r="O138" s="669"/>
      <c r="P138" s="669"/>
      <c r="Q138" s="669"/>
      <c r="R138" s="669"/>
      <c r="S138" s="669"/>
      <c r="T138" s="669"/>
      <c r="U138" s="669"/>
      <c r="V138" s="669"/>
      <c r="W138" s="669"/>
      <c r="X138" s="669"/>
      <c r="Y138" s="669"/>
      <c r="Z138" s="669"/>
      <c r="AA138" s="669"/>
    </row>
    <row r="139">
      <c r="A139" s="687"/>
      <c r="B139" s="690"/>
      <c r="C139" s="690"/>
      <c r="D139" s="690"/>
      <c r="E139" s="690"/>
      <c r="F139" s="690"/>
      <c r="G139" s="691"/>
      <c r="H139" s="690"/>
      <c r="I139" s="690"/>
      <c r="J139" s="690"/>
      <c r="K139" s="690"/>
      <c r="L139" s="690"/>
      <c r="M139" s="669"/>
      <c r="N139" s="669"/>
      <c r="O139" s="669"/>
      <c r="P139" s="669"/>
      <c r="Q139" s="669"/>
      <c r="R139" s="669"/>
      <c r="S139" s="669"/>
      <c r="T139" s="669"/>
      <c r="U139" s="669"/>
      <c r="V139" s="669"/>
      <c r="W139" s="669"/>
      <c r="X139" s="669"/>
      <c r="Y139" s="669"/>
      <c r="Z139" s="669"/>
      <c r="AA139" s="669"/>
    </row>
    <row r="140">
      <c r="A140" s="705">
        <v>1.0</v>
      </c>
      <c r="B140" s="695" t="s">
        <v>3820</v>
      </c>
      <c r="C140" s="695">
        <v>19.0</v>
      </c>
      <c r="D140" s="664" t="s">
        <v>3811</v>
      </c>
      <c r="E140" s="695" t="s">
        <v>3001</v>
      </c>
      <c r="F140" s="695" t="s">
        <v>3821</v>
      </c>
      <c r="G140" s="695">
        <v>2.0</v>
      </c>
      <c r="H140" s="695" t="s">
        <v>1004</v>
      </c>
      <c r="I140" s="671" t="s">
        <v>3822</v>
      </c>
      <c r="J140" s="698"/>
      <c r="K140" s="695"/>
      <c r="L140" s="678"/>
      <c r="M140" s="669"/>
      <c r="N140" s="669"/>
      <c r="O140" s="669"/>
      <c r="P140" s="669"/>
      <c r="Q140" s="669"/>
      <c r="R140" s="669"/>
      <c r="S140" s="669"/>
      <c r="T140" s="669"/>
      <c r="U140" s="669"/>
      <c r="V140" s="669"/>
      <c r="W140" s="669"/>
      <c r="X140" s="669"/>
      <c r="Y140" s="669"/>
      <c r="Z140" s="669"/>
      <c r="AA140" s="669"/>
    </row>
    <row r="141">
      <c r="A141" s="705">
        <v>2.0</v>
      </c>
      <c r="B141" s="695" t="s">
        <v>3820</v>
      </c>
      <c r="C141" s="695">
        <v>19.0</v>
      </c>
      <c r="D141" s="664" t="s">
        <v>3811</v>
      </c>
      <c r="E141" s="695" t="s">
        <v>3133</v>
      </c>
      <c r="F141" s="695" t="s">
        <v>3823</v>
      </c>
      <c r="G141" s="695">
        <v>4.0</v>
      </c>
      <c r="H141" s="695" t="s">
        <v>156</v>
      </c>
      <c r="I141" s="671" t="s">
        <v>3822</v>
      </c>
      <c r="J141" s="698"/>
      <c r="K141" s="695"/>
      <c r="L141" s="678"/>
      <c r="M141" s="669"/>
      <c r="N141" s="669"/>
      <c r="O141" s="669"/>
      <c r="P141" s="669"/>
      <c r="Q141" s="669"/>
      <c r="R141" s="669"/>
      <c r="S141" s="669"/>
      <c r="T141" s="669"/>
      <c r="U141" s="669"/>
      <c r="V141" s="669"/>
      <c r="W141" s="669"/>
      <c r="X141" s="669"/>
      <c r="Y141" s="669"/>
      <c r="Z141" s="669"/>
      <c r="AA141" s="669"/>
    </row>
    <row r="142">
      <c r="A142" s="705">
        <v>3.0</v>
      </c>
      <c r="B142" s="695" t="s">
        <v>3820</v>
      </c>
      <c r="C142" s="695">
        <v>19.0</v>
      </c>
      <c r="D142" s="664" t="s">
        <v>3811</v>
      </c>
      <c r="E142" s="695" t="s">
        <v>408</v>
      </c>
      <c r="F142" s="695" t="s">
        <v>3824</v>
      </c>
      <c r="G142" s="695">
        <v>10.0</v>
      </c>
      <c r="H142" s="695" t="s">
        <v>39</v>
      </c>
      <c r="I142" s="677" t="s">
        <v>3655</v>
      </c>
      <c r="J142" s="698"/>
      <c r="K142" s="695"/>
      <c r="L142" s="678"/>
      <c r="M142" s="669"/>
      <c r="N142" s="669"/>
      <c r="O142" s="669"/>
      <c r="P142" s="669"/>
      <c r="Q142" s="669"/>
      <c r="R142" s="669"/>
      <c r="S142" s="669"/>
      <c r="T142" s="669"/>
      <c r="U142" s="669"/>
      <c r="V142" s="669"/>
      <c r="W142" s="669"/>
      <c r="X142" s="669"/>
      <c r="Y142" s="669"/>
      <c r="Z142" s="669"/>
      <c r="AA142" s="669"/>
    </row>
    <row r="143">
      <c r="A143" s="687"/>
      <c r="B143" s="690"/>
      <c r="C143" s="690"/>
      <c r="D143" s="690"/>
      <c r="E143" s="690"/>
      <c r="F143" s="690"/>
      <c r="G143" s="691"/>
      <c r="H143" s="690"/>
      <c r="I143" s="690"/>
      <c r="J143" s="690"/>
      <c r="K143" s="690"/>
      <c r="L143" s="690"/>
      <c r="M143" s="669"/>
      <c r="N143" s="669"/>
      <c r="O143" s="669"/>
      <c r="P143" s="669"/>
      <c r="Q143" s="669"/>
      <c r="R143" s="669"/>
      <c r="S143" s="669"/>
      <c r="T143" s="669"/>
      <c r="U143" s="669"/>
      <c r="V143" s="669"/>
      <c r="W143" s="669"/>
      <c r="X143" s="669"/>
      <c r="Y143" s="669"/>
      <c r="Z143" s="669"/>
      <c r="AA143" s="669"/>
    </row>
    <row r="144">
      <c r="A144" s="662">
        <v>1.0</v>
      </c>
      <c r="B144" s="664" t="s">
        <v>3825</v>
      </c>
      <c r="C144" s="664">
        <v>20.0</v>
      </c>
      <c r="D144" s="664" t="s">
        <v>3811</v>
      </c>
      <c r="E144" s="664" t="s">
        <v>3826</v>
      </c>
      <c r="F144" s="664" t="s">
        <v>3827</v>
      </c>
      <c r="G144" s="665">
        <v>2.0</v>
      </c>
      <c r="H144" s="664" t="s">
        <v>405</v>
      </c>
      <c r="I144" s="671" t="s">
        <v>3828</v>
      </c>
      <c r="J144" s="678"/>
      <c r="K144" s="678"/>
      <c r="L144" s="678"/>
      <c r="M144" s="669"/>
      <c r="N144" s="669"/>
      <c r="O144" s="669"/>
      <c r="P144" s="669"/>
      <c r="Q144" s="669"/>
      <c r="R144" s="669"/>
      <c r="S144" s="669"/>
      <c r="T144" s="669"/>
      <c r="U144" s="669"/>
      <c r="V144" s="669"/>
      <c r="W144" s="669"/>
      <c r="X144" s="669"/>
      <c r="Y144" s="669"/>
      <c r="Z144" s="669"/>
      <c r="AA144" s="669"/>
    </row>
    <row r="145">
      <c r="A145" s="687"/>
      <c r="B145" s="690"/>
      <c r="C145" s="690"/>
      <c r="D145" s="690"/>
      <c r="E145" s="690"/>
      <c r="F145" s="690"/>
      <c r="G145" s="691"/>
      <c r="H145" s="690"/>
      <c r="I145" s="690"/>
      <c r="J145" s="690"/>
      <c r="K145" s="690"/>
      <c r="L145" s="690"/>
      <c r="M145" s="669"/>
      <c r="N145" s="669"/>
      <c r="O145" s="669"/>
      <c r="P145" s="669"/>
      <c r="Q145" s="669"/>
      <c r="R145" s="669"/>
      <c r="S145" s="669"/>
      <c r="T145" s="669"/>
      <c r="U145" s="669"/>
      <c r="V145" s="669"/>
      <c r="W145" s="669"/>
      <c r="X145" s="669"/>
      <c r="Y145" s="669"/>
      <c r="Z145" s="669"/>
      <c r="AA145" s="669"/>
    </row>
    <row r="146">
      <c r="A146" s="662">
        <v>1.0</v>
      </c>
      <c r="B146" s="664" t="s">
        <v>3624</v>
      </c>
      <c r="C146" s="664">
        <v>21.0</v>
      </c>
      <c r="D146" s="664" t="s">
        <v>3811</v>
      </c>
      <c r="E146" s="664" t="s">
        <v>3829</v>
      </c>
      <c r="F146" s="664" t="s">
        <v>3830</v>
      </c>
      <c r="G146" s="665">
        <v>12.0</v>
      </c>
      <c r="H146" s="664" t="s">
        <v>25</v>
      </c>
      <c r="I146" s="671" t="s">
        <v>3831</v>
      </c>
      <c r="J146" s="678"/>
      <c r="K146" s="678"/>
      <c r="L146" s="678"/>
      <c r="M146" s="669"/>
      <c r="N146" s="669"/>
      <c r="O146" s="669"/>
      <c r="P146" s="669"/>
      <c r="Q146" s="669"/>
      <c r="R146" s="669"/>
      <c r="S146" s="669"/>
      <c r="T146" s="669"/>
      <c r="U146" s="669"/>
      <c r="V146" s="669"/>
      <c r="W146" s="669"/>
      <c r="X146" s="669"/>
      <c r="Y146" s="669"/>
      <c r="Z146" s="669"/>
      <c r="AA146" s="669"/>
    </row>
    <row r="147">
      <c r="A147" s="662">
        <v>2.0</v>
      </c>
      <c r="B147" s="664" t="s">
        <v>3624</v>
      </c>
      <c r="C147" s="664">
        <v>21.0</v>
      </c>
      <c r="D147" s="664" t="s">
        <v>3811</v>
      </c>
      <c r="E147" s="664" t="s">
        <v>3832</v>
      </c>
      <c r="F147" s="664" t="s">
        <v>3833</v>
      </c>
      <c r="G147" s="665">
        <v>12.0</v>
      </c>
      <c r="H147" s="664" t="s">
        <v>25</v>
      </c>
      <c r="I147" s="671" t="s">
        <v>3831</v>
      </c>
      <c r="J147" s="678"/>
      <c r="K147" s="678"/>
      <c r="L147" s="678"/>
      <c r="M147" s="669"/>
      <c r="N147" s="669"/>
      <c r="O147" s="669"/>
      <c r="P147" s="669"/>
      <c r="Q147" s="669"/>
      <c r="R147" s="669"/>
      <c r="S147" s="669"/>
      <c r="T147" s="669"/>
      <c r="U147" s="669"/>
      <c r="V147" s="669"/>
      <c r="W147" s="669"/>
      <c r="X147" s="669"/>
      <c r="Y147" s="669"/>
      <c r="Z147" s="669"/>
      <c r="AA147" s="669"/>
    </row>
    <row r="148">
      <c r="A148" s="662">
        <v>3.0</v>
      </c>
      <c r="B148" s="664" t="s">
        <v>3624</v>
      </c>
      <c r="C148" s="664">
        <v>21.0</v>
      </c>
      <c r="D148" s="664" t="s">
        <v>3811</v>
      </c>
      <c r="E148" s="664" t="s">
        <v>2836</v>
      </c>
      <c r="F148" s="664" t="s">
        <v>3834</v>
      </c>
      <c r="G148" s="665">
        <v>10.0</v>
      </c>
      <c r="H148" s="664" t="s">
        <v>156</v>
      </c>
      <c r="I148" s="671" t="s">
        <v>3831</v>
      </c>
      <c r="J148" s="678"/>
      <c r="K148" s="678"/>
      <c r="L148" s="678"/>
      <c r="M148" s="669"/>
      <c r="N148" s="669"/>
      <c r="O148" s="669"/>
      <c r="P148" s="669"/>
      <c r="Q148" s="669"/>
      <c r="R148" s="669"/>
      <c r="S148" s="669"/>
      <c r="T148" s="669"/>
      <c r="U148" s="669"/>
      <c r="V148" s="669"/>
      <c r="W148" s="669"/>
      <c r="X148" s="669"/>
      <c r="Y148" s="669"/>
      <c r="Z148" s="669"/>
      <c r="AA148" s="669"/>
    </row>
    <row r="149">
      <c r="A149" s="662">
        <v>4.0</v>
      </c>
      <c r="B149" s="664" t="s">
        <v>3624</v>
      </c>
      <c r="C149" s="664">
        <v>21.0</v>
      </c>
      <c r="D149" s="664" t="s">
        <v>3811</v>
      </c>
      <c r="E149" s="664" t="s">
        <v>3835</v>
      </c>
      <c r="F149" s="664" t="s">
        <v>3836</v>
      </c>
      <c r="G149" s="665">
        <v>30.0</v>
      </c>
      <c r="H149" s="664" t="s">
        <v>1062</v>
      </c>
      <c r="I149" s="671" t="s">
        <v>3831</v>
      </c>
      <c r="J149" s="678"/>
      <c r="K149" s="678"/>
      <c r="L149" s="678"/>
      <c r="M149" s="669"/>
      <c r="N149" s="669"/>
      <c r="O149" s="669"/>
      <c r="P149" s="669"/>
      <c r="Q149" s="669"/>
      <c r="R149" s="669"/>
      <c r="S149" s="669"/>
      <c r="T149" s="669"/>
      <c r="U149" s="669"/>
      <c r="V149" s="669"/>
      <c r="W149" s="669"/>
      <c r="X149" s="669"/>
      <c r="Y149" s="669"/>
      <c r="Z149" s="669"/>
      <c r="AA149" s="669"/>
    </row>
    <row r="150">
      <c r="A150" s="662">
        <v>5.0</v>
      </c>
      <c r="B150" s="664" t="s">
        <v>3624</v>
      </c>
      <c r="C150" s="664">
        <v>21.0</v>
      </c>
      <c r="D150" s="664" t="s">
        <v>3811</v>
      </c>
      <c r="E150" s="664" t="s">
        <v>3837</v>
      </c>
      <c r="F150" s="664" t="s">
        <v>3838</v>
      </c>
      <c r="G150" s="665">
        <v>24.0</v>
      </c>
      <c r="H150" s="664" t="s">
        <v>156</v>
      </c>
      <c r="I150" s="671" t="s">
        <v>3831</v>
      </c>
      <c r="J150" s="678"/>
      <c r="K150" s="678"/>
      <c r="L150" s="678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69"/>
    </row>
    <row r="151">
      <c r="A151" s="687"/>
      <c r="B151" s="690"/>
      <c r="C151" s="690"/>
      <c r="D151" s="690"/>
      <c r="E151" s="690"/>
      <c r="F151" s="690"/>
      <c r="G151" s="691"/>
      <c r="H151" s="690"/>
      <c r="I151" s="690"/>
      <c r="J151" s="690"/>
      <c r="K151" s="690"/>
      <c r="L151" s="690"/>
      <c r="M151" s="669"/>
      <c r="N151" s="669"/>
      <c r="O151" s="669"/>
      <c r="P151" s="669"/>
      <c r="Q151" s="669"/>
      <c r="R151" s="669"/>
      <c r="S151" s="669"/>
      <c r="T151" s="669"/>
      <c r="U151" s="669"/>
      <c r="V151" s="669"/>
      <c r="W151" s="669"/>
      <c r="X151" s="669"/>
      <c r="Y151" s="669"/>
      <c r="Z151" s="669"/>
      <c r="AA151" s="669"/>
    </row>
    <row r="152">
      <c r="A152" s="662">
        <v>1.0</v>
      </c>
      <c r="B152" s="664" t="s">
        <v>3624</v>
      </c>
      <c r="C152" s="664">
        <v>22.0</v>
      </c>
      <c r="D152" s="664" t="s">
        <v>3811</v>
      </c>
      <c r="E152" s="664" t="s">
        <v>1924</v>
      </c>
      <c r="F152" s="664" t="s">
        <v>3839</v>
      </c>
      <c r="G152" s="665">
        <v>2.0</v>
      </c>
      <c r="H152" s="664" t="s">
        <v>156</v>
      </c>
      <c r="I152" s="677" t="s">
        <v>3655</v>
      </c>
      <c r="J152" s="678"/>
      <c r="K152" s="678"/>
      <c r="L152" s="678"/>
      <c r="M152" s="669"/>
      <c r="N152" s="669"/>
      <c r="O152" s="669"/>
      <c r="P152" s="669"/>
      <c r="Q152" s="669"/>
      <c r="R152" s="669"/>
      <c r="S152" s="669"/>
      <c r="T152" s="669"/>
      <c r="U152" s="669"/>
      <c r="V152" s="669"/>
      <c r="W152" s="669"/>
      <c r="X152" s="669"/>
      <c r="Y152" s="669"/>
      <c r="Z152" s="669"/>
      <c r="AA152" s="669"/>
    </row>
    <row r="153">
      <c r="A153" s="662">
        <v>2.0</v>
      </c>
      <c r="B153" s="664" t="s">
        <v>3624</v>
      </c>
      <c r="C153" s="664">
        <v>22.0</v>
      </c>
      <c r="D153" s="664" t="s">
        <v>3811</v>
      </c>
      <c r="E153" s="664" t="s">
        <v>2879</v>
      </c>
      <c r="F153" s="664" t="s">
        <v>3840</v>
      </c>
      <c r="G153" s="665">
        <v>15.0</v>
      </c>
      <c r="H153" s="664" t="s">
        <v>405</v>
      </c>
      <c r="I153" s="677" t="s">
        <v>3655</v>
      </c>
      <c r="J153" s="678"/>
      <c r="K153" s="678"/>
      <c r="L153" s="678"/>
      <c r="M153" s="669"/>
      <c r="N153" s="669"/>
      <c r="O153" s="669"/>
      <c r="P153" s="669"/>
      <c r="Q153" s="669"/>
      <c r="R153" s="669"/>
      <c r="S153" s="669"/>
      <c r="T153" s="669"/>
      <c r="U153" s="669"/>
      <c r="V153" s="669"/>
      <c r="W153" s="669"/>
      <c r="X153" s="669"/>
      <c r="Y153" s="669"/>
      <c r="Z153" s="669"/>
      <c r="AA153" s="669"/>
    </row>
    <row r="154">
      <c r="A154" s="662">
        <v>3.0</v>
      </c>
      <c r="B154" s="664" t="s">
        <v>3624</v>
      </c>
      <c r="C154" s="664">
        <v>22.0</v>
      </c>
      <c r="D154" s="664" t="s">
        <v>3811</v>
      </c>
      <c r="E154" s="664" t="s">
        <v>2866</v>
      </c>
      <c r="F154" s="664" t="s">
        <v>3841</v>
      </c>
      <c r="G154" s="665">
        <v>1.0</v>
      </c>
      <c r="H154" s="664" t="s">
        <v>908</v>
      </c>
      <c r="I154" s="677" t="s">
        <v>3655</v>
      </c>
      <c r="J154" s="678"/>
      <c r="K154" s="678"/>
      <c r="L154" s="678"/>
      <c r="M154" s="669"/>
      <c r="N154" s="669"/>
      <c r="O154" s="669"/>
      <c r="P154" s="669"/>
      <c r="Q154" s="669"/>
      <c r="R154" s="669"/>
      <c r="S154" s="669"/>
      <c r="T154" s="669"/>
      <c r="U154" s="669"/>
      <c r="V154" s="669"/>
      <c r="W154" s="669"/>
      <c r="X154" s="669"/>
      <c r="Y154" s="669"/>
      <c r="Z154" s="669"/>
      <c r="AA154" s="669"/>
    </row>
    <row r="155">
      <c r="A155" s="687"/>
      <c r="B155" s="690"/>
      <c r="C155" s="690"/>
      <c r="D155" s="690"/>
      <c r="E155" s="690"/>
      <c r="F155" s="690"/>
      <c r="G155" s="691"/>
      <c r="H155" s="690"/>
      <c r="I155" s="690"/>
      <c r="J155" s="690"/>
      <c r="K155" s="690"/>
      <c r="L155" s="690"/>
      <c r="M155" s="669"/>
      <c r="N155" s="669"/>
      <c r="O155" s="669"/>
      <c r="P155" s="669"/>
      <c r="Q155" s="669"/>
      <c r="R155" s="669"/>
      <c r="S155" s="669"/>
      <c r="T155" s="669"/>
      <c r="U155" s="669"/>
      <c r="V155" s="669"/>
      <c r="W155" s="669"/>
      <c r="X155" s="669"/>
      <c r="Y155" s="669"/>
      <c r="Z155" s="669"/>
      <c r="AA155" s="669"/>
    </row>
    <row r="156">
      <c r="A156" s="662">
        <v>1.0</v>
      </c>
      <c r="B156" s="664" t="s">
        <v>3624</v>
      </c>
      <c r="C156" s="664">
        <v>23.0</v>
      </c>
      <c r="D156" s="664" t="s">
        <v>3811</v>
      </c>
      <c r="E156" s="700" t="s">
        <v>3842</v>
      </c>
      <c r="F156" s="700" t="s">
        <v>3843</v>
      </c>
      <c r="G156" s="701">
        <v>96.0</v>
      </c>
      <c r="H156" s="700" t="s">
        <v>156</v>
      </c>
      <c r="I156" s="677" t="s">
        <v>3655</v>
      </c>
      <c r="J156" s="678"/>
      <c r="K156" s="678"/>
      <c r="L156" s="678"/>
      <c r="M156" s="669"/>
      <c r="N156" s="669"/>
      <c r="O156" s="669"/>
      <c r="P156" s="669"/>
      <c r="Q156" s="669"/>
      <c r="R156" s="669"/>
      <c r="S156" s="669"/>
      <c r="T156" s="669"/>
      <c r="U156" s="669"/>
      <c r="V156" s="669"/>
      <c r="W156" s="669"/>
      <c r="X156" s="669"/>
      <c r="Y156" s="669"/>
      <c r="Z156" s="669"/>
      <c r="AA156" s="669"/>
    </row>
    <row r="157">
      <c r="A157" s="662">
        <v>2.0</v>
      </c>
      <c r="B157" s="664" t="s">
        <v>3624</v>
      </c>
      <c r="C157" s="664">
        <v>23.0</v>
      </c>
      <c r="D157" s="664" t="s">
        <v>3811</v>
      </c>
      <c r="E157" s="700" t="s">
        <v>3842</v>
      </c>
      <c r="F157" s="700" t="s">
        <v>3844</v>
      </c>
      <c r="G157" s="701">
        <v>32.0</v>
      </c>
      <c r="H157" s="700" t="s">
        <v>156</v>
      </c>
      <c r="I157" s="677" t="s">
        <v>3655</v>
      </c>
      <c r="J157" s="678"/>
      <c r="K157" s="678"/>
      <c r="L157" s="678"/>
      <c r="M157" s="669"/>
      <c r="N157" s="669"/>
      <c r="O157" s="669"/>
      <c r="P157" s="669"/>
      <c r="Q157" s="669"/>
      <c r="R157" s="669"/>
      <c r="S157" s="669"/>
      <c r="T157" s="669"/>
      <c r="U157" s="669"/>
      <c r="V157" s="669"/>
      <c r="W157" s="669"/>
      <c r="X157" s="669"/>
      <c r="Y157" s="669"/>
      <c r="Z157" s="669"/>
      <c r="AA157" s="669"/>
    </row>
    <row r="158">
      <c r="A158" s="662">
        <v>3.0</v>
      </c>
      <c r="B158" s="664" t="s">
        <v>3624</v>
      </c>
      <c r="C158" s="664">
        <v>23.0</v>
      </c>
      <c r="D158" s="664" t="s">
        <v>3811</v>
      </c>
      <c r="E158" s="700" t="s">
        <v>3842</v>
      </c>
      <c r="F158" s="700" t="s">
        <v>3845</v>
      </c>
      <c r="G158" s="701">
        <v>32.0</v>
      </c>
      <c r="H158" s="700" t="s">
        <v>156</v>
      </c>
      <c r="I158" s="677" t="s">
        <v>3655</v>
      </c>
      <c r="J158" s="678"/>
      <c r="K158" s="678"/>
      <c r="L158" s="678"/>
      <c r="M158" s="669"/>
      <c r="N158" s="669"/>
      <c r="O158" s="669"/>
      <c r="P158" s="669"/>
      <c r="Q158" s="669"/>
      <c r="R158" s="669"/>
      <c r="S158" s="669"/>
      <c r="T158" s="669"/>
      <c r="U158" s="669"/>
      <c r="V158" s="669"/>
      <c r="W158" s="669"/>
      <c r="X158" s="669"/>
      <c r="Y158" s="669"/>
      <c r="Z158" s="669"/>
      <c r="AA158" s="669"/>
    </row>
    <row r="159">
      <c r="A159" s="662">
        <v>4.0</v>
      </c>
      <c r="B159" s="664" t="s">
        <v>3624</v>
      </c>
      <c r="C159" s="664">
        <v>23.0</v>
      </c>
      <c r="D159" s="664" t="s">
        <v>3811</v>
      </c>
      <c r="E159" s="700" t="s">
        <v>3846</v>
      </c>
      <c r="F159" s="700" t="s">
        <v>3847</v>
      </c>
      <c r="G159" s="701">
        <v>48.7</v>
      </c>
      <c r="H159" s="700" t="s">
        <v>74</v>
      </c>
      <c r="I159" s="677" t="s">
        <v>3655</v>
      </c>
      <c r="J159" s="678"/>
      <c r="K159" s="678"/>
      <c r="L159" s="678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669"/>
    </row>
    <row r="160">
      <c r="A160" s="662">
        <v>5.0</v>
      </c>
      <c r="B160" s="664" t="s">
        <v>3624</v>
      </c>
      <c r="C160" s="664">
        <v>23.0</v>
      </c>
      <c r="D160" s="664" t="s">
        <v>3811</v>
      </c>
      <c r="E160" s="700" t="s">
        <v>36</v>
      </c>
      <c r="F160" s="700" t="s">
        <v>3700</v>
      </c>
      <c r="G160" s="701">
        <v>50.0</v>
      </c>
      <c r="H160" s="664" t="s">
        <v>25</v>
      </c>
      <c r="I160" s="671" t="s">
        <v>3848</v>
      </c>
      <c r="J160" s="678"/>
      <c r="K160" s="678"/>
      <c r="L160" s="678"/>
      <c r="M160" s="669"/>
      <c r="N160" s="669"/>
      <c r="O160" s="669"/>
      <c r="P160" s="669"/>
      <c r="Q160" s="669"/>
      <c r="R160" s="669"/>
      <c r="S160" s="669"/>
      <c r="T160" s="669"/>
      <c r="U160" s="669"/>
      <c r="V160" s="669"/>
      <c r="W160" s="669"/>
      <c r="X160" s="669"/>
      <c r="Y160" s="669"/>
      <c r="Z160" s="669"/>
      <c r="AA160" s="669"/>
    </row>
    <row r="161">
      <c r="A161" s="662">
        <v>6.0</v>
      </c>
      <c r="B161" s="664" t="s">
        <v>3624</v>
      </c>
      <c r="C161" s="664">
        <v>23.0</v>
      </c>
      <c r="D161" s="664" t="s">
        <v>3811</v>
      </c>
      <c r="E161" s="700" t="s">
        <v>37</v>
      </c>
      <c r="F161" s="700" t="s">
        <v>3700</v>
      </c>
      <c r="G161" s="701">
        <v>30.0</v>
      </c>
      <c r="H161" s="664" t="s">
        <v>25</v>
      </c>
      <c r="I161" s="671" t="s">
        <v>3848</v>
      </c>
      <c r="J161" s="678"/>
      <c r="K161" s="678"/>
      <c r="L161" s="678"/>
      <c r="M161" s="669"/>
      <c r="N161" s="669"/>
      <c r="O161" s="669"/>
      <c r="P161" s="669"/>
      <c r="Q161" s="669"/>
      <c r="R161" s="669"/>
      <c r="S161" s="669"/>
      <c r="T161" s="669"/>
      <c r="U161" s="669"/>
      <c r="V161" s="669"/>
      <c r="W161" s="669"/>
      <c r="X161" s="669"/>
      <c r="Y161" s="669"/>
      <c r="Z161" s="669"/>
      <c r="AA161" s="669"/>
    </row>
    <row r="162">
      <c r="A162" s="662">
        <v>7.0</v>
      </c>
      <c r="B162" s="664" t="s">
        <v>3624</v>
      </c>
      <c r="C162" s="664">
        <v>23.0</v>
      </c>
      <c r="D162" s="664" t="s">
        <v>3811</v>
      </c>
      <c r="E162" s="700" t="s">
        <v>38</v>
      </c>
      <c r="F162" s="700" t="s">
        <v>3700</v>
      </c>
      <c r="G162" s="701">
        <v>50.0</v>
      </c>
      <c r="H162" s="700" t="s">
        <v>39</v>
      </c>
      <c r="I162" s="671" t="s">
        <v>3848</v>
      </c>
      <c r="J162" s="678"/>
      <c r="K162" s="678"/>
      <c r="L162" s="678"/>
      <c r="M162" s="669"/>
      <c r="N162" s="669"/>
      <c r="O162" s="669"/>
      <c r="P162" s="669"/>
      <c r="Q162" s="669"/>
      <c r="R162" s="669"/>
      <c r="S162" s="669"/>
      <c r="T162" s="669"/>
      <c r="U162" s="669"/>
      <c r="V162" s="669"/>
      <c r="W162" s="669"/>
      <c r="X162" s="669"/>
      <c r="Y162" s="669"/>
      <c r="Z162" s="669"/>
      <c r="AA162" s="669"/>
    </row>
    <row r="163">
      <c r="A163" s="687"/>
      <c r="B163" s="690"/>
      <c r="C163" s="690"/>
      <c r="D163" s="690"/>
      <c r="E163" s="690"/>
      <c r="F163" s="690"/>
      <c r="G163" s="691"/>
      <c r="H163" s="690"/>
      <c r="I163" s="690"/>
      <c r="J163" s="690"/>
      <c r="K163" s="690"/>
      <c r="L163" s="690"/>
      <c r="M163" s="669"/>
      <c r="N163" s="669"/>
      <c r="O163" s="669"/>
      <c r="P163" s="669"/>
      <c r="Q163" s="669"/>
      <c r="R163" s="669"/>
      <c r="S163" s="669"/>
      <c r="T163" s="669"/>
      <c r="U163" s="669"/>
      <c r="V163" s="669"/>
      <c r="W163" s="669"/>
      <c r="X163" s="669"/>
      <c r="Y163" s="669"/>
      <c r="Z163" s="669"/>
      <c r="AA163" s="669"/>
    </row>
    <row r="164">
      <c r="A164" s="706">
        <v>1.0</v>
      </c>
      <c r="B164" s="682" t="s">
        <v>3624</v>
      </c>
      <c r="C164" s="707">
        <v>24.0</v>
      </c>
      <c r="D164" s="707" t="s">
        <v>3811</v>
      </c>
      <c r="E164" s="708" t="s">
        <v>3849</v>
      </c>
      <c r="F164" s="709" t="s">
        <v>3850</v>
      </c>
      <c r="G164" s="710">
        <v>2.0</v>
      </c>
      <c r="H164" s="707" t="s">
        <v>156</v>
      </c>
      <c r="I164" s="671" t="s">
        <v>3851</v>
      </c>
      <c r="J164" s="711"/>
      <c r="K164" s="711"/>
      <c r="L164" s="711"/>
      <c r="M164" s="712"/>
      <c r="N164" s="712"/>
      <c r="O164" s="712"/>
      <c r="P164" s="712"/>
      <c r="Q164" s="712"/>
      <c r="R164" s="712"/>
      <c r="S164" s="712"/>
      <c r="T164" s="712"/>
      <c r="U164" s="712"/>
      <c r="V164" s="712"/>
      <c r="W164" s="712"/>
      <c r="X164" s="712"/>
      <c r="Y164" s="712"/>
      <c r="Z164" s="712"/>
      <c r="AA164" s="712"/>
    </row>
    <row r="165">
      <c r="A165" s="706">
        <v>2.0</v>
      </c>
      <c r="B165" s="682" t="s">
        <v>3624</v>
      </c>
      <c r="C165" s="707">
        <v>24.0</v>
      </c>
      <c r="D165" s="707" t="s">
        <v>3811</v>
      </c>
      <c r="E165" s="708" t="s">
        <v>3852</v>
      </c>
      <c r="F165" s="713" t="s">
        <v>3853</v>
      </c>
      <c r="G165" s="710">
        <v>2.0</v>
      </c>
      <c r="H165" s="707" t="s">
        <v>156</v>
      </c>
      <c r="I165" s="671" t="s">
        <v>3851</v>
      </c>
      <c r="J165" s="711"/>
      <c r="K165" s="711"/>
      <c r="L165" s="711"/>
      <c r="M165" s="712"/>
      <c r="N165" s="712"/>
      <c r="O165" s="712"/>
      <c r="P165" s="712"/>
      <c r="Q165" s="712"/>
      <c r="R165" s="712"/>
      <c r="S165" s="712"/>
      <c r="T165" s="712"/>
      <c r="U165" s="712"/>
      <c r="V165" s="712"/>
      <c r="W165" s="712"/>
      <c r="X165" s="712"/>
      <c r="Y165" s="712"/>
      <c r="Z165" s="712"/>
      <c r="AA165" s="712"/>
    </row>
    <row r="166">
      <c r="A166" s="687"/>
      <c r="B166" s="690"/>
      <c r="C166" s="690"/>
      <c r="D166" s="690"/>
      <c r="E166" s="690"/>
      <c r="F166" s="690"/>
      <c r="G166" s="691"/>
      <c r="H166" s="690"/>
      <c r="I166" s="690"/>
      <c r="J166" s="690"/>
      <c r="K166" s="690"/>
      <c r="L166" s="690"/>
      <c r="M166" s="669"/>
      <c r="N166" s="669"/>
      <c r="O166" s="669"/>
      <c r="P166" s="669"/>
      <c r="Q166" s="669"/>
      <c r="R166" s="669"/>
      <c r="S166" s="669"/>
      <c r="T166" s="669"/>
      <c r="U166" s="669"/>
      <c r="V166" s="669"/>
      <c r="W166" s="669"/>
      <c r="X166" s="669"/>
      <c r="Y166" s="669"/>
      <c r="Z166" s="669"/>
      <c r="AA166" s="669"/>
    </row>
    <row r="167">
      <c r="A167" s="662"/>
      <c r="B167" s="678"/>
      <c r="C167" s="678"/>
      <c r="D167" s="678"/>
      <c r="E167" s="678"/>
      <c r="F167" s="678"/>
      <c r="G167" s="714"/>
      <c r="H167" s="678"/>
      <c r="I167" s="678"/>
      <c r="J167" s="678"/>
      <c r="K167" s="678"/>
      <c r="L167" s="678"/>
      <c r="M167" s="669"/>
      <c r="N167" s="669"/>
      <c r="O167" s="669"/>
      <c r="P167" s="669"/>
      <c r="Q167" s="669"/>
      <c r="R167" s="669"/>
      <c r="S167" s="669"/>
      <c r="T167" s="669"/>
      <c r="U167" s="669"/>
      <c r="V167" s="669"/>
      <c r="W167" s="669"/>
      <c r="X167" s="669"/>
      <c r="Y167" s="669"/>
      <c r="Z167" s="669"/>
      <c r="AA167" s="669"/>
    </row>
    <row r="168">
      <c r="A168" s="662"/>
      <c r="B168" s="678"/>
      <c r="C168" s="678"/>
      <c r="D168" s="678"/>
      <c r="E168" s="678"/>
      <c r="F168" s="678"/>
      <c r="G168" s="714"/>
      <c r="H168" s="678"/>
      <c r="I168" s="678"/>
      <c r="J168" s="678"/>
      <c r="K168" s="678"/>
      <c r="L168" s="678"/>
      <c r="M168" s="669"/>
      <c r="N168" s="669"/>
      <c r="O168" s="669"/>
      <c r="P168" s="669"/>
      <c r="Q168" s="669"/>
      <c r="R168" s="669"/>
      <c r="S168" s="669"/>
      <c r="T168" s="669"/>
      <c r="U168" s="669"/>
      <c r="V168" s="669"/>
      <c r="W168" s="669"/>
      <c r="X168" s="669"/>
      <c r="Y168" s="669"/>
      <c r="Z168" s="669"/>
      <c r="AA168" s="669"/>
    </row>
    <row r="169">
      <c r="A169" s="662"/>
      <c r="B169" s="678"/>
      <c r="C169" s="678"/>
      <c r="D169" s="678"/>
      <c r="E169" s="678"/>
      <c r="F169" s="678"/>
      <c r="G169" s="714"/>
      <c r="H169" s="678"/>
      <c r="I169" s="678"/>
      <c r="J169" s="678"/>
      <c r="K169" s="678"/>
      <c r="L169" s="678"/>
      <c r="M169" s="669"/>
      <c r="N169" s="669"/>
      <c r="O169" s="669"/>
      <c r="P169" s="669"/>
      <c r="Q169" s="669"/>
      <c r="R169" s="669"/>
      <c r="S169" s="669"/>
      <c r="T169" s="669"/>
      <c r="U169" s="669"/>
      <c r="V169" s="669"/>
      <c r="W169" s="669"/>
      <c r="X169" s="669"/>
      <c r="Y169" s="669"/>
      <c r="Z169" s="669"/>
      <c r="AA169" s="669"/>
    </row>
    <row r="170">
      <c r="A170" s="662"/>
      <c r="B170" s="678"/>
      <c r="C170" s="678"/>
      <c r="D170" s="678"/>
      <c r="E170" s="678"/>
      <c r="F170" s="678"/>
      <c r="G170" s="714"/>
      <c r="H170" s="678"/>
      <c r="I170" s="678"/>
      <c r="J170" s="678"/>
      <c r="K170" s="678"/>
      <c r="L170" s="678"/>
      <c r="M170" s="669"/>
      <c r="N170" s="669"/>
      <c r="O170" s="669"/>
      <c r="P170" s="669"/>
      <c r="Q170" s="669"/>
      <c r="R170" s="669"/>
      <c r="S170" s="669"/>
      <c r="T170" s="669"/>
      <c r="U170" s="669"/>
      <c r="V170" s="669"/>
      <c r="W170" s="669"/>
      <c r="X170" s="669"/>
      <c r="Y170" s="669"/>
      <c r="Z170" s="669"/>
      <c r="AA170" s="669"/>
    </row>
    <row r="171">
      <c r="A171" s="662"/>
      <c r="B171" s="678"/>
      <c r="C171" s="678"/>
      <c r="D171" s="678"/>
      <c r="E171" s="678"/>
      <c r="F171" s="678"/>
      <c r="G171" s="714"/>
      <c r="H171" s="678"/>
      <c r="I171" s="678"/>
      <c r="J171" s="678"/>
      <c r="K171" s="678"/>
      <c r="L171" s="678"/>
      <c r="M171" s="669"/>
      <c r="N171" s="669"/>
      <c r="O171" s="669"/>
      <c r="P171" s="669"/>
      <c r="Q171" s="669"/>
      <c r="R171" s="669"/>
      <c r="S171" s="669"/>
      <c r="T171" s="669"/>
      <c r="U171" s="669"/>
      <c r="V171" s="669"/>
      <c r="W171" s="669"/>
      <c r="X171" s="669"/>
      <c r="Y171" s="669"/>
      <c r="Z171" s="669"/>
      <c r="AA171" s="669"/>
    </row>
    <row r="172">
      <c r="A172" s="662"/>
      <c r="B172" s="678"/>
      <c r="C172" s="678"/>
      <c r="D172" s="678"/>
      <c r="E172" s="678"/>
      <c r="F172" s="678"/>
      <c r="G172" s="714"/>
      <c r="H172" s="678"/>
      <c r="I172" s="678"/>
      <c r="J172" s="678"/>
      <c r="K172" s="678"/>
      <c r="L172" s="678"/>
      <c r="M172" s="669"/>
      <c r="N172" s="669"/>
      <c r="O172" s="669"/>
      <c r="P172" s="669"/>
      <c r="Q172" s="669"/>
      <c r="R172" s="669"/>
      <c r="S172" s="669"/>
      <c r="T172" s="669"/>
      <c r="U172" s="669"/>
      <c r="V172" s="669"/>
      <c r="W172" s="669"/>
      <c r="X172" s="669"/>
      <c r="Y172" s="669"/>
      <c r="Z172" s="669"/>
      <c r="AA172" s="669"/>
    </row>
    <row r="173">
      <c r="A173" s="662"/>
      <c r="B173" s="678"/>
      <c r="C173" s="678"/>
      <c r="D173" s="678"/>
      <c r="E173" s="678"/>
      <c r="F173" s="678"/>
      <c r="G173" s="714"/>
      <c r="H173" s="678"/>
      <c r="I173" s="678"/>
      <c r="J173" s="678"/>
      <c r="K173" s="678"/>
      <c r="L173" s="678"/>
      <c r="M173" s="669"/>
      <c r="N173" s="669"/>
      <c r="O173" s="669"/>
      <c r="P173" s="669"/>
      <c r="Q173" s="669"/>
      <c r="R173" s="669"/>
      <c r="S173" s="669"/>
      <c r="T173" s="669"/>
      <c r="U173" s="669"/>
      <c r="V173" s="669"/>
      <c r="W173" s="669"/>
      <c r="X173" s="669"/>
      <c r="Y173" s="669"/>
      <c r="Z173" s="669"/>
      <c r="AA173" s="669"/>
    </row>
    <row r="174">
      <c r="A174" s="662"/>
      <c r="B174" s="678"/>
      <c r="C174" s="678"/>
      <c r="D174" s="678"/>
      <c r="E174" s="678"/>
      <c r="F174" s="678"/>
      <c r="G174" s="714"/>
      <c r="H174" s="678"/>
      <c r="I174" s="678"/>
      <c r="J174" s="678"/>
      <c r="K174" s="678"/>
      <c r="L174" s="678"/>
      <c r="M174" s="669"/>
      <c r="N174" s="669"/>
      <c r="O174" s="669"/>
      <c r="P174" s="669"/>
      <c r="Q174" s="669"/>
      <c r="R174" s="669"/>
      <c r="S174" s="669"/>
      <c r="T174" s="669"/>
      <c r="U174" s="669"/>
      <c r="V174" s="669"/>
      <c r="W174" s="669"/>
      <c r="X174" s="669"/>
      <c r="Y174" s="669"/>
      <c r="Z174" s="669"/>
      <c r="AA174" s="669"/>
    </row>
    <row r="175">
      <c r="A175" s="662"/>
      <c r="B175" s="678"/>
      <c r="C175" s="678"/>
      <c r="D175" s="678"/>
      <c r="E175" s="678"/>
      <c r="F175" s="678"/>
      <c r="G175" s="714"/>
      <c r="H175" s="678"/>
      <c r="I175" s="678"/>
      <c r="J175" s="678"/>
      <c r="K175" s="678"/>
      <c r="L175" s="678"/>
      <c r="M175" s="669"/>
      <c r="N175" s="669"/>
      <c r="O175" s="669"/>
      <c r="P175" s="669"/>
      <c r="Q175" s="669"/>
      <c r="R175" s="669"/>
      <c r="S175" s="669"/>
      <c r="T175" s="669"/>
      <c r="U175" s="669"/>
      <c r="V175" s="669"/>
      <c r="W175" s="669"/>
      <c r="X175" s="669"/>
      <c r="Y175" s="669"/>
      <c r="Z175" s="669"/>
      <c r="AA175" s="669"/>
    </row>
    <row r="176">
      <c r="A176" s="662"/>
      <c r="B176" s="678"/>
      <c r="C176" s="678"/>
      <c r="D176" s="678"/>
      <c r="E176" s="678"/>
      <c r="F176" s="678"/>
      <c r="G176" s="714"/>
      <c r="H176" s="678"/>
      <c r="I176" s="678"/>
      <c r="J176" s="678"/>
      <c r="K176" s="678"/>
      <c r="L176" s="678"/>
      <c r="M176" s="669"/>
      <c r="N176" s="669"/>
      <c r="O176" s="669"/>
      <c r="P176" s="669"/>
      <c r="Q176" s="669"/>
      <c r="R176" s="669"/>
      <c r="S176" s="669"/>
      <c r="T176" s="669"/>
      <c r="U176" s="669"/>
      <c r="V176" s="669"/>
      <c r="W176" s="669"/>
      <c r="X176" s="669"/>
      <c r="Y176" s="669"/>
      <c r="Z176" s="669"/>
      <c r="AA176" s="669"/>
    </row>
    <row r="177">
      <c r="A177" s="662"/>
      <c r="B177" s="678"/>
      <c r="C177" s="678"/>
      <c r="D177" s="678"/>
      <c r="E177" s="678"/>
      <c r="F177" s="678"/>
      <c r="G177" s="714"/>
      <c r="H177" s="678"/>
      <c r="I177" s="678"/>
      <c r="J177" s="678"/>
      <c r="K177" s="678"/>
      <c r="L177" s="678"/>
      <c r="M177" s="669"/>
      <c r="N177" s="669"/>
      <c r="O177" s="669"/>
      <c r="P177" s="669"/>
      <c r="Q177" s="669"/>
      <c r="R177" s="669"/>
      <c r="S177" s="669"/>
      <c r="T177" s="669"/>
      <c r="U177" s="669"/>
      <c r="V177" s="669"/>
      <c r="W177" s="669"/>
      <c r="X177" s="669"/>
      <c r="Y177" s="669"/>
      <c r="Z177" s="669"/>
      <c r="AA177" s="669"/>
    </row>
    <row r="178">
      <c r="A178" s="662"/>
      <c r="B178" s="678"/>
      <c r="C178" s="678"/>
      <c r="D178" s="678"/>
      <c r="E178" s="678"/>
      <c r="F178" s="678"/>
      <c r="G178" s="714"/>
      <c r="H178" s="678"/>
      <c r="I178" s="678"/>
      <c r="J178" s="678"/>
      <c r="K178" s="678"/>
      <c r="L178" s="678"/>
      <c r="M178" s="669"/>
      <c r="N178" s="669"/>
      <c r="O178" s="669"/>
      <c r="P178" s="669"/>
      <c r="Q178" s="669"/>
      <c r="R178" s="669"/>
      <c r="S178" s="669"/>
      <c r="T178" s="669"/>
      <c r="U178" s="669"/>
      <c r="V178" s="669"/>
      <c r="W178" s="669"/>
      <c r="X178" s="669"/>
      <c r="Y178" s="669"/>
      <c r="Z178" s="669"/>
      <c r="AA178" s="669"/>
    </row>
    <row r="179">
      <c r="A179" s="662"/>
      <c r="B179" s="678"/>
      <c r="C179" s="678"/>
      <c r="D179" s="678"/>
      <c r="E179" s="678"/>
      <c r="F179" s="678"/>
      <c r="G179" s="714"/>
      <c r="H179" s="678"/>
      <c r="I179" s="678"/>
      <c r="J179" s="678"/>
      <c r="K179" s="678"/>
      <c r="L179" s="678"/>
      <c r="M179" s="669"/>
      <c r="N179" s="669"/>
      <c r="O179" s="669"/>
      <c r="P179" s="669"/>
      <c r="Q179" s="669"/>
      <c r="R179" s="669"/>
      <c r="S179" s="669"/>
      <c r="T179" s="669"/>
      <c r="U179" s="669"/>
      <c r="V179" s="669"/>
      <c r="W179" s="669"/>
      <c r="X179" s="669"/>
      <c r="Y179" s="669"/>
      <c r="Z179" s="669"/>
      <c r="AA179" s="669"/>
    </row>
    <row r="180">
      <c r="A180" s="662"/>
      <c r="B180" s="678"/>
      <c r="C180" s="678"/>
      <c r="D180" s="678"/>
      <c r="E180" s="678"/>
      <c r="F180" s="678"/>
      <c r="G180" s="714"/>
      <c r="H180" s="678"/>
      <c r="I180" s="678"/>
      <c r="J180" s="678"/>
      <c r="K180" s="678"/>
      <c r="L180" s="678"/>
      <c r="M180" s="669"/>
      <c r="N180" s="669"/>
      <c r="O180" s="669"/>
      <c r="P180" s="669"/>
      <c r="Q180" s="669"/>
      <c r="R180" s="669"/>
      <c r="S180" s="669"/>
      <c r="T180" s="669"/>
      <c r="U180" s="669"/>
      <c r="V180" s="669"/>
      <c r="W180" s="669"/>
      <c r="X180" s="669"/>
      <c r="Y180" s="669"/>
      <c r="Z180" s="669"/>
      <c r="AA180" s="669"/>
    </row>
    <row r="181">
      <c r="A181" s="662"/>
      <c r="B181" s="678"/>
      <c r="C181" s="678"/>
      <c r="D181" s="678"/>
      <c r="E181" s="678"/>
      <c r="F181" s="678"/>
      <c r="G181" s="714"/>
      <c r="H181" s="678"/>
      <c r="I181" s="678"/>
      <c r="J181" s="678"/>
      <c r="K181" s="678"/>
      <c r="L181" s="678"/>
      <c r="M181" s="669"/>
      <c r="N181" s="669"/>
      <c r="O181" s="669"/>
      <c r="P181" s="669"/>
      <c r="Q181" s="669"/>
      <c r="R181" s="669"/>
      <c r="S181" s="669"/>
      <c r="T181" s="669"/>
      <c r="U181" s="669"/>
      <c r="V181" s="669"/>
      <c r="W181" s="669"/>
      <c r="X181" s="669"/>
      <c r="Y181" s="669"/>
      <c r="Z181" s="669"/>
      <c r="AA181" s="669"/>
    </row>
    <row r="182">
      <c r="A182" s="662"/>
      <c r="B182" s="678"/>
      <c r="C182" s="678"/>
      <c r="D182" s="678"/>
      <c r="E182" s="678"/>
      <c r="F182" s="678"/>
      <c r="G182" s="714"/>
      <c r="H182" s="678"/>
      <c r="I182" s="678"/>
      <c r="J182" s="678"/>
      <c r="K182" s="678"/>
      <c r="L182" s="678"/>
      <c r="M182" s="669"/>
      <c r="N182" s="669"/>
      <c r="O182" s="669"/>
      <c r="P182" s="669"/>
      <c r="Q182" s="669"/>
      <c r="R182" s="669"/>
      <c r="S182" s="669"/>
      <c r="T182" s="669"/>
      <c r="U182" s="669"/>
      <c r="V182" s="669"/>
      <c r="W182" s="669"/>
      <c r="X182" s="669"/>
      <c r="Y182" s="669"/>
      <c r="Z182" s="669"/>
      <c r="AA182" s="669"/>
    </row>
    <row r="183">
      <c r="A183" s="662"/>
      <c r="B183" s="678"/>
      <c r="C183" s="678"/>
      <c r="D183" s="678"/>
      <c r="E183" s="678"/>
      <c r="F183" s="678"/>
      <c r="G183" s="714"/>
      <c r="H183" s="678"/>
      <c r="I183" s="678"/>
      <c r="J183" s="678"/>
      <c r="K183" s="678"/>
      <c r="L183" s="678"/>
      <c r="M183" s="669"/>
      <c r="N183" s="669"/>
      <c r="O183" s="669"/>
      <c r="P183" s="669"/>
      <c r="Q183" s="669"/>
      <c r="R183" s="669"/>
      <c r="S183" s="669"/>
      <c r="T183" s="669"/>
      <c r="U183" s="669"/>
      <c r="V183" s="669"/>
      <c r="W183" s="669"/>
      <c r="X183" s="669"/>
      <c r="Y183" s="669"/>
      <c r="Z183" s="669"/>
      <c r="AA183" s="669"/>
    </row>
    <row r="184">
      <c r="A184" s="662"/>
      <c r="B184" s="678"/>
      <c r="C184" s="678"/>
      <c r="D184" s="678"/>
      <c r="E184" s="678"/>
      <c r="F184" s="678"/>
      <c r="G184" s="714"/>
      <c r="H184" s="678"/>
      <c r="I184" s="678"/>
      <c r="J184" s="678"/>
      <c r="K184" s="678"/>
      <c r="L184" s="678"/>
      <c r="M184" s="669"/>
      <c r="N184" s="669"/>
      <c r="O184" s="669"/>
      <c r="P184" s="669"/>
      <c r="Q184" s="669"/>
      <c r="R184" s="669"/>
      <c r="S184" s="669"/>
      <c r="T184" s="669"/>
      <c r="U184" s="669"/>
      <c r="V184" s="669"/>
      <c r="W184" s="669"/>
      <c r="X184" s="669"/>
      <c r="Y184" s="669"/>
      <c r="Z184" s="669"/>
      <c r="AA184" s="669"/>
    </row>
    <row r="185">
      <c r="A185" s="662"/>
      <c r="B185" s="678"/>
      <c r="C185" s="678"/>
      <c r="D185" s="678"/>
      <c r="E185" s="678"/>
      <c r="F185" s="678"/>
      <c r="G185" s="714"/>
      <c r="H185" s="678"/>
      <c r="I185" s="678"/>
      <c r="J185" s="678"/>
      <c r="K185" s="678"/>
      <c r="L185" s="678"/>
      <c r="M185" s="669"/>
      <c r="N185" s="669"/>
      <c r="O185" s="669"/>
      <c r="P185" s="669"/>
      <c r="Q185" s="669"/>
      <c r="R185" s="669"/>
      <c r="S185" s="669"/>
      <c r="T185" s="669"/>
      <c r="U185" s="669"/>
      <c r="V185" s="669"/>
      <c r="W185" s="669"/>
      <c r="X185" s="669"/>
      <c r="Y185" s="669"/>
      <c r="Z185" s="669"/>
      <c r="AA185" s="669"/>
    </row>
    <row r="186">
      <c r="A186" s="662"/>
      <c r="B186" s="678"/>
      <c r="C186" s="678"/>
      <c r="D186" s="678"/>
      <c r="E186" s="678"/>
      <c r="F186" s="678"/>
      <c r="G186" s="714"/>
      <c r="H186" s="678"/>
      <c r="I186" s="678"/>
      <c r="J186" s="678"/>
      <c r="K186" s="678"/>
      <c r="L186" s="678"/>
      <c r="M186" s="669"/>
      <c r="N186" s="669"/>
      <c r="O186" s="669"/>
      <c r="P186" s="669"/>
      <c r="Q186" s="669"/>
      <c r="R186" s="669"/>
      <c r="S186" s="669"/>
      <c r="T186" s="669"/>
      <c r="U186" s="669"/>
      <c r="V186" s="669"/>
      <c r="W186" s="669"/>
      <c r="X186" s="669"/>
      <c r="Y186" s="669"/>
      <c r="Z186" s="669"/>
      <c r="AA186" s="669"/>
    </row>
    <row r="187">
      <c r="A187" s="662"/>
      <c r="B187" s="678"/>
      <c r="C187" s="678"/>
      <c r="D187" s="678"/>
      <c r="E187" s="678"/>
      <c r="F187" s="678"/>
      <c r="G187" s="714"/>
      <c r="H187" s="678"/>
      <c r="I187" s="678"/>
      <c r="J187" s="678"/>
      <c r="K187" s="678"/>
      <c r="L187" s="678"/>
      <c r="M187" s="669"/>
      <c r="N187" s="669"/>
      <c r="O187" s="669"/>
      <c r="P187" s="669"/>
      <c r="Q187" s="669"/>
      <c r="R187" s="669"/>
      <c r="S187" s="669"/>
      <c r="T187" s="669"/>
      <c r="U187" s="669"/>
      <c r="V187" s="669"/>
      <c r="W187" s="669"/>
      <c r="X187" s="669"/>
      <c r="Y187" s="669"/>
      <c r="Z187" s="669"/>
      <c r="AA187" s="669"/>
    </row>
    <row r="188">
      <c r="A188" s="662"/>
      <c r="B188" s="678"/>
      <c r="C188" s="678"/>
      <c r="D188" s="678"/>
      <c r="E188" s="678"/>
      <c r="F188" s="678"/>
      <c r="G188" s="714"/>
      <c r="H188" s="678"/>
      <c r="I188" s="678"/>
      <c r="J188" s="678"/>
      <c r="K188" s="678"/>
      <c r="L188" s="678"/>
      <c r="M188" s="669"/>
      <c r="N188" s="669"/>
      <c r="O188" s="669"/>
      <c r="P188" s="669"/>
      <c r="Q188" s="669"/>
      <c r="R188" s="669"/>
      <c r="S188" s="669"/>
      <c r="T188" s="669"/>
      <c r="U188" s="669"/>
      <c r="V188" s="669"/>
      <c r="W188" s="669"/>
      <c r="X188" s="669"/>
      <c r="Y188" s="669"/>
      <c r="Z188" s="669"/>
      <c r="AA188" s="669"/>
    </row>
    <row r="189">
      <c r="A189" s="662"/>
      <c r="B189" s="678"/>
      <c r="C189" s="678"/>
      <c r="D189" s="678"/>
      <c r="E189" s="678"/>
      <c r="F189" s="678"/>
      <c r="G189" s="714"/>
      <c r="H189" s="678"/>
      <c r="I189" s="678"/>
      <c r="J189" s="678"/>
      <c r="K189" s="678"/>
      <c r="L189" s="678"/>
      <c r="M189" s="669"/>
      <c r="N189" s="669"/>
      <c r="O189" s="669"/>
      <c r="P189" s="669"/>
      <c r="Q189" s="669"/>
      <c r="R189" s="669"/>
      <c r="S189" s="669"/>
      <c r="T189" s="669"/>
      <c r="U189" s="669"/>
      <c r="V189" s="669"/>
      <c r="W189" s="669"/>
      <c r="X189" s="669"/>
      <c r="Y189" s="669"/>
      <c r="Z189" s="669"/>
      <c r="AA189" s="669"/>
    </row>
    <row r="190">
      <c r="A190" s="662"/>
      <c r="B190" s="678"/>
      <c r="C190" s="678"/>
      <c r="D190" s="678"/>
      <c r="E190" s="678"/>
      <c r="F190" s="678"/>
      <c r="G190" s="714"/>
      <c r="H190" s="678"/>
      <c r="I190" s="678"/>
      <c r="J190" s="678"/>
      <c r="K190" s="678"/>
      <c r="L190" s="678"/>
      <c r="M190" s="669"/>
      <c r="N190" s="669"/>
      <c r="O190" s="669"/>
      <c r="P190" s="669"/>
      <c r="Q190" s="669"/>
      <c r="R190" s="669"/>
      <c r="S190" s="669"/>
      <c r="T190" s="669"/>
      <c r="U190" s="669"/>
      <c r="V190" s="669"/>
      <c r="W190" s="669"/>
      <c r="X190" s="669"/>
      <c r="Y190" s="669"/>
      <c r="Z190" s="669"/>
      <c r="AA190" s="669"/>
    </row>
    <row r="191">
      <c r="A191" s="662"/>
      <c r="B191" s="678"/>
      <c r="C191" s="678"/>
      <c r="D191" s="678"/>
      <c r="E191" s="678"/>
      <c r="F191" s="678"/>
      <c r="G191" s="714"/>
      <c r="H191" s="678"/>
      <c r="I191" s="678"/>
      <c r="J191" s="678"/>
      <c r="K191" s="678"/>
      <c r="L191" s="678"/>
      <c r="M191" s="669"/>
      <c r="N191" s="669"/>
      <c r="O191" s="669"/>
      <c r="P191" s="669"/>
      <c r="Q191" s="669"/>
      <c r="R191" s="669"/>
      <c r="S191" s="669"/>
      <c r="T191" s="669"/>
      <c r="U191" s="669"/>
      <c r="V191" s="669"/>
      <c r="W191" s="669"/>
      <c r="X191" s="669"/>
      <c r="Y191" s="669"/>
      <c r="Z191" s="669"/>
      <c r="AA191" s="669"/>
    </row>
    <row r="192">
      <c r="A192" s="662"/>
      <c r="B192" s="678"/>
      <c r="C192" s="678"/>
      <c r="D192" s="678"/>
      <c r="E192" s="678"/>
      <c r="F192" s="678"/>
      <c r="G192" s="714"/>
      <c r="H192" s="678"/>
      <c r="I192" s="678"/>
      <c r="J192" s="678"/>
      <c r="K192" s="678"/>
      <c r="L192" s="678"/>
      <c r="M192" s="669"/>
      <c r="N192" s="669"/>
      <c r="O192" s="669"/>
      <c r="P192" s="669"/>
      <c r="Q192" s="669"/>
      <c r="R192" s="669"/>
      <c r="S192" s="669"/>
      <c r="T192" s="669"/>
      <c r="U192" s="669"/>
      <c r="V192" s="669"/>
      <c r="W192" s="669"/>
      <c r="X192" s="669"/>
      <c r="Y192" s="669"/>
      <c r="Z192" s="669"/>
      <c r="AA192" s="669"/>
    </row>
    <row r="193">
      <c r="A193" s="662"/>
      <c r="B193" s="678"/>
      <c r="C193" s="678"/>
      <c r="D193" s="678"/>
      <c r="E193" s="678"/>
      <c r="F193" s="678"/>
      <c r="G193" s="714"/>
      <c r="H193" s="678"/>
      <c r="I193" s="678"/>
      <c r="J193" s="678"/>
      <c r="K193" s="678"/>
      <c r="L193" s="678"/>
      <c r="M193" s="669"/>
      <c r="N193" s="669"/>
      <c r="O193" s="669"/>
      <c r="P193" s="669"/>
      <c r="Q193" s="669"/>
      <c r="R193" s="669"/>
      <c r="S193" s="669"/>
      <c r="T193" s="669"/>
      <c r="U193" s="669"/>
      <c r="V193" s="669"/>
      <c r="W193" s="669"/>
      <c r="X193" s="669"/>
      <c r="Y193" s="669"/>
      <c r="Z193" s="669"/>
      <c r="AA193" s="669"/>
    </row>
    <row r="194">
      <c r="A194" s="662"/>
      <c r="B194" s="678"/>
      <c r="C194" s="678"/>
      <c r="D194" s="678"/>
      <c r="E194" s="678"/>
      <c r="F194" s="678"/>
      <c r="G194" s="714"/>
      <c r="H194" s="678"/>
      <c r="I194" s="678"/>
      <c r="J194" s="678"/>
      <c r="K194" s="678"/>
      <c r="L194" s="678"/>
      <c r="M194" s="669"/>
      <c r="N194" s="669"/>
      <c r="O194" s="669"/>
      <c r="P194" s="669"/>
      <c r="Q194" s="669"/>
      <c r="R194" s="669"/>
      <c r="S194" s="669"/>
      <c r="T194" s="669"/>
      <c r="U194" s="669"/>
      <c r="V194" s="669"/>
      <c r="W194" s="669"/>
      <c r="X194" s="669"/>
      <c r="Y194" s="669"/>
      <c r="Z194" s="669"/>
      <c r="AA194" s="669"/>
    </row>
    <row r="195">
      <c r="A195" s="662"/>
      <c r="B195" s="678"/>
      <c r="C195" s="678"/>
      <c r="D195" s="678"/>
      <c r="E195" s="678"/>
      <c r="F195" s="678"/>
      <c r="G195" s="714"/>
      <c r="H195" s="678"/>
      <c r="I195" s="678"/>
      <c r="J195" s="678"/>
      <c r="K195" s="678"/>
      <c r="L195" s="678"/>
      <c r="M195" s="669"/>
      <c r="N195" s="669"/>
      <c r="O195" s="669"/>
      <c r="P195" s="669"/>
      <c r="Q195" s="669"/>
      <c r="R195" s="669"/>
      <c r="S195" s="669"/>
      <c r="T195" s="669"/>
      <c r="U195" s="669"/>
      <c r="V195" s="669"/>
      <c r="W195" s="669"/>
      <c r="X195" s="669"/>
      <c r="Y195" s="669"/>
      <c r="Z195" s="669"/>
      <c r="AA195" s="669"/>
    </row>
    <row r="196">
      <c r="A196" s="662"/>
      <c r="B196" s="678"/>
      <c r="C196" s="678"/>
      <c r="D196" s="678"/>
      <c r="E196" s="678"/>
      <c r="F196" s="678"/>
      <c r="G196" s="714"/>
      <c r="H196" s="678"/>
      <c r="I196" s="678"/>
      <c r="J196" s="678"/>
      <c r="K196" s="678"/>
      <c r="L196" s="678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69"/>
    </row>
    <row r="197">
      <c r="A197" s="662"/>
      <c r="B197" s="678"/>
      <c r="C197" s="678"/>
      <c r="D197" s="678"/>
      <c r="E197" s="678"/>
      <c r="F197" s="678"/>
      <c r="G197" s="714"/>
      <c r="H197" s="678"/>
      <c r="I197" s="678"/>
      <c r="J197" s="678"/>
      <c r="K197" s="678"/>
      <c r="L197" s="678"/>
      <c r="M197" s="669"/>
      <c r="N197" s="669"/>
      <c r="O197" s="669"/>
      <c r="P197" s="669"/>
      <c r="Q197" s="669"/>
      <c r="R197" s="669"/>
      <c r="S197" s="669"/>
      <c r="T197" s="669"/>
      <c r="U197" s="669"/>
      <c r="V197" s="669"/>
      <c r="W197" s="669"/>
      <c r="X197" s="669"/>
      <c r="Y197" s="669"/>
      <c r="Z197" s="669"/>
      <c r="AA197" s="669"/>
    </row>
    <row r="198">
      <c r="A198" s="662"/>
      <c r="B198" s="678"/>
      <c r="C198" s="678"/>
      <c r="D198" s="678"/>
      <c r="E198" s="678"/>
      <c r="F198" s="678"/>
      <c r="G198" s="714"/>
      <c r="H198" s="678"/>
      <c r="I198" s="678"/>
      <c r="J198" s="678"/>
      <c r="K198" s="678"/>
      <c r="L198" s="678"/>
      <c r="M198" s="669"/>
      <c r="N198" s="669"/>
      <c r="O198" s="669"/>
      <c r="P198" s="669"/>
      <c r="Q198" s="669"/>
      <c r="R198" s="669"/>
      <c r="S198" s="669"/>
      <c r="T198" s="669"/>
      <c r="U198" s="669"/>
      <c r="V198" s="669"/>
      <c r="W198" s="669"/>
      <c r="X198" s="669"/>
      <c r="Y198" s="669"/>
      <c r="Z198" s="669"/>
      <c r="AA198" s="669"/>
    </row>
    <row r="199">
      <c r="A199" s="662"/>
      <c r="B199" s="678"/>
      <c r="C199" s="678"/>
      <c r="D199" s="678"/>
      <c r="E199" s="678"/>
      <c r="F199" s="678"/>
      <c r="G199" s="714"/>
      <c r="H199" s="678"/>
      <c r="I199" s="678"/>
      <c r="J199" s="678"/>
      <c r="K199" s="678"/>
      <c r="L199" s="678"/>
      <c r="M199" s="669"/>
      <c r="N199" s="669"/>
      <c r="O199" s="669"/>
      <c r="P199" s="669"/>
      <c r="Q199" s="669"/>
      <c r="R199" s="669"/>
      <c r="S199" s="669"/>
      <c r="T199" s="669"/>
      <c r="U199" s="669"/>
      <c r="V199" s="669"/>
      <c r="W199" s="669"/>
      <c r="X199" s="669"/>
      <c r="Y199" s="669"/>
      <c r="Z199" s="669"/>
      <c r="AA199" s="669"/>
    </row>
    <row r="200">
      <c r="A200" s="662"/>
      <c r="B200" s="678"/>
      <c r="C200" s="678"/>
      <c r="D200" s="678"/>
      <c r="E200" s="678"/>
      <c r="F200" s="678"/>
      <c r="G200" s="714"/>
      <c r="H200" s="678"/>
      <c r="I200" s="678"/>
      <c r="J200" s="678"/>
      <c r="K200" s="678"/>
      <c r="L200" s="678"/>
      <c r="M200" s="669"/>
      <c r="N200" s="669"/>
      <c r="O200" s="669"/>
      <c r="P200" s="669"/>
      <c r="Q200" s="669"/>
      <c r="R200" s="669"/>
      <c r="S200" s="669"/>
      <c r="T200" s="669"/>
      <c r="U200" s="669"/>
      <c r="V200" s="669"/>
      <c r="W200" s="669"/>
      <c r="X200" s="669"/>
      <c r="Y200" s="669"/>
      <c r="Z200" s="669"/>
      <c r="AA200" s="669"/>
    </row>
    <row r="201">
      <c r="A201" s="662"/>
      <c r="B201" s="678"/>
      <c r="C201" s="678"/>
      <c r="D201" s="678"/>
      <c r="E201" s="678"/>
      <c r="F201" s="678"/>
      <c r="G201" s="714"/>
      <c r="H201" s="678"/>
      <c r="I201" s="678"/>
      <c r="J201" s="678"/>
      <c r="K201" s="678"/>
      <c r="L201" s="678"/>
      <c r="M201" s="669"/>
      <c r="N201" s="669"/>
      <c r="O201" s="669"/>
      <c r="P201" s="669"/>
      <c r="Q201" s="669"/>
      <c r="R201" s="669"/>
      <c r="S201" s="669"/>
      <c r="T201" s="669"/>
      <c r="U201" s="669"/>
      <c r="V201" s="669"/>
      <c r="W201" s="669"/>
      <c r="X201" s="669"/>
      <c r="Y201" s="669"/>
      <c r="Z201" s="669"/>
      <c r="AA201" s="669"/>
    </row>
    <row r="202">
      <c r="A202" s="662"/>
      <c r="B202" s="678"/>
      <c r="C202" s="678"/>
      <c r="D202" s="678"/>
      <c r="E202" s="678"/>
      <c r="F202" s="678"/>
      <c r="G202" s="714"/>
      <c r="H202" s="678"/>
      <c r="I202" s="678"/>
      <c r="J202" s="678"/>
      <c r="K202" s="678"/>
      <c r="L202" s="678"/>
      <c r="M202" s="669"/>
      <c r="N202" s="669"/>
      <c r="O202" s="669"/>
      <c r="P202" s="669"/>
      <c r="Q202" s="669"/>
      <c r="R202" s="669"/>
      <c r="S202" s="669"/>
      <c r="T202" s="669"/>
      <c r="U202" s="669"/>
      <c r="V202" s="669"/>
      <c r="W202" s="669"/>
      <c r="X202" s="669"/>
      <c r="Y202" s="669"/>
      <c r="Z202" s="669"/>
      <c r="AA202" s="669"/>
    </row>
    <row r="203">
      <c r="A203" s="662"/>
      <c r="B203" s="678"/>
      <c r="C203" s="678"/>
      <c r="D203" s="678"/>
      <c r="E203" s="678"/>
      <c r="F203" s="678"/>
      <c r="G203" s="714"/>
      <c r="H203" s="678"/>
      <c r="I203" s="678"/>
      <c r="J203" s="678"/>
      <c r="K203" s="678"/>
      <c r="L203" s="678"/>
      <c r="M203" s="669"/>
      <c r="N203" s="669"/>
      <c r="O203" s="669"/>
      <c r="P203" s="669"/>
      <c r="Q203" s="669"/>
      <c r="R203" s="669"/>
      <c r="S203" s="669"/>
      <c r="T203" s="669"/>
      <c r="U203" s="669"/>
      <c r="V203" s="669"/>
      <c r="W203" s="669"/>
      <c r="X203" s="669"/>
      <c r="Y203" s="669"/>
      <c r="Z203" s="669"/>
      <c r="AA203" s="669"/>
    </row>
    <row r="204">
      <c r="A204" s="662"/>
      <c r="B204" s="678"/>
      <c r="C204" s="678"/>
      <c r="D204" s="678"/>
      <c r="E204" s="678"/>
      <c r="F204" s="678"/>
      <c r="G204" s="714"/>
      <c r="H204" s="678"/>
      <c r="I204" s="678"/>
      <c r="J204" s="678"/>
      <c r="K204" s="678"/>
      <c r="L204" s="678"/>
      <c r="M204" s="669"/>
      <c r="N204" s="669"/>
      <c r="O204" s="669"/>
      <c r="P204" s="669"/>
      <c r="Q204" s="669"/>
      <c r="R204" s="669"/>
      <c r="S204" s="669"/>
      <c r="T204" s="669"/>
      <c r="U204" s="669"/>
      <c r="V204" s="669"/>
      <c r="W204" s="669"/>
      <c r="X204" s="669"/>
      <c r="Y204" s="669"/>
      <c r="Z204" s="669"/>
      <c r="AA204" s="669"/>
    </row>
    <row r="205">
      <c r="A205" s="715"/>
      <c r="B205" s="669"/>
      <c r="C205" s="669"/>
      <c r="D205" s="678"/>
      <c r="E205" s="678"/>
      <c r="F205" s="678"/>
      <c r="G205" s="714"/>
      <c r="H205" s="678"/>
      <c r="I205" s="678"/>
      <c r="J205" s="678"/>
      <c r="K205" s="678"/>
      <c r="L205" s="678"/>
      <c r="M205" s="669"/>
      <c r="N205" s="669"/>
      <c r="O205" s="669"/>
      <c r="P205" s="669"/>
      <c r="Q205" s="669"/>
      <c r="R205" s="669"/>
      <c r="S205" s="669"/>
      <c r="T205" s="669"/>
      <c r="U205" s="669"/>
      <c r="V205" s="669"/>
      <c r="W205" s="669"/>
      <c r="X205" s="669"/>
      <c r="Y205" s="669"/>
      <c r="Z205" s="669"/>
      <c r="AA205" s="669"/>
    </row>
    <row r="206">
      <c r="A206" s="715"/>
      <c r="B206" s="669"/>
      <c r="C206" s="669"/>
      <c r="D206" s="678"/>
      <c r="E206" s="678"/>
      <c r="F206" s="678"/>
      <c r="G206" s="714"/>
      <c r="H206" s="678"/>
      <c r="I206" s="678"/>
      <c r="J206" s="678"/>
      <c r="K206" s="678"/>
      <c r="L206" s="678"/>
      <c r="M206" s="669"/>
      <c r="N206" s="669"/>
      <c r="O206" s="669"/>
      <c r="P206" s="669"/>
      <c r="Q206" s="669"/>
      <c r="R206" s="669"/>
      <c r="S206" s="669"/>
      <c r="T206" s="669"/>
      <c r="U206" s="669"/>
      <c r="V206" s="669"/>
      <c r="W206" s="669"/>
      <c r="X206" s="669"/>
      <c r="Y206" s="669"/>
      <c r="Z206" s="669"/>
      <c r="AA206" s="669"/>
    </row>
    <row r="207">
      <c r="A207" s="715"/>
      <c r="B207" s="669"/>
      <c r="C207" s="669"/>
      <c r="D207" s="678"/>
      <c r="E207" s="678"/>
      <c r="F207" s="678"/>
      <c r="G207" s="714"/>
      <c r="H207" s="678"/>
      <c r="I207" s="678"/>
      <c r="J207" s="678"/>
      <c r="K207" s="678"/>
      <c r="L207" s="678"/>
      <c r="M207" s="669"/>
      <c r="N207" s="669"/>
      <c r="O207" s="669"/>
      <c r="P207" s="669"/>
      <c r="Q207" s="669"/>
      <c r="R207" s="669"/>
      <c r="S207" s="669"/>
      <c r="T207" s="669"/>
      <c r="U207" s="669"/>
      <c r="V207" s="669"/>
      <c r="W207" s="669"/>
      <c r="X207" s="669"/>
      <c r="Y207" s="669"/>
      <c r="Z207" s="669"/>
      <c r="AA207" s="669"/>
    </row>
    <row r="208">
      <c r="A208" s="715"/>
      <c r="B208" s="669"/>
      <c r="C208" s="669"/>
      <c r="D208" s="678"/>
      <c r="E208" s="678"/>
      <c r="F208" s="678"/>
      <c r="G208" s="714"/>
      <c r="H208" s="678"/>
      <c r="I208" s="678"/>
      <c r="J208" s="678"/>
      <c r="K208" s="678"/>
      <c r="L208" s="678"/>
      <c r="M208" s="669"/>
      <c r="N208" s="669"/>
      <c r="O208" s="669"/>
      <c r="P208" s="669"/>
      <c r="Q208" s="669"/>
      <c r="R208" s="669"/>
      <c r="S208" s="669"/>
      <c r="T208" s="669"/>
      <c r="U208" s="669"/>
      <c r="V208" s="669"/>
      <c r="W208" s="669"/>
      <c r="X208" s="669"/>
      <c r="Y208" s="669"/>
      <c r="Z208" s="669"/>
      <c r="AA208" s="669"/>
    </row>
    <row r="209">
      <c r="A209" s="715"/>
      <c r="B209" s="669"/>
      <c r="C209" s="669"/>
      <c r="D209" s="678"/>
      <c r="E209" s="678"/>
      <c r="F209" s="678"/>
      <c r="G209" s="714"/>
      <c r="H209" s="678"/>
      <c r="I209" s="678"/>
      <c r="J209" s="678"/>
      <c r="K209" s="678"/>
      <c r="L209" s="678"/>
      <c r="M209" s="669"/>
      <c r="N209" s="669"/>
      <c r="O209" s="669"/>
      <c r="P209" s="669"/>
      <c r="Q209" s="669"/>
      <c r="R209" s="669"/>
      <c r="S209" s="669"/>
      <c r="T209" s="669"/>
      <c r="U209" s="669"/>
      <c r="V209" s="669"/>
      <c r="W209" s="669"/>
      <c r="X209" s="669"/>
      <c r="Y209" s="669"/>
      <c r="Z209" s="669"/>
      <c r="AA209" s="669"/>
    </row>
    <row r="210">
      <c r="A210" s="715"/>
      <c r="B210" s="669"/>
      <c r="C210" s="669"/>
      <c r="D210" s="678"/>
      <c r="E210" s="678"/>
      <c r="F210" s="678"/>
      <c r="G210" s="714"/>
      <c r="H210" s="678"/>
      <c r="I210" s="678"/>
      <c r="J210" s="678"/>
      <c r="K210" s="678"/>
      <c r="L210" s="678"/>
      <c r="M210" s="669"/>
      <c r="N210" s="669"/>
      <c r="O210" s="669"/>
      <c r="P210" s="669"/>
      <c r="Q210" s="669"/>
      <c r="R210" s="669"/>
      <c r="S210" s="669"/>
      <c r="T210" s="669"/>
      <c r="U210" s="669"/>
      <c r="V210" s="669"/>
      <c r="W210" s="669"/>
      <c r="X210" s="669"/>
      <c r="Y210" s="669"/>
      <c r="Z210" s="669"/>
      <c r="AA210" s="669"/>
    </row>
    <row r="211">
      <c r="A211" s="715"/>
      <c r="B211" s="669"/>
      <c r="C211" s="669"/>
      <c r="D211" s="678"/>
      <c r="E211" s="678"/>
      <c r="F211" s="678"/>
      <c r="G211" s="714"/>
      <c r="H211" s="678"/>
      <c r="I211" s="678"/>
      <c r="J211" s="678"/>
      <c r="K211" s="678"/>
      <c r="L211" s="678"/>
      <c r="M211" s="669"/>
      <c r="N211" s="669"/>
      <c r="O211" s="669"/>
      <c r="P211" s="669"/>
      <c r="Q211" s="669"/>
      <c r="R211" s="669"/>
      <c r="S211" s="669"/>
      <c r="T211" s="669"/>
      <c r="U211" s="669"/>
      <c r="V211" s="669"/>
      <c r="W211" s="669"/>
      <c r="X211" s="669"/>
      <c r="Y211" s="669"/>
      <c r="Z211" s="669"/>
      <c r="AA211" s="669"/>
    </row>
    <row r="212">
      <c r="A212" s="715"/>
      <c r="B212" s="669"/>
      <c r="C212" s="669"/>
      <c r="D212" s="678"/>
      <c r="E212" s="678"/>
      <c r="F212" s="678"/>
      <c r="G212" s="714"/>
      <c r="H212" s="678"/>
      <c r="I212" s="678"/>
      <c r="J212" s="678"/>
      <c r="K212" s="678"/>
      <c r="L212" s="678"/>
      <c r="M212" s="669"/>
      <c r="N212" s="669"/>
      <c r="O212" s="669"/>
      <c r="P212" s="669"/>
      <c r="Q212" s="669"/>
      <c r="R212" s="669"/>
      <c r="S212" s="669"/>
      <c r="T212" s="669"/>
      <c r="U212" s="669"/>
      <c r="V212" s="669"/>
      <c r="W212" s="669"/>
      <c r="X212" s="669"/>
      <c r="Y212" s="669"/>
      <c r="Z212" s="669"/>
      <c r="AA212" s="669"/>
    </row>
    <row r="213">
      <c r="A213" s="715"/>
      <c r="B213" s="669"/>
      <c r="C213" s="669"/>
      <c r="D213" s="678"/>
      <c r="E213" s="678"/>
      <c r="F213" s="678"/>
      <c r="G213" s="714"/>
      <c r="H213" s="678"/>
      <c r="I213" s="678"/>
      <c r="J213" s="678"/>
      <c r="K213" s="678"/>
      <c r="L213" s="678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69"/>
    </row>
    <row r="214">
      <c r="A214" s="715"/>
      <c r="B214" s="669"/>
      <c r="C214" s="669"/>
      <c r="D214" s="678"/>
      <c r="E214" s="678"/>
      <c r="F214" s="678"/>
      <c r="G214" s="714"/>
      <c r="H214" s="678"/>
      <c r="I214" s="678"/>
      <c r="J214" s="678"/>
      <c r="K214" s="678"/>
      <c r="L214" s="678"/>
      <c r="M214" s="669"/>
      <c r="N214" s="669"/>
      <c r="O214" s="669"/>
      <c r="P214" s="669"/>
      <c r="Q214" s="669"/>
      <c r="R214" s="669"/>
      <c r="S214" s="669"/>
      <c r="T214" s="669"/>
      <c r="U214" s="669"/>
      <c r="V214" s="669"/>
      <c r="W214" s="669"/>
      <c r="X214" s="669"/>
      <c r="Y214" s="669"/>
      <c r="Z214" s="669"/>
      <c r="AA214" s="669"/>
    </row>
    <row r="215">
      <c r="A215" s="715"/>
      <c r="B215" s="669"/>
      <c r="C215" s="669"/>
      <c r="D215" s="669"/>
      <c r="E215" s="669"/>
      <c r="F215" s="669"/>
      <c r="G215" s="716"/>
      <c r="H215" s="669"/>
      <c r="I215" s="669"/>
      <c r="J215" s="669"/>
      <c r="K215" s="669"/>
      <c r="L215" s="669"/>
      <c r="M215" s="669"/>
      <c r="N215" s="669"/>
      <c r="O215" s="669"/>
      <c r="P215" s="669"/>
      <c r="Q215" s="669"/>
      <c r="R215" s="669"/>
      <c r="S215" s="669"/>
      <c r="T215" s="669"/>
      <c r="U215" s="669"/>
      <c r="V215" s="669"/>
      <c r="W215" s="669"/>
      <c r="X215" s="669"/>
      <c r="Y215" s="669"/>
      <c r="Z215" s="669"/>
      <c r="AA215" s="669"/>
    </row>
    <row r="216">
      <c r="A216" s="715"/>
      <c r="B216" s="669"/>
      <c r="C216" s="669"/>
      <c r="D216" s="669"/>
      <c r="E216" s="669"/>
      <c r="F216" s="669"/>
      <c r="G216" s="716"/>
      <c r="H216" s="669"/>
      <c r="I216" s="669"/>
      <c r="J216" s="669"/>
      <c r="K216" s="669"/>
      <c r="L216" s="669"/>
      <c r="M216" s="669"/>
      <c r="N216" s="669"/>
      <c r="O216" s="669"/>
      <c r="P216" s="669"/>
      <c r="Q216" s="669"/>
      <c r="R216" s="669"/>
      <c r="S216" s="669"/>
      <c r="T216" s="669"/>
      <c r="U216" s="669"/>
      <c r="V216" s="669"/>
      <c r="W216" s="669"/>
      <c r="X216" s="669"/>
      <c r="Y216" s="669"/>
      <c r="Z216" s="669"/>
      <c r="AA216" s="669"/>
    </row>
    <row r="217">
      <c r="A217" s="715"/>
      <c r="B217" s="669"/>
      <c r="C217" s="669"/>
      <c r="D217" s="669"/>
      <c r="E217" s="669"/>
      <c r="F217" s="669"/>
      <c r="G217" s="716"/>
      <c r="H217" s="669"/>
      <c r="I217" s="669"/>
      <c r="J217" s="669"/>
      <c r="K217" s="669"/>
      <c r="L217" s="669"/>
      <c r="M217" s="669"/>
      <c r="N217" s="669"/>
      <c r="O217" s="669"/>
      <c r="P217" s="669"/>
      <c r="Q217" s="669"/>
      <c r="R217" s="669"/>
      <c r="S217" s="669"/>
      <c r="T217" s="669"/>
      <c r="U217" s="669"/>
      <c r="V217" s="669"/>
      <c r="W217" s="669"/>
      <c r="X217" s="669"/>
      <c r="Y217" s="669"/>
      <c r="Z217" s="669"/>
      <c r="AA217" s="669"/>
    </row>
    <row r="218">
      <c r="A218" s="715"/>
      <c r="B218" s="669"/>
      <c r="C218" s="669"/>
      <c r="D218" s="669"/>
      <c r="E218" s="669"/>
      <c r="F218" s="669"/>
      <c r="G218" s="716"/>
      <c r="H218" s="669"/>
      <c r="I218" s="669"/>
      <c r="J218" s="669"/>
      <c r="K218" s="669"/>
      <c r="L218" s="669"/>
      <c r="M218" s="669"/>
      <c r="N218" s="669"/>
      <c r="O218" s="669"/>
      <c r="P218" s="669"/>
      <c r="Q218" s="669"/>
      <c r="R218" s="669"/>
      <c r="S218" s="669"/>
      <c r="T218" s="669"/>
      <c r="U218" s="669"/>
      <c r="V218" s="669"/>
      <c r="W218" s="669"/>
      <c r="X218" s="669"/>
      <c r="Y218" s="669"/>
      <c r="Z218" s="669"/>
      <c r="AA218" s="669"/>
    </row>
    <row r="219">
      <c r="A219" s="715"/>
      <c r="B219" s="669"/>
      <c r="C219" s="669"/>
      <c r="D219" s="669"/>
      <c r="E219" s="669"/>
      <c r="F219" s="669"/>
      <c r="G219" s="716"/>
      <c r="H219" s="669"/>
      <c r="I219" s="669"/>
      <c r="J219" s="669"/>
      <c r="K219" s="669"/>
      <c r="L219" s="669"/>
      <c r="M219" s="669"/>
      <c r="N219" s="669"/>
      <c r="O219" s="669"/>
      <c r="P219" s="669"/>
      <c r="Q219" s="669"/>
      <c r="R219" s="669"/>
      <c r="S219" s="669"/>
      <c r="T219" s="669"/>
      <c r="U219" s="669"/>
      <c r="V219" s="669"/>
      <c r="W219" s="669"/>
      <c r="X219" s="669"/>
      <c r="Y219" s="669"/>
      <c r="Z219" s="669"/>
      <c r="AA219" s="669"/>
    </row>
    <row r="220">
      <c r="A220" s="715"/>
      <c r="B220" s="669"/>
      <c r="C220" s="669"/>
      <c r="D220" s="669"/>
      <c r="E220" s="669"/>
      <c r="F220" s="669"/>
      <c r="G220" s="716"/>
      <c r="H220" s="669"/>
      <c r="I220" s="669"/>
      <c r="J220" s="669"/>
      <c r="K220" s="669"/>
      <c r="L220" s="669"/>
      <c r="M220" s="669"/>
      <c r="N220" s="669"/>
      <c r="O220" s="669"/>
      <c r="P220" s="669"/>
      <c r="Q220" s="669"/>
      <c r="R220" s="669"/>
      <c r="S220" s="669"/>
      <c r="T220" s="669"/>
      <c r="U220" s="669"/>
      <c r="V220" s="669"/>
      <c r="W220" s="669"/>
      <c r="X220" s="669"/>
      <c r="Y220" s="669"/>
      <c r="Z220" s="669"/>
      <c r="AA220" s="669"/>
    </row>
    <row r="221">
      <c r="A221" s="715"/>
      <c r="B221" s="669"/>
      <c r="C221" s="669"/>
      <c r="D221" s="669"/>
      <c r="E221" s="669"/>
      <c r="F221" s="669"/>
      <c r="G221" s="716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69"/>
    </row>
    <row r="222">
      <c r="A222" s="715"/>
      <c r="B222" s="669"/>
      <c r="C222" s="669"/>
      <c r="D222" s="669"/>
      <c r="E222" s="669"/>
      <c r="F222" s="669"/>
      <c r="G222" s="716"/>
      <c r="H222" s="669"/>
      <c r="I222" s="669"/>
      <c r="J222" s="669"/>
      <c r="K222" s="669"/>
      <c r="L222" s="669"/>
      <c r="M222" s="669"/>
      <c r="N222" s="669"/>
      <c r="O222" s="669"/>
      <c r="P222" s="669"/>
      <c r="Q222" s="669"/>
      <c r="R222" s="669"/>
      <c r="S222" s="669"/>
      <c r="T222" s="669"/>
      <c r="U222" s="669"/>
      <c r="V222" s="669"/>
      <c r="W222" s="669"/>
      <c r="X222" s="669"/>
      <c r="Y222" s="669"/>
      <c r="Z222" s="669"/>
      <c r="AA222" s="669"/>
    </row>
    <row r="223">
      <c r="A223" s="715"/>
      <c r="B223" s="669"/>
      <c r="C223" s="669"/>
      <c r="D223" s="669"/>
      <c r="E223" s="669"/>
      <c r="F223" s="669"/>
      <c r="G223" s="716"/>
      <c r="H223" s="669"/>
      <c r="I223" s="669"/>
      <c r="J223" s="669"/>
      <c r="K223" s="669"/>
      <c r="L223" s="669"/>
      <c r="M223" s="669"/>
      <c r="N223" s="669"/>
      <c r="O223" s="669"/>
      <c r="P223" s="669"/>
      <c r="Q223" s="669"/>
      <c r="R223" s="669"/>
      <c r="S223" s="669"/>
      <c r="T223" s="669"/>
      <c r="U223" s="669"/>
      <c r="V223" s="669"/>
      <c r="W223" s="669"/>
      <c r="X223" s="669"/>
      <c r="Y223" s="669"/>
      <c r="Z223" s="669"/>
      <c r="AA223" s="669"/>
    </row>
    <row r="224">
      <c r="A224" s="715"/>
      <c r="B224" s="669"/>
      <c r="C224" s="669"/>
      <c r="D224" s="669"/>
      <c r="E224" s="669"/>
      <c r="F224" s="669"/>
      <c r="G224" s="716"/>
      <c r="H224" s="669"/>
      <c r="I224" s="669"/>
      <c r="J224" s="669"/>
      <c r="K224" s="669"/>
      <c r="L224" s="669"/>
      <c r="M224" s="669"/>
      <c r="N224" s="669"/>
      <c r="O224" s="669"/>
      <c r="P224" s="669"/>
      <c r="Q224" s="669"/>
      <c r="R224" s="669"/>
      <c r="S224" s="669"/>
      <c r="T224" s="669"/>
      <c r="U224" s="669"/>
      <c r="V224" s="669"/>
      <c r="W224" s="669"/>
      <c r="X224" s="669"/>
      <c r="Y224" s="669"/>
      <c r="Z224" s="669"/>
      <c r="AA224" s="669"/>
    </row>
    <row r="225">
      <c r="A225" s="715"/>
      <c r="B225" s="669"/>
      <c r="C225" s="669"/>
      <c r="D225" s="669"/>
      <c r="E225" s="669"/>
      <c r="F225" s="669"/>
      <c r="G225" s="716"/>
      <c r="H225" s="669"/>
      <c r="I225" s="669"/>
      <c r="J225" s="669"/>
      <c r="K225" s="669"/>
      <c r="L225" s="669"/>
      <c r="M225" s="669"/>
      <c r="N225" s="669"/>
      <c r="O225" s="669"/>
      <c r="P225" s="669"/>
      <c r="Q225" s="669"/>
      <c r="R225" s="669"/>
      <c r="S225" s="669"/>
      <c r="T225" s="669"/>
      <c r="U225" s="669"/>
      <c r="V225" s="669"/>
      <c r="W225" s="669"/>
      <c r="X225" s="669"/>
      <c r="Y225" s="669"/>
      <c r="Z225" s="669"/>
      <c r="AA225" s="669"/>
    </row>
    <row r="226">
      <c r="A226" s="715"/>
      <c r="B226" s="669"/>
      <c r="C226" s="669"/>
      <c r="D226" s="669"/>
      <c r="E226" s="669"/>
      <c r="F226" s="669"/>
      <c r="G226" s="716"/>
      <c r="H226" s="669"/>
      <c r="I226" s="669"/>
      <c r="J226" s="669"/>
      <c r="K226" s="669"/>
      <c r="L226" s="669"/>
      <c r="M226" s="669"/>
      <c r="N226" s="669"/>
      <c r="O226" s="669"/>
      <c r="P226" s="669"/>
      <c r="Q226" s="669"/>
      <c r="R226" s="669"/>
      <c r="S226" s="669"/>
      <c r="T226" s="669"/>
      <c r="U226" s="669"/>
      <c r="V226" s="669"/>
      <c r="W226" s="669"/>
      <c r="X226" s="669"/>
      <c r="Y226" s="669"/>
      <c r="Z226" s="669"/>
      <c r="AA226" s="669"/>
    </row>
    <row r="227">
      <c r="A227" s="715"/>
      <c r="B227" s="669"/>
      <c r="C227" s="669"/>
      <c r="D227" s="669"/>
      <c r="E227" s="669"/>
      <c r="F227" s="669"/>
      <c r="G227" s="716"/>
      <c r="H227" s="669"/>
      <c r="I227" s="669"/>
      <c r="J227" s="669"/>
      <c r="K227" s="669"/>
      <c r="L227" s="669"/>
      <c r="M227" s="669"/>
      <c r="N227" s="669"/>
      <c r="O227" s="669"/>
      <c r="P227" s="669"/>
      <c r="Q227" s="669"/>
      <c r="R227" s="669"/>
      <c r="S227" s="669"/>
      <c r="T227" s="669"/>
      <c r="U227" s="669"/>
      <c r="V227" s="669"/>
      <c r="W227" s="669"/>
      <c r="X227" s="669"/>
      <c r="Y227" s="669"/>
      <c r="Z227" s="669"/>
      <c r="AA227" s="669"/>
    </row>
    <row r="228">
      <c r="A228" s="715"/>
      <c r="B228" s="669"/>
      <c r="C228" s="669"/>
      <c r="D228" s="669"/>
      <c r="E228" s="669"/>
      <c r="F228" s="669"/>
      <c r="G228" s="716"/>
      <c r="H228" s="669"/>
      <c r="I228" s="669"/>
      <c r="J228" s="669"/>
      <c r="K228" s="669"/>
      <c r="L228" s="669"/>
      <c r="M228" s="669"/>
      <c r="N228" s="669"/>
      <c r="O228" s="669"/>
      <c r="P228" s="669"/>
      <c r="Q228" s="669"/>
      <c r="R228" s="669"/>
      <c r="S228" s="669"/>
      <c r="T228" s="669"/>
      <c r="U228" s="669"/>
      <c r="V228" s="669"/>
      <c r="W228" s="669"/>
      <c r="X228" s="669"/>
      <c r="Y228" s="669"/>
      <c r="Z228" s="669"/>
      <c r="AA228" s="669"/>
    </row>
    <row r="229">
      <c r="A229" s="715"/>
      <c r="B229" s="669"/>
      <c r="C229" s="669"/>
      <c r="D229" s="669"/>
      <c r="E229" s="669"/>
      <c r="F229" s="669"/>
      <c r="G229" s="716"/>
      <c r="H229" s="669"/>
      <c r="I229" s="669"/>
      <c r="J229" s="669"/>
      <c r="K229" s="669"/>
      <c r="L229" s="669"/>
      <c r="M229" s="669"/>
      <c r="N229" s="669"/>
      <c r="O229" s="669"/>
      <c r="P229" s="669"/>
      <c r="Q229" s="669"/>
      <c r="R229" s="669"/>
      <c r="S229" s="669"/>
      <c r="T229" s="669"/>
      <c r="U229" s="669"/>
      <c r="V229" s="669"/>
      <c r="W229" s="669"/>
      <c r="X229" s="669"/>
      <c r="Y229" s="669"/>
      <c r="Z229" s="669"/>
      <c r="AA229" s="669"/>
    </row>
    <row r="230">
      <c r="A230" s="715"/>
      <c r="B230" s="669"/>
      <c r="C230" s="669"/>
      <c r="D230" s="669"/>
      <c r="E230" s="669"/>
      <c r="F230" s="669"/>
      <c r="G230" s="716"/>
      <c r="H230" s="669"/>
      <c r="I230" s="669"/>
      <c r="J230" s="669"/>
      <c r="K230" s="669"/>
      <c r="L230" s="669"/>
      <c r="M230" s="669"/>
      <c r="N230" s="669"/>
      <c r="O230" s="669"/>
      <c r="P230" s="669"/>
      <c r="Q230" s="669"/>
      <c r="R230" s="669"/>
      <c r="S230" s="669"/>
      <c r="T230" s="669"/>
      <c r="U230" s="669"/>
      <c r="V230" s="669"/>
      <c r="W230" s="669"/>
      <c r="X230" s="669"/>
      <c r="Y230" s="669"/>
      <c r="Z230" s="669"/>
      <c r="AA230" s="669"/>
    </row>
    <row r="231">
      <c r="A231" s="715"/>
      <c r="B231" s="669"/>
      <c r="C231" s="669"/>
      <c r="D231" s="669"/>
      <c r="E231" s="669"/>
      <c r="F231" s="669"/>
      <c r="G231" s="716"/>
      <c r="H231" s="669"/>
      <c r="I231" s="669"/>
      <c r="J231" s="669"/>
      <c r="K231" s="669"/>
      <c r="L231" s="669"/>
      <c r="M231" s="669"/>
      <c r="N231" s="669"/>
      <c r="O231" s="669"/>
      <c r="P231" s="669"/>
      <c r="Q231" s="669"/>
      <c r="R231" s="669"/>
      <c r="S231" s="669"/>
      <c r="T231" s="669"/>
      <c r="U231" s="669"/>
      <c r="V231" s="669"/>
      <c r="W231" s="669"/>
      <c r="X231" s="669"/>
      <c r="Y231" s="669"/>
      <c r="Z231" s="669"/>
      <c r="AA231" s="669"/>
    </row>
    <row r="232">
      <c r="A232" s="715"/>
      <c r="B232" s="669"/>
      <c r="C232" s="669"/>
      <c r="D232" s="669"/>
      <c r="E232" s="669"/>
      <c r="F232" s="669"/>
      <c r="G232" s="716"/>
      <c r="H232" s="669"/>
      <c r="I232" s="669"/>
      <c r="J232" s="669"/>
      <c r="K232" s="669"/>
      <c r="L232" s="669"/>
      <c r="M232" s="669"/>
      <c r="N232" s="669"/>
      <c r="O232" s="669"/>
      <c r="P232" s="669"/>
      <c r="Q232" s="669"/>
      <c r="R232" s="669"/>
      <c r="S232" s="669"/>
      <c r="T232" s="669"/>
      <c r="U232" s="669"/>
      <c r="V232" s="669"/>
      <c r="W232" s="669"/>
      <c r="X232" s="669"/>
      <c r="Y232" s="669"/>
      <c r="Z232" s="669"/>
      <c r="AA232" s="669"/>
    </row>
    <row r="233">
      <c r="A233" s="715"/>
      <c r="B233" s="669"/>
      <c r="C233" s="669"/>
      <c r="D233" s="669"/>
      <c r="E233" s="669"/>
      <c r="F233" s="669"/>
      <c r="G233" s="716"/>
      <c r="H233" s="669"/>
      <c r="I233" s="669"/>
      <c r="J233" s="669"/>
      <c r="K233" s="669"/>
      <c r="L233" s="669"/>
      <c r="M233" s="669"/>
      <c r="N233" s="669"/>
      <c r="O233" s="669"/>
      <c r="P233" s="669"/>
      <c r="Q233" s="669"/>
      <c r="R233" s="669"/>
      <c r="S233" s="669"/>
      <c r="T233" s="669"/>
      <c r="U233" s="669"/>
      <c r="V233" s="669"/>
      <c r="W233" s="669"/>
      <c r="X233" s="669"/>
      <c r="Y233" s="669"/>
      <c r="Z233" s="669"/>
      <c r="AA233" s="669"/>
    </row>
    <row r="234">
      <c r="A234" s="715"/>
      <c r="B234" s="669"/>
      <c r="C234" s="669"/>
      <c r="D234" s="669"/>
      <c r="E234" s="669"/>
      <c r="F234" s="669"/>
      <c r="G234" s="716"/>
      <c r="H234" s="669"/>
      <c r="I234" s="669"/>
      <c r="J234" s="669"/>
      <c r="K234" s="669"/>
      <c r="L234" s="669"/>
      <c r="M234" s="669"/>
      <c r="N234" s="669"/>
      <c r="O234" s="669"/>
      <c r="P234" s="669"/>
      <c r="Q234" s="669"/>
      <c r="R234" s="669"/>
      <c r="S234" s="669"/>
      <c r="T234" s="669"/>
      <c r="U234" s="669"/>
      <c r="V234" s="669"/>
      <c r="W234" s="669"/>
      <c r="X234" s="669"/>
      <c r="Y234" s="669"/>
      <c r="Z234" s="669"/>
      <c r="AA234" s="669"/>
    </row>
    <row r="235">
      <c r="A235" s="715"/>
      <c r="B235" s="669"/>
      <c r="C235" s="669"/>
      <c r="D235" s="669"/>
      <c r="E235" s="669"/>
      <c r="F235" s="669"/>
      <c r="G235" s="716"/>
      <c r="H235" s="669"/>
      <c r="I235" s="669"/>
      <c r="J235" s="669"/>
      <c r="K235" s="669"/>
      <c r="L235" s="669"/>
      <c r="M235" s="669"/>
      <c r="N235" s="669"/>
      <c r="O235" s="669"/>
      <c r="P235" s="669"/>
      <c r="Q235" s="669"/>
      <c r="R235" s="669"/>
      <c r="S235" s="669"/>
      <c r="T235" s="669"/>
      <c r="U235" s="669"/>
      <c r="V235" s="669"/>
      <c r="W235" s="669"/>
      <c r="X235" s="669"/>
      <c r="Y235" s="669"/>
      <c r="Z235" s="669"/>
      <c r="AA235" s="669"/>
    </row>
    <row r="236">
      <c r="A236" s="715"/>
      <c r="B236" s="669"/>
      <c r="C236" s="669"/>
      <c r="D236" s="669"/>
      <c r="E236" s="669"/>
      <c r="F236" s="669"/>
      <c r="G236" s="716"/>
      <c r="H236" s="669"/>
      <c r="I236" s="669"/>
      <c r="J236" s="669"/>
      <c r="K236" s="669"/>
      <c r="L236" s="669"/>
      <c r="M236" s="669"/>
      <c r="N236" s="669"/>
      <c r="O236" s="669"/>
      <c r="P236" s="669"/>
      <c r="Q236" s="669"/>
      <c r="R236" s="669"/>
      <c r="S236" s="669"/>
      <c r="T236" s="669"/>
      <c r="U236" s="669"/>
      <c r="V236" s="669"/>
      <c r="W236" s="669"/>
      <c r="X236" s="669"/>
      <c r="Y236" s="669"/>
      <c r="Z236" s="669"/>
      <c r="AA236" s="669"/>
    </row>
    <row r="237">
      <c r="A237" s="715"/>
      <c r="B237" s="669"/>
      <c r="C237" s="669"/>
      <c r="D237" s="669"/>
      <c r="E237" s="669"/>
      <c r="F237" s="669"/>
      <c r="G237" s="716"/>
      <c r="H237" s="669"/>
      <c r="I237" s="669"/>
      <c r="J237" s="669"/>
      <c r="K237" s="669"/>
      <c r="L237" s="669"/>
      <c r="M237" s="669"/>
      <c r="N237" s="669"/>
      <c r="O237" s="669"/>
      <c r="P237" s="669"/>
      <c r="Q237" s="669"/>
      <c r="R237" s="669"/>
      <c r="S237" s="669"/>
      <c r="T237" s="669"/>
      <c r="U237" s="669"/>
      <c r="V237" s="669"/>
      <c r="W237" s="669"/>
      <c r="X237" s="669"/>
      <c r="Y237" s="669"/>
      <c r="Z237" s="669"/>
      <c r="AA237" s="669"/>
    </row>
    <row r="238">
      <c r="A238" s="715"/>
      <c r="B238" s="669"/>
      <c r="C238" s="669"/>
      <c r="D238" s="669"/>
      <c r="E238" s="669"/>
      <c r="F238" s="669"/>
      <c r="G238" s="716"/>
      <c r="H238" s="669"/>
      <c r="I238" s="669"/>
      <c r="J238" s="669"/>
      <c r="K238" s="669"/>
      <c r="L238" s="669"/>
      <c r="M238" s="669"/>
      <c r="N238" s="669"/>
      <c r="O238" s="669"/>
      <c r="P238" s="669"/>
      <c r="Q238" s="669"/>
      <c r="R238" s="669"/>
      <c r="S238" s="669"/>
      <c r="T238" s="669"/>
      <c r="U238" s="669"/>
      <c r="V238" s="669"/>
      <c r="W238" s="669"/>
      <c r="X238" s="669"/>
      <c r="Y238" s="669"/>
      <c r="Z238" s="669"/>
      <c r="AA238" s="669"/>
    </row>
    <row r="239">
      <c r="A239" s="715"/>
      <c r="B239" s="669"/>
      <c r="C239" s="669"/>
      <c r="D239" s="669"/>
      <c r="E239" s="669"/>
      <c r="F239" s="669"/>
      <c r="G239" s="716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69"/>
    </row>
    <row r="240">
      <c r="A240" s="715"/>
      <c r="B240" s="669"/>
      <c r="C240" s="669"/>
      <c r="D240" s="669"/>
      <c r="E240" s="669"/>
      <c r="F240" s="669"/>
      <c r="G240" s="716"/>
      <c r="H240" s="669"/>
      <c r="I240" s="669"/>
      <c r="J240" s="669"/>
      <c r="K240" s="669"/>
      <c r="L240" s="669"/>
      <c r="M240" s="669"/>
      <c r="N240" s="669"/>
      <c r="O240" s="669"/>
      <c r="P240" s="669"/>
      <c r="Q240" s="669"/>
      <c r="R240" s="669"/>
      <c r="S240" s="669"/>
      <c r="T240" s="669"/>
      <c r="U240" s="669"/>
      <c r="V240" s="669"/>
      <c r="W240" s="669"/>
      <c r="X240" s="669"/>
      <c r="Y240" s="669"/>
      <c r="Z240" s="669"/>
      <c r="AA240" s="669"/>
    </row>
    <row r="241">
      <c r="A241" s="715"/>
      <c r="B241" s="669"/>
      <c r="C241" s="669"/>
      <c r="D241" s="669"/>
      <c r="E241" s="669"/>
      <c r="F241" s="669"/>
      <c r="G241" s="716"/>
      <c r="H241" s="669"/>
      <c r="I241" s="669"/>
      <c r="J241" s="669"/>
      <c r="K241" s="669"/>
      <c r="L241" s="669"/>
      <c r="M241" s="669"/>
      <c r="N241" s="669"/>
      <c r="O241" s="669"/>
      <c r="P241" s="669"/>
      <c r="Q241" s="669"/>
      <c r="R241" s="669"/>
      <c r="S241" s="669"/>
      <c r="T241" s="669"/>
      <c r="U241" s="669"/>
      <c r="V241" s="669"/>
      <c r="W241" s="669"/>
      <c r="X241" s="669"/>
      <c r="Y241" s="669"/>
      <c r="Z241" s="669"/>
      <c r="AA241" s="669"/>
    </row>
    <row r="242">
      <c r="A242" s="715"/>
      <c r="B242" s="669"/>
      <c r="C242" s="669"/>
      <c r="D242" s="669"/>
      <c r="E242" s="669"/>
      <c r="F242" s="669"/>
      <c r="G242" s="716"/>
      <c r="H242" s="669"/>
      <c r="I242" s="669"/>
      <c r="J242" s="669"/>
      <c r="K242" s="669"/>
      <c r="L242" s="669"/>
      <c r="M242" s="669"/>
      <c r="N242" s="669"/>
      <c r="O242" s="669"/>
      <c r="P242" s="669"/>
      <c r="Q242" s="669"/>
      <c r="R242" s="669"/>
      <c r="S242" s="669"/>
      <c r="T242" s="669"/>
      <c r="U242" s="669"/>
      <c r="V242" s="669"/>
      <c r="W242" s="669"/>
      <c r="X242" s="669"/>
      <c r="Y242" s="669"/>
      <c r="Z242" s="669"/>
      <c r="AA242" s="669"/>
    </row>
    <row r="243">
      <c r="A243" s="715"/>
      <c r="B243" s="669"/>
      <c r="C243" s="669"/>
      <c r="D243" s="669"/>
      <c r="E243" s="669"/>
      <c r="F243" s="669"/>
      <c r="G243" s="716"/>
      <c r="H243" s="669"/>
      <c r="I243" s="669"/>
      <c r="J243" s="669"/>
      <c r="K243" s="669"/>
      <c r="L243" s="669"/>
      <c r="M243" s="669"/>
      <c r="N243" s="669"/>
      <c r="O243" s="669"/>
      <c r="P243" s="669"/>
      <c r="Q243" s="669"/>
      <c r="R243" s="669"/>
      <c r="S243" s="669"/>
      <c r="T243" s="669"/>
      <c r="U243" s="669"/>
      <c r="V243" s="669"/>
      <c r="W243" s="669"/>
      <c r="X243" s="669"/>
      <c r="Y243" s="669"/>
      <c r="Z243" s="669"/>
      <c r="AA243" s="669"/>
    </row>
    <row r="244">
      <c r="A244" s="715"/>
      <c r="B244" s="669"/>
      <c r="C244" s="669"/>
      <c r="D244" s="669"/>
      <c r="E244" s="669"/>
      <c r="F244" s="669"/>
      <c r="G244" s="716"/>
      <c r="H244" s="669"/>
      <c r="I244" s="669"/>
      <c r="J244" s="669"/>
      <c r="K244" s="669"/>
      <c r="L244" s="669"/>
      <c r="M244" s="669"/>
      <c r="N244" s="669"/>
      <c r="O244" s="669"/>
      <c r="P244" s="669"/>
      <c r="Q244" s="669"/>
      <c r="R244" s="669"/>
      <c r="S244" s="669"/>
      <c r="T244" s="669"/>
      <c r="U244" s="669"/>
      <c r="V244" s="669"/>
      <c r="W244" s="669"/>
      <c r="X244" s="669"/>
      <c r="Y244" s="669"/>
      <c r="Z244" s="669"/>
      <c r="AA244" s="669"/>
    </row>
    <row r="245">
      <c r="A245" s="715"/>
      <c r="B245" s="669"/>
      <c r="C245" s="669"/>
      <c r="D245" s="669"/>
      <c r="E245" s="669"/>
      <c r="F245" s="669"/>
      <c r="G245" s="716"/>
      <c r="H245" s="669"/>
      <c r="I245" s="669"/>
      <c r="J245" s="669"/>
      <c r="K245" s="669"/>
      <c r="L245" s="669"/>
      <c r="M245" s="669"/>
      <c r="N245" s="669"/>
      <c r="O245" s="669"/>
      <c r="P245" s="669"/>
      <c r="Q245" s="669"/>
      <c r="R245" s="669"/>
      <c r="S245" s="669"/>
      <c r="T245" s="669"/>
      <c r="U245" s="669"/>
      <c r="V245" s="669"/>
      <c r="W245" s="669"/>
      <c r="X245" s="669"/>
      <c r="Y245" s="669"/>
      <c r="Z245" s="669"/>
      <c r="AA245" s="669"/>
    </row>
    <row r="246">
      <c r="A246" s="715"/>
      <c r="B246" s="669"/>
      <c r="C246" s="669"/>
      <c r="D246" s="669"/>
      <c r="E246" s="669"/>
      <c r="F246" s="669"/>
      <c r="G246" s="716"/>
      <c r="H246" s="669"/>
      <c r="I246" s="669"/>
      <c r="J246" s="669"/>
      <c r="K246" s="669"/>
      <c r="L246" s="669"/>
      <c r="M246" s="669"/>
      <c r="N246" s="669"/>
      <c r="O246" s="669"/>
      <c r="P246" s="669"/>
      <c r="Q246" s="669"/>
      <c r="R246" s="669"/>
      <c r="S246" s="669"/>
      <c r="T246" s="669"/>
      <c r="U246" s="669"/>
      <c r="V246" s="669"/>
      <c r="W246" s="669"/>
      <c r="X246" s="669"/>
      <c r="Y246" s="669"/>
      <c r="Z246" s="669"/>
      <c r="AA246" s="669"/>
    </row>
    <row r="247">
      <c r="A247" s="715"/>
      <c r="B247" s="669"/>
      <c r="C247" s="669"/>
      <c r="D247" s="669"/>
      <c r="E247" s="669"/>
      <c r="F247" s="669"/>
      <c r="G247" s="716"/>
      <c r="H247" s="669"/>
      <c r="I247" s="669"/>
      <c r="J247" s="669"/>
      <c r="K247" s="669"/>
      <c r="L247" s="669"/>
      <c r="M247" s="669"/>
      <c r="N247" s="669"/>
      <c r="O247" s="669"/>
      <c r="P247" s="669"/>
      <c r="Q247" s="669"/>
      <c r="R247" s="669"/>
      <c r="S247" s="669"/>
      <c r="T247" s="669"/>
      <c r="U247" s="669"/>
      <c r="V247" s="669"/>
      <c r="W247" s="669"/>
      <c r="X247" s="669"/>
      <c r="Y247" s="669"/>
      <c r="Z247" s="669"/>
      <c r="AA247" s="669"/>
    </row>
    <row r="248">
      <c r="A248" s="715"/>
      <c r="B248" s="669"/>
      <c r="C248" s="669"/>
      <c r="D248" s="669"/>
      <c r="E248" s="669"/>
      <c r="F248" s="669"/>
      <c r="G248" s="716"/>
      <c r="H248" s="669"/>
      <c r="I248" s="669"/>
      <c r="J248" s="669"/>
      <c r="K248" s="669"/>
      <c r="L248" s="669"/>
      <c r="M248" s="669"/>
      <c r="N248" s="669"/>
      <c r="O248" s="669"/>
      <c r="P248" s="669"/>
      <c r="Q248" s="669"/>
      <c r="R248" s="669"/>
      <c r="S248" s="669"/>
      <c r="T248" s="669"/>
      <c r="U248" s="669"/>
      <c r="V248" s="669"/>
      <c r="W248" s="669"/>
      <c r="X248" s="669"/>
      <c r="Y248" s="669"/>
      <c r="Z248" s="669"/>
      <c r="AA248" s="669"/>
    </row>
    <row r="249">
      <c r="A249" s="715"/>
      <c r="B249" s="669"/>
      <c r="C249" s="669"/>
      <c r="D249" s="669"/>
      <c r="E249" s="669"/>
      <c r="F249" s="669"/>
      <c r="G249" s="716"/>
      <c r="H249" s="669"/>
      <c r="I249" s="669"/>
      <c r="J249" s="669"/>
      <c r="K249" s="669"/>
      <c r="L249" s="669"/>
      <c r="M249" s="669"/>
      <c r="N249" s="669"/>
      <c r="O249" s="669"/>
      <c r="P249" s="669"/>
      <c r="Q249" s="669"/>
      <c r="R249" s="669"/>
      <c r="S249" s="669"/>
      <c r="T249" s="669"/>
      <c r="U249" s="669"/>
      <c r="V249" s="669"/>
      <c r="W249" s="669"/>
      <c r="X249" s="669"/>
      <c r="Y249" s="669"/>
      <c r="Z249" s="669"/>
      <c r="AA249" s="669"/>
    </row>
    <row r="250">
      <c r="A250" s="715"/>
      <c r="B250" s="669"/>
      <c r="C250" s="669"/>
      <c r="D250" s="669"/>
      <c r="E250" s="669"/>
      <c r="F250" s="669"/>
      <c r="G250" s="716"/>
      <c r="H250" s="669"/>
      <c r="I250" s="669"/>
      <c r="J250" s="669"/>
      <c r="K250" s="669"/>
      <c r="L250" s="669"/>
      <c r="M250" s="669"/>
      <c r="N250" s="669"/>
      <c r="O250" s="669"/>
      <c r="P250" s="669"/>
      <c r="Q250" s="669"/>
      <c r="R250" s="669"/>
      <c r="S250" s="669"/>
      <c r="T250" s="669"/>
      <c r="U250" s="669"/>
      <c r="V250" s="669"/>
      <c r="W250" s="669"/>
      <c r="X250" s="669"/>
      <c r="Y250" s="669"/>
      <c r="Z250" s="669"/>
      <c r="AA250" s="669"/>
    </row>
    <row r="251">
      <c r="A251" s="715"/>
      <c r="B251" s="669"/>
      <c r="C251" s="669"/>
      <c r="D251" s="669"/>
      <c r="E251" s="669"/>
      <c r="F251" s="669"/>
      <c r="G251" s="716"/>
      <c r="H251" s="669"/>
      <c r="I251" s="669"/>
      <c r="J251" s="669"/>
      <c r="K251" s="669"/>
      <c r="L251" s="669"/>
      <c r="M251" s="669"/>
      <c r="N251" s="669"/>
      <c r="O251" s="669"/>
      <c r="P251" s="669"/>
      <c r="Q251" s="669"/>
      <c r="R251" s="669"/>
      <c r="S251" s="669"/>
      <c r="T251" s="669"/>
      <c r="U251" s="669"/>
      <c r="V251" s="669"/>
      <c r="W251" s="669"/>
      <c r="X251" s="669"/>
      <c r="Y251" s="669"/>
      <c r="Z251" s="669"/>
      <c r="AA251" s="669"/>
    </row>
    <row r="252">
      <c r="A252" s="715"/>
      <c r="B252" s="669"/>
      <c r="C252" s="669"/>
      <c r="D252" s="669"/>
      <c r="E252" s="669"/>
      <c r="F252" s="669"/>
      <c r="G252" s="716"/>
      <c r="H252" s="669"/>
      <c r="I252" s="669"/>
      <c r="J252" s="669"/>
      <c r="K252" s="669"/>
      <c r="L252" s="669"/>
      <c r="M252" s="669"/>
      <c r="N252" s="669"/>
      <c r="O252" s="669"/>
      <c r="P252" s="669"/>
      <c r="Q252" s="669"/>
      <c r="R252" s="669"/>
      <c r="S252" s="669"/>
      <c r="T252" s="669"/>
      <c r="U252" s="669"/>
      <c r="V252" s="669"/>
      <c r="W252" s="669"/>
      <c r="X252" s="669"/>
      <c r="Y252" s="669"/>
      <c r="Z252" s="669"/>
      <c r="AA252" s="669"/>
    </row>
    <row r="253">
      <c r="A253" s="715"/>
      <c r="B253" s="669"/>
      <c r="C253" s="669"/>
      <c r="D253" s="669"/>
      <c r="E253" s="669"/>
      <c r="F253" s="669"/>
      <c r="G253" s="716"/>
      <c r="H253" s="669"/>
      <c r="I253" s="669"/>
      <c r="J253" s="669"/>
      <c r="K253" s="669"/>
      <c r="L253" s="669"/>
      <c r="M253" s="669"/>
      <c r="N253" s="669"/>
      <c r="O253" s="669"/>
      <c r="P253" s="669"/>
      <c r="Q253" s="669"/>
      <c r="R253" s="669"/>
      <c r="S253" s="669"/>
      <c r="T253" s="669"/>
      <c r="U253" s="669"/>
      <c r="V253" s="669"/>
      <c r="W253" s="669"/>
      <c r="X253" s="669"/>
      <c r="Y253" s="669"/>
      <c r="Z253" s="669"/>
      <c r="AA253" s="669"/>
    </row>
    <row r="254">
      <c r="A254" s="715"/>
      <c r="B254" s="669"/>
      <c r="C254" s="669"/>
      <c r="D254" s="669"/>
      <c r="E254" s="669"/>
      <c r="F254" s="669"/>
      <c r="G254" s="716"/>
      <c r="H254" s="669"/>
      <c r="I254" s="669"/>
      <c r="J254" s="669"/>
      <c r="K254" s="669"/>
      <c r="L254" s="669"/>
      <c r="M254" s="669"/>
      <c r="N254" s="669"/>
      <c r="O254" s="669"/>
      <c r="P254" s="669"/>
      <c r="Q254" s="669"/>
      <c r="R254" s="669"/>
      <c r="S254" s="669"/>
      <c r="T254" s="669"/>
      <c r="U254" s="669"/>
      <c r="V254" s="669"/>
      <c r="W254" s="669"/>
      <c r="X254" s="669"/>
      <c r="Y254" s="669"/>
      <c r="Z254" s="669"/>
      <c r="AA254" s="669"/>
    </row>
    <row r="255">
      <c r="A255" s="715"/>
      <c r="B255" s="669"/>
      <c r="C255" s="669"/>
      <c r="D255" s="669"/>
      <c r="E255" s="669"/>
      <c r="F255" s="669"/>
      <c r="G255" s="716"/>
      <c r="H255" s="669"/>
      <c r="I255" s="669"/>
      <c r="J255" s="669"/>
      <c r="K255" s="669"/>
      <c r="L255" s="669"/>
      <c r="M255" s="669"/>
      <c r="N255" s="669"/>
      <c r="O255" s="669"/>
      <c r="P255" s="669"/>
      <c r="Q255" s="669"/>
      <c r="R255" s="669"/>
      <c r="S255" s="669"/>
      <c r="T255" s="669"/>
      <c r="U255" s="669"/>
      <c r="V255" s="669"/>
      <c r="W255" s="669"/>
      <c r="X255" s="669"/>
      <c r="Y255" s="669"/>
      <c r="Z255" s="669"/>
      <c r="AA255" s="669"/>
    </row>
    <row r="256">
      <c r="A256" s="715"/>
      <c r="B256" s="669"/>
      <c r="C256" s="669"/>
      <c r="D256" s="669"/>
      <c r="E256" s="669"/>
      <c r="F256" s="669"/>
      <c r="G256" s="716"/>
      <c r="H256" s="669"/>
      <c r="I256" s="669"/>
      <c r="J256" s="669"/>
      <c r="K256" s="669"/>
      <c r="L256" s="669"/>
      <c r="M256" s="669"/>
      <c r="N256" s="669"/>
      <c r="O256" s="669"/>
      <c r="P256" s="669"/>
      <c r="Q256" s="669"/>
      <c r="R256" s="669"/>
      <c r="S256" s="669"/>
      <c r="T256" s="669"/>
      <c r="U256" s="669"/>
      <c r="V256" s="669"/>
      <c r="W256" s="669"/>
      <c r="X256" s="669"/>
      <c r="Y256" s="669"/>
      <c r="Z256" s="669"/>
      <c r="AA256" s="669"/>
    </row>
    <row r="257">
      <c r="A257" s="715"/>
      <c r="B257" s="669"/>
      <c r="C257" s="669"/>
      <c r="D257" s="669"/>
      <c r="E257" s="669"/>
      <c r="F257" s="669"/>
      <c r="G257" s="716"/>
      <c r="H257" s="669"/>
      <c r="I257" s="669"/>
      <c r="J257" s="669"/>
      <c r="K257" s="669"/>
      <c r="L257" s="669"/>
      <c r="M257" s="669"/>
      <c r="N257" s="669"/>
      <c r="O257" s="669"/>
      <c r="P257" s="669"/>
      <c r="Q257" s="669"/>
      <c r="R257" s="669"/>
      <c r="S257" s="669"/>
      <c r="T257" s="669"/>
      <c r="U257" s="669"/>
      <c r="V257" s="669"/>
      <c r="W257" s="669"/>
      <c r="X257" s="669"/>
      <c r="Y257" s="669"/>
      <c r="Z257" s="669"/>
      <c r="AA257" s="669"/>
    </row>
    <row r="258">
      <c r="A258" s="715"/>
      <c r="B258" s="669"/>
      <c r="C258" s="669"/>
      <c r="D258" s="669"/>
      <c r="E258" s="669"/>
      <c r="F258" s="669"/>
      <c r="G258" s="716"/>
      <c r="H258" s="669"/>
      <c r="I258" s="669"/>
      <c r="J258" s="669"/>
      <c r="K258" s="669"/>
      <c r="L258" s="669"/>
      <c r="M258" s="669"/>
      <c r="N258" s="669"/>
      <c r="O258" s="669"/>
      <c r="P258" s="669"/>
      <c r="Q258" s="669"/>
      <c r="R258" s="669"/>
      <c r="S258" s="669"/>
      <c r="T258" s="669"/>
      <c r="U258" s="669"/>
      <c r="V258" s="669"/>
      <c r="W258" s="669"/>
      <c r="X258" s="669"/>
      <c r="Y258" s="669"/>
      <c r="Z258" s="669"/>
      <c r="AA258" s="669"/>
    </row>
    <row r="259">
      <c r="A259" s="715"/>
      <c r="B259" s="669"/>
      <c r="C259" s="669"/>
      <c r="D259" s="669"/>
      <c r="E259" s="669"/>
      <c r="F259" s="669"/>
      <c r="G259" s="716"/>
      <c r="H259" s="669"/>
      <c r="I259" s="669"/>
      <c r="J259" s="669"/>
      <c r="K259" s="669"/>
      <c r="L259" s="669"/>
      <c r="M259" s="669"/>
      <c r="N259" s="669"/>
      <c r="O259" s="669"/>
      <c r="P259" s="669"/>
      <c r="Q259" s="669"/>
      <c r="R259" s="669"/>
      <c r="S259" s="669"/>
      <c r="T259" s="669"/>
      <c r="U259" s="669"/>
      <c r="V259" s="669"/>
      <c r="W259" s="669"/>
      <c r="X259" s="669"/>
      <c r="Y259" s="669"/>
      <c r="Z259" s="669"/>
      <c r="AA259" s="669"/>
    </row>
    <row r="260">
      <c r="A260" s="715"/>
      <c r="B260" s="669"/>
      <c r="C260" s="669"/>
      <c r="D260" s="669"/>
      <c r="E260" s="669"/>
      <c r="F260" s="669"/>
      <c r="G260" s="716"/>
      <c r="H260" s="669"/>
      <c r="I260" s="669"/>
      <c r="J260" s="669"/>
      <c r="K260" s="669"/>
      <c r="L260" s="669"/>
      <c r="M260" s="669"/>
      <c r="N260" s="669"/>
      <c r="O260" s="669"/>
      <c r="P260" s="669"/>
      <c r="Q260" s="669"/>
      <c r="R260" s="669"/>
      <c r="S260" s="669"/>
      <c r="T260" s="669"/>
      <c r="U260" s="669"/>
      <c r="V260" s="669"/>
      <c r="W260" s="669"/>
      <c r="X260" s="669"/>
      <c r="Y260" s="669"/>
      <c r="Z260" s="669"/>
      <c r="AA260" s="669"/>
    </row>
    <row r="261">
      <c r="A261" s="715"/>
      <c r="B261" s="669"/>
      <c r="C261" s="669"/>
      <c r="D261" s="669"/>
      <c r="E261" s="669"/>
      <c r="F261" s="669"/>
      <c r="G261" s="716"/>
      <c r="H261" s="669"/>
      <c r="I261" s="669"/>
      <c r="J261" s="669"/>
      <c r="K261" s="669"/>
      <c r="L261" s="669"/>
      <c r="M261" s="669"/>
      <c r="N261" s="669"/>
      <c r="O261" s="669"/>
      <c r="P261" s="669"/>
      <c r="Q261" s="669"/>
      <c r="R261" s="669"/>
      <c r="S261" s="669"/>
      <c r="T261" s="669"/>
      <c r="U261" s="669"/>
      <c r="V261" s="669"/>
      <c r="W261" s="669"/>
      <c r="X261" s="669"/>
      <c r="Y261" s="669"/>
      <c r="Z261" s="669"/>
      <c r="AA261" s="669"/>
    </row>
    <row r="262">
      <c r="A262" s="715"/>
      <c r="B262" s="669"/>
      <c r="C262" s="669"/>
      <c r="D262" s="669"/>
      <c r="E262" s="669"/>
      <c r="F262" s="669"/>
      <c r="G262" s="716"/>
      <c r="H262" s="669"/>
      <c r="I262" s="669"/>
      <c r="J262" s="669"/>
      <c r="K262" s="669"/>
      <c r="L262" s="669"/>
      <c r="M262" s="669"/>
      <c r="N262" s="669"/>
      <c r="O262" s="669"/>
      <c r="P262" s="669"/>
      <c r="Q262" s="669"/>
      <c r="R262" s="669"/>
      <c r="S262" s="669"/>
      <c r="T262" s="669"/>
      <c r="U262" s="669"/>
      <c r="V262" s="669"/>
      <c r="W262" s="669"/>
      <c r="X262" s="669"/>
      <c r="Y262" s="669"/>
      <c r="Z262" s="669"/>
      <c r="AA262" s="669"/>
    </row>
    <row r="263">
      <c r="A263" s="715"/>
      <c r="B263" s="669"/>
      <c r="C263" s="669"/>
      <c r="D263" s="669"/>
      <c r="E263" s="669"/>
      <c r="F263" s="669"/>
      <c r="G263" s="716"/>
      <c r="H263" s="669"/>
      <c r="I263" s="669"/>
      <c r="J263" s="669"/>
      <c r="K263" s="669"/>
      <c r="L263" s="669"/>
      <c r="M263" s="669"/>
      <c r="N263" s="669"/>
      <c r="O263" s="669"/>
      <c r="P263" s="669"/>
      <c r="Q263" s="669"/>
      <c r="R263" s="669"/>
      <c r="S263" s="669"/>
      <c r="T263" s="669"/>
      <c r="U263" s="669"/>
      <c r="V263" s="669"/>
      <c r="W263" s="669"/>
      <c r="X263" s="669"/>
      <c r="Y263" s="669"/>
      <c r="Z263" s="669"/>
      <c r="AA263" s="669"/>
    </row>
    <row r="264">
      <c r="A264" s="715"/>
      <c r="B264" s="669"/>
      <c r="C264" s="669"/>
      <c r="D264" s="669"/>
      <c r="E264" s="669"/>
      <c r="F264" s="669"/>
      <c r="G264" s="716"/>
      <c r="H264" s="669"/>
      <c r="I264" s="669"/>
      <c r="J264" s="669"/>
      <c r="K264" s="669"/>
      <c r="L264" s="669"/>
      <c r="M264" s="669"/>
      <c r="N264" s="669"/>
      <c r="O264" s="669"/>
      <c r="P264" s="669"/>
      <c r="Q264" s="669"/>
      <c r="R264" s="669"/>
      <c r="S264" s="669"/>
      <c r="T264" s="669"/>
      <c r="U264" s="669"/>
      <c r="V264" s="669"/>
      <c r="W264" s="669"/>
      <c r="X264" s="669"/>
      <c r="Y264" s="669"/>
      <c r="Z264" s="669"/>
      <c r="AA264" s="669"/>
    </row>
    <row r="265">
      <c r="A265" s="715"/>
      <c r="B265" s="669"/>
      <c r="C265" s="669"/>
      <c r="D265" s="669"/>
      <c r="E265" s="669"/>
      <c r="F265" s="669"/>
      <c r="G265" s="716"/>
      <c r="H265" s="669"/>
      <c r="I265" s="669"/>
      <c r="J265" s="669"/>
      <c r="K265" s="669"/>
      <c r="L265" s="669"/>
      <c r="M265" s="669"/>
      <c r="N265" s="669"/>
      <c r="O265" s="669"/>
      <c r="P265" s="669"/>
      <c r="Q265" s="669"/>
      <c r="R265" s="669"/>
      <c r="S265" s="669"/>
      <c r="T265" s="669"/>
      <c r="U265" s="669"/>
      <c r="V265" s="669"/>
      <c r="W265" s="669"/>
      <c r="X265" s="669"/>
      <c r="Y265" s="669"/>
      <c r="Z265" s="669"/>
      <c r="AA265" s="669"/>
    </row>
    <row r="266">
      <c r="A266" s="715"/>
      <c r="B266" s="669"/>
      <c r="C266" s="669"/>
      <c r="D266" s="669"/>
      <c r="E266" s="669"/>
      <c r="F266" s="669"/>
      <c r="G266" s="716"/>
      <c r="H266" s="669"/>
      <c r="I266" s="669"/>
      <c r="J266" s="669"/>
      <c r="K266" s="669"/>
      <c r="L266" s="669"/>
      <c r="M266" s="669"/>
      <c r="N266" s="669"/>
      <c r="O266" s="669"/>
      <c r="P266" s="669"/>
      <c r="Q266" s="669"/>
      <c r="R266" s="669"/>
      <c r="S266" s="669"/>
      <c r="T266" s="669"/>
      <c r="U266" s="669"/>
      <c r="V266" s="669"/>
      <c r="W266" s="669"/>
      <c r="X266" s="669"/>
      <c r="Y266" s="669"/>
      <c r="Z266" s="669"/>
      <c r="AA266" s="669"/>
    </row>
    <row r="267">
      <c r="A267" s="715"/>
      <c r="B267" s="669"/>
      <c r="C267" s="669"/>
      <c r="D267" s="669"/>
      <c r="E267" s="669"/>
      <c r="F267" s="669"/>
      <c r="G267" s="716"/>
      <c r="H267" s="669"/>
      <c r="I267" s="669"/>
      <c r="J267" s="669"/>
      <c r="K267" s="669"/>
      <c r="L267" s="669"/>
      <c r="M267" s="669"/>
      <c r="N267" s="669"/>
      <c r="O267" s="669"/>
      <c r="P267" s="669"/>
      <c r="Q267" s="669"/>
      <c r="R267" s="669"/>
      <c r="S267" s="669"/>
      <c r="T267" s="669"/>
      <c r="U267" s="669"/>
      <c r="V267" s="669"/>
      <c r="W267" s="669"/>
      <c r="X267" s="669"/>
      <c r="Y267" s="669"/>
      <c r="Z267" s="669"/>
      <c r="AA267" s="669"/>
    </row>
    <row r="268">
      <c r="A268" s="715"/>
      <c r="B268" s="669"/>
      <c r="C268" s="669"/>
      <c r="D268" s="669"/>
      <c r="E268" s="669"/>
      <c r="F268" s="669"/>
      <c r="G268" s="716"/>
      <c r="H268" s="669"/>
      <c r="I268" s="669"/>
      <c r="J268" s="669"/>
      <c r="K268" s="669"/>
      <c r="L268" s="669"/>
      <c r="M268" s="669"/>
      <c r="N268" s="669"/>
      <c r="O268" s="669"/>
      <c r="P268" s="669"/>
      <c r="Q268" s="669"/>
      <c r="R268" s="669"/>
      <c r="S268" s="669"/>
      <c r="T268" s="669"/>
      <c r="U268" s="669"/>
      <c r="V268" s="669"/>
      <c r="W268" s="669"/>
      <c r="X268" s="669"/>
      <c r="Y268" s="669"/>
      <c r="Z268" s="669"/>
      <c r="AA268" s="669"/>
    </row>
    <row r="269">
      <c r="A269" s="715"/>
      <c r="B269" s="669"/>
      <c r="C269" s="669"/>
      <c r="D269" s="669"/>
      <c r="E269" s="669"/>
      <c r="F269" s="669"/>
      <c r="G269" s="716"/>
      <c r="H269" s="669"/>
      <c r="I269" s="669"/>
      <c r="J269" s="669"/>
      <c r="K269" s="669"/>
      <c r="L269" s="669"/>
      <c r="M269" s="669"/>
      <c r="N269" s="669"/>
      <c r="O269" s="669"/>
      <c r="P269" s="669"/>
      <c r="Q269" s="669"/>
      <c r="R269" s="669"/>
      <c r="S269" s="669"/>
      <c r="T269" s="669"/>
      <c r="U269" s="669"/>
      <c r="V269" s="669"/>
      <c r="W269" s="669"/>
      <c r="X269" s="669"/>
      <c r="Y269" s="669"/>
      <c r="Z269" s="669"/>
      <c r="AA269" s="669"/>
    </row>
    <row r="270">
      <c r="A270" s="715"/>
      <c r="B270" s="669"/>
      <c r="C270" s="669"/>
      <c r="D270" s="669"/>
      <c r="E270" s="669"/>
      <c r="F270" s="669"/>
      <c r="G270" s="716"/>
      <c r="H270" s="669"/>
      <c r="I270" s="669"/>
      <c r="J270" s="669"/>
      <c r="K270" s="669"/>
      <c r="L270" s="669"/>
      <c r="M270" s="669"/>
      <c r="N270" s="669"/>
      <c r="O270" s="669"/>
      <c r="P270" s="669"/>
      <c r="Q270" s="669"/>
      <c r="R270" s="669"/>
      <c r="S270" s="669"/>
      <c r="T270" s="669"/>
      <c r="U270" s="669"/>
      <c r="V270" s="669"/>
      <c r="W270" s="669"/>
      <c r="X270" s="669"/>
      <c r="Y270" s="669"/>
      <c r="Z270" s="669"/>
      <c r="AA270" s="669"/>
    </row>
    <row r="271">
      <c r="A271" s="715"/>
      <c r="B271" s="669"/>
      <c r="C271" s="669"/>
      <c r="D271" s="669"/>
      <c r="E271" s="669"/>
      <c r="F271" s="669"/>
      <c r="G271" s="716"/>
      <c r="H271" s="669"/>
      <c r="I271" s="669"/>
      <c r="J271" s="669"/>
      <c r="K271" s="669"/>
      <c r="L271" s="669"/>
      <c r="M271" s="669"/>
      <c r="N271" s="669"/>
      <c r="O271" s="669"/>
      <c r="P271" s="669"/>
      <c r="Q271" s="669"/>
      <c r="R271" s="669"/>
      <c r="S271" s="669"/>
      <c r="T271" s="669"/>
      <c r="U271" s="669"/>
      <c r="V271" s="669"/>
      <c r="W271" s="669"/>
      <c r="X271" s="669"/>
      <c r="Y271" s="669"/>
      <c r="Z271" s="669"/>
      <c r="AA271" s="669"/>
    </row>
    <row r="272">
      <c r="A272" s="715"/>
      <c r="B272" s="669"/>
      <c r="C272" s="669"/>
      <c r="D272" s="669"/>
      <c r="E272" s="669"/>
      <c r="F272" s="669"/>
      <c r="G272" s="716"/>
      <c r="H272" s="669"/>
      <c r="I272" s="669"/>
      <c r="J272" s="669"/>
      <c r="K272" s="669"/>
      <c r="L272" s="669"/>
      <c r="M272" s="669"/>
      <c r="N272" s="669"/>
      <c r="O272" s="669"/>
      <c r="P272" s="669"/>
      <c r="Q272" s="669"/>
      <c r="R272" s="669"/>
      <c r="S272" s="669"/>
      <c r="T272" s="669"/>
      <c r="U272" s="669"/>
      <c r="V272" s="669"/>
      <c r="W272" s="669"/>
      <c r="X272" s="669"/>
      <c r="Y272" s="669"/>
      <c r="Z272" s="669"/>
      <c r="AA272" s="669"/>
    </row>
    <row r="273">
      <c r="A273" s="715"/>
      <c r="B273" s="669"/>
      <c r="C273" s="669"/>
      <c r="D273" s="669"/>
      <c r="E273" s="669"/>
      <c r="F273" s="669"/>
      <c r="G273" s="716"/>
      <c r="H273" s="669"/>
      <c r="I273" s="669"/>
      <c r="J273" s="669"/>
      <c r="K273" s="669"/>
      <c r="L273" s="669"/>
      <c r="M273" s="669"/>
      <c r="N273" s="669"/>
      <c r="O273" s="669"/>
      <c r="P273" s="669"/>
      <c r="Q273" s="669"/>
      <c r="R273" s="669"/>
      <c r="S273" s="669"/>
      <c r="T273" s="669"/>
      <c r="U273" s="669"/>
      <c r="V273" s="669"/>
      <c r="W273" s="669"/>
      <c r="X273" s="669"/>
      <c r="Y273" s="669"/>
      <c r="Z273" s="669"/>
      <c r="AA273" s="669"/>
    </row>
    <row r="274">
      <c r="A274" s="715"/>
      <c r="B274" s="669"/>
      <c r="C274" s="669"/>
      <c r="D274" s="669"/>
      <c r="E274" s="669"/>
      <c r="F274" s="669"/>
      <c r="G274" s="716"/>
      <c r="H274" s="669"/>
      <c r="I274" s="669"/>
      <c r="J274" s="669"/>
      <c r="K274" s="669"/>
      <c r="L274" s="669"/>
      <c r="M274" s="669"/>
      <c r="N274" s="669"/>
      <c r="O274" s="669"/>
      <c r="P274" s="669"/>
      <c r="Q274" s="669"/>
      <c r="R274" s="669"/>
      <c r="S274" s="669"/>
      <c r="T274" s="669"/>
      <c r="U274" s="669"/>
      <c r="V274" s="669"/>
      <c r="W274" s="669"/>
      <c r="X274" s="669"/>
      <c r="Y274" s="669"/>
      <c r="Z274" s="669"/>
      <c r="AA274" s="669"/>
    </row>
    <row r="275">
      <c r="A275" s="715"/>
      <c r="B275" s="669"/>
      <c r="C275" s="669"/>
      <c r="D275" s="669"/>
      <c r="E275" s="669"/>
      <c r="F275" s="669"/>
      <c r="G275" s="716"/>
      <c r="H275" s="669"/>
      <c r="I275" s="669"/>
      <c r="J275" s="669"/>
      <c r="K275" s="669"/>
      <c r="L275" s="669"/>
      <c r="M275" s="669"/>
      <c r="N275" s="669"/>
      <c r="O275" s="669"/>
      <c r="P275" s="669"/>
      <c r="Q275" s="669"/>
      <c r="R275" s="669"/>
      <c r="S275" s="669"/>
      <c r="T275" s="669"/>
      <c r="U275" s="669"/>
      <c r="V275" s="669"/>
      <c r="W275" s="669"/>
      <c r="X275" s="669"/>
      <c r="Y275" s="669"/>
      <c r="Z275" s="669"/>
      <c r="AA275" s="669"/>
    </row>
    <row r="276">
      <c r="A276" s="715"/>
      <c r="B276" s="669"/>
      <c r="C276" s="669"/>
      <c r="D276" s="669"/>
      <c r="E276" s="669"/>
      <c r="F276" s="669"/>
      <c r="G276" s="716"/>
      <c r="H276" s="669"/>
      <c r="I276" s="669"/>
      <c r="J276" s="669"/>
      <c r="K276" s="669"/>
      <c r="L276" s="669"/>
      <c r="M276" s="669"/>
      <c r="N276" s="669"/>
      <c r="O276" s="669"/>
      <c r="P276" s="669"/>
      <c r="Q276" s="669"/>
      <c r="R276" s="669"/>
      <c r="S276" s="669"/>
      <c r="T276" s="669"/>
      <c r="U276" s="669"/>
      <c r="V276" s="669"/>
      <c r="W276" s="669"/>
      <c r="X276" s="669"/>
      <c r="Y276" s="669"/>
      <c r="Z276" s="669"/>
      <c r="AA276" s="669"/>
    </row>
    <row r="277">
      <c r="A277" s="715"/>
      <c r="B277" s="669"/>
      <c r="C277" s="669"/>
      <c r="D277" s="669"/>
      <c r="E277" s="669"/>
      <c r="F277" s="669"/>
      <c r="G277" s="716"/>
      <c r="H277" s="669"/>
      <c r="I277" s="669"/>
      <c r="J277" s="669"/>
      <c r="K277" s="669"/>
      <c r="L277" s="669"/>
      <c r="M277" s="669"/>
      <c r="N277" s="669"/>
      <c r="O277" s="669"/>
      <c r="P277" s="669"/>
      <c r="Q277" s="669"/>
      <c r="R277" s="669"/>
      <c r="S277" s="669"/>
      <c r="T277" s="669"/>
      <c r="U277" s="669"/>
      <c r="V277" s="669"/>
      <c r="W277" s="669"/>
      <c r="X277" s="669"/>
      <c r="Y277" s="669"/>
      <c r="Z277" s="669"/>
      <c r="AA277" s="669"/>
    </row>
    <row r="278">
      <c r="A278" s="715"/>
      <c r="B278" s="669"/>
      <c r="C278" s="669"/>
      <c r="D278" s="669"/>
      <c r="E278" s="669"/>
      <c r="F278" s="669"/>
      <c r="G278" s="716"/>
      <c r="H278" s="669"/>
      <c r="I278" s="669"/>
      <c r="J278" s="669"/>
      <c r="K278" s="669"/>
      <c r="L278" s="669"/>
      <c r="M278" s="669"/>
      <c r="N278" s="669"/>
      <c r="O278" s="669"/>
      <c r="P278" s="669"/>
      <c r="Q278" s="669"/>
      <c r="R278" s="669"/>
      <c r="S278" s="669"/>
      <c r="T278" s="669"/>
      <c r="U278" s="669"/>
      <c r="V278" s="669"/>
      <c r="W278" s="669"/>
      <c r="X278" s="669"/>
      <c r="Y278" s="669"/>
      <c r="Z278" s="669"/>
      <c r="AA278" s="669"/>
    </row>
    <row r="279">
      <c r="A279" s="715"/>
      <c r="B279" s="669"/>
      <c r="C279" s="669"/>
      <c r="D279" s="669"/>
      <c r="E279" s="669"/>
      <c r="F279" s="669"/>
      <c r="G279" s="716"/>
      <c r="H279" s="669"/>
      <c r="I279" s="669"/>
      <c r="J279" s="669"/>
      <c r="K279" s="669"/>
      <c r="L279" s="669"/>
      <c r="M279" s="669"/>
      <c r="N279" s="669"/>
      <c r="O279" s="669"/>
      <c r="P279" s="669"/>
      <c r="Q279" s="669"/>
      <c r="R279" s="669"/>
      <c r="S279" s="669"/>
      <c r="T279" s="669"/>
      <c r="U279" s="669"/>
      <c r="V279" s="669"/>
      <c r="W279" s="669"/>
      <c r="X279" s="669"/>
      <c r="Y279" s="669"/>
      <c r="Z279" s="669"/>
      <c r="AA279" s="669"/>
    </row>
    <row r="280">
      <c r="A280" s="715"/>
      <c r="B280" s="669"/>
      <c r="C280" s="669"/>
      <c r="D280" s="669"/>
      <c r="E280" s="669"/>
      <c r="F280" s="669"/>
      <c r="G280" s="716"/>
      <c r="H280" s="669"/>
      <c r="I280" s="669"/>
      <c r="J280" s="669"/>
      <c r="K280" s="669"/>
      <c r="L280" s="669"/>
      <c r="M280" s="669"/>
      <c r="N280" s="669"/>
      <c r="O280" s="669"/>
      <c r="P280" s="669"/>
      <c r="Q280" s="669"/>
      <c r="R280" s="669"/>
      <c r="S280" s="669"/>
      <c r="T280" s="669"/>
      <c r="U280" s="669"/>
      <c r="V280" s="669"/>
      <c r="W280" s="669"/>
      <c r="X280" s="669"/>
      <c r="Y280" s="669"/>
      <c r="Z280" s="669"/>
      <c r="AA280" s="669"/>
    </row>
    <row r="281">
      <c r="A281" s="715"/>
      <c r="B281" s="669"/>
      <c r="C281" s="669"/>
      <c r="D281" s="669"/>
      <c r="E281" s="669"/>
      <c r="F281" s="669"/>
      <c r="G281" s="716"/>
      <c r="H281" s="669"/>
      <c r="I281" s="669"/>
      <c r="J281" s="669"/>
      <c r="K281" s="669"/>
      <c r="L281" s="669"/>
      <c r="M281" s="669"/>
      <c r="N281" s="669"/>
      <c r="O281" s="669"/>
      <c r="P281" s="669"/>
      <c r="Q281" s="669"/>
      <c r="R281" s="669"/>
      <c r="S281" s="669"/>
      <c r="T281" s="669"/>
      <c r="U281" s="669"/>
      <c r="V281" s="669"/>
      <c r="W281" s="669"/>
      <c r="X281" s="669"/>
      <c r="Y281" s="669"/>
      <c r="Z281" s="669"/>
      <c r="AA281" s="669"/>
    </row>
    <row r="282">
      <c r="A282" s="715"/>
      <c r="B282" s="669"/>
      <c r="C282" s="669"/>
      <c r="D282" s="669"/>
      <c r="E282" s="669"/>
      <c r="F282" s="669"/>
      <c r="G282" s="716"/>
      <c r="H282" s="669"/>
      <c r="I282" s="669"/>
      <c r="J282" s="669"/>
      <c r="K282" s="669"/>
      <c r="L282" s="669"/>
      <c r="M282" s="669"/>
      <c r="N282" s="669"/>
      <c r="O282" s="669"/>
      <c r="P282" s="669"/>
      <c r="Q282" s="669"/>
      <c r="R282" s="669"/>
      <c r="S282" s="669"/>
      <c r="T282" s="669"/>
      <c r="U282" s="669"/>
      <c r="V282" s="669"/>
      <c r="W282" s="669"/>
      <c r="X282" s="669"/>
      <c r="Y282" s="669"/>
      <c r="Z282" s="669"/>
      <c r="AA282" s="669"/>
    </row>
    <row r="283">
      <c r="A283" s="715"/>
      <c r="B283" s="669"/>
      <c r="C283" s="669"/>
      <c r="D283" s="669"/>
      <c r="E283" s="669"/>
      <c r="F283" s="669"/>
      <c r="G283" s="716"/>
      <c r="H283" s="669"/>
      <c r="I283" s="669"/>
      <c r="J283" s="669"/>
      <c r="K283" s="669"/>
      <c r="L283" s="669"/>
      <c r="M283" s="669"/>
      <c r="N283" s="669"/>
      <c r="O283" s="669"/>
      <c r="P283" s="669"/>
      <c r="Q283" s="669"/>
      <c r="R283" s="669"/>
      <c r="S283" s="669"/>
      <c r="T283" s="669"/>
      <c r="U283" s="669"/>
      <c r="V283" s="669"/>
      <c r="W283" s="669"/>
      <c r="X283" s="669"/>
      <c r="Y283" s="669"/>
      <c r="Z283" s="669"/>
      <c r="AA283" s="669"/>
    </row>
    <row r="284">
      <c r="A284" s="715"/>
      <c r="B284" s="669"/>
      <c r="C284" s="669"/>
      <c r="D284" s="669"/>
      <c r="E284" s="669"/>
      <c r="F284" s="669"/>
      <c r="G284" s="716"/>
      <c r="H284" s="669"/>
      <c r="I284" s="669"/>
      <c r="J284" s="669"/>
      <c r="K284" s="669"/>
      <c r="L284" s="669"/>
      <c r="M284" s="669"/>
      <c r="N284" s="669"/>
      <c r="O284" s="669"/>
      <c r="P284" s="669"/>
      <c r="Q284" s="669"/>
      <c r="R284" s="669"/>
      <c r="S284" s="669"/>
      <c r="T284" s="669"/>
      <c r="U284" s="669"/>
      <c r="V284" s="669"/>
      <c r="W284" s="669"/>
      <c r="X284" s="669"/>
      <c r="Y284" s="669"/>
      <c r="Z284" s="669"/>
      <c r="AA284" s="669"/>
    </row>
    <row r="285">
      <c r="A285" s="715"/>
      <c r="B285" s="669"/>
      <c r="C285" s="669"/>
      <c r="D285" s="669"/>
      <c r="E285" s="669"/>
      <c r="F285" s="669"/>
      <c r="G285" s="716"/>
      <c r="H285" s="669"/>
      <c r="I285" s="669"/>
      <c r="J285" s="669"/>
      <c r="K285" s="669"/>
      <c r="L285" s="669"/>
      <c r="M285" s="669"/>
      <c r="N285" s="669"/>
      <c r="O285" s="669"/>
      <c r="P285" s="669"/>
      <c r="Q285" s="669"/>
      <c r="R285" s="669"/>
      <c r="S285" s="669"/>
      <c r="T285" s="669"/>
      <c r="U285" s="669"/>
      <c r="V285" s="669"/>
      <c r="W285" s="669"/>
      <c r="X285" s="669"/>
      <c r="Y285" s="669"/>
      <c r="Z285" s="669"/>
      <c r="AA285" s="669"/>
    </row>
    <row r="286">
      <c r="A286" s="715"/>
      <c r="B286" s="669"/>
      <c r="C286" s="669"/>
      <c r="D286" s="669"/>
      <c r="E286" s="669"/>
      <c r="F286" s="669"/>
      <c r="G286" s="716"/>
      <c r="H286" s="669"/>
      <c r="I286" s="669"/>
      <c r="J286" s="669"/>
      <c r="K286" s="669"/>
      <c r="L286" s="669"/>
      <c r="M286" s="669"/>
      <c r="N286" s="669"/>
      <c r="O286" s="669"/>
      <c r="P286" s="669"/>
      <c r="Q286" s="669"/>
      <c r="R286" s="669"/>
      <c r="S286" s="669"/>
      <c r="T286" s="669"/>
      <c r="U286" s="669"/>
      <c r="V286" s="669"/>
      <c r="W286" s="669"/>
      <c r="X286" s="669"/>
      <c r="Y286" s="669"/>
      <c r="Z286" s="669"/>
      <c r="AA286" s="669"/>
    </row>
    <row r="287">
      <c r="A287" s="715"/>
      <c r="B287" s="669"/>
      <c r="C287" s="669"/>
      <c r="D287" s="669"/>
      <c r="E287" s="669"/>
      <c r="F287" s="669"/>
      <c r="G287" s="716"/>
      <c r="H287" s="669"/>
      <c r="I287" s="669"/>
      <c r="J287" s="669"/>
      <c r="K287" s="669"/>
      <c r="L287" s="669"/>
      <c r="M287" s="669"/>
      <c r="N287" s="669"/>
      <c r="O287" s="669"/>
      <c r="P287" s="669"/>
      <c r="Q287" s="669"/>
      <c r="R287" s="669"/>
      <c r="S287" s="669"/>
      <c r="T287" s="669"/>
      <c r="U287" s="669"/>
      <c r="V287" s="669"/>
      <c r="W287" s="669"/>
      <c r="X287" s="669"/>
      <c r="Y287" s="669"/>
      <c r="Z287" s="669"/>
      <c r="AA287" s="669"/>
    </row>
    <row r="288">
      <c r="A288" s="715"/>
      <c r="B288" s="669"/>
      <c r="C288" s="669"/>
      <c r="D288" s="669"/>
      <c r="E288" s="669"/>
      <c r="F288" s="669"/>
      <c r="G288" s="716"/>
      <c r="H288" s="669"/>
      <c r="I288" s="669"/>
      <c r="J288" s="669"/>
      <c r="K288" s="669"/>
      <c r="L288" s="669"/>
      <c r="M288" s="669"/>
      <c r="N288" s="669"/>
      <c r="O288" s="669"/>
      <c r="P288" s="669"/>
      <c r="Q288" s="669"/>
      <c r="R288" s="669"/>
      <c r="S288" s="669"/>
      <c r="T288" s="669"/>
      <c r="U288" s="669"/>
      <c r="V288" s="669"/>
      <c r="W288" s="669"/>
      <c r="X288" s="669"/>
      <c r="Y288" s="669"/>
      <c r="Z288" s="669"/>
      <c r="AA288" s="669"/>
    </row>
    <row r="289">
      <c r="A289" s="715"/>
      <c r="B289" s="669"/>
      <c r="C289" s="669"/>
      <c r="D289" s="669"/>
      <c r="E289" s="669"/>
      <c r="F289" s="669"/>
      <c r="G289" s="716"/>
      <c r="H289" s="669"/>
      <c r="I289" s="669"/>
      <c r="J289" s="669"/>
      <c r="K289" s="669"/>
      <c r="L289" s="669"/>
      <c r="M289" s="669"/>
      <c r="N289" s="669"/>
      <c r="O289" s="669"/>
      <c r="P289" s="669"/>
      <c r="Q289" s="669"/>
      <c r="R289" s="669"/>
      <c r="S289" s="669"/>
      <c r="T289" s="669"/>
      <c r="U289" s="669"/>
      <c r="V289" s="669"/>
      <c r="W289" s="669"/>
      <c r="X289" s="669"/>
      <c r="Y289" s="669"/>
      <c r="Z289" s="669"/>
      <c r="AA289" s="669"/>
    </row>
    <row r="290">
      <c r="A290" s="715"/>
      <c r="B290" s="669"/>
      <c r="C290" s="669"/>
      <c r="D290" s="669"/>
      <c r="E290" s="669"/>
      <c r="F290" s="669"/>
      <c r="G290" s="716"/>
      <c r="H290" s="669"/>
      <c r="I290" s="669"/>
      <c r="J290" s="669"/>
      <c r="K290" s="669"/>
      <c r="L290" s="669"/>
      <c r="M290" s="669"/>
      <c r="N290" s="669"/>
      <c r="O290" s="669"/>
      <c r="P290" s="669"/>
      <c r="Q290" s="669"/>
      <c r="R290" s="669"/>
      <c r="S290" s="669"/>
      <c r="T290" s="669"/>
      <c r="U290" s="669"/>
      <c r="V290" s="669"/>
      <c r="W290" s="669"/>
      <c r="X290" s="669"/>
      <c r="Y290" s="669"/>
      <c r="Z290" s="669"/>
      <c r="AA290" s="669"/>
    </row>
    <row r="291">
      <c r="A291" s="715"/>
      <c r="B291" s="669"/>
      <c r="C291" s="669"/>
      <c r="D291" s="669"/>
      <c r="E291" s="669"/>
      <c r="F291" s="669"/>
      <c r="G291" s="716"/>
      <c r="H291" s="669"/>
      <c r="I291" s="669"/>
      <c r="J291" s="669"/>
      <c r="K291" s="669"/>
      <c r="L291" s="669"/>
      <c r="M291" s="669"/>
      <c r="N291" s="669"/>
      <c r="O291" s="669"/>
      <c r="P291" s="669"/>
      <c r="Q291" s="669"/>
      <c r="R291" s="669"/>
      <c r="S291" s="669"/>
      <c r="T291" s="669"/>
      <c r="U291" s="669"/>
      <c r="V291" s="669"/>
      <c r="W291" s="669"/>
      <c r="X291" s="669"/>
      <c r="Y291" s="669"/>
      <c r="Z291" s="669"/>
      <c r="AA291" s="669"/>
    </row>
    <row r="292">
      <c r="A292" s="715"/>
      <c r="B292" s="669"/>
      <c r="C292" s="669"/>
      <c r="D292" s="669"/>
      <c r="E292" s="669"/>
      <c r="F292" s="669"/>
      <c r="G292" s="716"/>
      <c r="H292" s="669"/>
      <c r="I292" s="669"/>
      <c r="J292" s="669"/>
      <c r="K292" s="669"/>
      <c r="L292" s="669"/>
      <c r="M292" s="669"/>
      <c r="N292" s="669"/>
      <c r="O292" s="669"/>
      <c r="P292" s="669"/>
      <c r="Q292" s="669"/>
      <c r="R292" s="669"/>
      <c r="S292" s="669"/>
      <c r="T292" s="669"/>
      <c r="U292" s="669"/>
      <c r="V292" s="669"/>
      <c r="W292" s="669"/>
      <c r="X292" s="669"/>
      <c r="Y292" s="669"/>
      <c r="Z292" s="669"/>
      <c r="AA292" s="669"/>
    </row>
    <row r="293">
      <c r="A293" s="715"/>
      <c r="B293" s="669"/>
      <c r="C293" s="669"/>
      <c r="D293" s="669"/>
      <c r="E293" s="669"/>
      <c r="F293" s="669"/>
      <c r="G293" s="716"/>
      <c r="H293" s="669"/>
      <c r="I293" s="669"/>
      <c r="J293" s="669"/>
      <c r="K293" s="669"/>
      <c r="L293" s="669"/>
      <c r="M293" s="669"/>
      <c r="N293" s="669"/>
      <c r="O293" s="669"/>
      <c r="P293" s="669"/>
      <c r="Q293" s="669"/>
      <c r="R293" s="669"/>
      <c r="S293" s="669"/>
      <c r="T293" s="669"/>
      <c r="U293" s="669"/>
      <c r="V293" s="669"/>
      <c r="W293" s="669"/>
      <c r="X293" s="669"/>
      <c r="Y293" s="669"/>
      <c r="Z293" s="669"/>
      <c r="AA293" s="669"/>
    </row>
    <row r="294">
      <c r="A294" s="715"/>
      <c r="B294" s="669"/>
      <c r="C294" s="669"/>
      <c r="D294" s="669"/>
      <c r="E294" s="669"/>
      <c r="F294" s="669"/>
      <c r="G294" s="716"/>
      <c r="H294" s="669"/>
      <c r="I294" s="669"/>
      <c r="J294" s="669"/>
      <c r="K294" s="669"/>
      <c r="L294" s="669"/>
      <c r="M294" s="669"/>
      <c r="N294" s="669"/>
      <c r="O294" s="669"/>
      <c r="P294" s="669"/>
      <c r="Q294" s="669"/>
      <c r="R294" s="669"/>
      <c r="S294" s="669"/>
      <c r="T294" s="669"/>
      <c r="U294" s="669"/>
      <c r="V294" s="669"/>
      <c r="W294" s="669"/>
      <c r="X294" s="669"/>
      <c r="Y294" s="669"/>
      <c r="Z294" s="669"/>
      <c r="AA294" s="669"/>
    </row>
    <row r="295">
      <c r="A295" s="715"/>
      <c r="B295" s="669"/>
      <c r="C295" s="669"/>
      <c r="D295" s="669"/>
      <c r="E295" s="669"/>
      <c r="F295" s="669"/>
      <c r="G295" s="716"/>
      <c r="H295" s="669"/>
      <c r="I295" s="669"/>
      <c r="J295" s="669"/>
      <c r="K295" s="669"/>
      <c r="L295" s="669"/>
      <c r="M295" s="669"/>
      <c r="N295" s="669"/>
      <c r="O295" s="669"/>
      <c r="P295" s="669"/>
      <c r="Q295" s="669"/>
      <c r="R295" s="669"/>
      <c r="S295" s="669"/>
      <c r="T295" s="669"/>
      <c r="U295" s="669"/>
      <c r="V295" s="669"/>
      <c r="W295" s="669"/>
      <c r="X295" s="669"/>
      <c r="Y295" s="669"/>
      <c r="Z295" s="669"/>
      <c r="AA295" s="669"/>
    </row>
    <row r="296">
      <c r="A296" s="715"/>
      <c r="B296" s="669"/>
      <c r="C296" s="669"/>
      <c r="D296" s="669"/>
      <c r="E296" s="669"/>
      <c r="F296" s="669"/>
      <c r="G296" s="716"/>
      <c r="H296" s="669"/>
      <c r="I296" s="669"/>
      <c r="J296" s="669"/>
      <c r="K296" s="669"/>
      <c r="L296" s="669"/>
      <c r="M296" s="669"/>
      <c r="N296" s="669"/>
      <c r="O296" s="669"/>
      <c r="P296" s="669"/>
      <c r="Q296" s="669"/>
      <c r="R296" s="669"/>
      <c r="S296" s="669"/>
      <c r="T296" s="669"/>
      <c r="U296" s="669"/>
      <c r="V296" s="669"/>
      <c r="W296" s="669"/>
      <c r="X296" s="669"/>
      <c r="Y296" s="669"/>
      <c r="Z296" s="669"/>
      <c r="AA296" s="669"/>
    </row>
    <row r="297">
      <c r="A297" s="715"/>
      <c r="B297" s="669"/>
      <c r="C297" s="669"/>
      <c r="D297" s="669"/>
      <c r="E297" s="669"/>
      <c r="F297" s="669"/>
      <c r="G297" s="716"/>
      <c r="H297" s="669"/>
      <c r="I297" s="669"/>
      <c r="J297" s="669"/>
      <c r="K297" s="669"/>
      <c r="L297" s="669"/>
      <c r="M297" s="669"/>
      <c r="N297" s="669"/>
      <c r="O297" s="669"/>
      <c r="P297" s="669"/>
      <c r="Q297" s="669"/>
      <c r="R297" s="669"/>
      <c r="S297" s="669"/>
      <c r="T297" s="669"/>
      <c r="U297" s="669"/>
      <c r="V297" s="669"/>
      <c r="W297" s="669"/>
      <c r="X297" s="669"/>
      <c r="Y297" s="669"/>
      <c r="Z297" s="669"/>
      <c r="AA297" s="669"/>
    </row>
    <row r="298">
      <c r="A298" s="715"/>
      <c r="B298" s="669"/>
      <c r="C298" s="669"/>
      <c r="D298" s="669"/>
      <c r="E298" s="669"/>
      <c r="F298" s="669"/>
      <c r="G298" s="716"/>
      <c r="H298" s="669"/>
      <c r="I298" s="669"/>
      <c r="J298" s="669"/>
      <c r="K298" s="669"/>
      <c r="L298" s="669"/>
      <c r="M298" s="669"/>
      <c r="N298" s="669"/>
      <c r="O298" s="669"/>
      <c r="P298" s="669"/>
      <c r="Q298" s="669"/>
      <c r="R298" s="669"/>
      <c r="S298" s="669"/>
      <c r="T298" s="669"/>
      <c r="U298" s="669"/>
      <c r="V298" s="669"/>
      <c r="W298" s="669"/>
      <c r="X298" s="669"/>
      <c r="Y298" s="669"/>
      <c r="Z298" s="669"/>
      <c r="AA298" s="669"/>
    </row>
    <row r="299">
      <c r="A299" s="715"/>
      <c r="B299" s="669"/>
      <c r="C299" s="669"/>
      <c r="D299" s="669"/>
      <c r="E299" s="669"/>
      <c r="F299" s="669"/>
      <c r="G299" s="716"/>
      <c r="H299" s="669"/>
      <c r="I299" s="669"/>
      <c r="J299" s="669"/>
      <c r="K299" s="669"/>
      <c r="L299" s="669"/>
      <c r="M299" s="669"/>
      <c r="N299" s="669"/>
      <c r="O299" s="669"/>
      <c r="P299" s="669"/>
      <c r="Q299" s="669"/>
      <c r="R299" s="669"/>
      <c r="S299" s="669"/>
      <c r="T299" s="669"/>
      <c r="U299" s="669"/>
      <c r="V299" s="669"/>
      <c r="W299" s="669"/>
      <c r="X299" s="669"/>
      <c r="Y299" s="669"/>
      <c r="Z299" s="669"/>
      <c r="AA299" s="669"/>
    </row>
    <row r="300">
      <c r="A300" s="715"/>
      <c r="B300" s="669"/>
      <c r="C300" s="669"/>
      <c r="D300" s="669"/>
      <c r="E300" s="669"/>
      <c r="F300" s="669"/>
      <c r="G300" s="716"/>
      <c r="H300" s="669"/>
      <c r="I300" s="669"/>
      <c r="J300" s="669"/>
      <c r="K300" s="669"/>
      <c r="L300" s="669"/>
      <c r="M300" s="669"/>
      <c r="N300" s="669"/>
      <c r="O300" s="669"/>
      <c r="P300" s="669"/>
      <c r="Q300" s="669"/>
      <c r="R300" s="669"/>
      <c r="S300" s="669"/>
      <c r="T300" s="669"/>
      <c r="U300" s="669"/>
      <c r="V300" s="669"/>
      <c r="W300" s="669"/>
      <c r="X300" s="669"/>
      <c r="Y300" s="669"/>
      <c r="Z300" s="669"/>
      <c r="AA300" s="669"/>
    </row>
    <row r="301">
      <c r="A301" s="715"/>
      <c r="B301" s="669"/>
      <c r="C301" s="669"/>
      <c r="D301" s="669"/>
      <c r="E301" s="669"/>
      <c r="F301" s="669"/>
      <c r="G301" s="716"/>
      <c r="H301" s="669"/>
      <c r="I301" s="669"/>
      <c r="J301" s="669"/>
      <c r="K301" s="669"/>
      <c r="L301" s="669"/>
      <c r="M301" s="669"/>
      <c r="N301" s="669"/>
      <c r="O301" s="669"/>
      <c r="P301" s="669"/>
      <c r="Q301" s="669"/>
      <c r="R301" s="669"/>
      <c r="S301" s="669"/>
      <c r="T301" s="669"/>
      <c r="U301" s="669"/>
      <c r="V301" s="669"/>
      <c r="W301" s="669"/>
      <c r="X301" s="669"/>
      <c r="Y301" s="669"/>
      <c r="Z301" s="669"/>
      <c r="AA301" s="669"/>
    </row>
    <row r="302">
      <c r="A302" s="715"/>
      <c r="B302" s="669"/>
      <c r="C302" s="669"/>
      <c r="D302" s="669"/>
      <c r="E302" s="669"/>
      <c r="F302" s="669"/>
      <c r="G302" s="716"/>
      <c r="H302" s="669"/>
      <c r="I302" s="669"/>
      <c r="J302" s="669"/>
      <c r="K302" s="669"/>
      <c r="L302" s="669"/>
      <c r="M302" s="669"/>
      <c r="N302" s="669"/>
      <c r="O302" s="669"/>
      <c r="P302" s="669"/>
      <c r="Q302" s="669"/>
      <c r="R302" s="669"/>
      <c r="S302" s="669"/>
      <c r="T302" s="669"/>
      <c r="U302" s="669"/>
      <c r="V302" s="669"/>
      <c r="W302" s="669"/>
      <c r="X302" s="669"/>
      <c r="Y302" s="669"/>
      <c r="Z302" s="669"/>
      <c r="AA302" s="669"/>
    </row>
    <row r="303">
      <c r="A303" s="715"/>
      <c r="B303" s="669"/>
      <c r="C303" s="669"/>
      <c r="D303" s="669"/>
      <c r="E303" s="669"/>
      <c r="F303" s="669"/>
      <c r="G303" s="716"/>
      <c r="H303" s="669"/>
      <c r="I303" s="669"/>
      <c r="J303" s="669"/>
      <c r="K303" s="669"/>
      <c r="L303" s="669"/>
      <c r="M303" s="669"/>
      <c r="N303" s="669"/>
      <c r="O303" s="669"/>
      <c r="P303" s="669"/>
      <c r="Q303" s="669"/>
      <c r="R303" s="669"/>
      <c r="S303" s="669"/>
      <c r="T303" s="669"/>
      <c r="U303" s="669"/>
      <c r="V303" s="669"/>
      <c r="W303" s="669"/>
      <c r="X303" s="669"/>
      <c r="Y303" s="669"/>
      <c r="Z303" s="669"/>
      <c r="AA303" s="669"/>
    </row>
    <row r="304">
      <c r="A304" s="715"/>
      <c r="B304" s="669"/>
      <c r="C304" s="669"/>
      <c r="D304" s="669"/>
      <c r="E304" s="669"/>
      <c r="F304" s="669"/>
      <c r="G304" s="716"/>
      <c r="H304" s="669"/>
      <c r="I304" s="669"/>
      <c r="J304" s="669"/>
      <c r="K304" s="669"/>
      <c r="L304" s="669"/>
      <c r="M304" s="669"/>
      <c r="N304" s="669"/>
      <c r="O304" s="669"/>
      <c r="P304" s="669"/>
      <c r="Q304" s="669"/>
      <c r="R304" s="669"/>
      <c r="S304" s="669"/>
      <c r="T304" s="669"/>
      <c r="U304" s="669"/>
      <c r="V304" s="669"/>
      <c r="W304" s="669"/>
      <c r="X304" s="669"/>
      <c r="Y304" s="669"/>
      <c r="Z304" s="669"/>
      <c r="AA304" s="669"/>
    </row>
    <row r="305">
      <c r="A305" s="715"/>
      <c r="B305" s="669"/>
      <c r="C305" s="669"/>
      <c r="D305" s="669"/>
      <c r="E305" s="669"/>
      <c r="F305" s="669"/>
      <c r="G305" s="716"/>
      <c r="H305" s="669"/>
      <c r="I305" s="669"/>
      <c r="J305" s="669"/>
      <c r="K305" s="669"/>
      <c r="L305" s="669"/>
      <c r="M305" s="669"/>
      <c r="N305" s="669"/>
      <c r="O305" s="669"/>
      <c r="P305" s="669"/>
      <c r="Q305" s="669"/>
      <c r="R305" s="669"/>
      <c r="S305" s="669"/>
      <c r="T305" s="669"/>
      <c r="U305" s="669"/>
      <c r="V305" s="669"/>
      <c r="W305" s="669"/>
      <c r="X305" s="669"/>
      <c r="Y305" s="669"/>
      <c r="Z305" s="669"/>
      <c r="AA305" s="669"/>
    </row>
    <row r="306">
      <c r="A306" s="715"/>
      <c r="B306" s="669"/>
      <c r="C306" s="669"/>
      <c r="D306" s="669"/>
      <c r="E306" s="669"/>
      <c r="F306" s="669"/>
      <c r="G306" s="716"/>
      <c r="H306" s="669"/>
      <c r="I306" s="669"/>
      <c r="J306" s="669"/>
      <c r="K306" s="669"/>
      <c r="L306" s="669"/>
      <c r="M306" s="669"/>
      <c r="N306" s="669"/>
      <c r="O306" s="669"/>
      <c r="P306" s="669"/>
      <c r="Q306" s="669"/>
      <c r="R306" s="669"/>
      <c r="S306" s="669"/>
      <c r="T306" s="669"/>
      <c r="U306" s="669"/>
      <c r="V306" s="669"/>
      <c r="W306" s="669"/>
      <c r="X306" s="669"/>
      <c r="Y306" s="669"/>
      <c r="Z306" s="669"/>
      <c r="AA306" s="669"/>
    </row>
    <row r="307">
      <c r="A307" s="715"/>
      <c r="B307" s="669"/>
      <c r="C307" s="669"/>
      <c r="D307" s="669"/>
      <c r="E307" s="669"/>
      <c r="F307" s="669"/>
      <c r="G307" s="716"/>
      <c r="H307" s="669"/>
      <c r="I307" s="669"/>
      <c r="J307" s="669"/>
      <c r="K307" s="669"/>
      <c r="L307" s="669"/>
      <c r="M307" s="669"/>
      <c r="N307" s="669"/>
      <c r="O307" s="669"/>
      <c r="P307" s="669"/>
      <c r="Q307" s="669"/>
      <c r="R307" s="669"/>
      <c r="S307" s="669"/>
      <c r="T307" s="669"/>
      <c r="U307" s="669"/>
      <c r="V307" s="669"/>
      <c r="W307" s="669"/>
      <c r="X307" s="669"/>
      <c r="Y307" s="669"/>
      <c r="Z307" s="669"/>
      <c r="AA307" s="669"/>
    </row>
    <row r="308">
      <c r="A308" s="715"/>
      <c r="B308" s="669"/>
      <c r="C308" s="669"/>
      <c r="D308" s="669"/>
      <c r="E308" s="669"/>
      <c r="F308" s="669"/>
      <c r="G308" s="716"/>
      <c r="H308" s="669"/>
      <c r="I308" s="669"/>
      <c r="J308" s="669"/>
      <c r="K308" s="669"/>
      <c r="L308" s="669"/>
      <c r="M308" s="669"/>
      <c r="N308" s="669"/>
      <c r="O308" s="669"/>
      <c r="P308" s="669"/>
      <c r="Q308" s="669"/>
      <c r="R308" s="669"/>
      <c r="S308" s="669"/>
      <c r="T308" s="669"/>
      <c r="U308" s="669"/>
      <c r="V308" s="669"/>
      <c r="W308" s="669"/>
      <c r="X308" s="669"/>
      <c r="Y308" s="669"/>
      <c r="Z308" s="669"/>
      <c r="AA308" s="669"/>
    </row>
    <row r="309">
      <c r="A309" s="715"/>
      <c r="B309" s="669"/>
      <c r="C309" s="669"/>
      <c r="D309" s="669"/>
      <c r="E309" s="669"/>
      <c r="F309" s="669"/>
      <c r="G309" s="716"/>
      <c r="H309" s="669"/>
      <c r="I309" s="669"/>
      <c r="J309" s="669"/>
      <c r="K309" s="669"/>
      <c r="L309" s="669"/>
      <c r="M309" s="669"/>
      <c r="N309" s="669"/>
      <c r="O309" s="669"/>
      <c r="P309" s="669"/>
      <c r="Q309" s="669"/>
      <c r="R309" s="669"/>
      <c r="S309" s="669"/>
      <c r="T309" s="669"/>
      <c r="U309" s="669"/>
      <c r="V309" s="669"/>
      <c r="W309" s="669"/>
      <c r="X309" s="669"/>
      <c r="Y309" s="669"/>
      <c r="Z309" s="669"/>
      <c r="AA309" s="669"/>
    </row>
    <row r="310">
      <c r="A310" s="715"/>
      <c r="B310" s="669"/>
      <c r="C310" s="669"/>
      <c r="D310" s="669"/>
      <c r="E310" s="669"/>
      <c r="F310" s="669"/>
      <c r="G310" s="716"/>
      <c r="H310" s="669"/>
      <c r="I310" s="669"/>
      <c r="J310" s="669"/>
      <c r="K310" s="669"/>
      <c r="L310" s="669"/>
      <c r="M310" s="669"/>
      <c r="N310" s="669"/>
      <c r="O310" s="669"/>
      <c r="P310" s="669"/>
      <c r="Q310" s="669"/>
      <c r="R310" s="669"/>
      <c r="S310" s="669"/>
      <c r="T310" s="669"/>
      <c r="U310" s="669"/>
      <c r="V310" s="669"/>
      <c r="W310" s="669"/>
      <c r="X310" s="669"/>
      <c r="Y310" s="669"/>
      <c r="Z310" s="669"/>
      <c r="AA310" s="669"/>
    </row>
    <row r="311">
      <c r="A311" s="715"/>
      <c r="B311" s="669"/>
      <c r="C311" s="669"/>
      <c r="D311" s="669"/>
      <c r="E311" s="669"/>
      <c r="F311" s="669"/>
      <c r="G311" s="716"/>
      <c r="H311" s="669"/>
      <c r="I311" s="669"/>
      <c r="J311" s="669"/>
      <c r="K311" s="669"/>
      <c r="L311" s="669"/>
      <c r="M311" s="669"/>
      <c r="N311" s="669"/>
      <c r="O311" s="669"/>
      <c r="P311" s="669"/>
      <c r="Q311" s="669"/>
      <c r="R311" s="669"/>
      <c r="S311" s="669"/>
      <c r="T311" s="669"/>
      <c r="U311" s="669"/>
      <c r="V311" s="669"/>
      <c r="W311" s="669"/>
      <c r="X311" s="669"/>
      <c r="Y311" s="669"/>
      <c r="Z311" s="669"/>
      <c r="AA311" s="669"/>
    </row>
    <row r="312">
      <c r="A312" s="715"/>
      <c r="B312" s="669"/>
      <c r="C312" s="669"/>
      <c r="D312" s="669"/>
      <c r="E312" s="669"/>
      <c r="F312" s="669"/>
      <c r="G312" s="716"/>
      <c r="H312" s="669"/>
      <c r="I312" s="669"/>
      <c r="J312" s="669"/>
      <c r="K312" s="669"/>
      <c r="L312" s="669"/>
      <c r="M312" s="669"/>
      <c r="N312" s="669"/>
      <c r="O312" s="669"/>
      <c r="P312" s="669"/>
      <c r="Q312" s="669"/>
      <c r="R312" s="669"/>
      <c r="S312" s="669"/>
      <c r="T312" s="669"/>
      <c r="U312" s="669"/>
      <c r="V312" s="669"/>
      <c r="W312" s="669"/>
      <c r="X312" s="669"/>
      <c r="Y312" s="669"/>
      <c r="Z312" s="669"/>
      <c r="AA312" s="669"/>
    </row>
    <row r="313">
      <c r="A313" s="715"/>
      <c r="B313" s="669"/>
      <c r="C313" s="669"/>
      <c r="D313" s="669"/>
      <c r="E313" s="669"/>
      <c r="F313" s="669"/>
      <c r="G313" s="716"/>
      <c r="H313" s="669"/>
      <c r="I313" s="669"/>
      <c r="J313" s="669"/>
      <c r="K313" s="669"/>
      <c r="L313" s="669"/>
      <c r="M313" s="669"/>
      <c r="N313" s="669"/>
      <c r="O313" s="669"/>
      <c r="P313" s="669"/>
      <c r="Q313" s="669"/>
      <c r="R313" s="669"/>
      <c r="S313" s="669"/>
      <c r="T313" s="669"/>
      <c r="U313" s="669"/>
      <c r="V313" s="669"/>
      <c r="W313" s="669"/>
      <c r="X313" s="669"/>
      <c r="Y313" s="669"/>
      <c r="Z313" s="669"/>
      <c r="AA313" s="669"/>
    </row>
    <row r="314">
      <c r="A314" s="715"/>
      <c r="B314" s="669"/>
      <c r="C314" s="669"/>
      <c r="D314" s="669"/>
      <c r="E314" s="669"/>
      <c r="F314" s="669"/>
      <c r="G314" s="716"/>
      <c r="H314" s="669"/>
      <c r="I314" s="669"/>
      <c r="J314" s="669"/>
      <c r="K314" s="669"/>
      <c r="L314" s="669"/>
      <c r="M314" s="669"/>
      <c r="N314" s="669"/>
      <c r="O314" s="669"/>
      <c r="P314" s="669"/>
      <c r="Q314" s="669"/>
      <c r="R314" s="669"/>
      <c r="S314" s="669"/>
      <c r="T314" s="669"/>
      <c r="U314" s="669"/>
      <c r="V314" s="669"/>
      <c r="W314" s="669"/>
      <c r="X314" s="669"/>
      <c r="Y314" s="669"/>
      <c r="Z314" s="669"/>
      <c r="AA314" s="669"/>
    </row>
    <row r="315">
      <c r="A315" s="715"/>
      <c r="B315" s="669"/>
      <c r="C315" s="669"/>
      <c r="D315" s="669"/>
      <c r="E315" s="669"/>
      <c r="F315" s="669"/>
      <c r="G315" s="716"/>
      <c r="H315" s="669"/>
      <c r="I315" s="669"/>
      <c r="J315" s="669"/>
      <c r="K315" s="669"/>
      <c r="L315" s="669"/>
      <c r="M315" s="669"/>
      <c r="N315" s="669"/>
      <c r="O315" s="669"/>
      <c r="P315" s="669"/>
      <c r="Q315" s="669"/>
      <c r="R315" s="669"/>
      <c r="S315" s="669"/>
      <c r="T315" s="669"/>
      <c r="U315" s="669"/>
      <c r="V315" s="669"/>
      <c r="W315" s="669"/>
      <c r="X315" s="669"/>
      <c r="Y315" s="669"/>
      <c r="Z315" s="669"/>
      <c r="AA315" s="669"/>
    </row>
    <row r="316">
      <c r="A316" s="715"/>
      <c r="B316" s="669"/>
      <c r="C316" s="669"/>
      <c r="D316" s="669"/>
      <c r="E316" s="669"/>
      <c r="F316" s="669"/>
      <c r="G316" s="716"/>
      <c r="H316" s="669"/>
      <c r="I316" s="669"/>
      <c r="J316" s="669"/>
      <c r="K316" s="669"/>
      <c r="L316" s="669"/>
      <c r="M316" s="669"/>
      <c r="N316" s="669"/>
      <c r="O316" s="669"/>
      <c r="P316" s="669"/>
      <c r="Q316" s="669"/>
      <c r="R316" s="669"/>
      <c r="S316" s="669"/>
      <c r="T316" s="669"/>
      <c r="U316" s="669"/>
      <c r="V316" s="669"/>
      <c r="W316" s="669"/>
      <c r="X316" s="669"/>
      <c r="Y316" s="669"/>
      <c r="Z316" s="669"/>
      <c r="AA316" s="669"/>
    </row>
    <row r="317">
      <c r="A317" s="715"/>
      <c r="B317" s="669"/>
      <c r="C317" s="669"/>
      <c r="D317" s="669"/>
      <c r="E317" s="669"/>
      <c r="F317" s="669"/>
      <c r="G317" s="716"/>
      <c r="H317" s="669"/>
      <c r="I317" s="669"/>
      <c r="J317" s="669"/>
      <c r="K317" s="669"/>
      <c r="L317" s="669"/>
      <c r="M317" s="669"/>
      <c r="N317" s="669"/>
      <c r="O317" s="669"/>
      <c r="P317" s="669"/>
      <c r="Q317" s="669"/>
      <c r="R317" s="669"/>
      <c r="S317" s="669"/>
      <c r="T317" s="669"/>
      <c r="U317" s="669"/>
      <c r="V317" s="669"/>
      <c r="W317" s="669"/>
      <c r="X317" s="669"/>
      <c r="Y317" s="669"/>
      <c r="Z317" s="669"/>
      <c r="AA317" s="669"/>
    </row>
    <row r="318">
      <c r="A318" s="715"/>
      <c r="B318" s="669"/>
      <c r="C318" s="669"/>
      <c r="D318" s="669"/>
      <c r="E318" s="669"/>
      <c r="F318" s="669"/>
      <c r="G318" s="716"/>
      <c r="H318" s="669"/>
      <c r="I318" s="669"/>
      <c r="J318" s="669"/>
      <c r="K318" s="669"/>
      <c r="L318" s="669"/>
      <c r="M318" s="669"/>
      <c r="N318" s="669"/>
      <c r="O318" s="669"/>
      <c r="P318" s="669"/>
      <c r="Q318" s="669"/>
      <c r="R318" s="669"/>
      <c r="S318" s="669"/>
      <c r="T318" s="669"/>
      <c r="U318" s="669"/>
      <c r="V318" s="669"/>
      <c r="W318" s="669"/>
      <c r="X318" s="669"/>
      <c r="Y318" s="669"/>
      <c r="Z318" s="669"/>
      <c r="AA318" s="669"/>
    </row>
    <row r="319">
      <c r="A319" s="715"/>
      <c r="B319" s="669"/>
      <c r="C319" s="669"/>
      <c r="D319" s="669"/>
      <c r="E319" s="669"/>
      <c r="F319" s="669"/>
      <c r="G319" s="716"/>
      <c r="H319" s="669"/>
      <c r="I319" s="669"/>
      <c r="J319" s="669"/>
      <c r="K319" s="669"/>
      <c r="L319" s="669"/>
      <c r="M319" s="669"/>
      <c r="N319" s="669"/>
      <c r="O319" s="669"/>
      <c r="P319" s="669"/>
      <c r="Q319" s="669"/>
      <c r="R319" s="669"/>
      <c r="S319" s="669"/>
      <c r="T319" s="669"/>
      <c r="U319" s="669"/>
      <c r="V319" s="669"/>
      <c r="W319" s="669"/>
      <c r="X319" s="669"/>
      <c r="Y319" s="669"/>
      <c r="Z319" s="669"/>
      <c r="AA319" s="669"/>
    </row>
    <row r="320">
      <c r="A320" s="715"/>
      <c r="B320" s="669"/>
      <c r="C320" s="669"/>
      <c r="D320" s="669"/>
      <c r="E320" s="669"/>
      <c r="F320" s="669"/>
      <c r="G320" s="716"/>
      <c r="H320" s="669"/>
      <c r="I320" s="669"/>
      <c r="J320" s="669"/>
      <c r="K320" s="669"/>
      <c r="L320" s="669"/>
      <c r="M320" s="669"/>
      <c r="N320" s="669"/>
      <c r="O320" s="669"/>
      <c r="P320" s="669"/>
      <c r="Q320" s="669"/>
      <c r="R320" s="669"/>
      <c r="S320" s="669"/>
      <c r="T320" s="669"/>
      <c r="U320" s="669"/>
      <c r="V320" s="669"/>
      <c r="W320" s="669"/>
      <c r="X320" s="669"/>
      <c r="Y320" s="669"/>
      <c r="Z320" s="669"/>
      <c r="AA320" s="669"/>
    </row>
    <row r="321">
      <c r="A321" s="715"/>
      <c r="B321" s="669"/>
      <c r="C321" s="669"/>
      <c r="D321" s="669"/>
      <c r="E321" s="669"/>
      <c r="F321" s="669"/>
      <c r="G321" s="716"/>
      <c r="H321" s="669"/>
      <c r="I321" s="669"/>
      <c r="J321" s="669"/>
      <c r="K321" s="669"/>
      <c r="L321" s="669"/>
      <c r="M321" s="669"/>
      <c r="N321" s="669"/>
      <c r="O321" s="669"/>
      <c r="P321" s="669"/>
      <c r="Q321" s="669"/>
      <c r="R321" s="669"/>
      <c r="S321" s="669"/>
      <c r="T321" s="669"/>
      <c r="U321" s="669"/>
      <c r="V321" s="669"/>
      <c r="W321" s="669"/>
      <c r="X321" s="669"/>
      <c r="Y321" s="669"/>
      <c r="Z321" s="669"/>
      <c r="AA321" s="669"/>
    </row>
    <row r="322">
      <c r="A322" s="715"/>
      <c r="B322" s="669"/>
      <c r="C322" s="669"/>
      <c r="D322" s="669"/>
      <c r="E322" s="669"/>
      <c r="F322" s="669"/>
      <c r="G322" s="716"/>
      <c r="H322" s="669"/>
      <c r="I322" s="669"/>
      <c r="J322" s="669"/>
      <c r="K322" s="669"/>
      <c r="L322" s="669"/>
      <c r="M322" s="669"/>
      <c r="N322" s="669"/>
      <c r="O322" s="669"/>
      <c r="P322" s="669"/>
      <c r="Q322" s="669"/>
      <c r="R322" s="669"/>
      <c r="S322" s="669"/>
      <c r="T322" s="669"/>
      <c r="U322" s="669"/>
      <c r="V322" s="669"/>
      <c r="W322" s="669"/>
      <c r="X322" s="669"/>
      <c r="Y322" s="669"/>
      <c r="Z322" s="669"/>
      <c r="AA322" s="669"/>
    </row>
    <row r="323">
      <c r="A323" s="715"/>
      <c r="B323" s="669"/>
      <c r="C323" s="669"/>
      <c r="D323" s="669"/>
      <c r="E323" s="669"/>
      <c r="F323" s="669"/>
      <c r="G323" s="716"/>
      <c r="H323" s="669"/>
      <c r="I323" s="669"/>
      <c r="J323" s="669"/>
      <c r="K323" s="669"/>
      <c r="L323" s="669"/>
      <c r="M323" s="669"/>
      <c r="N323" s="669"/>
      <c r="O323" s="669"/>
      <c r="P323" s="669"/>
      <c r="Q323" s="669"/>
      <c r="R323" s="669"/>
      <c r="S323" s="669"/>
      <c r="T323" s="669"/>
      <c r="U323" s="669"/>
      <c r="V323" s="669"/>
      <c r="W323" s="669"/>
      <c r="X323" s="669"/>
      <c r="Y323" s="669"/>
      <c r="Z323" s="669"/>
      <c r="AA323" s="669"/>
    </row>
    <row r="324">
      <c r="A324" s="715"/>
      <c r="B324" s="669"/>
      <c r="C324" s="669"/>
      <c r="D324" s="669"/>
      <c r="E324" s="669"/>
      <c r="F324" s="669"/>
      <c r="G324" s="716"/>
      <c r="H324" s="669"/>
      <c r="I324" s="669"/>
      <c r="J324" s="669"/>
      <c r="K324" s="669"/>
      <c r="L324" s="669"/>
      <c r="M324" s="669"/>
      <c r="N324" s="669"/>
      <c r="O324" s="669"/>
      <c r="P324" s="669"/>
      <c r="Q324" s="669"/>
      <c r="R324" s="669"/>
      <c r="S324" s="669"/>
      <c r="T324" s="669"/>
      <c r="U324" s="669"/>
      <c r="V324" s="669"/>
      <c r="W324" s="669"/>
      <c r="X324" s="669"/>
      <c r="Y324" s="669"/>
      <c r="Z324" s="669"/>
      <c r="AA324" s="669"/>
    </row>
    <row r="325">
      <c r="A325" s="715"/>
      <c r="B325" s="669"/>
      <c r="C325" s="669"/>
      <c r="D325" s="669"/>
      <c r="E325" s="669"/>
      <c r="F325" s="669"/>
      <c r="G325" s="716"/>
      <c r="H325" s="669"/>
      <c r="I325" s="669"/>
      <c r="J325" s="669"/>
      <c r="K325" s="669"/>
      <c r="L325" s="669"/>
      <c r="M325" s="669"/>
      <c r="N325" s="669"/>
      <c r="O325" s="669"/>
      <c r="P325" s="669"/>
      <c r="Q325" s="669"/>
      <c r="R325" s="669"/>
      <c r="S325" s="669"/>
      <c r="T325" s="669"/>
      <c r="U325" s="669"/>
      <c r="V325" s="669"/>
      <c r="W325" s="669"/>
      <c r="X325" s="669"/>
      <c r="Y325" s="669"/>
      <c r="Z325" s="669"/>
      <c r="AA325" s="669"/>
    </row>
    <row r="326">
      <c r="A326" s="715"/>
      <c r="B326" s="669"/>
      <c r="C326" s="669"/>
      <c r="D326" s="669"/>
      <c r="E326" s="669"/>
      <c r="F326" s="669"/>
      <c r="G326" s="716"/>
      <c r="H326" s="669"/>
      <c r="I326" s="669"/>
      <c r="J326" s="669"/>
      <c r="K326" s="669"/>
      <c r="L326" s="669"/>
      <c r="M326" s="669"/>
      <c r="N326" s="669"/>
      <c r="O326" s="669"/>
      <c r="P326" s="669"/>
      <c r="Q326" s="669"/>
      <c r="R326" s="669"/>
      <c r="S326" s="669"/>
      <c r="T326" s="669"/>
      <c r="U326" s="669"/>
      <c r="V326" s="669"/>
      <c r="W326" s="669"/>
      <c r="X326" s="669"/>
      <c r="Y326" s="669"/>
      <c r="Z326" s="669"/>
      <c r="AA326" s="669"/>
    </row>
    <row r="327">
      <c r="A327" s="715"/>
      <c r="B327" s="669"/>
      <c r="C327" s="669"/>
      <c r="D327" s="669"/>
      <c r="E327" s="669"/>
      <c r="F327" s="669"/>
      <c r="G327" s="716"/>
      <c r="H327" s="669"/>
      <c r="I327" s="669"/>
      <c r="J327" s="669"/>
      <c r="K327" s="669"/>
      <c r="L327" s="669"/>
      <c r="M327" s="669"/>
      <c r="N327" s="669"/>
      <c r="O327" s="669"/>
      <c r="P327" s="669"/>
      <c r="Q327" s="669"/>
      <c r="R327" s="669"/>
      <c r="S327" s="669"/>
      <c r="T327" s="669"/>
      <c r="U327" s="669"/>
      <c r="V327" s="669"/>
      <c r="W327" s="669"/>
      <c r="X327" s="669"/>
      <c r="Y327" s="669"/>
      <c r="Z327" s="669"/>
      <c r="AA327" s="669"/>
    </row>
    <row r="328">
      <c r="A328" s="715"/>
      <c r="B328" s="669"/>
      <c r="C328" s="669"/>
      <c r="D328" s="669"/>
      <c r="E328" s="669"/>
      <c r="F328" s="669"/>
      <c r="G328" s="716"/>
      <c r="H328" s="669"/>
      <c r="I328" s="669"/>
      <c r="J328" s="669"/>
      <c r="K328" s="669"/>
      <c r="L328" s="669"/>
      <c r="M328" s="669"/>
      <c r="N328" s="669"/>
      <c r="O328" s="669"/>
      <c r="P328" s="669"/>
      <c r="Q328" s="669"/>
      <c r="R328" s="669"/>
      <c r="S328" s="669"/>
      <c r="T328" s="669"/>
      <c r="U328" s="669"/>
      <c r="V328" s="669"/>
      <c r="W328" s="669"/>
      <c r="X328" s="669"/>
      <c r="Y328" s="669"/>
      <c r="Z328" s="669"/>
      <c r="AA328" s="669"/>
    </row>
    <row r="329">
      <c r="A329" s="715"/>
      <c r="B329" s="669"/>
      <c r="C329" s="669"/>
      <c r="D329" s="669"/>
      <c r="E329" s="669"/>
      <c r="F329" s="669"/>
      <c r="G329" s="716"/>
      <c r="H329" s="669"/>
      <c r="I329" s="669"/>
      <c r="J329" s="669"/>
      <c r="K329" s="669"/>
      <c r="L329" s="669"/>
      <c r="M329" s="669"/>
      <c r="N329" s="669"/>
      <c r="O329" s="669"/>
      <c r="P329" s="669"/>
      <c r="Q329" s="669"/>
      <c r="R329" s="669"/>
      <c r="S329" s="669"/>
      <c r="T329" s="669"/>
      <c r="U329" s="669"/>
      <c r="V329" s="669"/>
      <c r="W329" s="669"/>
      <c r="X329" s="669"/>
      <c r="Y329" s="669"/>
      <c r="Z329" s="669"/>
      <c r="AA329" s="669"/>
    </row>
    <row r="330">
      <c r="A330" s="715"/>
      <c r="B330" s="669"/>
      <c r="C330" s="669"/>
      <c r="D330" s="669"/>
      <c r="E330" s="669"/>
      <c r="F330" s="669"/>
      <c r="G330" s="716"/>
      <c r="H330" s="669"/>
      <c r="I330" s="669"/>
      <c r="J330" s="669"/>
      <c r="K330" s="669"/>
      <c r="L330" s="669"/>
      <c r="M330" s="669"/>
      <c r="N330" s="669"/>
      <c r="O330" s="669"/>
      <c r="P330" s="669"/>
      <c r="Q330" s="669"/>
      <c r="R330" s="669"/>
      <c r="S330" s="669"/>
      <c r="T330" s="669"/>
      <c r="U330" s="669"/>
      <c r="V330" s="669"/>
      <c r="W330" s="669"/>
      <c r="X330" s="669"/>
      <c r="Y330" s="669"/>
      <c r="Z330" s="669"/>
      <c r="AA330" s="669"/>
    </row>
    <row r="331">
      <c r="A331" s="715"/>
      <c r="B331" s="669"/>
      <c r="C331" s="669"/>
      <c r="D331" s="669"/>
      <c r="E331" s="669"/>
      <c r="F331" s="669"/>
      <c r="G331" s="716"/>
      <c r="H331" s="669"/>
      <c r="I331" s="669"/>
      <c r="J331" s="669"/>
      <c r="K331" s="669"/>
      <c r="L331" s="669"/>
      <c r="M331" s="669"/>
      <c r="N331" s="669"/>
      <c r="O331" s="669"/>
      <c r="P331" s="669"/>
      <c r="Q331" s="669"/>
      <c r="R331" s="669"/>
      <c r="S331" s="669"/>
      <c r="T331" s="669"/>
      <c r="U331" s="669"/>
      <c r="V331" s="669"/>
      <c r="W331" s="669"/>
      <c r="X331" s="669"/>
      <c r="Y331" s="669"/>
      <c r="Z331" s="669"/>
      <c r="AA331" s="669"/>
    </row>
    <row r="332">
      <c r="A332" s="715"/>
      <c r="B332" s="669"/>
      <c r="C332" s="669"/>
      <c r="D332" s="669"/>
      <c r="E332" s="669"/>
      <c r="F332" s="669"/>
      <c r="G332" s="716"/>
      <c r="H332" s="669"/>
      <c r="I332" s="669"/>
      <c r="J332" s="669"/>
      <c r="K332" s="669"/>
      <c r="L332" s="669"/>
      <c r="M332" s="669"/>
      <c r="N332" s="669"/>
      <c r="O332" s="669"/>
      <c r="P332" s="669"/>
      <c r="Q332" s="669"/>
      <c r="R332" s="669"/>
      <c r="S332" s="669"/>
      <c r="T332" s="669"/>
      <c r="U332" s="669"/>
      <c r="V332" s="669"/>
      <c r="W332" s="669"/>
      <c r="X332" s="669"/>
      <c r="Y332" s="669"/>
      <c r="Z332" s="669"/>
      <c r="AA332" s="669"/>
    </row>
    <row r="333">
      <c r="A333" s="715"/>
      <c r="B333" s="669"/>
      <c r="C333" s="669"/>
      <c r="D333" s="669"/>
      <c r="E333" s="669"/>
      <c r="F333" s="669"/>
      <c r="G333" s="716"/>
      <c r="H333" s="669"/>
      <c r="I333" s="669"/>
      <c r="J333" s="669"/>
      <c r="K333" s="669"/>
      <c r="L333" s="669"/>
      <c r="M333" s="669"/>
      <c r="N333" s="669"/>
      <c r="O333" s="669"/>
      <c r="P333" s="669"/>
      <c r="Q333" s="669"/>
      <c r="R333" s="669"/>
      <c r="S333" s="669"/>
      <c r="T333" s="669"/>
      <c r="U333" s="669"/>
      <c r="V333" s="669"/>
      <c r="W333" s="669"/>
      <c r="X333" s="669"/>
      <c r="Y333" s="669"/>
      <c r="Z333" s="669"/>
      <c r="AA333" s="669"/>
    </row>
    <row r="334">
      <c r="A334" s="715"/>
      <c r="B334" s="669"/>
      <c r="C334" s="669"/>
      <c r="D334" s="669"/>
      <c r="E334" s="669"/>
      <c r="F334" s="669"/>
      <c r="G334" s="716"/>
      <c r="H334" s="669"/>
      <c r="I334" s="669"/>
      <c r="J334" s="669"/>
      <c r="K334" s="669"/>
      <c r="L334" s="669"/>
      <c r="M334" s="669"/>
      <c r="N334" s="669"/>
      <c r="O334" s="669"/>
      <c r="P334" s="669"/>
      <c r="Q334" s="669"/>
      <c r="R334" s="669"/>
      <c r="S334" s="669"/>
      <c r="T334" s="669"/>
      <c r="U334" s="669"/>
      <c r="V334" s="669"/>
      <c r="W334" s="669"/>
      <c r="X334" s="669"/>
      <c r="Y334" s="669"/>
      <c r="Z334" s="669"/>
      <c r="AA334" s="669"/>
    </row>
    <row r="335">
      <c r="A335" s="715"/>
      <c r="B335" s="669"/>
      <c r="C335" s="669"/>
      <c r="D335" s="669"/>
      <c r="E335" s="669"/>
      <c r="F335" s="669"/>
      <c r="G335" s="716"/>
      <c r="H335" s="669"/>
      <c r="I335" s="669"/>
      <c r="J335" s="669"/>
      <c r="K335" s="669"/>
      <c r="L335" s="669"/>
      <c r="M335" s="669"/>
      <c r="N335" s="669"/>
      <c r="O335" s="669"/>
      <c r="P335" s="669"/>
      <c r="Q335" s="669"/>
      <c r="R335" s="669"/>
      <c r="S335" s="669"/>
      <c r="T335" s="669"/>
      <c r="U335" s="669"/>
      <c r="V335" s="669"/>
      <c r="W335" s="669"/>
      <c r="X335" s="669"/>
      <c r="Y335" s="669"/>
      <c r="Z335" s="669"/>
      <c r="AA335" s="669"/>
    </row>
    <row r="336">
      <c r="A336" s="715"/>
      <c r="B336" s="669"/>
      <c r="C336" s="669"/>
      <c r="D336" s="669"/>
      <c r="E336" s="669"/>
      <c r="F336" s="669"/>
      <c r="G336" s="716"/>
      <c r="H336" s="669"/>
      <c r="I336" s="669"/>
      <c r="J336" s="669"/>
      <c r="K336" s="669"/>
      <c r="L336" s="669"/>
      <c r="M336" s="669"/>
      <c r="N336" s="669"/>
      <c r="O336" s="669"/>
      <c r="P336" s="669"/>
      <c r="Q336" s="669"/>
      <c r="R336" s="669"/>
      <c r="S336" s="669"/>
      <c r="T336" s="669"/>
      <c r="U336" s="669"/>
      <c r="V336" s="669"/>
      <c r="W336" s="669"/>
      <c r="X336" s="669"/>
      <c r="Y336" s="669"/>
      <c r="Z336" s="669"/>
      <c r="AA336" s="669"/>
    </row>
    <row r="337">
      <c r="A337" s="715"/>
      <c r="B337" s="669"/>
      <c r="C337" s="669"/>
      <c r="D337" s="669"/>
      <c r="E337" s="669"/>
      <c r="F337" s="669"/>
      <c r="G337" s="716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69"/>
    </row>
    <row r="338">
      <c r="A338" s="715"/>
      <c r="B338" s="669"/>
      <c r="C338" s="669"/>
      <c r="D338" s="669"/>
      <c r="E338" s="669"/>
      <c r="F338" s="669"/>
      <c r="G338" s="716"/>
      <c r="H338" s="669"/>
      <c r="I338" s="669"/>
      <c r="J338" s="669"/>
      <c r="K338" s="669"/>
      <c r="L338" s="669"/>
      <c r="M338" s="669"/>
      <c r="N338" s="669"/>
      <c r="O338" s="669"/>
      <c r="P338" s="669"/>
      <c r="Q338" s="669"/>
      <c r="R338" s="669"/>
      <c r="S338" s="669"/>
      <c r="T338" s="669"/>
      <c r="U338" s="669"/>
      <c r="V338" s="669"/>
      <c r="W338" s="669"/>
      <c r="X338" s="669"/>
      <c r="Y338" s="669"/>
      <c r="Z338" s="669"/>
      <c r="AA338" s="669"/>
    </row>
    <row r="339">
      <c r="A339" s="715"/>
      <c r="B339" s="669"/>
      <c r="C339" s="669"/>
      <c r="D339" s="669"/>
      <c r="E339" s="669"/>
      <c r="F339" s="669"/>
      <c r="G339" s="716"/>
      <c r="H339" s="669"/>
      <c r="I339" s="669"/>
      <c r="J339" s="669"/>
      <c r="K339" s="669"/>
      <c r="L339" s="669"/>
      <c r="M339" s="669"/>
      <c r="N339" s="669"/>
      <c r="O339" s="669"/>
      <c r="P339" s="669"/>
      <c r="Q339" s="669"/>
      <c r="R339" s="669"/>
      <c r="S339" s="669"/>
      <c r="T339" s="669"/>
      <c r="U339" s="669"/>
      <c r="V339" s="669"/>
      <c r="W339" s="669"/>
      <c r="X339" s="669"/>
      <c r="Y339" s="669"/>
      <c r="Z339" s="669"/>
      <c r="AA339" s="669"/>
    </row>
    <row r="340">
      <c r="A340" s="715"/>
      <c r="B340" s="669"/>
      <c r="C340" s="669"/>
      <c r="D340" s="669"/>
      <c r="E340" s="669"/>
      <c r="F340" s="669"/>
      <c r="G340" s="716"/>
      <c r="H340" s="669"/>
      <c r="I340" s="669"/>
      <c r="J340" s="669"/>
      <c r="K340" s="669"/>
      <c r="L340" s="669"/>
      <c r="M340" s="669"/>
      <c r="N340" s="669"/>
      <c r="O340" s="669"/>
      <c r="P340" s="669"/>
      <c r="Q340" s="669"/>
      <c r="R340" s="669"/>
      <c r="S340" s="669"/>
      <c r="T340" s="669"/>
      <c r="U340" s="669"/>
      <c r="V340" s="669"/>
      <c r="W340" s="669"/>
      <c r="X340" s="669"/>
      <c r="Y340" s="669"/>
      <c r="Z340" s="669"/>
      <c r="AA340" s="669"/>
    </row>
    <row r="341">
      <c r="A341" s="715"/>
      <c r="B341" s="669"/>
      <c r="C341" s="669"/>
      <c r="D341" s="669"/>
      <c r="E341" s="669"/>
      <c r="F341" s="669"/>
      <c r="G341" s="716"/>
      <c r="H341" s="669"/>
      <c r="I341" s="669"/>
      <c r="J341" s="669"/>
      <c r="K341" s="669"/>
      <c r="L341" s="669"/>
      <c r="M341" s="669"/>
      <c r="N341" s="669"/>
      <c r="O341" s="669"/>
      <c r="P341" s="669"/>
      <c r="Q341" s="669"/>
      <c r="R341" s="669"/>
      <c r="S341" s="669"/>
      <c r="T341" s="669"/>
      <c r="U341" s="669"/>
      <c r="V341" s="669"/>
      <c r="W341" s="669"/>
      <c r="X341" s="669"/>
      <c r="Y341" s="669"/>
      <c r="Z341" s="669"/>
      <c r="AA341" s="669"/>
    </row>
    <row r="342">
      <c r="A342" s="715"/>
      <c r="B342" s="669"/>
      <c r="C342" s="669"/>
      <c r="D342" s="669"/>
      <c r="E342" s="669"/>
      <c r="F342" s="669"/>
      <c r="G342" s="716"/>
      <c r="H342" s="669"/>
      <c r="I342" s="669"/>
      <c r="J342" s="669"/>
      <c r="K342" s="669"/>
      <c r="L342" s="669"/>
      <c r="M342" s="669"/>
      <c r="N342" s="669"/>
      <c r="O342" s="669"/>
      <c r="P342" s="669"/>
      <c r="Q342" s="669"/>
      <c r="R342" s="669"/>
      <c r="S342" s="669"/>
      <c r="T342" s="669"/>
      <c r="U342" s="669"/>
      <c r="V342" s="669"/>
      <c r="W342" s="669"/>
      <c r="X342" s="669"/>
      <c r="Y342" s="669"/>
      <c r="Z342" s="669"/>
      <c r="AA342" s="669"/>
    </row>
    <row r="343">
      <c r="A343" s="715"/>
      <c r="B343" s="669"/>
      <c r="C343" s="669"/>
      <c r="D343" s="669"/>
      <c r="E343" s="669"/>
      <c r="F343" s="669"/>
      <c r="G343" s="716"/>
      <c r="H343" s="669"/>
      <c r="I343" s="669"/>
      <c r="J343" s="669"/>
      <c r="K343" s="669"/>
      <c r="L343" s="669"/>
      <c r="M343" s="669"/>
      <c r="N343" s="669"/>
      <c r="O343" s="669"/>
      <c r="P343" s="669"/>
      <c r="Q343" s="669"/>
      <c r="R343" s="669"/>
      <c r="S343" s="669"/>
      <c r="T343" s="669"/>
      <c r="U343" s="669"/>
      <c r="V343" s="669"/>
      <c r="W343" s="669"/>
      <c r="X343" s="669"/>
      <c r="Y343" s="669"/>
      <c r="Z343" s="669"/>
      <c r="AA343" s="669"/>
    </row>
    <row r="344">
      <c r="A344" s="715"/>
      <c r="B344" s="669"/>
      <c r="C344" s="669"/>
      <c r="D344" s="669"/>
      <c r="E344" s="669"/>
      <c r="F344" s="669"/>
      <c r="G344" s="716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69"/>
    </row>
    <row r="345">
      <c r="A345" s="715"/>
      <c r="B345" s="669"/>
      <c r="C345" s="669"/>
      <c r="D345" s="669"/>
      <c r="E345" s="669"/>
      <c r="F345" s="669"/>
      <c r="G345" s="716"/>
      <c r="H345" s="669"/>
      <c r="I345" s="669"/>
      <c r="J345" s="669"/>
      <c r="K345" s="669"/>
      <c r="L345" s="669"/>
      <c r="M345" s="669"/>
      <c r="N345" s="669"/>
      <c r="O345" s="669"/>
      <c r="P345" s="669"/>
      <c r="Q345" s="669"/>
      <c r="R345" s="669"/>
      <c r="S345" s="669"/>
      <c r="T345" s="669"/>
      <c r="U345" s="669"/>
      <c r="V345" s="669"/>
      <c r="W345" s="669"/>
      <c r="X345" s="669"/>
      <c r="Y345" s="669"/>
      <c r="Z345" s="669"/>
      <c r="AA345" s="669"/>
    </row>
    <row r="346">
      <c r="A346" s="715"/>
      <c r="B346" s="669"/>
      <c r="C346" s="669"/>
      <c r="D346" s="669"/>
      <c r="E346" s="669"/>
      <c r="F346" s="669"/>
      <c r="G346" s="716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669"/>
    </row>
    <row r="347">
      <c r="A347" s="715"/>
      <c r="B347" s="669"/>
      <c r="C347" s="669"/>
      <c r="D347" s="669"/>
      <c r="E347" s="669"/>
      <c r="F347" s="669"/>
      <c r="G347" s="716"/>
      <c r="H347" s="669"/>
      <c r="I347" s="669"/>
      <c r="J347" s="669"/>
      <c r="K347" s="669"/>
      <c r="L347" s="669"/>
      <c r="M347" s="669"/>
      <c r="N347" s="669"/>
      <c r="O347" s="669"/>
      <c r="P347" s="669"/>
      <c r="Q347" s="669"/>
      <c r="R347" s="669"/>
      <c r="S347" s="669"/>
      <c r="T347" s="669"/>
      <c r="U347" s="669"/>
      <c r="V347" s="669"/>
      <c r="W347" s="669"/>
      <c r="X347" s="669"/>
      <c r="Y347" s="669"/>
      <c r="Z347" s="669"/>
      <c r="AA347" s="669"/>
    </row>
    <row r="348">
      <c r="A348" s="715"/>
      <c r="B348" s="669"/>
      <c r="C348" s="669"/>
      <c r="D348" s="669"/>
      <c r="E348" s="669"/>
      <c r="F348" s="669"/>
      <c r="G348" s="716"/>
      <c r="H348" s="669"/>
      <c r="I348" s="669"/>
      <c r="J348" s="669"/>
      <c r="K348" s="669"/>
      <c r="L348" s="669"/>
      <c r="M348" s="669"/>
      <c r="N348" s="669"/>
      <c r="O348" s="669"/>
      <c r="P348" s="669"/>
      <c r="Q348" s="669"/>
      <c r="R348" s="669"/>
      <c r="S348" s="669"/>
      <c r="T348" s="669"/>
      <c r="U348" s="669"/>
      <c r="V348" s="669"/>
      <c r="W348" s="669"/>
      <c r="X348" s="669"/>
      <c r="Y348" s="669"/>
      <c r="Z348" s="669"/>
      <c r="AA348" s="669"/>
    </row>
    <row r="349">
      <c r="A349" s="715"/>
      <c r="B349" s="669"/>
      <c r="C349" s="669"/>
      <c r="D349" s="669"/>
      <c r="E349" s="669"/>
      <c r="F349" s="669"/>
      <c r="G349" s="716"/>
      <c r="H349" s="669"/>
      <c r="I349" s="669"/>
      <c r="J349" s="669"/>
      <c r="K349" s="669"/>
      <c r="L349" s="669"/>
      <c r="M349" s="669"/>
      <c r="N349" s="669"/>
      <c r="O349" s="669"/>
      <c r="P349" s="669"/>
      <c r="Q349" s="669"/>
      <c r="R349" s="669"/>
      <c r="S349" s="669"/>
      <c r="T349" s="669"/>
      <c r="U349" s="669"/>
      <c r="V349" s="669"/>
      <c r="W349" s="669"/>
      <c r="X349" s="669"/>
      <c r="Y349" s="669"/>
      <c r="Z349" s="669"/>
      <c r="AA349" s="669"/>
    </row>
    <row r="350">
      <c r="A350" s="715"/>
      <c r="B350" s="669"/>
      <c r="C350" s="669"/>
      <c r="D350" s="669"/>
      <c r="E350" s="669"/>
      <c r="F350" s="669"/>
      <c r="G350" s="716"/>
      <c r="H350" s="669"/>
      <c r="I350" s="669"/>
      <c r="J350" s="669"/>
      <c r="K350" s="669"/>
      <c r="L350" s="669"/>
      <c r="M350" s="669"/>
      <c r="N350" s="669"/>
      <c r="O350" s="669"/>
      <c r="P350" s="669"/>
      <c r="Q350" s="669"/>
      <c r="R350" s="669"/>
      <c r="S350" s="669"/>
      <c r="T350" s="669"/>
      <c r="U350" s="669"/>
      <c r="V350" s="669"/>
      <c r="W350" s="669"/>
      <c r="X350" s="669"/>
      <c r="Y350" s="669"/>
      <c r="Z350" s="669"/>
      <c r="AA350" s="669"/>
    </row>
    <row r="351">
      <c r="A351" s="715"/>
      <c r="B351" s="669"/>
      <c r="C351" s="669"/>
      <c r="D351" s="669"/>
      <c r="E351" s="669"/>
      <c r="F351" s="669"/>
      <c r="G351" s="716"/>
      <c r="H351" s="669"/>
      <c r="I351" s="669"/>
      <c r="J351" s="669"/>
      <c r="K351" s="669"/>
      <c r="L351" s="669"/>
      <c r="M351" s="669"/>
      <c r="N351" s="669"/>
      <c r="O351" s="669"/>
      <c r="P351" s="669"/>
      <c r="Q351" s="669"/>
      <c r="R351" s="669"/>
      <c r="S351" s="669"/>
      <c r="T351" s="669"/>
      <c r="U351" s="669"/>
      <c r="V351" s="669"/>
      <c r="W351" s="669"/>
      <c r="X351" s="669"/>
      <c r="Y351" s="669"/>
      <c r="Z351" s="669"/>
      <c r="AA351" s="669"/>
    </row>
    <row r="352">
      <c r="A352" s="715"/>
      <c r="B352" s="669"/>
      <c r="C352" s="669"/>
      <c r="D352" s="669"/>
      <c r="E352" s="669"/>
      <c r="F352" s="669"/>
      <c r="G352" s="716"/>
      <c r="H352" s="669"/>
      <c r="I352" s="669"/>
      <c r="J352" s="669"/>
      <c r="K352" s="669"/>
      <c r="L352" s="669"/>
      <c r="M352" s="669"/>
      <c r="N352" s="669"/>
      <c r="O352" s="669"/>
      <c r="P352" s="669"/>
      <c r="Q352" s="669"/>
      <c r="R352" s="669"/>
      <c r="S352" s="669"/>
      <c r="T352" s="669"/>
      <c r="U352" s="669"/>
      <c r="V352" s="669"/>
      <c r="W352" s="669"/>
      <c r="X352" s="669"/>
      <c r="Y352" s="669"/>
      <c r="Z352" s="669"/>
      <c r="AA352" s="669"/>
    </row>
    <row r="353">
      <c r="A353" s="715"/>
      <c r="B353" s="669"/>
      <c r="C353" s="669"/>
      <c r="D353" s="669"/>
      <c r="E353" s="669"/>
      <c r="F353" s="669"/>
      <c r="G353" s="716"/>
      <c r="H353" s="669"/>
      <c r="I353" s="669"/>
      <c r="J353" s="669"/>
      <c r="K353" s="669"/>
      <c r="L353" s="669"/>
      <c r="M353" s="669"/>
      <c r="N353" s="669"/>
      <c r="O353" s="669"/>
      <c r="P353" s="669"/>
      <c r="Q353" s="669"/>
      <c r="R353" s="669"/>
      <c r="S353" s="669"/>
      <c r="T353" s="669"/>
      <c r="U353" s="669"/>
      <c r="V353" s="669"/>
      <c r="W353" s="669"/>
      <c r="X353" s="669"/>
      <c r="Y353" s="669"/>
      <c r="Z353" s="669"/>
      <c r="AA353" s="669"/>
    </row>
    <row r="354">
      <c r="A354" s="715"/>
      <c r="B354" s="669"/>
      <c r="C354" s="669"/>
      <c r="D354" s="669"/>
      <c r="E354" s="669"/>
      <c r="F354" s="669"/>
      <c r="G354" s="716"/>
      <c r="H354" s="669"/>
      <c r="I354" s="669"/>
      <c r="J354" s="669"/>
      <c r="K354" s="669"/>
      <c r="L354" s="669"/>
      <c r="M354" s="669"/>
      <c r="N354" s="669"/>
      <c r="O354" s="669"/>
      <c r="P354" s="669"/>
      <c r="Q354" s="669"/>
      <c r="R354" s="669"/>
      <c r="S354" s="669"/>
      <c r="T354" s="669"/>
      <c r="U354" s="669"/>
      <c r="V354" s="669"/>
      <c r="W354" s="669"/>
      <c r="X354" s="669"/>
      <c r="Y354" s="669"/>
      <c r="Z354" s="669"/>
      <c r="AA354" s="669"/>
    </row>
    <row r="355">
      <c r="A355" s="715"/>
      <c r="B355" s="669"/>
      <c r="C355" s="669"/>
      <c r="D355" s="669"/>
      <c r="E355" s="669"/>
      <c r="F355" s="669"/>
      <c r="G355" s="716"/>
      <c r="H355" s="669"/>
      <c r="I355" s="669"/>
      <c r="J355" s="669"/>
      <c r="K355" s="669"/>
      <c r="L355" s="669"/>
      <c r="M355" s="669"/>
      <c r="N355" s="669"/>
      <c r="O355" s="669"/>
      <c r="P355" s="669"/>
      <c r="Q355" s="669"/>
      <c r="R355" s="669"/>
      <c r="S355" s="669"/>
      <c r="T355" s="669"/>
      <c r="U355" s="669"/>
      <c r="V355" s="669"/>
      <c r="W355" s="669"/>
      <c r="X355" s="669"/>
      <c r="Y355" s="669"/>
      <c r="Z355" s="669"/>
      <c r="AA355" s="669"/>
    </row>
    <row r="356">
      <c r="A356" s="715"/>
      <c r="B356" s="669"/>
      <c r="C356" s="669"/>
      <c r="D356" s="669"/>
      <c r="E356" s="669"/>
      <c r="F356" s="669"/>
      <c r="G356" s="716"/>
      <c r="H356" s="669"/>
      <c r="I356" s="669"/>
      <c r="J356" s="669"/>
      <c r="K356" s="669"/>
      <c r="L356" s="669"/>
      <c r="M356" s="669"/>
      <c r="N356" s="669"/>
      <c r="O356" s="669"/>
      <c r="P356" s="669"/>
      <c r="Q356" s="669"/>
      <c r="R356" s="669"/>
      <c r="S356" s="669"/>
      <c r="T356" s="669"/>
      <c r="U356" s="669"/>
      <c r="V356" s="669"/>
      <c r="W356" s="669"/>
      <c r="X356" s="669"/>
      <c r="Y356" s="669"/>
      <c r="Z356" s="669"/>
      <c r="AA356" s="669"/>
    </row>
    <row r="357">
      <c r="A357" s="715"/>
      <c r="B357" s="669"/>
      <c r="C357" s="669"/>
      <c r="D357" s="669"/>
      <c r="E357" s="669"/>
      <c r="F357" s="669"/>
      <c r="G357" s="716"/>
      <c r="H357" s="669"/>
      <c r="I357" s="669"/>
      <c r="J357" s="669"/>
      <c r="K357" s="669"/>
      <c r="L357" s="669"/>
      <c r="M357" s="669"/>
      <c r="N357" s="669"/>
      <c r="O357" s="669"/>
      <c r="P357" s="669"/>
      <c r="Q357" s="669"/>
      <c r="R357" s="669"/>
      <c r="S357" s="669"/>
      <c r="T357" s="669"/>
      <c r="U357" s="669"/>
      <c r="V357" s="669"/>
      <c r="W357" s="669"/>
      <c r="X357" s="669"/>
      <c r="Y357" s="669"/>
      <c r="Z357" s="669"/>
      <c r="AA357" s="669"/>
    </row>
    <row r="358">
      <c r="A358" s="715"/>
      <c r="B358" s="669"/>
      <c r="C358" s="669"/>
      <c r="D358" s="669"/>
      <c r="E358" s="669"/>
      <c r="F358" s="669"/>
      <c r="G358" s="716"/>
      <c r="H358" s="669"/>
      <c r="I358" s="669"/>
      <c r="J358" s="669"/>
      <c r="K358" s="669"/>
      <c r="L358" s="669"/>
      <c r="M358" s="669"/>
      <c r="N358" s="669"/>
      <c r="O358" s="669"/>
      <c r="P358" s="669"/>
      <c r="Q358" s="669"/>
      <c r="R358" s="669"/>
      <c r="S358" s="669"/>
      <c r="T358" s="669"/>
      <c r="U358" s="669"/>
      <c r="V358" s="669"/>
      <c r="W358" s="669"/>
      <c r="X358" s="669"/>
      <c r="Y358" s="669"/>
      <c r="Z358" s="669"/>
      <c r="AA358" s="669"/>
    </row>
    <row r="359">
      <c r="A359" s="715"/>
      <c r="B359" s="669"/>
      <c r="C359" s="669"/>
      <c r="D359" s="669"/>
      <c r="E359" s="669"/>
      <c r="F359" s="669"/>
      <c r="G359" s="716"/>
      <c r="H359" s="669"/>
      <c r="I359" s="669"/>
      <c r="J359" s="669"/>
      <c r="K359" s="669"/>
      <c r="L359" s="669"/>
      <c r="M359" s="669"/>
      <c r="N359" s="669"/>
      <c r="O359" s="669"/>
      <c r="P359" s="669"/>
      <c r="Q359" s="669"/>
      <c r="R359" s="669"/>
      <c r="S359" s="669"/>
      <c r="T359" s="669"/>
      <c r="U359" s="669"/>
      <c r="V359" s="669"/>
      <c r="W359" s="669"/>
      <c r="X359" s="669"/>
      <c r="Y359" s="669"/>
      <c r="Z359" s="669"/>
      <c r="AA359" s="669"/>
    </row>
    <row r="360">
      <c r="A360" s="715"/>
      <c r="B360" s="669"/>
      <c r="C360" s="669"/>
      <c r="D360" s="669"/>
      <c r="E360" s="669"/>
      <c r="F360" s="669"/>
      <c r="G360" s="716"/>
      <c r="H360" s="669"/>
      <c r="I360" s="669"/>
      <c r="J360" s="669"/>
      <c r="K360" s="669"/>
      <c r="L360" s="669"/>
      <c r="M360" s="669"/>
      <c r="N360" s="669"/>
      <c r="O360" s="669"/>
      <c r="P360" s="669"/>
      <c r="Q360" s="669"/>
      <c r="R360" s="669"/>
      <c r="S360" s="669"/>
      <c r="T360" s="669"/>
      <c r="U360" s="669"/>
      <c r="V360" s="669"/>
      <c r="W360" s="669"/>
      <c r="X360" s="669"/>
      <c r="Y360" s="669"/>
      <c r="Z360" s="669"/>
      <c r="AA360" s="669"/>
    </row>
    <row r="361">
      <c r="A361" s="715"/>
      <c r="B361" s="669"/>
      <c r="C361" s="669"/>
      <c r="D361" s="669"/>
      <c r="E361" s="669"/>
      <c r="F361" s="669"/>
      <c r="G361" s="716"/>
      <c r="H361" s="669"/>
      <c r="I361" s="669"/>
      <c r="J361" s="669"/>
      <c r="K361" s="669"/>
      <c r="L361" s="669"/>
      <c r="M361" s="669"/>
      <c r="N361" s="669"/>
      <c r="O361" s="669"/>
      <c r="P361" s="669"/>
      <c r="Q361" s="669"/>
      <c r="R361" s="669"/>
      <c r="S361" s="669"/>
      <c r="T361" s="669"/>
      <c r="U361" s="669"/>
      <c r="V361" s="669"/>
      <c r="W361" s="669"/>
      <c r="X361" s="669"/>
      <c r="Y361" s="669"/>
      <c r="Z361" s="669"/>
      <c r="AA361" s="669"/>
    </row>
    <row r="362">
      <c r="A362" s="715"/>
      <c r="B362" s="669"/>
      <c r="C362" s="669"/>
      <c r="D362" s="669"/>
      <c r="E362" s="669"/>
      <c r="F362" s="669"/>
      <c r="G362" s="716"/>
      <c r="H362" s="669"/>
      <c r="I362" s="669"/>
      <c r="J362" s="669"/>
      <c r="K362" s="669"/>
      <c r="L362" s="669"/>
      <c r="M362" s="669"/>
      <c r="N362" s="669"/>
      <c r="O362" s="669"/>
      <c r="P362" s="669"/>
      <c r="Q362" s="669"/>
      <c r="R362" s="669"/>
      <c r="S362" s="669"/>
      <c r="T362" s="669"/>
      <c r="U362" s="669"/>
      <c r="V362" s="669"/>
      <c r="W362" s="669"/>
      <c r="X362" s="669"/>
      <c r="Y362" s="669"/>
      <c r="Z362" s="669"/>
      <c r="AA362" s="669"/>
    </row>
    <row r="363">
      <c r="A363" s="715"/>
      <c r="B363" s="669"/>
      <c r="C363" s="669"/>
      <c r="D363" s="669"/>
      <c r="E363" s="669"/>
      <c r="F363" s="669"/>
      <c r="G363" s="716"/>
      <c r="H363" s="669"/>
      <c r="I363" s="669"/>
      <c r="J363" s="669"/>
      <c r="K363" s="669"/>
      <c r="L363" s="669"/>
      <c r="M363" s="669"/>
      <c r="N363" s="669"/>
      <c r="O363" s="669"/>
      <c r="P363" s="669"/>
      <c r="Q363" s="669"/>
      <c r="R363" s="669"/>
      <c r="S363" s="669"/>
      <c r="T363" s="669"/>
      <c r="U363" s="669"/>
      <c r="V363" s="669"/>
      <c r="W363" s="669"/>
      <c r="X363" s="669"/>
      <c r="Y363" s="669"/>
      <c r="Z363" s="669"/>
      <c r="AA363" s="669"/>
    </row>
    <row r="364">
      <c r="A364" s="715"/>
      <c r="B364" s="669"/>
      <c r="C364" s="669"/>
      <c r="D364" s="669"/>
      <c r="E364" s="669"/>
      <c r="F364" s="669"/>
      <c r="G364" s="716"/>
      <c r="H364" s="669"/>
      <c r="I364" s="669"/>
      <c r="J364" s="669"/>
      <c r="K364" s="669"/>
      <c r="L364" s="669"/>
      <c r="M364" s="669"/>
      <c r="N364" s="669"/>
      <c r="O364" s="669"/>
      <c r="P364" s="669"/>
      <c r="Q364" s="669"/>
      <c r="R364" s="669"/>
      <c r="S364" s="669"/>
      <c r="T364" s="669"/>
      <c r="U364" s="669"/>
      <c r="V364" s="669"/>
      <c r="W364" s="669"/>
      <c r="X364" s="669"/>
      <c r="Y364" s="669"/>
      <c r="Z364" s="669"/>
      <c r="AA364" s="669"/>
    </row>
    <row r="365">
      <c r="A365" s="715"/>
      <c r="B365" s="669"/>
      <c r="C365" s="669"/>
      <c r="D365" s="669"/>
      <c r="E365" s="669"/>
      <c r="F365" s="669"/>
      <c r="G365" s="716"/>
      <c r="H365" s="669"/>
      <c r="I365" s="669"/>
      <c r="J365" s="669"/>
      <c r="K365" s="669"/>
      <c r="L365" s="669"/>
      <c r="M365" s="669"/>
      <c r="N365" s="669"/>
      <c r="O365" s="669"/>
      <c r="P365" s="669"/>
      <c r="Q365" s="669"/>
      <c r="R365" s="669"/>
      <c r="S365" s="669"/>
      <c r="T365" s="669"/>
      <c r="U365" s="669"/>
      <c r="V365" s="669"/>
      <c r="W365" s="669"/>
      <c r="X365" s="669"/>
      <c r="Y365" s="669"/>
      <c r="Z365" s="669"/>
      <c r="AA365" s="669"/>
    </row>
    <row r="366">
      <c r="A366" s="715"/>
      <c r="B366" s="669"/>
      <c r="C366" s="669"/>
      <c r="D366" s="669"/>
      <c r="E366" s="669"/>
      <c r="F366" s="669"/>
      <c r="G366" s="716"/>
      <c r="H366" s="669"/>
      <c r="I366" s="669"/>
      <c r="J366" s="669"/>
      <c r="K366" s="669"/>
      <c r="L366" s="669"/>
      <c r="M366" s="669"/>
      <c r="N366" s="669"/>
      <c r="O366" s="669"/>
      <c r="P366" s="669"/>
      <c r="Q366" s="669"/>
      <c r="R366" s="669"/>
      <c r="S366" s="669"/>
      <c r="T366" s="669"/>
      <c r="U366" s="669"/>
      <c r="V366" s="669"/>
      <c r="W366" s="669"/>
      <c r="X366" s="669"/>
      <c r="Y366" s="669"/>
      <c r="Z366" s="669"/>
      <c r="AA366" s="669"/>
    </row>
    <row r="367">
      <c r="A367" s="715"/>
      <c r="B367" s="669"/>
      <c r="C367" s="669"/>
      <c r="D367" s="669"/>
      <c r="E367" s="669"/>
      <c r="F367" s="669"/>
      <c r="G367" s="716"/>
      <c r="H367" s="669"/>
      <c r="I367" s="669"/>
      <c r="J367" s="669"/>
      <c r="K367" s="669"/>
      <c r="L367" s="669"/>
      <c r="M367" s="669"/>
      <c r="N367" s="669"/>
      <c r="O367" s="669"/>
      <c r="P367" s="669"/>
      <c r="Q367" s="669"/>
      <c r="R367" s="669"/>
      <c r="S367" s="669"/>
      <c r="T367" s="669"/>
      <c r="U367" s="669"/>
      <c r="V367" s="669"/>
      <c r="W367" s="669"/>
      <c r="X367" s="669"/>
      <c r="Y367" s="669"/>
      <c r="Z367" s="669"/>
      <c r="AA367" s="669"/>
    </row>
    <row r="368">
      <c r="A368" s="715"/>
      <c r="B368" s="669"/>
      <c r="C368" s="669"/>
      <c r="D368" s="669"/>
      <c r="E368" s="669"/>
      <c r="F368" s="669"/>
      <c r="G368" s="716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69"/>
    </row>
    <row r="369">
      <c r="A369" s="715"/>
      <c r="B369" s="669"/>
      <c r="C369" s="669"/>
      <c r="D369" s="669"/>
      <c r="E369" s="669"/>
      <c r="F369" s="669"/>
      <c r="G369" s="716"/>
      <c r="H369" s="669"/>
      <c r="I369" s="669"/>
      <c r="J369" s="669"/>
      <c r="K369" s="669"/>
      <c r="L369" s="669"/>
      <c r="M369" s="669"/>
      <c r="N369" s="669"/>
      <c r="O369" s="669"/>
      <c r="P369" s="669"/>
      <c r="Q369" s="669"/>
      <c r="R369" s="669"/>
      <c r="S369" s="669"/>
      <c r="T369" s="669"/>
      <c r="U369" s="669"/>
      <c r="V369" s="669"/>
      <c r="W369" s="669"/>
      <c r="X369" s="669"/>
      <c r="Y369" s="669"/>
      <c r="Z369" s="669"/>
      <c r="AA369" s="669"/>
    </row>
    <row r="370">
      <c r="A370" s="715"/>
      <c r="B370" s="669"/>
      <c r="C370" s="669"/>
      <c r="D370" s="669"/>
      <c r="E370" s="669"/>
      <c r="F370" s="669"/>
      <c r="G370" s="716"/>
      <c r="H370" s="669"/>
      <c r="I370" s="669"/>
      <c r="J370" s="669"/>
      <c r="K370" s="669"/>
      <c r="L370" s="669"/>
      <c r="M370" s="669"/>
      <c r="N370" s="669"/>
      <c r="O370" s="669"/>
      <c r="P370" s="669"/>
      <c r="Q370" s="669"/>
      <c r="R370" s="669"/>
      <c r="S370" s="669"/>
      <c r="T370" s="669"/>
      <c r="U370" s="669"/>
      <c r="V370" s="669"/>
      <c r="W370" s="669"/>
      <c r="X370" s="669"/>
      <c r="Y370" s="669"/>
      <c r="Z370" s="669"/>
      <c r="AA370" s="669"/>
    </row>
    <row r="371">
      <c r="A371" s="715"/>
      <c r="B371" s="669"/>
      <c r="C371" s="669"/>
      <c r="D371" s="669"/>
      <c r="E371" s="669"/>
      <c r="F371" s="669"/>
      <c r="G371" s="716"/>
      <c r="H371" s="669"/>
      <c r="I371" s="669"/>
      <c r="J371" s="669"/>
      <c r="K371" s="669"/>
      <c r="L371" s="669"/>
      <c r="M371" s="669"/>
      <c r="N371" s="669"/>
      <c r="O371" s="669"/>
      <c r="P371" s="669"/>
      <c r="Q371" s="669"/>
      <c r="R371" s="669"/>
      <c r="S371" s="669"/>
      <c r="T371" s="669"/>
      <c r="U371" s="669"/>
      <c r="V371" s="669"/>
      <c r="W371" s="669"/>
      <c r="X371" s="669"/>
      <c r="Y371" s="669"/>
      <c r="Z371" s="669"/>
      <c r="AA371" s="669"/>
    </row>
    <row r="372">
      <c r="A372" s="715"/>
      <c r="B372" s="669"/>
      <c r="C372" s="669"/>
      <c r="D372" s="669"/>
      <c r="E372" s="669"/>
      <c r="F372" s="669"/>
      <c r="G372" s="716"/>
      <c r="H372" s="669"/>
      <c r="I372" s="669"/>
      <c r="J372" s="669"/>
      <c r="K372" s="669"/>
      <c r="L372" s="669"/>
      <c r="M372" s="669"/>
      <c r="N372" s="669"/>
      <c r="O372" s="669"/>
      <c r="P372" s="669"/>
      <c r="Q372" s="669"/>
      <c r="R372" s="669"/>
      <c r="S372" s="669"/>
      <c r="T372" s="669"/>
      <c r="U372" s="669"/>
      <c r="V372" s="669"/>
      <c r="W372" s="669"/>
      <c r="X372" s="669"/>
      <c r="Y372" s="669"/>
      <c r="Z372" s="669"/>
      <c r="AA372" s="669"/>
    </row>
    <row r="373">
      <c r="A373" s="715"/>
      <c r="B373" s="669"/>
      <c r="C373" s="669"/>
      <c r="D373" s="669"/>
      <c r="E373" s="669"/>
      <c r="F373" s="669"/>
      <c r="G373" s="716"/>
      <c r="H373" s="669"/>
      <c r="I373" s="669"/>
      <c r="J373" s="669"/>
      <c r="K373" s="669"/>
      <c r="L373" s="669"/>
      <c r="M373" s="669"/>
      <c r="N373" s="669"/>
      <c r="O373" s="669"/>
      <c r="P373" s="669"/>
      <c r="Q373" s="669"/>
      <c r="R373" s="669"/>
      <c r="S373" s="669"/>
      <c r="T373" s="669"/>
      <c r="U373" s="669"/>
      <c r="V373" s="669"/>
      <c r="W373" s="669"/>
      <c r="X373" s="669"/>
      <c r="Y373" s="669"/>
      <c r="Z373" s="669"/>
      <c r="AA373" s="669"/>
    </row>
    <row r="374">
      <c r="A374" s="715"/>
      <c r="B374" s="669"/>
      <c r="C374" s="669"/>
      <c r="D374" s="669"/>
      <c r="E374" s="669"/>
      <c r="F374" s="669"/>
      <c r="G374" s="716"/>
      <c r="H374" s="669"/>
      <c r="I374" s="669"/>
      <c r="J374" s="669"/>
      <c r="K374" s="669"/>
      <c r="L374" s="669"/>
      <c r="M374" s="669"/>
      <c r="N374" s="669"/>
      <c r="O374" s="669"/>
      <c r="P374" s="669"/>
      <c r="Q374" s="669"/>
      <c r="R374" s="669"/>
      <c r="S374" s="669"/>
      <c r="T374" s="669"/>
      <c r="U374" s="669"/>
      <c r="V374" s="669"/>
      <c r="W374" s="669"/>
      <c r="X374" s="669"/>
      <c r="Y374" s="669"/>
      <c r="Z374" s="669"/>
      <c r="AA374" s="669"/>
    </row>
    <row r="375">
      <c r="A375" s="715"/>
      <c r="B375" s="669"/>
      <c r="C375" s="669"/>
      <c r="D375" s="669"/>
      <c r="E375" s="669"/>
      <c r="F375" s="669"/>
      <c r="G375" s="716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69"/>
    </row>
    <row r="376">
      <c r="A376" s="715"/>
      <c r="B376" s="669"/>
      <c r="C376" s="669"/>
      <c r="D376" s="669"/>
      <c r="E376" s="669"/>
      <c r="F376" s="669"/>
      <c r="G376" s="716"/>
      <c r="H376" s="669"/>
      <c r="I376" s="669"/>
      <c r="J376" s="669"/>
      <c r="K376" s="669"/>
      <c r="L376" s="669"/>
      <c r="M376" s="669"/>
      <c r="N376" s="669"/>
      <c r="O376" s="669"/>
      <c r="P376" s="669"/>
      <c r="Q376" s="669"/>
      <c r="R376" s="669"/>
      <c r="S376" s="669"/>
      <c r="T376" s="669"/>
      <c r="U376" s="669"/>
      <c r="V376" s="669"/>
      <c r="W376" s="669"/>
      <c r="X376" s="669"/>
      <c r="Y376" s="669"/>
      <c r="Z376" s="669"/>
      <c r="AA376" s="669"/>
    </row>
    <row r="377">
      <c r="A377" s="715"/>
      <c r="B377" s="669"/>
      <c r="C377" s="669"/>
      <c r="D377" s="669"/>
      <c r="E377" s="669"/>
      <c r="F377" s="669"/>
      <c r="G377" s="716"/>
      <c r="H377" s="669"/>
      <c r="I377" s="669"/>
      <c r="J377" s="669"/>
      <c r="K377" s="669"/>
      <c r="L377" s="669"/>
      <c r="M377" s="669"/>
      <c r="N377" s="669"/>
      <c r="O377" s="669"/>
      <c r="P377" s="669"/>
      <c r="Q377" s="669"/>
      <c r="R377" s="669"/>
      <c r="S377" s="669"/>
      <c r="T377" s="669"/>
      <c r="U377" s="669"/>
      <c r="V377" s="669"/>
      <c r="W377" s="669"/>
      <c r="X377" s="669"/>
      <c r="Y377" s="669"/>
      <c r="Z377" s="669"/>
      <c r="AA377" s="669"/>
    </row>
    <row r="378">
      <c r="A378" s="715"/>
      <c r="B378" s="669"/>
      <c r="C378" s="669"/>
      <c r="D378" s="669"/>
      <c r="E378" s="669"/>
      <c r="F378" s="669"/>
      <c r="G378" s="716"/>
      <c r="H378" s="669"/>
      <c r="I378" s="669"/>
      <c r="J378" s="669"/>
      <c r="K378" s="669"/>
      <c r="L378" s="669"/>
      <c r="M378" s="669"/>
      <c r="N378" s="669"/>
      <c r="O378" s="669"/>
      <c r="P378" s="669"/>
      <c r="Q378" s="669"/>
      <c r="R378" s="669"/>
      <c r="S378" s="669"/>
      <c r="T378" s="669"/>
      <c r="U378" s="669"/>
      <c r="V378" s="669"/>
      <c r="W378" s="669"/>
      <c r="X378" s="669"/>
      <c r="Y378" s="669"/>
      <c r="Z378" s="669"/>
      <c r="AA378" s="669"/>
    </row>
    <row r="379">
      <c r="A379" s="715"/>
      <c r="B379" s="669"/>
      <c r="C379" s="669"/>
      <c r="D379" s="669"/>
      <c r="E379" s="669"/>
      <c r="F379" s="669"/>
      <c r="G379" s="716"/>
      <c r="H379" s="669"/>
      <c r="I379" s="669"/>
      <c r="J379" s="669"/>
      <c r="K379" s="669"/>
      <c r="L379" s="669"/>
      <c r="M379" s="669"/>
      <c r="N379" s="669"/>
      <c r="O379" s="669"/>
      <c r="P379" s="669"/>
      <c r="Q379" s="669"/>
      <c r="R379" s="669"/>
      <c r="S379" s="669"/>
      <c r="T379" s="669"/>
      <c r="U379" s="669"/>
      <c r="V379" s="669"/>
      <c r="W379" s="669"/>
      <c r="X379" s="669"/>
      <c r="Y379" s="669"/>
      <c r="Z379" s="669"/>
      <c r="AA379" s="669"/>
    </row>
    <row r="380">
      <c r="A380" s="715"/>
      <c r="B380" s="669"/>
      <c r="C380" s="669"/>
      <c r="D380" s="669"/>
      <c r="E380" s="669"/>
      <c r="F380" s="669"/>
      <c r="G380" s="716"/>
      <c r="H380" s="669"/>
      <c r="I380" s="669"/>
      <c r="J380" s="669"/>
      <c r="K380" s="669"/>
      <c r="L380" s="669"/>
      <c r="M380" s="669"/>
      <c r="N380" s="669"/>
      <c r="O380" s="669"/>
      <c r="P380" s="669"/>
      <c r="Q380" s="669"/>
      <c r="R380" s="669"/>
      <c r="S380" s="669"/>
      <c r="T380" s="669"/>
      <c r="U380" s="669"/>
      <c r="V380" s="669"/>
      <c r="W380" s="669"/>
      <c r="X380" s="669"/>
      <c r="Y380" s="669"/>
      <c r="Z380" s="669"/>
      <c r="AA380" s="669"/>
    </row>
    <row r="381">
      <c r="A381" s="715"/>
      <c r="B381" s="669"/>
      <c r="C381" s="669"/>
      <c r="D381" s="669"/>
      <c r="E381" s="669"/>
      <c r="F381" s="669"/>
      <c r="G381" s="716"/>
      <c r="H381" s="669"/>
      <c r="I381" s="669"/>
      <c r="J381" s="669"/>
      <c r="K381" s="669"/>
      <c r="L381" s="669"/>
      <c r="M381" s="669"/>
      <c r="N381" s="669"/>
      <c r="O381" s="669"/>
      <c r="P381" s="669"/>
      <c r="Q381" s="669"/>
      <c r="R381" s="669"/>
      <c r="S381" s="669"/>
      <c r="T381" s="669"/>
      <c r="U381" s="669"/>
      <c r="V381" s="669"/>
      <c r="W381" s="669"/>
      <c r="X381" s="669"/>
      <c r="Y381" s="669"/>
      <c r="Z381" s="669"/>
      <c r="AA381" s="669"/>
    </row>
    <row r="382">
      <c r="A382" s="715"/>
      <c r="B382" s="669"/>
      <c r="C382" s="669"/>
      <c r="D382" s="669"/>
      <c r="E382" s="669"/>
      <c r="F382" s="669"/>
      <c r="G382" s="716"/>
      <c r="H382" s="669"/>
      <c r="I382" s="669"/>
      <c r="J382" s="669"/>
      <c r="K382" s="669"/>
      <c r="L382" s="669"/>
      <c r="M382" s="669"/>
      <c r="N382" s="669"/>
      <c r="O382" s="669"/>
      <c r="P382" s="669"/>
      <c r="Q382" s="669"/>
      <c r="R382" s="669"/>
      <c r="S382" s="669"/>
      <c r="T382" s="669"/>
      <c r="U382" s="669"/>
      <c r="V382" s="669"/>
      <c r="W382" s="669"/>
      <c r="X382" s="669"/>
      <c r="Y382" s="669"/>
      <c r="Z382" s="669"/>
      <c r="AA382" s="669"/>
    </row>
    <row r="383">
      <c r="A383" s="715"/>
      <c r="B383" s="669"/>
      <c r="C383" s="669"/>
      <c r="D383" s="669"/>
      <c r="E383" s="669"/>
      <c r="F383" s="669"/>
      <c r="G383" s="716"/>
      <c r="H383" s="669"/>
      <c r="I383" s="669"/>
      <c r="J383" s="669"/>
      <c r="K383" s="669"/>
      <c r="L383" s="669"/>
      <c r="M383" s="669"/>
      <c r="N383" s="669"/>
      <c r="O383" s="669"/>
      <c r="P383" s="669"/>
      <c r="Q383" s="669"/>
      <c r="R383" s="669"/>
      <c r="S383" s="669"/>
      <c r="T383" s="669"/>
      <c r="U383" s="669"/>
      <c r="V383" s="669"/>
      <c r="W383" s="669"/>
      <c r="X383" s="669"/>
      <c r="Y383" s="669"/>
      <c r="Z383" s="669"/>
      <c r="AA383" s="669"/>
    </row>
    <row r="384">
      <c r="A384" s="715"/>
      <c r="B384" s="669"/>
      <c r="C384" s="669"/>
      <c r="D384" s="669"/>
      <c r="E384" s="669"/>
      <c r="F384" s="669"/>
      <c r="G384" s="716"/>
      <c r="H384" s="669"/>
      <c r="I384" s="669"/>
      <c r="J384" s="669"/>
      <c r="K384" s="669"/>
      <c r="L384" s="669"/>
      <c r="M384" s="669"/>
      <c r="N384" s="669"/>
      <c r="O384" s="669"/>
      <c r="P384" s="669"/>
      <c r="Q384" s="669"/>
      <c r="R384" s="669"/>
      <c r="S384" s="669"/>
      <c r="T384" s="669"/>
      <c r="U384" s="669"/>
      <c r="V384" s="669"/>
      <c r="W384" s="669"/>
      <c r="X384" s="669"/>
      <c r="Y384" s="669"/>
      <c r="Z384" s="669"/>
      <c r="AA384" s="669"/>
    </row>
    <row r="385">
      <c r="A385" s="715"/>
      <c r="B385" s="669"/>
      <c r="C385" s="669"/>
      <c r="D385" s="669"/>
      <c r="E385" s="669"/>
      <c r="F385" s="669"/>
      <c r="G385" s="716"/>
      <c r="H385" s="669"/>
      <c r="I385" s="669"/>
      <c r="J385" s="669"/>
      <c r="K385" s="669"/>
      <c r="L385" s="669"/>
      <c r="M385" s="669"/>
      <c r="N385" s="669"/>
      <c r="O385" s="669"/>
      <c r="P385" s="669"/>
      <c r="Q385" s="669"/>
      <c r="R385" s="669"/>
      <c r="S385" s="669"/>
      <c r="T385" s="669"/>
      <c r="U385" s="669"/>
      <c r="V385" s="669"/>
      <c r="W385" s="669"/>
      <c r="X385" s="669"/>
      <c r="Y385" s="669"/>
      <c r="Z385" s="669"/>
      <c r="AA385" s="669"/>
    </row>
    <row r="386">
      <c r="A386" s="715"/>
      <c r="B386" s="669"/>
      <c r="C386" s="669"/>
      <c r="D386" s="669"/>
      <c r="E386" s="669"/>
      <c r="F386" s="669"/>
      <c r="G386" s="716"/>
      <c r="H386" s="669"/>
      <c r="I386" s="669"/>
      <c r="J386" s="669"/>
      <c r="K386" s="669"/>
      <c r="L386" s="669"/>
      <c r="M386" s="669"/>
      <c r="N386" s="669"/>
      <c r="O386" s="669"/>
      <c r="P386" s="669"/>
      <c r="Q386" s="669"/>
      <c r="R386" s="669"/>
      <c r="S386" s="669"/>
      <c r="T386" s="669"/>
      <c r="U386" s="669"/>
      <c r="V386" s="669"/>
      <c r="W386" s="669"/>
      <c r="X386" s="669"/>
      <c r="Y386" s="669"/>
      <c r="Z386" s="669"/>
      <c r="AA386" s="669"/>
    </row>
    <row r="387">
      <c r="A387" s="715"/>
      <c r="B387" s="669"/>
      <c r="C387" s="669"/>
      <c r="D387" s="669"/>
      <c r="E387" s="669"/>
      <c r="F387" s="669"/>
      <c r="G387" s="716"/>
      <c r="H387" s="669"/>
      <c r="I387" s="669"/>
      <c r="J387" s="669"/>
      <c r="K387" s="669"/>
      <c r="L387" s="669"/>
      <c r="M387" s="669"/>
      <c r="N387" s="669"/>
      <c r="O387" s="669"/>
      <c r="P387" s="669"/>
      <c r="Q387" s="669"/>
      <c r="R387" s="669"/>
      <c r="S387" s="669"/>
      <c r="T387" s="669"/>
      <c r="U387" s="669"/>
      <c r="V387" s="669"/>
      <c r="W387" s="669"/>
      <c r="X387" s="669"/>
      <c r="Y387" s="669"/>
      <c r="Z387" s="669"/>
      <c r="AA387" s="669"/>
    </row>
    <row r="388">
      <c r="A388" s="715"/>
      <c r="B388" s="669"/>
      <c r="C388" s="669"/>
      <c r="D388" s="669"/>
      <c r="E388" s="669"/>
      <c r="F388" s="669"/>
      <c r="G388" s="716"/>
      <c r="H388" s="669"/>
      <c r="I388" s="669"/>
      <c r="J388" s="669"/>
      <c r="K388" s="669"/>
      <c r="L388" s="669"/>
      <c r="M388" s="669"/>
      <c r="N388" s="669"/>
      <c r="O388" s="669"/>
      <c r="P388" s="669"/>
      <c r="Q388" s="669"/>
      <c r="R388" s="669"/>
      <c r="S388" s="669"/>
      <c r="T388" s="669"/>
      <c r="U388" s="669"/>
      <c r="V388" s="669"/>
      <c r="W388" s="669"/>
      <c r="X388" s="669"/>
      <c r="Y388" s="669"/>
      <c r="Z388" s="669"/>
      <c r="AA388" s="669"/>
    </row>
    <row r="389">
      <c r="A389" s="715"/>
      <c r="B389" s="669"/>
      <c r="C389" s="669"/>
      <c r="D389" s="669"/>
      <c r="E389" s="669"/>
      <c r="F389" s="669"/>
      <c r="G389" s="716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669"/>
    </row>
    <row r="390">
      <c r="A390" s="715"/>
      <c r="B390" s="669"/>
      <c r="C390" s="669"/>
      <c r="D390" s="669"/>
      <c r="E390" s="669"/>
      <c r="F390" s="669"/>
      <c r="G390" s="716"/>
      <c r="H390" s="669"/>
      <c r="I390" s="669"/>
      <c r="J390" s="669"/>
      <c r="K390" s="669"/>
      <c r="L390" s="669"/>
      <c r="M390" s="669"/>
      <c r="N390" s="669"/>
      <c r="O390" s="669"/>
      <c r="P390" s="669"/>
      <c r="Q390" s="669"/>
      <c r="R390" s="669"/>
      <c r="S390" s="669"/>
      <c r="T390" s="669"/>
      <c r="U390" s="669"/>
      <c r="V390" s="669"/>
      <c r="W390" s="669"/>
      <c r="X390" s="669"/>
      <c r="Y390" s="669"/>
      <c r="Z390" s="669"/>
      <c r="AA390" s="669"/>
    </row>
    <row r="391">
      <c r="A391" s="715"/>
      <c r="B391" s="669"/>
      <c r="C391" s="669"/>
      <c r="D391" s="669"/>
      <c r="E391" s="669"/>
      <c r="F391" s="669"/>
      <c r="G391" s="716"/>
      <c r="H391" s="669"/>
      <c r="I391" s="669"/>
      <c r="J391" s="669"/>
      <c r="K391" s="669"/>
      <c r="L391" s="669"/>
      <c r="M391" s="669"/>
      <c r="N391" s="669"/>
      <c r="O391" s="669"/>
      <c r="P391" s="669"/>
      <c r="Q391" s="669"/>
      <c r="R391" s="669"/>
      <c r="S391" s="669"/>
      <c r="T391" s="669"/>
      <c r="U391" s="669"/>
      <c r="V391" s="669"/>
      <c r="W391" s="669"/>
      <c r="X391" s="669"/>
      <c r="Y391" s="669"/>
      <c r="Z391" s="669"/>
      <c r="AA391" s="669"/>
    </row>
    <row r="392">
      <c r="A392" s="715"/>
      <c r="B392" s="669"/>
      <c r="C392" s="669"/>
      <c r="D392" s="669"/>
      <c r="E392" s="669"/>
      <c r="F392" s="669"/>
      <c r="G392" s="716"/>
      <c r="H392" s="669"/>
      <c r="I392" s="669"/>
      <c r="J392" s="669"/>
      <c r="K392" s="669"/>
      <c r="L392" s="669"/>
      <c r="M392" s="669"/>
      <c r="N392" s="669"/>
      <c r="O392" s="669"/>
      <c r="P392" s="669"/>
      <c r="Q392" s="669"/>
      <c r="R392" s="669"/>
      <c r="S392" s="669"/>
      <c r="T392" s="669"/>
      <c r="U392" s="669"/>
      <c r="V392" s="669"/>
      <c r="W392" s="669"/>
      <c r="X392" s="669"/>
      <c r="Y392" s="669"/>
      <c r="Z392" s="669"/>
      <c r="AA392" s="669"/>
    </row>
    <row r="393">
      <c r="A393" s="715"/>
      <c r="B393" s="669"/>
      <c r="C393" s="669"/>
      <c r="D393" s="669"/>
      <c r="E393" s="669"/>
      <c r="F393" s="669"/>
      <c r="G393" s="716"/>
      <c r="H393" s="669"/>
      <c r="I393" s="669"/>
      <c r="J393" s="669"/>
      <c r="K393" s="669"/>
      <c r="L393" s="669"/>
      <c r="M393" s="669"/>
      <c r="N393" s="669"/>
      <c r="O393" s="669"/>
      <c r="P393" s="669"/>
      <c r="Q393" s="669"/>
      <c r="R393" s="669"/>
      <c r="S393" s="669"/>
      <c r="T393" s="669"/>
      <c r="U393" s="669"/>
      <c r="V393" s="669"/>
      <c r="W393" s="669"/>
      <c r="X393" s="669"/>
      <c r="Y393" s="669"/>
      <c r="Z393" s="669"/>
      <c r="AA393" s="669"/>
    </row>
    <row r="394">
      <c r="A394" s="715"/>
      <c r="B394" s="669"/>
      <c r="C394" s="669"/>
      <c r="D394" s="669"/>
      <c r="E394" s="669"/>
      <c r="F394" s="669"/>
      <c r="G394" s="716"/>
      <c r="H394" s="669"/>
      <c r="I394" s="669"/>
      <c r="J394" s="669"/>
      <c r="K394" s="669"/>
      <c r="L394" s="669"/>
      <c r="M394" s="669"/>
      <c r="N394" s="669"/>
      <c r="O394" s="669"/>
      <c r="P394" s="669"/>
      <c r="Q394" s="669"/>
      <c r="R394" s="669"/>
      <c r="S394" s="669"/>
      <c r="T394" s="669"/>
      <c r="U394" s="669"/>
      <c r="V394" s="669"/>
      <c r="W394" s="669"/>
      <c r="X394" s="669"/>
      <c r="Y394" s="669"/>
      <c r="Z394" s="669"/>
      <c r="AA394" s="669"/>
    </row>
    <row r="395">
      <c r="A395" s="715"/>
      <c r="B395" s="669"/>
      <c r="C395" s="669"/>
      <c r="D395" s="669"/>
      <c r="E395" s="669"/>
      <c r="F395" s="669"/>
      <c r="G395" s="716"/>
      <c r="H395" s="669"/>
      <c r="I395" s="669"/>
      <c r="J395" s="669"/>
      <c r="K395" s="669"/>
      <c r="L395" s="669"/>
      <c r="M395" s="669"/>
      <c r="N395" s="669"/>
      <c r="O395" s="669"/>
      <c r="P395" s="669"/>
      <c r="Q395" s="669"/>
      <c r="R395" s="669"/>
      <c r="S395" s="669"/>
      <c r="T395" s="669"/>
      <c r="U395" s="669"/>
      <c r="V395" s="669"/>
      <c r="W395" s="669"/>
      <c r="X395" s="669"/>
      <c r="Y395" s="669"/>
      <c r="Z395" s="669"/>
      <c r="AA395" s="669"/>
    </row>
    <row r="396">
      <c r="A396" s="715"/>
      <c r="B396" s="669"/>
      <c r="C396" s="669"/>
      <c r="D396" s="669"/>
      <c r="E396" s="669"/>
      <c r="F396" s="669"/>
      <c r="G396" s="716"/>
      <c r="H396" s="669"/>
      <c r="I396" s="669"/>
      <c r="J396" s="669"/>
      <c r="K396" s="669"/>
      <c r="L396" s="669"/>
      <c r="M396" s="669"/>
      <c r="N396" s="669"/>
      <c r="O396" s="669"/>
      <c r="P396" s="669"/>
      <c r="Q396" s="669"/>
      <c r="R396" s="669"/>
      <c r="S396" s="669"/>
      <c r="T396" s="669"/>
      <c r="U396" s="669"/>
      <c r="V396" s="669"/>
      <c r="W396" s="669"/>
      <c r="X396" s="669"/>
      <c r="Y396" s="669"/>
      <c r="Z396" s="669"/>
      <c r="AA396" s="669"/>
    </row>
    <row r="397">
      <c r="A397" s="715"/>
      <c r="B397" s="669"/>
      <c r="C397" s="669"/>
      <c r="D397" s="669"/>
      <c r="E397" s="669"/>
      <c r="F397" s="669"/>
      <c r="G397" s="716"/>
      <c r="H397" s="669"/>
      <c r="I397" s="669"/>
      <c r="J397" s="669"/>
      <c r="K397" s="669"/>
      <c r="L397" s="669"/>
      <c r="M397" s="669"/>
      <c r="N397" s="669"/>
      <c r="O397" s="669"/>
      <c r="P397" s="669"/>
      <c r="Q397" s="669"/>
      <c r="R397" s="669"/>
      <c r="S397" s="669"/>
      <c r="T397" s="669"/>
      <c r="U397" s="669"/>
      <c r="V397" s="669"/>
      <c r="W397" s="669"/>
      <c r="X397" s="669"/>
      <c r="Y397" s="669"/>
      <c r="Z397" s="669"/>
      <c r="AA397" s="669"/>
    </row>
    <row r="398">
      <c r="A398" s="715"/>
      <c r="B398" s="669"/>
      <c r="C398" s="669"/>
      <c r="D398" s="669"/>
      <c r="E398" s="669"/>
      <c r="F398" s="669"/>
      <c r="G398" s="716"/>
      <c r="H398" s="669"/>
      <c r="I398" s="669"/>
      <c r="J398" s="669"/>
      <c r="K398" s="669"/>
      <c r="L398" s="669"/>
      <c r="M398" s="669"/>
      <c r="N398" s="669"/>
      <c r="O398" s="669"/>
      <c r="P398" s="669"/>
      <c r="Q398" s="669"/>
      <c r="R398" s="669"/>
      <c r="S398" s="669"/>
      <c r="T398" s="669"/>
      <c r="U398" s="669"/>
      <c r="V398" s="669"/>
      <c r="W398" s="669"/>
      <c r="X398" s="669"/>
      <c r="Y398" s="669"/>
      <c r="Z398" s="669"/>
      <c r="AA398" s="669"/>
    </row>
    <row r="399">
      <c r="A399" s="715"/>
      <c r="B399" s="669"/>
      <c r="C399" s="669"/>
      <c r="D399" s="669"/>
      <c r="E399" s="669"/>
      <c r="F399" s="669"/>
      <c r="G399" s="716"/>
      <c r="H399" s="669"/>
      <c r="I399" s="669"/>
      <c r="J399" s="669"/>
      <c r="K399" s="669"/>
      <c r="L399" s="669"/>
      <c r="M399" s="669"/>
      <c r="N399" s="669"/>
      <c r="O399" s="669"/>
      <c r="P399" s="669"/>
      <c r="Q399" s="669"/>
      <c r="R399" s="669"/>
      <c r="S399" s="669"/>
      <c r="T399" s="669"/>
      <c r="U399" s="669"/>
      <c r="V399" s="669"/>
      <c r="W399" s="669"/>
      <c r="X399" s="669"/>
      <c r="Y399" s="669"/>
      <c r="Z399" s="669"/>
      <c r="AA399" s="669"/>
    </row>
    <row r="400">
      <c r="A400" s="715"/>
      <c r="B400" s="669"/>
      <c r="C400" s="669"/>
      <c r="D400" s="669"/>
      <c r="E400" s="669"/>
      <c r="F400" s="669"/>
      <c r="G400" s="716"/>
      <c r="H400" s="669"/>
      <c r="I400" s="669"/>
      <c r="J400" s="669"/>
      <c r="K400" s="669"/>
      <c r="L400" s="669"/>
      <c r="M400" s="669"/>
      <c r="N400" s="669"/>
      <c r="O400" s="669"/>
      <c r="P400" s="669"/>
      <c r="Q400" s="669"/>
      <c r="R400" s="669"/>
      <c r="S400" s="669"/>
      <c r="T400" s="669"/>
      <c r="U400" s="669"/>
      <c r="V400" s="669"/>
      <c r="W400" s="669"/>
      <c r="X400" s="669"/>
      <c r="Y400" s="669"/>
      <c r="Z400" s="669"/>
      <c r="AA400" s="669"/>
    </row>
    <row r="401">
      <c r="A401" s="715"/>
      <c r="B401" s="669"/>
      <c r="C401" s="669"/>
      <c r="D401" s="669"/>
      <c r="E401" s="669"/>
      <c r="F401" s="669"/>
      <c r="G401" s="716"/>
      <c r="H401" s="669"/>
      <c r="I401" s="669"/>
      <c r="J401" s="669"/>
      <c r="K401" s="669"/>
      <c r="L401" s="669"/>
      <c r="M401" s="669"/>
      <c r="N401" s="669"/>
      <c r="O401" s="669"/>
      <c r="P401" s="669"/>
      <c r="Q401" s="669"/>
      <c r="R401" s="669"/>
      <c r="S401" s="669"/>
      <c r="T401" s="669"/>
      <c r="U401" s="669"/>
      <c r="V401" s="669"/>
      <c r="W401" s="669"/>
      <c r="X401" s="669"/>
      <c r="Y401" s="669"/>
      <c r="Z401" s="669"/>
      <c r="AA401" s="669"/>
    </row>
    <row r="402">
      <c r="A402" s="715"/>
      <c r="B402" s="669"/>
      <c r="C402" s="669"/>
      <c r="D402" s="669"/>
      <c r="E402" s="669"/>
      <c r="F402" s="669"/>
      <c r="G402" s="716"/>
      <c r="H402" s="669"/>
      <c r="I402" s="669"/>
      <c r="J402" s="669"/>
      <c r="K402" s="669"/>
      <c r="L402" s="669"/>
      <c r="M402" s="669"/>
      <c r="N402" s="669"/>
      <c r="O402" s="669"/>
      <c r="P402" s="669"/>
      <c r="Q402" s="669"/>
      <c r="R402" s="669"/>
      <c r="S402" s="669"/>
      <c r="T402" s="669"/>
      <c r="U402" s="669"/>
      <c r="V402" s="669"/>
      <c r="W402" s="669"/>
      <c r="X402" s="669"/>
      <c r="Y402" s="669"/>
      <c r="Z402" s="669"/>
      <c r="AA402" s="669"/>
    </row>
    <row r="403">
      <c r="A403" s="715"/>
      <c r="B403" s="669"/>
      <c r="C403" s="669"/>
      <c r="D403" s="669"/>
      <c r="E403" s="669"/>
      <c r="F403" s="669"/>
      <c r="G403" s="716"/>
      <c r="H403" s="669"/>
      <c r="I403" s="669"/>
      <c r="J403" s="669"/>
      <c r="K403" s="669"/>
      <c r="L403" s="669"/>
      <c r="M403" s="669"/>
      <c r="N403" s="669"/>
      <c r="O403" s="669"/>
      <c r="P403" s="669"/>
      <c r="Q403" s="669"/>
      <c r="R403" s="669"/>
      <c r="S403" s="669"/>
      <c r="T403" s="669"/>
      <c r="U403" s="669"/>
      <c r="V403" s="669"/>
      <c r="W403" s="669"/>
      <c r="X403" s="669"/>
      <c r="Y403" s="669"/>
      <c r="Z403" s="669"/>
      <c r="AA403" s="669"/>
    </row>
    <row r="404">
      <c r="A404" s="715"/>
      <c r="B404" s="669"/>
      <c r="C404" s="669"/>
      <c r="D404" s="669"/>
      <c r="E404" s="669"/>
      <c r="F404" s="669"/>
      <c r="G404" s="716"/>
      <c r="H404" s="669"/>
      <c r="I404" s="669"/>
      <c r="J404" s="669"/>
      <c r="K404" s="669"/>
      <c r="L404" s="669"/>
      <c r="M404" s="669"/>
      <c r="N404" s="669"/>
      <c r="O404" s="669"/>
      <c r="P404" s="669"/>
      <c r="Q404" s="669"/>
      <c r="R404" s="669"/>
      <c r="S404" s="669"/>
      <c r="T404" s="669"/>
      <c r="U404" s="669"/>
      <c r="V404" s="669"/>
      <c r="W404" s="669"/>
      <c r="X404" s="669"/>
      <c r="Y404" s="669"/>
      <c r="Z404" s="669"/>
      <c r="AA404" s="669"/>
    </row>
    <row r="405">
      <c r="A405" s="715"/>
      <c r="B405" s="669"/>
      <c r="C405" s="669"/>
      <c r="D405" s="669"/>
      <c r="E405" s="669"/>
      <c r="F405" s="669"/>
      <c r="G405" s="716"/>
      <c r="H405" s="669"/>
      <c r="I405" s="669"/>
      <c r="J405" s="669"/>
      <c r="K405" s="669"/>
      <c r="L405" s="669"/>
      <c r="M405" s="669"/>
      <c r="N405" s="669"/>
      <c r="O405" s="669"/>
      <c r="P405" s="669"/>
      <c r="Q405" s="669"/>
      <c r="R405" s="669"/>
      <c r="S405" s="669"/>
      <c r="T405" s="669"/>
      <c r="U405" s="669"/>
      <c r="V405" s="669"/>
      <c r="W405" s="669"/>
      <c r="X405" s="669"/>
      <c r="Y405" s="669"/>
      <c r="Z405" s="669"/>
      <c r="AA405" s="669"/>
    </row>
    <row r="406">
      <c r="A406" s="715"/>
      <c r="B406" s="669"/>
      <c r="C406" s="669"/>
      <c r="D406" s="669"/>
      <c r="E406" s="669"/>
      <c r="F406" s="669"/>
      <c r="G406" s="716"/>
      <c r="H406" s="669"/>
      <c r="I406" s="669"/>
      <c r="J406" s="669"/>
      <c r="K406" s="669"/>
      <c r="L406" s="669"/>
      <c r="M406" s="669"/>
      <c r="N406" s="669"/>
      <c r="O406" s="669"/>
      <c r="P406" s="669"/>
      <c r="Q406" s="669"/>
      <c r="R406" s="669"/>
      <c r="S406" s="669"/>
      <c r="T406" s="669"/>
      <c r="U406" s="669"/>
      <c r="V406" s="669"/>
      <c r="W406" s="669"/>
      <c r="X406" s="669"/>
      <c r="Y406" s="669"/>
      <c r="Z406" s="669"/>
      <c r="AA406" s="669"/>
    </row>
    <row r="407">
      <c r="A407" s="715"/>
      <c r="B407" s="669"/>
      <c r="C407" s="669"/>
      <c r="D407" s="669"/>
      <c r="E407" s="669"/>
      <c r="F407" s="669"/>
      <c r="G407" s="716"/>
      <c r="H407" s="669"/>
      <c r="I407" s="669"/>
      <c r="J407" s="669"/>
      <c r="K407" s="669"/>
      <c r="L407" s="669"/>
      <c r="M407" s="669"/>
      <c r="N407" s="669"/>
      <c r="O407" s="669"/>
      <c r="P407" s="669"/>
      <c r="Q407" s="669"/>
      <c r="R407" s="669"/>
      <c r="S407" s="669"/>
      <c r="T407" s="669"/>
      <c r="U407" s="669"/>
      <c r="V407" s="669"/>
      <c r="W407" s="669"/>
      <c r="X407" s="669"/>
      <c r="Y407" s="669"/>
      <c r="Z407" s="669"/>
      <c r="AA407" s="669"/>
    </row>
    <row r="408">
      <c r="A408" s="715"/>
      <c r="B408" s="669"/>
      <c r="C408" s="669"/>
      <c r="D408" s="669"/>
      <c r="E408" s="669"/>
      <c r="F408" s="669"/>
      <c r="G408" s="716"/>
      <c r="H408" s="669"/>
      <c r="I408" s="669"/>
      <c r="J408" s="669"/>
      <c r="K408" s="669"/>
      <c r="L408" s="669"/>
      <c r="M408" s="669"/>
      <c r="N408" s="669"/>
      <c r="O408" s="669"/>
      <c r="P408" s="669"/>
      <c r="Q408" s="669"/>
      <c r="R408" s="669"/>
      <c r="S408" s="669"/>
      <c r="T408" s="669"/>
      <c r="U408" s="669"/>
      <c r="V408" s="669"/>
      <c r="W408" s="669"/>
      <c r="X408" s="669"/>
      <c r="Y408" s="669"/>
      <c r="Z408" s="669"/>
      <c r="AA408" s="669"/>
    </row>
    <row r="409">
      <c r="A409" s="715"/>
      <c r="B409" s="669"/>
      <c r="C409" s="669"/>
      <c r="D409" s="669"/>
      <c r="E409" s="669"/>
      <c r="F409" s="669"/>
      <c r="G409" s="716"/>
      <c r="H409" s="669"/>
      <c r="I409" s="669"/>
      <c r="J409" s="669"/>
      <c r="K409" s="669"/>
      <c r="L409" s="669"/>
      <c r="M409" s="669"/>
      <c r="N409" s="669"/>
      <c r="O409" s="669"/>
      <c r="P409" s="669"/>
      <c r="Q409" s="669"/>
      <c r="R409" s="669"/>
      <c r="S409" s="669"/>
      <c r="T409" s="669"/>
      <c r="U409" s="669"/>
      <c r="V409" s="669"/>
      <c r="W409" s="669"/>
      <c r="X409" s="669"/>
      <c r="Y409" s="669"/>
      <c r="Z409" s="669"/>
      <c r="AA409" s="669"/>
    </row>
    <row r="410">
      <c r="A410" s="715"/>
      <c r="B410" s="669"/>
      <c r="C410" s="669"/>
      <c r="D410" s="669"/>
      <c r="E410" s="669"/>
      <c r="F410" s="669"/>
      <c r="G410" s="716"/>
      <c r="H410" s="669"/>
      <c r="I410" s="669"/>
      <c r="J410" s="669"/>
      <c r="K410" s="669"/>
      <c r="L410" s="669"/>
      <c r="M410" s="669"/>
      <c r="N410" s="669"/>
      <c r="O410" s="669"/>
      <c r="P410" s="669"/>
      <c r="Q410" s="669"/>
      <c r="R410" s="669"/>
      <c r="S410" s="669"/>
      <c r="T410" s="669"/>
      <c r="U410" s="669"/>
      <c r="V410" s="669"/>
      <c r="W410" s="669"/>
      <c r="X410" s="669"/>
      <c r="Y410" s="669"/>
      <c r="Z410" s="669"/>
      <c r="AA410" s="669"/>
    </row>
    <row r="411">
      <c r="A411" s="715"/>
      <c r="B411" s="669"/>
      <c r="C411" s="669"/>
      <c r="D411" s="669"/>
      <c r="E411" s="669"/>
      <c r="F411" s="669"/>
      <c r="G411" s="716"/>
      <c r="H411" s="669"/>
      <c r="I411" s="669"/>
      <c r="J411" s="669"/>
      <c r="K411" s="669"/>
      <c r="L411" s="669"/>
      <c r="M411" s="669"/>
      <c r="N411" s="669"/>
      <c r="O411" s="669"/>
      <c r="P411" s="669"/>
      <c r="Q411" s="669"/>
      <c r="R411" s="669"/>
      <c r="S411" s="669"/>
      <c r="T411" s="669"/>
      <c r="U411" s="669"/>
      <c r="V411" s="669"/>
      <c r="W411" s="669"/>
      <c r="X411" s="669"/>
      <c r="Y411" s="669"/>
      <c r="Z411" s="669"/>
      <c r="AA411" s="669"/>
    </row>
    <row r="412">
      <c r="A412" s="715"/>
      <c r="B412" s="669"/>
      <c r="C412" s="669"/>
      <c r="D412" s="669"/>
      <c r="E412" s="669"/>
      <c r="F412" s="669"/>
      <c r="G412" s="716"/>
      <c r="H412" s="669"/>
      <c r="I412" s="669"/>
      <c r="J412" s="669"/>
      <c r="K412" s="669"/>
      <c r="L412" s="669"/>
      <c r="M412" s="669"/>
      <c r="N412" s="669"/>
      <c r="O412" s="669"/>
      <c r="P412" s="669"/>
      <c r="Q412" s="669"/>
      <c r="R412" s="669"/>
      <c r="S412" s="669"/>
      <c r="T412" s="669"/>
      <c r="U412" s="669"/>
      <c r="V412" s="669"/>
      <c r="W412" s="669"/>
      <c r="X412" s="669"/>
      <c r="Y412" s="669"/>
      <c r="Z412" s="669"/>
      <c r="AA412" s="669"/>
    </row>
    <row r="413">
      <c r="A413" s="715"/>
      <c r="B413" s="669"/>
      <c r="C413" s="669"/>
      <c r="D413" s="669"/>
      <c r="E413" s="669"/>
      <c r="F413" s="669"/>
      <c r="G413" s="716"/>
      <c r="H413" s="669"/>
      <c r="I413" s="669"/>
      <c r="J413" s="669"/>
      <c r="K413" s="669"/>
      <c r="L413" s="669"/>
      <c r="M413" s="669"/>
      <c r="N413" s="669"/>
      <c r="O413" s="669"/>
      <c r="P413" s="669"/>
      <c r="Q413" s="669"/>
      <c r="R413" s="669"/>
      <c r="S413" s="669"/>
      <c r="T413" s="669"/>
      <c r="U413" s="669"/>
      <c r="V413" s="669"/>
      <c r="W413" s="669"/>
      <c r="X413" s="669"/>
      <c r="Y413" s="669"/>
      <c r="Z413" s="669"/>
      <c r="AA413" s="669"/>
    </row>
    <row r="414">
      <c r="A414" s="715"/>
      <c r="B414" s="669"/>
      <c r="C414" s="669"/>
      <c r="D414" s="669"/>
      <c r="E414" s="669"/>
      <c r="F414" s="669"/>
      <c r="G414" s="716"/>
      <c r="H414" s="669"/>
      <c r="I414" s="669"/>
      <c r="J414" s="669"/>
      <c r="K414" s="669"/>
      <c r="L414" s="669"/>
      <c r="M414" s="669"/>
      <c r="N414" s="669"/>
      <c r="O414" s="669"/>
      <c r="P414" s="669"/>
      <c r="Q414" s="669"/>
      <c r="R414" s="669"/>
      <c r="S414" s="669"/>
      <c r="T414" s="669"/>
      <c r="U414" s="669"/>
      <c r="V414" s="669"/>
      <c r="W414" s="669"/>
      <c r="X414" s="669"/>
      <c r="Y414" s="669"/>
      <c r="Z414" s="669"/>
      <c r="AA414" s="669"/>
    </row>
    <row r="415">
      <c r="A415" s="715"/>
      <c r="B415" s="669"/>
      <c r="C415" s="669"/>
      <c r="D415" s="669"/>
      <c r="E415" s="669"/>
      <c r="F415" s="669"/>
      <c r="G415" s="716"/>
      <c r="H415" s="669"/>
      <c r="I415" s="669"/>
      <c r="J415" s="669"/>
      <c r="K415" s="669"/>
      <c r="L415" s="669"/>
      <c r="M415" s="669"/>
      <c r="N415" s="669"/>
      <c r="O415" s="669"/>
      <c r="P415" s="669"/>
      <c r="Q415" s="669"/>
      <c r="R415" s="669"/>
      <c r="S415" s="669"/>
      <c r="T415" s="669"/>
      <c r="U415" s="669"/>
      <c r="V415" s="669"/>
      <c r="W415" s="669"/>
      <c r="X415" s="669"/>
      <c r="Y415" s="669"/>
      <c r="Z415" s="669"/>
      <c r="AA415" s="669"/>
    </row>
    <row r="416">
      <c r="A416" s="715"/>
      <c r="B416" s="669"/>
      <c r="C416" s="669"/>
      <c r="D416" s="669"/>
      <c r="E416" s="669"/>
      <c r="F416" s="669"/>
      <c r="G416" s="716"/>
      <c r="H416" s="669"/>
      <c r="I416" s="669"/>
      <c r="J416" s="669"/>
      <c r="K416" s="669"/>
      <c r="L416" s="669"/>
      <c r="M416" s="669"/>
      <c r="N416" s="669"/>
      <c r="O416" s="669"/>
      <c r="P416" s="669"/>
      <c r="Q416" s="669"/>
      <c r="R416" s="669"/>
      <c r="S416" s="669"/>
      <c r="T416" s="669"/>
      <c r="U416" s="669"/>
      <c r="V416" s="669"/>
      <c r="W416" s="669"/>
      <c r="X416" s="669"/>
      <c r="Y416" s="669"/>
      <c r="Z416" s="669"/>
      <c r="AA416" s="669"/>
    </row>
    <row r="417">
      <c r="A417" s="715"/>
      <c r="B417" s="669"/>
      <c r="C417" s="669"/>
      <c r="D417" s="669"/>
      <c r="E417" s="669"/>
      <c r="F417" s="669"/>
      <c r="G417" s="716"/>
      <c r="H417" s="669"/>
      <c r="I417" s="669"/>
      <c r="J417" s="669"/>
      <c r="K417" s="669"/>
      <c r="L417" s="669"/>
      <c r="M417" s="669"/>
      <c r="N417" s="669"/>
      <c r="O417" s="669"/>
      <c r="P417" s="669"/>
      <c r="Q417" s="669"/>
      <c r="R417" s="669"/>
      <c r="S417" s="669"/>
      <c r="T417" s="669"/>
      <c r="U417" s="669"/>
      <c r="V417" s="669"/>
      <c r="W417" s="669"/>
      <c r="X417" s="669"/>
      <c r="Y417" s="669"/>
      <c r="Z417" s="669"/>
      <c r="AA417" s="669"/>
    </row>
    <row r="418">
      <c r="A418" s="715"/>
      <c r="B418" s="669"/>
      <c r="C418" s="669"/>
      <c r="D418" s="669"/>
      <c r="E418" s="669"/>
      <c r="F418" s="669"/>
      <c r="G418" s="716"/>
      <c r="H418" s="669"/>
      <c r="I418" s="669"/>
      <c r="J418" s="669"/>
      <c r="K418" s="669"/>
      <c r="L418" s="669"/>
      <c r="M418" s="669"/>
      <c r="N418" s="669"/>
      <c r="O418" s="669"/>
      <c r="P418" s="669"/>
      <c r="Q418" s="669"/>
      <c r="R418" s="669"/>
      <c r="S418" s="669"/>
      <c r="T418" s="669"/>
      <c r="U418" s="669"/>
      <c r="V418" s="669"/>
      <c r="W418" s="669"/>
      <c r="X418" s="669"/>
      <c r="Y418" s="669"/>
      <c r="Z418" s="669"/>
      <c r="AA418" s="669"/>
    </row>
    <row r="419">
      <c r="A419" s="715"/>
      <c r="B419" s="669"/>
      <c r="C419" s="669"/>
      <c r="D419" s="669"/>
      <c r="E419" s="669"/>
      <c r="F419" s="669"/>
      <c r="G419" s="716"/>
      <c r="H419" s="669"/>
      <c r="I419" s="669"/>
      <c r="J419" s="669"/>
      <c r="K419" s="669"/>
      <c r="L419" s="669"/>
      <c r="M419" s="669"/>
      <c r="N419" s="669"/>
      <c r="O419" s="669"/>
      <c r="P419" s="669"/>
      <c r="Q419" s="669"/>
      <c r="R419" s="669"/>
      <c r="S419" s="669"/>
      <c r="T419" s="669"/>
      <c r="U419" s="669"/>
      <c r="V419" s="669"/>
      <c r="W419" s="669"/>
      <c r="X419" s="669"/>
      <c r="Y419" s="669"/>
      <c r="Z419" s="669"/>
      <c r="AA419" s="669"/>
    </row>
    <row r="420">
      <c r="A420" s="715"/>
      <c r="B420" s="669"/>
      <c r="C420" s="669"/>
      <c r="D420" s="669"/>
      <c r="E420" s="669"/>
      <c r="F420" s="669"/>
      <c r="G420" s="716"/>
      <c r="H420" s="669"/>
      <c r="I420" s="669"/>
      <c r="J420" s="669"/>
      <c r="K420" s="669"/>
      <c r="L420" s="669"/>
      <c r="M420" s="669"/>
      <c r="N420" s="669"/>
      <c r="O420" s="669"/>
      <c r="P420" s="669"/>
      <c r="Q420" s="669"/>
      <c r="R420" s="669"/>
      <c r="S420" s="669"/>
      <c r="T420" s="669"/>
      <c r="U420" s="669"/>
      <c r="V420" s="669"/>
      <c r="W420" s="669"/>
      <c r="X420" s="669"/>
      <c r="Y420" s="669"/>
      <c r="Z420" s="669"/>
      <c r="AA420" s="669"/>
    </row>
    <row r="421">
      <c r="A421" s="715"/>
      <c r="B421" s="669"/>
      <c r="C421" s="669"/>
      <c r="D421" s="669"/>
      <c r="E421" s="669"/>
      <c r="F421" s="669"/>
      <c r="G421" s="716"/>
      <c r="H421" s="669"/>
      <c r="I421" s="669"/>
      <c r="J421" s="669"/>
      <c r="K421" s="669"/>
      <c r="L421" s="669"/>
      <c r="M421" s="669"/>
      <c r="N421" s="669"/>
      <c r="O421" s="669"/>
      <c r="P421" s="669"/>
      <c r="Q421" s="669"/>
      <c r="R421" s="669"/>
      <c r="S421" s="669"/>
      <c r="T421" s="669"/>
      <c r="U421" s="669"/>
      <c r="V421" s="669"/>
      <c r="W421" s="669"/>
      <c r="X421" s="669"/>
      <c r="Y421" s="669"/>
      <c r="Z421" s="669"/>
      <c r="AA421" s="669"/>
    </row>
    <row r="422">
      <c r="A422" s="715"/>
      <c r="B422" s="669"/>
      <c r="C422" s="669"/>
      <c r="D422" s="669"/>
      <c r="E422" s="669"/>
      <c r="F422" s="669"/>
      <c r="G422" s="716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69"/>
    </row>
    <row r="423">
      <c r="A423" s="715"/>
      <c r="B423" s="669"/>
      <c r="C423" s="669"/>
      <c r="D423" s="669"/>
      <c r="E423" s="669"/>
      <c r="F423" s="669"/>
      <c r="G423" s="716"/>
      <c r="H423" s="669"/>
      <c r="I423" s="669"/>
      <c r="J423" s="669"/>
      <c r="K423" s="669"/>
      <c r="L423" s="669"/>
      <c r="M423" s="669"/>
      <c r="N423" s="669"/>
      <c r="O423" s="669"/>
      <c r="P423" s="669"/>
      <c r="Q423" s="669"/>
      <c r="R423" s="669"/>
      <c r="S423" s="669"/>
      <c r="T423" s="669"/>
      <c r="U423" s="669"/>
      <c r="V423" s="669"/>
      <c r="W423" s="669"/>
      <c r="X423" s="669"/>
      <c r="Y423" s="669"/>
      <c r="Z423" s="669"/>
      <c r="AA423" s="669"/>
    </row>
    <row r="424">
      <c r="A424" s="715"/>
      <c r="B424" s="669"/>
      <c r="C424" s="669"/>
      <c r="D424" s="669"/>
      <c r="E424" s="669"/>
      <c r="F424" s="669"/>
      <c r="G424" s="716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69"/>
    </row>
    <row r="425">
      <c r="A425" s="715"/>
      <c r="B425" s="669"/>
      <c r="C425" s="669"/>
      <c r="D425" s="669"/>
      <c r="E425" s="669"/>
      <c r="F425" s="669"/>
      <c r="G425" s="716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669"/>
    </row>
    <row r="426">
      <c r="A426" s="715"/>
      <c r="B426" s="669"/>
      <c r="C426" s="669"/>
      <c r="D426" s="669"/>
      <c r="E426" s="669"/>
      <c r="F426" s="669"/>
      <c r="G426" s="716"/>
      <c r="H426" s="669"/>
      <c r="I426" s="669"/>
      <c r="J426" s="669"/>
      <c r="K426" s="669"/>
      <c r="L426" s="669"/>
      <c r="M426" s="669"/>
      <c r="N426" s="669"/>
      <c r="O426" s="669"/>
      <c r="P426" s="669"/>
      <c r="Q426" s="669"/>
      <c r="R426" s="669"/>
      <c r="S426" s="669"/>
      <c r="T426" s="669"/>
      <c r="U426" s="669"/>
      <c r="V426" s="669"/>
      <c r="W426" s="669"/>
      <c r="X426" s="669"/>
      <c r="Y426" s="669"/>
      <c r="Z426" s="669"/>
      <c r="AA426" s="669"/>
    </row>
    <row r="427">
      <c r="A427" s="715"/>
      <c r="B427" s="669"/>
      <c r="C427" s="669"/>
      <c r="D427" s="669"/>
      <c r="E427" s="669"/>
      <c r="F427" s="669"/>
      <c r="G427" s="716"/>
      <c r="H427" s="669"/>
      <c r="I427" s="669"/>
      <c r="J427" s="669"/>
      <c r="K427" s="669"/>
      <c r="L427" s="669"/>
      <c r="M427" s="669"/>
      <c r="N427" s="669"/>
      <c r="O427" s="669"/>
      <c r="P427" s="669"/>
      <c r="Q427" s="669"/>
      <c r="R427" s="669"/>
      <c r="S427" s="669"/>
      <c r="T427" s="669"/>
      <c r="U427" s="669"/>
      <c r="V427" s="669"/>
      <c r="W427" s="669"/>
      <c r="X427" s="669"/>
      <c r="Y427" s="669"/>
      <c r="Z427" s="669"/>
      <c r="AA427" s="669"/>
    </row>
    <row r="428">
      <c r="A428" s="715"/>
      <c r="B428" s="669"/>
      <c r="C428" s="669"/>
      <c r="D428" s="669"/>
      <c r="E428" s="669"/>
      <c r="F428" s="669"/>
      <c r="G428" s="716"/>
      <c r="H428" s="669"/>
      <c r="I428" s="669"/>
      <c r="J428" s="669"/>
      <c r="K428" s="669"/>
      <c r="L428" s="669"/>
      <c r="M428" s="669"/>
      <c r="N428" s="669"/>
      <c r="O428" s="669"/>
      <c r="P428" s="669"/>
      <c r="Q428" s="669"/>
      <c r="R428" s="669"/>
      <c r="S428" s="669"/>
      <c r="T428" s="669"/>
      <c r="U428" s="669"/>
      <c r="V428" s="669"/>
      <c r="W428" s="669"/>
      <c r="X428" s="669"/>
      <c r="Y428" s="669"/>
      <c r="Z428" s="669"/>
      <c r="AA428" s="669"/>
    </row>
    <row r="429">
      <c r="A429" s="715"/>
      <c r="B429" s="669"/>
      <c r="C429" s="669"/>
      <c r="D429" s="669"/>
      <c r="E429" s="669"/>
      <c r="F429" s="669"/>
      <c r="G429" s="716"/>
      <c r="H429" s="669"/>
      <c r="I429" s="669"/>
      <c r="J429" s="669"/>
      <c r="K429" s="669"/>
      <c r="L429" s="669"/>
      <c r="M429" s="669"/>
      <c r="N429" s="669"/>
      <c r="O429" s="669"/>
      <c r="P429" s="669"/>
      <c r="Q429" s="669"/>
      <c r="R429" s="669"/>
      <c r="S429" s="669"/>
      <c r="T429" s="669"/>
      <c r="U429" s="669"/>
      <c r="V429" s="669"/>
      <c r="W429" s="669"/>
      <c r="X429" s="669"/>
      <c r="Y429" s="669"/>
      <c r="Z429" s="669"/>
      <c r="AA429" s="669"/>
    </row>
    <row r="430">
      <c r="A430" s="715"/>
      <c r="B430" s="669"/>
      <c r="C430" s="669"/>
      <c r="D430" s="669"/>
      <c r="E430" s="669"/>
      <c r="F430" s="669"/>
      <c r="G430" s="716"/>
      <c r="H430" s="669"/>
      <c r="I430" s="669"/>
      <c r="J430" s="669"/>
      <c r="K430" s="669"/>
      <c r="L430" s="669"/>
      <c r="M430" s="669"/>
      <c r="N430" s="669"/>
      <c r="O430" s="669"/>
      <c r="P430" s="669"/>
      <c r="Q430" s="669"/>
      <c r="R430" s="669"/>
      <c r="S430" s="669"/>
      <c r="T430" s="669"/>
      <c r="U430" s="669"/>
      <c r="V430" s="669"/>
      <c r="W430" s="669"/>
      <c r="X430" s="669"/>
      <c r="Y430" s="669"/>
      <c r="Z430" s="669"/>
      <c r="AA430" s="669"/>
    </row>
    <row r="431">
      <c r="A431" s="715"/>
      <c r="B431" s="669"/>
      <c r="C431" s="669"/>
      <c r="D431" s="669"/>
      <c r="E431" s="669"/>
      <c r="F431" s="669"/>
      <c r="G431" s="716"/>
      <c r="H431" s="669"/>
      <c r="I431" s="669"/>
      <c r="J431" s="669"/>
      <c r="K431" s="669"/>
      <c r="L431" s="669"/>
      <c r="M431" s="669"/>
      <c r="N431" s="669"/>
      <c r="O431" s="669"/>
      <c r="P431" s="669"/>
      <c r="Q431" s="669"/>
      <c r="R431" s="669"/>
      <c r="S431" s="669"/>
      <c r="T431" s="669"/>
      <c r="U431" s="669"/>
      <c r="V431" s="669"/>
      <c r="W431" s="669"/>
      <c r="X431" s="669"/>
      <c r="Y431" s="669"/>
      <c r="Z431" s="669"/>
      <c r="AA431" s="669"/>
    </row>
    <row r="432">
      <c r="A432" s="715"/>
      <c r="B432" s="669"/>
      <c r="C432" s="669"/>
      <c r="D432" s="669"/>
      <c r="E432" s="669"/>
      <c r="F432" s="669"/>
      <c r="G432" s="716"/>
      <c r="H432" s="669"/>
      <c r="I432" s="669"/>
      <c r="J432" s="669"/>
      <c r="K432" s="669"/>
      <c r="L432" s="669"/>
      <c r="M432" s="669"/>
      <c r="N432" s="669"/>
      <c r="O432" s="669"/>
      <c r="P432" s="669"/>
      <c r="Q432" s="669"/>
      <c r="R432" s="669"/>
      <c r="S432" s="669"/>
      <c r="T432" s="669"/>
      <c r="U432" s="669"/>
      <c r="V432" s="669"/>
      <c r="W432" s="669"/>
      <c r="X432" s="669"/>
      <c r="Y432" s="669"/>
      <c r="Z432" s="669"/>
      <c r="AA432" s="669"/>
    </row>
    <row r="433">
      <c r="A433" s="715"/>
      <c r="B433" s="669"/>
      <c r="C433" s="669"/>
      <c r="D433" s="669"/>
      <c r="E433" s="669"/>
      <c r="F433" s="669"/>
      <c r="G433" s="716"/>
      <c r="H433" s="669"/>
      <c r="I433" s="669"/>
      <c r="J433" s="669"/>
      <c r="K433" s="669"/>
      <c r="L433" s="669"/>
      <c r="M433" s="669"/>
      <c r="N433" s="669"/>
      <c r="O433" s="669"/>
      <c r="P433" s="669"/>
      <c r="Q433" s="669"/>
      <c r="R433" s="669"/>
      <c r="S433" s="669"/>
      <c r="T433" s="669"/>
      <c r="U433" s="669"/>
      <c r="V433" s="669"/>
      <c r="W433" s="669"/>
      <c r="X433" s="669"/>
      <c r="Y433" s="669"/>
      <c r="Z433" s="669"/>
      <c r="AA433" s="669"/>
    </row>
    <row r="434">
      <c r="A434" s="715"/>
      <c r="B434" s="669"/>
      <c r="C434" s="669"/>
      <c r="D434" s="669"/>
      <c r="E434" s="669"/>
      <c r="F434" s="669"/>
      <c r="G434" s="716"/>
      <c r="H434" s="669"/>
      <c r="I434" s="669"/>
      <c r="J434" s="669"/>
      <c r="K434" s="669"/>
      <c r="L434" s="669"/>
      <c r="M434" s="669"/>
      <c r="N434" s="669"/>
      <c r="O434" s="669"/>
      <c r="P434" s="669"/>
      <c r="Q434" s="669"/>
      <c r="R434" s="669"/>
      <c r="S434" s="669"/>
      <c r="T434" s="669"/>
      <c r="U434" s="669"/>
      <c r="V434" s="669"/>
      <c r="W434" s="669"/>
      <c r="X434" s="669"/>
      <c r="Y434" s="669"/>
      <c r="Z434" s="669"/>
      <c r="AA434" s="669"/>
    </row>
    <row r="435">
      <c r="A435" s="715"/>
      <c r="B435" s="669"/>
      <c r="C435" s="669"/>
      <c r="D435" s="669"/>
      <c r="E435" s="669"/>
      <c r="F435" s="669"/>
      <c r="G435" s="716"/>
      <c r="H435" s="669"/>
      <c r="I435" s="669"/>
      <c r="J435" s="669"/>
      <c r="K435" s="669"/>
      <c r="L435" s="669"/>
      <c r="M435" s="669"/>
      <c r="N435" s="669"/>
      <c r="O435" s="669"/>
      <c r="P435" s="669"/>
      <c r="Q435" s="669"/>
      <c r="R435" s="669"/>
      <c r="S435" s="669"/>
      <c r="T435" s="669"/>
      <c r="U435" s="669"/>
      <c r="V435" s="669"/>
      <c r="W435" s="669"/>
      <c r="X435" s="669"/>
      <c r="Y435" s="669"/>
      <c r="Z435" s="669"/>
      <c r="AA435" s="669"/>
    </row>
    <row r="436">
      <c r="A436" s="715"/>
      <c r="B436" s="669"/>
      <c r="C436" s="669"/>
      <c r="D436" s="669"/>
      <c r="E436" s="669"/>
      <c r="F436" s="669"/>
      <c r="G436" s="716"/>
      <c r="H436" s="669"/>
      <c r="I436" s="669"/>
      <c r="J436" s="669"/>
      <c r="K436" s="669"/>
      <c r="L436" s="669"/>
      <c r="M436" s="669"/>
      <c r="N436" s="669"/>
      <c r="O436" s="669"/>
      <c r="P436" s="669"/>
      <c r="Q436" s="669"/>
      <c r="R436" s="669"/>
      <c r="S436" s="669"/>
      <c r="T436" s="669"/>
      <c r="U436" s="669"/>
      <c r="V436" s="669"/>
      <c r="W436" s="669"/>
      <c r="X436" s="669"/>
      <c r="Y436" s="669"/>
      <c r="Z436" s="669"/>
      <c r="AA436" s="669"/>
    </row>
    <row r="437">
      <c r="A437" s="715"/>
      <c r="B437" s="669"/>
      <c r="C437" s="669"/>
      <c r="D437" s="669"/>
      <c r="E437" s="669"/>
      <c r="F437" s="669"/>
      <c r="G437" s="716"/>
      <c r="H437" s="669"/>
      <c r="I437" s="669"/>
      <c r="J437" s="669"/>
      <c r="K437" s="669"/>
      <c r="L437" s="669"/>
      <c r="M437" s="669"/>
      <c r="N437" s="669"/>
      <c r="O437" s="669"/>
      <c r="P437" s="669"/>
      <c r="Q437" s="669"/>
      <c r="R437" s="669"/>
      <c r="S437" s="669"/>
      <c r="T437" s="669"/>
      <c r="U437" s="669"/>
      <c r="V437" s="669"/>
      <c r="W437" s="669"/>
      <c r="X437" s="669"/>
      <c r="Y437" s="669"/>
      <c r="Z437" s="669"/>
      <c r="AA437" s="669"/>
    </row>
    <row r="438">
      <c r="A438" s="715"/>
      <c r="B438" s="669"/>
      <c r="C438" s="669"/>
      <c r="D438" s="669"/>
      <c r="E438" s="669"/>
      <c r="F438" s="669"/>
      <c r="G438" s="716"/>
      <c r="H438" s="669"/>
      <c r="I438" s="669"/>
      <c r="J438" s="669"/>
      <c r="K438" s="669"/>
      <c r="L438" s="669"/>
      <c r="M438" s="669"/>
      <c r="N438" s="669"/>
      <c r="O438" s="669"/>
      <c r="P438" s="669"/>
      <c r="Q438" s="669"/>
      <c r="R438" s="669"/>
      <c r="S438" s="669"/>
      <c r="T438" s="669"/>
      <c r="U438" s="669"/>
      <c r="V438" s="669"/>
      <c r="W438" s="669"/>
      <c r="X438" s="669"/>
      <c r="Y438" s="669"/>
      <c r="Z438" s="669"/>
      <c r="AA438" s="669"/>
    </row>
    <row r="439">
      <c r="A439" s="715"/>
      <c r="B439" s="669"/>
      <c r="C439" s="669"/>
      <c r="D439" s="669"/>
      <c r="E439" s="669"/>
      <c r="F439" s="669"/>
      <c r="G439" s="716"/>
      <c r="H439" s="669"/>
      <c r="I439" s="669"/>
      <c r="J439" s="669"/>
      <c r="K439" s="669"/>
      <c r="L439" s="669"/>
      <c r="M439" s="669"/>
      <c r="N439" s="669"/>
      <c r="O439" s="669"/>
      <c r="P439" s="669"/>
      <c r="Q439" s="669"/>
      <c r="R439" s="669"/>
      <c r="S439" s="669"/>
      <c r="T439" s="669"/>
      <c r="U439" s="669"/>
      <c r="V439" s="669"/>
      <c r="W439" s="669"/>
      <c r="X439" s="669"/>
      <c r="Y439" s="669"/>
      <c r="Z439" s="669"/>
      <c r="AA439" s="669"/>
    </row>
    <row r="440">
      <c r="A440" s="715"/>
      <c r="B440" s="669"/>
      <c r="C440" s="669"/>
      <c r="D440" s="669"/>
      <c r="E440" s="669"/>
      <c r="F440" s="669"/>
      <c r="G440" s="716"/>
      <c r="H440" s="669"/>
      <c r="I440" s="669"/>
      <c r="J440" s="669"/>
      <c r="K440" s="669"/>
      <c r="L440" s="669"/>
      <c r="M440" s="669"/>
      <c r="N440" s="669"/>
      <c r="O440" s="669"/>
      <c r="P440" s="669"/>
      <c r="Q440" s="669"/>
      <c r="R440" s="669"/>
      <c r="S440" s="669"/>
      <c r="T440" s="669"/>
      <c r="U440" s="669"/>
      <c r="V440" s="669"/>
      <c r="W440" s="669"/>
      <c r="X440" s="669"/>
      <c r="Y440" s="669"/>
      <c r="Z440" s="669"/>
      <c r="AA440" s="669"/>
    </row>
    <row r="441">
      <c r="A441" s="715"/>
      <c r="B441" s="669"/>
      <c r="C441" s="669"/>
      <c r="D441" s="669"/>
      <c r="E441" s="669"/>
      <c r="F441" s="669"/>
      <c r="G441" s="716"/>
      <c r="H441" s="669"/>
      <c r="I441" s="669"/>
      <c r="J441" s="669"/>
      <c r="K441" s="669"/>
      <c r="L441" s="669"/>
      <c r="M441" s="669"/>
      <c r="N441" s="669"/>
      <c r="O441" s="669"/>
      <c r="P441" s="669"/>
      <c r="Q441" s="669"/>
      <c r="R441" s="669"/>
      <c r="S441" s="669"/>
      <c r="T441" s="669"/>
      <c r="U441" s="669"/>
      <c r="V441" s="669"/>
      <c r="W441" s="669"/>
      <c r="X441" s="669"/>
      <c r="Y441" s="669"/>
      <c r="Z441" s="669"/>
      <c r="AA441" s="669"/>
    </row>
    <row r="442">
      <c r="A442" s="715"/>
      <c r="B442" s="669"/>
      <c r="C442" s="669"/>
      <c r="D442" s="669"/>
      <c r="E442" s="669"/>
      <c r="F442" s="669"/>
      <c r="G442" s="716"/>
      <c r="H442" s="669"/>
      <c r="I442" s="669"/>
      <c r="J442" s="669"/>
      <c r="K442" s="669"/>
      <c r="L442" s="669"/>
      <c r="M442" s="669"/>
      <c r="N442" s="669"/>
      <c r="O442" s="669"/>
      <c r="P442" s="669"/>
      <c r="Q442" s="669"/>
      <c r="R442" s="669"/>
      <c r="S442" s="669"/>
      <c r="T442" s="669"/>
      <c r="U442" s="669"/>
      <c r="V442" s="669"/>
      <c r="W442" s="669"/>
      <c r="X442" s="669"/>
      <c r="Y442" s="669"/>
      <c r="Z442" s="669"/>
      <c r="AA442" s="669"/>
    </row>
    <row r="443">
      <c r="A443" s="715"/>
      <c r="B443" s="669"/>
      <c r="C443" s="669"/>
      <c r="D443" s="669"/>
      <c r="E443" s="669"/>
      <c r="F443" s="669"/>
      <c r="G443" s="716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69"/>
    </row>
    <row r="444">
      <c r="A444" s="715"/>
      <c r="B444" s="669"/>
      <c r="C444" s="669"/>
      <c r="D444" s="669"/>
      <c r="E444" s="669"/>
      <c r="F444" s="669"/>
      <c r="G444" s="716"/>
      <c r="H444" s="669"/>
      <c r="I444" s="669"/>
      <c r="J444" s="669"/>
      <c r="K444" s="669"/>
      <c r="L444" s="669"/>
      <c r="M444" s="669"/>
      <c r="N444" s="669"/>
      <c r="O444" s="669"/>
      <c r="P444" s="669"/>
      <c r="Q444" s="669"/>
      <c r="R444" s="669"/>
      <c r="S444" s="669"/>
      <c r="T444" s="669"/>
      <c r="U444" s="669"/>
      <c r="V444" s="669"/>
      <c r="W444" s="669"/>
      <c r="X444" s="669"/>
      <c r="Y444" s="669"/>
      <c r="Z444" s="669"/>
      <c r="AA444" s="669"/>
    </row>
    <row r="445">
      <c r="A445" s="715"/>
      <c r="B445" s="669"/>
      <c r="C445" s="669"/>
      <c r="D445" s="669"/>
      <c r="E445" s="669"/>
      <c r="F445" s="669"/>
      <c r="G445" s="716"/>
      <c r="H445" s="669"/>
      <c r="I445" s="669"/>
      <c r="J445" s="669"/>
      <c r="K445" s="669"/>
      <c r="L445" s="669"/>
      <c r="M445" s="669"/>
      <c r="N445" s="669"/>
      <c r="O445" s="669"/>
      <c r="P445" s="669"/>
      <c r="Q445" s="669"/>
      <c r="R445" s="669"/>
      <c r="S445" s="669"/>
      <c r="T445" s="669"/>
      <c r="U445" s="669"/>
      <c r="V445" s="669"/>
      <c r="W445" s="669"/>
      <c r="X445" s="669"/>
      <c r="Y445" s="669"/>
      <c r="Z445" s="669"/>
      <c r="AA445" s="669"/>
    </row>
    <row r="446">
      <c r="A446" s="715"/>
      <c r="B446" s="669"/>
      <c r="C446" s="669"/>
      <c r="D446" s="669"/>
      <c r="E446" s="669"/>
      <c r="F446" s="669"/>
      <c r="G446" s="716"/>
      <c r="H446" s="669"/>
      <c r="I446" s="669"/>
      <c r="J446" s="669"/>
      <c r="K446" s="669"/>
      <c r="L446" s="669"/>
      <c r="M446" s="669"/>
      <c r="N446" s="669"/>
      <c r="O446" s="669"/>
      <c r="P446" s="669"/>
      <c r="Q446" s="669"/>
      <c r="R446" s="669"/>
      <c r="S446" s="669"/>
      <c r="T446" s="669"/>
      <c r="U446" s="669"/>
      <c r="V446" s="669"/>
      <c r="W446" s="669"/>
      <c r="X446" s="669"/>
      <c r="Y446" s="669"/>
      <c r="Z446" s="669"/>
      <c r="AA446" s="669"/>
    </row>
    <row r="447">
      <c r="A447" s="715"/>
      <c r="B447" s="669"/>
      <c r="C447" s="669"/>
      <c r="D447" s="669"/>
      <c r="E447" s="669"/>
      <c r="F447" s="669"/>
      <c r="G447" s="716"/>
      <c r="H447" s="669"/>
      <c r="I447" s="669"/>
      <c r="J447" s="669"/>
      <c r="K447" s="669"/>
      <c r="L447" s="669"/>
      <c r="M447" s="669"/>
      <c r="N447" s="669"/>
      <c r="O447" s="669"/>
      <c r="P447" s="669"/>
      <c r="Q447" s="669"/>
      <c r="R447" s="669"/>
      <c r="S447" s="669"/>
      <c r="T447" s="669"/>
      <c r="U447" s="669"/>
      <c r="V447" s="669"/>
      <c r="W447" s="669"/>
      <c r="X447" s="669"/>
      <c r="Y447" s="669"/>
      <c r="Z447" s="669"/>
      <c r="AA447" s="669"/>
    </row>
    <row r="448">
      <c r="A448" s="715"/>
      <c r="B448" s="669"/>
      <c r="C448" s="669"/>
      <c r="D448" s="669"/>
      <c r="E448" s="669"/>
      <c r="F448" s="669"/>
      <c r="G448" s="716"/>
      <c r="H448" s="669"/>
      <c r="I448" s="669"/>
      <c r="J448" s="669"/>
      <c r="K448" s="669"/>
      <c r="L448" s="669"/>
      <c r="M448" s="669"/>
      <c r="N448" s="669"/>
      <c r="O448" s="669"/>
      <c r="P448" s="669"/>
      <c r="Q448" s="669"/>
      <c r="R448" s="669"/>
      <c r="S448" s="669"/>
      <c r="T448" s="669"/>
      <c r="U448" s="669"/>
      <c r="V448" s="669"/>
      <c r="W448" s="669"/>
      <c r="X448" s="669"/>
      <c r="Y448" s="669"/>
      <c r="Z448" s="669"/>
      <c r="AA448" s="669"/>
    </row>
    <row r="449">
      <c r="A449" s="715"/>
      <c r="B449" s="669"/>
      <c r="C449" s="669"/>
      <c r="D449" s="669"/>
      <c r="E449" s="669"/>
      <c r="F449" s="669"/>
      <c r="G449" s="716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69"/>
    </row>
    <row r="450">
      <c r="A450" s="715"/>
      <c r="B450" s="669"/>
      <c r="C450" s="669"/>
      <c r="D450" s="669"/>
      <c r="E450" s="669"/>
      <c r="F450" s="669"/>
      <c r="G450" s="716"/>
      <c r="H450" s="669"/>
      <c r="I450" s="669"/>
      <c r="J450" s="669"/>
      <c r="K450" s="669"/>
      <c r="L450" s="669"/>
      <c r="M450" s="669"/>
      <c r="N450" s="669"/>
      <c r="O450" s="669"/>
      <c r="P450" s="669"/>
      <c r="Q450" s="669"/>
      <c r="R450" s="669"/>
      <c r="S450" s="669"/>
      <c r="T450" s="669"/>
      <c r="U450" s="669"/>
      <c r="V450" s="669"/>
      <c r="W450" s="669"/>
      <c r="X450" s="669"/>
      <c r="Y450" s="669"/>
      <c r="Z450" s="669"/>
      <c r="AA450" s="669"/>
    </row>
    <row r="451">
      <c r="A451" s="715"/>
      <c r="B451" s="669"/>
      <c r="C451" s="669"/>
      <c r="D451" s="669"/>
      <c r="E451" s="669"/>
      <c r="F451" s="669"/>
      <c r="G451" s="716"/>
      <c r="H451" s="669"/>
      <c r="I451" s="669"/>
      <c r="J451" s="669"/>
      <c r="K451" s="669"/>
      <c r="L451" s="669"/>
      <c r="M451" s="669"/>
      <c r="N451" s="669"/>
      <c r="O451" s="669"/>
      <c r="P451" s="669"/>
      <c r="Q451" s="669"/>
      <c r="R451" s="669"/>
      <c r="S451" s="669"/>
      <c r="T451" s="669"/>
      <c r="U451" s="669"/>
      <c r="V451" s="669"/>
      <c r="W451" s="669"/>
      <c r="X451" s="669"/>
      <c r="Y451" s="669"/>
      <c r="Z451" s="669"/>
      <c r="AA451" s="669"/>
    </row>
    <row r="452">
      <c r="A452" s="715"/>
      <c r="B452" s="669"/>
      <c r="C452" s="669"/>
      <c r="D452" s="669"/>
      <c r="E452" s="669"/>
      <c r="F452" s="669"/>
      <c r="G452" s="716"/>
      <c r="H452" s="669"/>
      <c r="I452" s="669"/>
      <c r="J452" s="669"/>
      <c r="K452" s="669"/>
      <c r="L452" s="669"/>
      <c r="M452" s="669"/>
      <c r="N452" s="669"/>
      <c r="O452" s="669"/>
      <c r="P452" s="669"/>
      <c r="Q452" s="669"/>
      <c r="R452" s="669"/>
      <c r="S452" s="669"/>
      <c r="T452" s="669"/>
      <c r="U452" s="669"/>
      <c r="V452" s="669"/>
      <c r="W452" s="669"/>
      <c r="X452" s="669"/>
      <c r="Y452" s="669"/>
      <c r="Z452" s="669"/>
      <c r="AA452" s="669"/>
    </row>
    <row r="453">
      <c r="A453" s="715"/>
      <c r="B453" s="669"/>
      <c r="C453" s="669"/>
      <c r="D453" s="669"/>
      <c r="E453" s="669"/>
      <c r="F453" s="669"/>
      <c r="G453" s="716"/>
      <c r="H453" s="669"/>
      <c r="I453" s="669"/>
      <c r="J453" s="669"/>
      <c r="K453" s="669"/>
      <c r="L453" s="669"/>
      <c r="M453" s="669"/>
      <c r="N453" s="669"/>
      <c r="O453" s="669"/>
      <c r="P453" s="669"/>
      <c r="Q453" s="669"/>
      <c r="R453" s="669"/>
      <c r="S453" s="669"/>
      <c r="T453" s="669"/>
      <c r="U453" s="669"/>
      <c r="V453" s="669"/>
      <c r="W453" s="669"/>
      <c r="X453" s="669"/>
      <c r="Y453" s="669"/>
      <c r="Z453" s="669"/>
      <c r="AA453" s="669"/>
    </row>
    <row r="454">
      <c r="A454" s="715"/>
      <c r="B454" s="669"/>
      <c r="C454" s="669"/>
      <c r="D454" s="669"/>
      <c r="E454" s="669"/>
      <c r="F454" s="669"/>
      <c r="G454" s="716"/>
      <c r="H454" s="669"/>
      <c r="I454" s="669"/>
      <c r="J454" s="669"/>
      <c r="K454" s="669"/>
      <c r="L454" s="669"/>
      <c r="M454" s="669"/>
      <c r="N454" s="669"/>
      <c r="O454" s="669"/>
      <c r="P454" s="669"/>
      <c r="Q454" s="669"/>
      <c r="R454" s="669"/>
      <c r="S454" s="669"/>
      <c r="T454" s="669"/>
      <c r="U454" s="669"/>
      <c r="V454" s="669"/>
      <c r="W454" s="669"/>
      <c r="X454" s="669"/>
      <c r="Y454" s="669"/>
      <c r="Z454" s="669"/>
      <c r="AA454" s="669"/>
    </row>
    <row r="455">
      <c r="A455" s="715"/>
      <c r="B455" s="669"/>
      <c r="C455" s="669"/>
      <c r="D455" s="669"/>
      <c r="E455" s="669"/>
      <c r="F455" s="669"/>
      <c r="G455" s="716"/>
      <c r="H455" s="669"/>
      <c r="I455" s="669"/>
      <c r="J455" s="669"/>
      <c r="K455" s="669"/>
      <c r="L455" s="669"/>
      <c r="M455" s="669"/>
      <c r="N455" s="669"/>
      <c r="O455" s="669"/>
      <c r="P455" s="669"/>
      <c r="Q455" s="669"/>
      <c r="R455" s="669"/>
      <c r="S455" s="669"/>
      <c r="T455" s="669"/>
      <c r="U455" s="669"/>
      <c r="V455" s="669"/>
      <c r="W455" s="669"/>
      <c r="X455" s="669"/>
      <c r="Y455" s="669"/>
      <c r="Z455" s="669"/>
      <c r="AA455" s="669"/>
    </row>
    <row r="456">
      <c r="A456" s="715"/>
      <c r="B456" s="669"/>
      <c r="C456" s="669"/>
      <c r="D456" s="669"/>
      <c r="E456" s="669"/>
      <c r="F456" s="669"/>
      <c r="G456" s="716"/>
      <c r="H456" s="669"/>
      <c r="I456" s="669"/>
      <c r="J456" s="669"/>
      <c r="K456" s="669"/>
      <c r="L456" s="669"/>
      <c r="M456" s="669"/>
      <c r="N456" s="669"/>
      <c r="O456" s="669"/>
      <c r="P456" s="669"/>
      <c r="Q456" s="669"/>
      <c r="R456" s="669"/>
      <c r="S456" s="669"/>
      <c r="T456" s="669"/>
      <c r="U456" s="669"/>
      <c r="V456" s="669"/>
      <c r="W456" s="669"/>
      <c r="X456" s="669"/>
      <c r="Y456" s="669"/>
      <c r="Z456" s="669"/>
      <c r="AA456" s="669"/>
    </row>
    <row r="457">
      <c r="A457" s="715"/>
      <c r="B457" s="669"/>
      <c r="C457" s="669"/>
      <c r="D457" s="669"/>
      <c r="E457" s="669"/>
      <c r="F457" s="669"/>
      <c r="G457" s="716"/>
      <c r="H457" s="669"/>
      <c r="I457" s="669"/>
      <c r="J457" s="669"/>
      <c r="K457" s="669"/>
      <c r="L457" s="669"/>
      <c r="M457" s="669"/>
      <c r="N457" s="669"/>
      <c r="O457" s="669"/>
      <c r="P457" s="669"/>
      <c r="Q457" s="669"/>
      <c r="R457" s="669"/>
      <c r="S457" s="669"/>
      <c r="T457" s="669"/>
      <c r="U457" s="669"/>
      <c r="V457" s="669"/>
      <c r="W457" s="669"/>
      <c r="X457" s="669"/>
      <c r="Y457" s="669"/>
      <c r="Z457" s="669"/>
      <c r="AA457" s="669"/>
    </row>
    <row r="458">
      <c r="A458" s="715"/>
      <c r="B458" s="669"/>
      <c r="C458" s="669"/>
      <c r="D458" s="669"/>
      <c r="E458" s="669"/>
      <c r="F458" s="669"/>
      <c r="G458" s="716"/>
      <c r="H458" s="669"/>
      <c r="I458" s="669"/>
      <c r="J458" s="669"/>
      <c r="K458" s="669"/>
      <c r="L458" s="669"/>
      <c r="M458" s="669"/>
      <c r="N458" s="669"/>
      <c r="O458" s="669"/>
      <c r="P458" s="669"/>
      <c r="Q458" s="669"/>
      <c r="R458" s="669"/>
      <c r="S458" s="669"/>
      <c r="T458" s="669"/>
      <c r="U458" s="669"/>
      <c r="V458" s="669"/>
      <c r="W458" s="669"/>
      <c r="X458" s="669"/>
      <c r="Y458" s="669"/>
      <c r="Z458" s="669"/>
      <c r="AA458" s="669"/>
    </row>
    <row r="459">
      <c r="A459" s="715"/>
      <c r="B459" s="669"/>
      <c r="C459" s="669"/>
      <c r="D459" s="669"/>
      <c r="E459" s="669"/>
      <c r="F459" s="669"/>
      <c r="G459" s="716"/>
      <c r="H459" s="669"/>
      <c r="I459" s="669"/>
      <c r="J459" s="669"/>
      <c r="K459" s="669"/>
      <c r="L459" s="669"/>
      <c r="M459" s="669"/>
      <c r="N459" s="669"/>
      <c r="O459" s="669"/>
      <c r="P459" s="669"/>
      <c r="Q459" s="669"/>
      <c r="R459" s="669"/>
      <c r="S459" s="669"/>
      <c r="T459" s="669"/>
      <c r="U459" s="669"/>
      <c r="V459" s="669"/>
      <c r="W459" s="669"/>
      <c r="X459" s="669"/>
      <c r="Y459" s="669"/>
      <c r="Z459" s="669"/>
      <c r="AA459" s="669"/>
    </row>
    <row r="460">
      <c r="A460" s="715"/>
      <c r="B460" s="669"/>
      <c r="C460" s="669"/>
      <c r="D460" s="669"/>
      <c r="E460" s="669"/>
      <c r="F460" s="669"/>
      <c r="G460" s="716"/>
      <c r="H460" s="669"/>
      <c r="I460" s="669"/>
      <c r="J460" s="669"/>
      <c r="K460" s="669"/>
      <c r="L460" s="669"/>
      <c r="M460" s="669"/>
      <c r="N460" s="669"/>
      <c r="O460" s="669"/>
      <c r="P460" s="669"/>
      <c r="Q460" s="669"/>
      <c r="R460" s="669"/>
      <c r="S460" s="669"/>
      <c r="T460" s="669"/>
      <c r="U460" s="669"/>
      <c r="V460" s="669"/>
      <c r="W460" s="669"/>
      <c r="X460" s="669"/>
      <c r="Y460" s="669"/>
      <c r="Z460" s="669"/>
      <c r="AA460" s="669"/>
    </row>
    <row r="461">
      <c r="A461" s="715"/>
      <c r="B461" s="669"/>
      <c r="C461" s="669"/>
      <c r="D461" s="669"/>
      <c r="E461" s="669"/>
      <c r="F461" s="669"/>
      <c r="G461" s="716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69"/>
    </row>
    <row r="462">
      <c r="A462" s="715"/>
      <c r="B462" s="669"/>
      <c r="C462" s="669"/>
      <c r="D462" s="669"/>
      <c r="E462" s="669"/>
      <c r="F462" s="669"/>
      <c r="G462" s="716"/>
      <c r="H462" s="669"/>
      <c r="I462" s="669"/>
      <c r="J462" s="669"/>
      <c r="K462" s="669"/>
      <c r="L462" s="669"/>
      <c r="M462" s="669"/>
      <c r="N462" s="669"/>
      <c r="O462" s="669"/>
      <c r="P462" s="669"/>
      <c r="Q462" s="669"/>
      <c r="R462" s="669"/>
      <c r="S462" s="669"/>
      <c r="T462" s="669"/>
      <c r="U462" s="669"/>
      <c r="V462" s="669"/>
      <c r="W462" s="669"/>
      <c r="X462" s="669"/>
      <c r="Y462" s="669"/>
      <c r="Z462" s="669"/>
      <c r="AA462" s="669"/>
    </row>
    <row r="463">
      <c r="A463" s="715"/>
      <c r="B463" s="669"/>
      <c r="C463" s="669"/>
      <c r="D463" s="669"/>
      <c r="E463" s="669"/>
      <c r="F463" s="669"/>
      <c r="G463" s="716"/>
      <c r="H463" s="669"/>
      <c r="I463" s="669"/>
      <c r="J463" s="669"/>
      <c r="K463" s="669"/>
      <c r="L463" s="669"/>
      <c r="M463" s="669"/>
      <c r="N463" s="669"/>
      <c r="O463" s="669"/>
      <c r="P463" s="669"/>
      <c r="Q463" s="669"/>
      <c r="R463" s="669"/>
      <c r="S463" s="669"/>
      <c r="T463" s="669"/>
      <c r="U463" s="669"/>
      <c r="V463" s="669"/>
      <c r="W463" s="669"/>
      <c r="X463" s="669"/>
      <c r="Y463" s="669"/>
      <c r="Z463" s="669"/>
      <c r="AA463" s="669"/>
    </row>
    <row r="464">
      <c r="A464" s="715"/>
      <c r="B464" s="669"/>
      <c r="C464" s="669"/>
      <c r="D464" s="669"/>
      <c r="E464" s="669"/>
      <c r="F464" s="669"/>
      <c r="G464" s="716"/>
      <c r="H464" s="669"/>
      <c r="I464" s="669"/>
      <c r="J464" s="669"/>
      <c r="K464" s="669"/>
      <c r="L464" s="669"/>
      <c r="M464" s="669"/>
      <c r="N464" s="669"/>
      <c r="O464" s="669"/>
      <c r="P464" s="669"/>
      <c r="Q464" s="669"/>
      <c r="R464" s="669"/>
      <c r="S464" s="669"/>
      <c r="T464" s="669"/>
      <c r="U464" s="669"/>
      <c r="V464" s="669"/>
      <c r="W464" s="669"/>
      <c r="X464" s="669"/>
      <c r="Y464" s="669"/>
      <c r="Z464" s="669"/>
      <c r="AA464" s="669"/>
    </row>
    <row r="465">
      <c r="A465" s="715"/>
      <c r="B465" s="669"/>
      <c r="C465" s="669"/>
      <c r="D465" s="669"/>
      <c r="E465" s="669"/>
      <c r="F465" s="669"/>
      <c r="G465" s="716"/>
      <c r="H465" s="669"/>
      <c r="I465" s="669"/>
      <c r="J465" s="669"/>
      <c r="K465" s="669"/>
      <c r="L465" s="669"/>
      <c r="M465" s="669"/>
      <c r="N465" s="669"/>
      <c r="O465" s="669"/>
      <c r="P465" s="669"/>
      <c r="Q465" s="669"/>
      <c r="R465" s="669"/>
      <c r="S465" s="669"/>
      <c r="T465" s="669"/>
      <c r="U465" s="669"/>
      <c r="V465" s="669"/>
      <c r="W465" s="669"/>
      <c r="X465" s="669"/>
      <c r="Y465" s="669"/>
      <c r="Z465" s="669"/>
      <c r="AA465" s="669"/>
    </row>
    <row r="466">
      <c r="A466" s="715"/>
      <c r="B466" s="669"/>
      <c r="C466" s="669"/>
      <c r="D466" s="669"/>
      <c r="E466" s="669"/>
      <c r="F466" s="669"/>
      <c r="G466" s="716"/>
      <c r="H466" s="669"/>
      <c r="I466" s="669"/>
      <c r="J466" s="669"/>
      <c r="K466" s="669"/>
      <c r="L466" s="669"/>
      <c r="M466" s="669"/>
      <c r="N466" s="669"/>
      <c r="O466" s="669"/>
      <c r="P466" s="669"/>
      <c r="Q466" s="669"/>
      <c r="R466" s="669"/>
      <c r="S466" s="669"/>
      <c r="T466" s="669"/>
      <c r="U466" s="669"/>
      <c r="V466" s="669"/>
      <c r="W466" s="669"/>
      <c r="X466" s="669"/>
      <c r="Y466" s="669"/>
      <c r="Z466" s="669"/>
      <c r="AA466" s="669"/>
    </row>
    <row r="467">
      <c r="A467" s="715"/>
      <c r="B467" s="669"/>
      <c r="C467" s="669"/>
      <c r="D467" s="669"/>
      <c r="E467" s="669"/>
      <c r="F467" s="669"/>
      <c r="G467" s="716"/>
      <c r="H467" s="669"/>
      <c r="I467" s="669"/>
      <c r="J467" s="669"/>
      <c r="K467" s="669"/>
      <c r="L467" s="669"/>
      <c r="M467" s="669"/>
      <c r="N467" s="669"/>
      <c r="O467" s="669"/>
      <c r="P467" s="669"/>
      <c r="Q467" s="669"/>
      <c r="R467" s="669"/>
      <c r="S467" s="669"/>
      <c r="T467" s="669"/>
      <c r="U467" s="669"/>
      <c r="V467" s="669"/>
      <c r="W467" s="669"/>
      <c r="X467" s="669"/>
      <c r="Y467" s="669"/>
      <c r="Z467" s="669"/>
      <c r="AA467" s="669"/>
    </row>
    <row r="468">
      <c r="A468" s="715"/>
      <c r="B468" s="669"/>
      <c r="C468" s="669"/>
      <c r="D468" s="669"/>
      <c r="E468" s="669"/>
      <c r="F468" s="669"/>
      <c r="G468" s="716"/>
      <c r="H468" s="669"/>
      <c r="I468" s="669"/>
      <c r="J468" s="669"/>
      <c r="K468" s="669"/>
      <c r="L468" s="669"/>
      <c r="M468" s="669"/>
      <c r="N468" s="669"/>
      <c r="O468" s="669"/>
      <c r="P468" s="669"/>
      <c r="Q468" s="669"/>
      <c r="R468" s="669"/>
      <c r="S468" s="669"/>
      <c r="T468" s="669"/>
      <c r="U468" s="669"/>
      <c r="V468" s="669"/>
      <c r="W468" s="669"/>
      <c r="X468" s="669"/>
      <c r="Y468" s="669"/>
      <c r="Z468" s="669"/>
      <c r="AA468" s="669"/>
    </row>
    <row r="469">
      <c r="A469" s="715"/>
      <c r="B469" s="669"/>
      <c r="C469" s="669"/>
      <c r="D469" s="669"/>
      <c r="E469" s="669"/>
      <c r="F469" s="669"/>
      <c r="G469" s="716"/>
      <c r="H469" s="669"/>
      <c r="I469" s="669"/>
      <c r="J469" s="669"/>
      <c r="K469" s="669"/>
      <c r="L469" s="669"/>
      <c r="M469" s="669"/>
      <c r="N469" s="669"/>
      <c r="O469" s="669"/>
      <c r="P469" s="669"/>
      <c r="Q469" s="669"/>
      <c r="R469" s="669"/>
      <c r="S469" s="669"/>
      <c r="T469" s="669"/>
      <c r="U469" s="669"/>
      <c r="V469" s="669"/>
      <c r="W469" s="669"/>
      <c r="X469" s="669"/>
      <c r="Y469" s="669"/>
      <c r="Z469" s="669"/>
      <c r="AA469" s="669"/>
    </row>
    <row r="470">
      <c r="A470" s="715"/>
      <c r="B470" s="669"/>
      <c r="C470" s="669"/>
      <c r="D470" s="669"/>
      <c r="E470" s="669"/>
      <c r="F470" s="669"/>
      <c r="G470" s="716"/>
      <c r="H470" s="669"/>
      <c r="I470" s="669"/>
      <c r="J470" s="669"/>
      <c r="K470" s="669"/>
      <c r="L470" s="669"/>
      <c r="M470" s="669"/>
      <c r="N470" s="669"/>
      <c r="O470" s="669"/>
      <c r="P470" s="669"/>
      <c r="Q470" s="669"/>
      <c r="R470" s="669"/>
      <c r="S470" s="669"/>
      <c r="T470" s="669"/>
      <c r="U470" s="669"/>
      <c r="V470" s="669"/>
      <c r="W470" s="669"/>
      <c r="X470" s="669"/>
      <c r="Y470" s="669"/>
      <c r="Z470" s="669"/>
      <c r="AA470" s="669"/>
    </row>
    <row r="471">
      <c r="A471" s="715"/>
      <c r="B471" s="669"/>
      <c r="C471" s="669"/>
      <c r="D471" s="669"/>
      <c r="E471" s="669"/>
      <c r="F471" s="669"/>
      <c r="G471" s="716"/>
      <c r="H471" s="669"/>
      <c r="I471" s="669"/>
      <c r="J471" s="669"/>
      <c r="K471" s="669"/>
      <c r="L471" s="669"/>
      <c r="M471" s="669"/>
      <c r="N471" s="669"/>
      <c r="O471" s="669"/>
      <c r="P471" s="669"/>
      <c r="Q471" s="669"/>
      <c r="R471" s="669"/>
      <c r="S471" s="669"/>
      <c r="T471" s="669"/>
      <c r="U471" s="669"/>
      <c r="V471" s="669"/>
      <c r="W471" s="669"/>
      <c r="X471" s="669"/>
      <c r="Y471" s="669"/>
      <c r="Z471" s="669"/>
      <c r="AA471" s="669"/>
    </row>
    <row r="472">
      <c r="A472" s="715"/>
      <c r="B472" s="669"/>
      <c r="C472" s="669"/>
      <c r="D472" s="669"/>
      <c r="E472" s="669"/>
      <c r="F472" s="669"/>
      <c r="G472" s="716"/>
      <c r="H472" s="669"/>
      <c r="I472" s="669"/>
      <c r="J472" s="669"/>
      <c r="K472" s="669"/>
      <c r="L472" s="669"/>
      <c r="M472" s="669"/>
      <c r="N472" s="669"/>
      <c r="O472" s="669"/>
      <c r="P472" s="669"/>
      <c r="Q472" s="669"/>
      <c r="R472" s="669"/>
      <c r="S472" s="669"/>
      <c r="T472" s="669"/>
      <c r="U472" s="669"/>
      <c r="V472" s="669"/>
      <c r="W472" s="669"/>
      <c r="X472" s="669"/>
      <c r="Y472" s="669"/>
      <c r="Z472" s="669"/>
      <c r="AA472" s="669"/>
    </row>
    <row r="473">
      <c r="A473" s="715"/>
      <c r="B473" s="669"/>
      <c r="C473" s="669"/>
      <c r="D473" s="669"/>
      <c r="E473" s="669"/>
      <c r="F473" s="669"/>
      <c r="G473" s="716"/>
      <c r="H473" s="669"/>
      <c r="I473" s="669"/>
      <c r="J473" s="669"/>
      <c r="K473" s="669"/>
      <c r="L473" s="669"/>
      <c r="M473" s="669"/>
      <c r="N473" s="669"/>
      <c r="O473" s="669"/>
      <c r="P473" s="669"/>
      <c r="Q473" s="669"/>
      <c r="R473" s="669"/>
      <c r="S473" s="669"/>
      <c r="T473" s="669"/>
      <c r="U473" s="669"/>
      <c r="V473" s="669"/>
      <c r="W473" s="669"/>
      <c r="X473" s="669"/>
      <c r="Y473" s="669"/>
      <c r="Z473" s="669"/>
      <c r="AA473" s="669"/>
    </row>
    <row r="474">
      <c r="A474" s="715"/>
      <c r="B474" s="669"/>
      <c r="C474" s="669"/>
      <c r="D474" s="669"/>
      <c r="E474" s="669"/>
      <c r="F474" s="669"/>
      <c r="G474" s="716"/>
      <c r="H474" s="669"/>
      <c r="I474" s="669"/>
      <c r="J474" s="669"/>
      <c r="K474" s="669"/>
      <c r="L474" s="669"/>
      <c r="M474" s="669"/>
      <c r="N474" s="669"/>
      <c r="O474" s="669"/>
      <c r="P474" s="669"/>
      <c r="Q474" s="669"/>
      <c r="R474" s="669"/>
      <c r="S474" s="669"/>
      <c r="T474" s="669"/>
      <c r="U474" s="669"/>
      <c r="V474" s="669"/>
      <c r="W474" s="669"/>
      <c r="X474" s="669"/>
      <c r="Y474" s="669"/>
      <c r="Z474" s="669"/>
      <c r="AA474" s="669"/>
    </row>
    <row r="475">
      <c r="A475" s="715"/>
      <c r="B475" s="669"/>
      <c r="C475" s="669"/>
      <c r="D475" s="669"/>
      <c r="E475" s="669"/>
      <c r="F475" s="669"/>
      <c r="G475" s="716"/>
      <c r="H475" s="669"/>
      <c r="I475" s="669"/>
      <c r="J475" s="669"/>
      <c r="K475" s="669"/>
      <c r="L475" s="669"/>
      <c r="M475" s="669"/>
      <c r="N475" s="669"/>
      <c r="O475" s="669"/>
      <c r="P475" s="669"/>
      <c r="Q475" s="669"/>
      <c r="R475" s="669"/>
      <c r="S475" s="669"/>
      <c r="T475" s="669"/>
      <c r="U475" s="669"/>
      <c r="V475" s="669"/>
      <c r="W475" s="669"/>
      <c r="X475" s="669"/>
      <c r="Y475" s="669"/>
      <c r="Z475" s="669"/>
      <c r="AA475" s="669"/>
    </row>
    <row r="476">
      <c r="A476" s="715"/>
      <c r="B476" s="669"/>
      <c r="C476" s="669"/>
      <c r="D476" s="669"/>
      <c r="E476" s="669"/>
      <c r="F476" s="669"/>
      <c r="G476" s="716"/>
      <c r="H476" s="669"/>
      <c r="I476" s="669"/>
      <c r="J476" s="669"/>
      <c r="K476" s="669"/>
      <c r="L476" s="669"/>
      <c r="M476" s="669"/>
      <c r="N476" s="669"/>
      <c r="O476" s="669"/>
      <c r="P476" s="669"/>
      <c r="Q476" s="669"/>
      <c r="R476" s="669"/>
      <c r="S476" s="669"/>
      <c r="T476" s="669"/>
      <c r="U476" s="669"/>
      <c r="V476" s="669"/>
      <c r="W476" s="669"/>
      <c r="X476" s="669"/>
      <c r="Y476" s="669"/>
      <c r="Z476" s="669"/>
      <c r="AA476" s="669"/>
    </row>
    <row r="477">
      <c r="A477" s="715"/>
      <c r="B477" s="669"/>
      <c r="C477" s="669"/>
      <c r="D477" s="669"/>
      <c r="E477" s="669"/>
      <c r="F477" s="669"/>
      <c r="G477" s="716"/>
      <c r="H477" s="669"/>
      <c r="I477" s="669"/>
      <c r="J477" s="669"/>
      <c r="K477" s="669"/>
      <c r="L477" s="669"/>
      <c r="M477" s="669"/>
      <c r="N477" s="669"/>
      <c r="O477" s="669"/>
      <c r="P477" s="669"/>
      <c r="Q477" s="669"/>
      <c r="R477" s="669"/>
      <c r="S477" s="669"/>
      <c r="T477" s="669"/>
      <c r="U477" s="669"/>
      <c r="V477" s="669"/>
      <c r="W477" s="669"/>
      <c r="X477" s="669"/>
      <c r="Y477" s="669"/>
      <c r="Z477" s="669"/>
      <c r="AA477" s="669"/>
    </row>
    <row r="478">
      <c r="A478" s="715"/>
      <c r="B478" s="669"/>
      <c r="C478" s="669"/>
      <c r="D478" s="669"/>
      <c r="E478" s="669"/>
      <c r="F478" s="669"/>
      <c r="G478" s="716"/>
      <c r="H478" s="669"/>
      <c r="I478" s="669"/>
      <c r="J478" s="669"/>
      <c r="K478" s="669"/>
      <c r="L478" s="669"/>
      <c r="M478" s="669"/>
      <c r="N478" s="669"/>
      <c r="O478" s="669"/>
      <c r="P478" s="669"/>
      <c r="Q478" s="669"/>
      <c r="R478" s="669"/>
      <c r="S478" s="669"/>
      <c r="T478" s="669"/>
      <c r="U478" s="669"/>
      <c r="V478" s="669"/>
      <c r="W478" s="669"/>
      <c r="X478" s="669"/>
      <c r="Y478" s="669"/>
      <c r="Z478" s="669"/>
      <c r="AA478" s="669"/>
    </row>
    <row r="479">
      <c r="A479" s="715"/>
      <c r="B479" s="669"/>
      <c r="C479" s="669"/>
      <c r="D479" s="669"/>
      <c r="E479" s="669"/>
      <c r="F479" s="669"/>
      <c r="G479" s="716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69"/>
    </row>
    <row r="480">
      <c r="A480" s="715"/>
      <c r="B480" s="669"/>
      <c r="C480" s="669"/>
      <c r="D480" s="669"/>
      <c r="E480" s="669"/>
      <c r="F480" s="669"/>
      <c r="G480" s="716"/>
      <c r="H480" s="669"/>
      <c r="I480" s="669"/>
      <c r="J480" s="669"/>
      <c r="K480" s="669"/>
      <c r="L480" s="669"/>
      <c r="M480" s="669"/>
      <c r="N480" s="669"/>
      <c r="O480" s="669"/>
      <c r="P480" s="669"/>
      <c r="Q480" s="669"/>
      <c r="R480" s="669"/>
      <c r="S480" s="669"/>
      <c r="T480" s="669"/>
      <c r="U480" s="669"/>
      <c r="V480" s="669"/>
      <c r="W480" s="669"/>
      <c r="X480" s="669"/>
      <c r="Y480" s="669"/>
      <c r="Z480" s="669"/>
      <c r="AA480" s="669"/>
    </row>
    <row r="481">
      <c r="A481" s="715"/>
      <c r="B481" s="669"/>
      <c r="C481" s="669"/>
      <c r="D481" s="669"/>
      <c r="E481" s="669"/>
      <c r="F481" s="669"/>
      <c r="G481" s="716"/>
      <c r="H481" s="669"/>
      <c r="I481" s="669"/>
      <c r="J481" s="669"/>
      <c r="K481" s="669"/>
      <c r="L481" s="669"/>
      <c r="M481" s="669"/>
      <c r="N481" s="669"/>
      <c r="O481" s="669"/>
      <c r="P481" s="669"/>
      <c r="Q481" s="669"/>
      <c r="R481" s="669"/>
      <c r="S481" s="669"/>
      <c r="T481" s="669"/>
      <c r="U481" s="669"/>
      <c r="V481" s="669"/>
      <c r="W481" s="669"/>
      <c r="X481" s="669"/>
      <c r="Y481" s="669"/>
      <c r="Z481" s="669"/>
      <c r="AA481" s="669"/>
    </row>
    <row r="482">
      <c r="A482" s="715"/>
      <c r="B482" s="669"/>
      <c r="C482" s="669"/>
      <c r="D482" s="669"/>
      <c r="E482" s="669"/>
      <c r="F482" s="669"/>
      <c r="G482" s="716"/>
      <c r="H482" s="669"/>
      <c r="I482" s="669"/>
      <c r="J482" s="669"/>
      <c r="K482" s="669"/>
      <c r="L482" s="669"/>
      <c r="M482" s="669"/>
      <c r="N482" s="669"/>
      <c r="O482" s="669"/>
      <c r="P482" s="669"/>
      <c r="Q482" s="669"/>
      <c r="R482" s="669"/>
      <c r="S482" s="669"/>
      <c r="T482" s="669"/>
      <c r="U482" s="669"/>
      <c r="V482" s="669"/>
      <c r="W482" s="669"/>
      <c r="X482" s="669"/>
      <c r="Y482" s="669"/>
      <c r="Z482" s="669"/>
      <c r="AA482" s="669"/>
    </row>
    <row r="483">
      <c r="A483" s="715"/>
      <c r="B483" s="669"/>
      <c r="C483" s="669"/>
      <c r="D483" s="669"/>
      <c r="E483" s="669"/>
      <c r="F483" s="669"/>
      <c r="G483" s="716"/>
      <c r="H483" s="669"/>
      <c r="I483" s="669"/>
      <c r="J483" s="669"/>
      <c r="K483" s="669"/>
      <c r="L483" s="669"/>
      <c r="M483" s="669"/>
      <c r="N483" s="669"/>
      <c r="O483" s="669"/>
      <c r="P483" s="669"/>
      <c r="Q483" s="669"/>
      <c r="R483" s="669"/>
      <c r="S483" s="669"/>
      <c r="T483" s="669"/>
      <c r="U483" s="669"/>
      <c r="V483" s="669"/>
      <c r="W483" s="669"/>
      <c r="X483" s="669"/>
      <c r="Y483" s="669"/>
      <c r="Z483" s="669"/>
      <c r="AA483" s="669"/>
    </row>
    <row r="484">
      <c r="A484" s="715"/>
      <c r="B484" s="669"/>
      <c r="C484" s="669"/>
      <c r="D484" s="669"/>
      <c r="E484" s="669"/>
      <c r="F484" s="669"/>
      <c r="G484" s="716"/>
      <c r="H484" s="669"/>
      <c r="I484" s="669"/>
      <c r="J484" s="669"/>
      <c r="K484" s="669"/>
      <c r="L484" s="669"/>
      <c r="M484" s="669"/>
      <c r="N484" s="669"/>
      <c r="O484" s="669"/>
      <c r="P484" s="669"/>
      <c r="Q484" s="669"/>
      <c r="R484" s="669"/>
      <c r="S484" s="669"/>
      <c r="T484" s="669"/>
      <c r="U484" s="669"/>
      <c r="V484" s="669"/>
      <c r="W484" s="669"/>
      <c r="X484" s="669"/>
      <c r="Y484" s="669"/>
      <c r="Z484" s="669"/>
      <c r="AA484" s="669"/>
    </row>
    <row r="485">
      <c r="A485" s="715"/>
      <c r="B485" s="669"/>
      <c r="C485" s="669"/>
      <c r="D485" s="669"/>
      <c r="E485" s="669"/>
      <c r="F485" s="669"/>
      <c r="G485" s="716"/>
      <c r="H485" s="669"/>
      <c r="I485" s="669"/>
      <c r="J485" s="669"/>
      <c r="K485" s="669"/>
      <c r="L485" s="669"/>
      <c r="M485" s="669"/>
      <c r="N485" s="669"/>
      <c r="O485" s="669"/>
      <c r="P485" s="669"/>
      <c r="Q485" s="669"/>
      <c r="R485" s="669"/>
      <c r="S485" s="669"/>
      <c r="T485" s="669"/>
      <c r="U485" s="669"/>
      <c r="V485" s="669"/>
      <c r="W485" s="669"/>
      <c r="X485" s="669"/>
      <c r="Y485" s="669"/>
      <c r="Z485" s="669"/>
      <c r="AA485" s="669"/>
    </row>
    <row r="486">
      <c r="A486" s="715"/>
      <c r="B486" s="669"/>
      <c r="C486" s="669"/>
      <c r="D486" s="669"/>
      <c r="E486" s="669"/>
      <c r="F486" s="669"/>
      <c r="G486" s="716"/>
      <c r="H486" s="669"/>
      <c r="I486" s="669"/>
      <c r="J486" s="669"/>
      <c r="K486" s="669"/>
      <c r="L486" s="669"/>
      <c r="M486" s="669"/>
      <c r="N486" s="669"/>
      <c r="O486" s="669"/>
      <c r="P486" s="669"/>
      <c r="Q486" s="669"/>
      <c r="R486" s="669"/>
      <c r="S486" s="669"/>
      <c r="T486" s="669"/>
      <c r="U486" s="669"/>
      <c r="V486" s="669"/>
      <c r="W486" s="669"/>
      <c r="X486" s="669"/>
      <c r="Y486" s="669"/>
      <c r="Z486" s="669"/>
      <c r="AA486" s="669"/>
    </row>
    <row r="487">
      <c r="A487" s="715"/>
      <c r="B487" s="669"/>
      <c r="C487" s="669"/>
      <c r="D487" s="669"/>
      <c r="E487" s="669"/>
      <c r="F487" s="669"/>
      <c r="G487" s="716"/>
      <c r="H487" s="669"/>
      <c r="I487" s="669"/>
      <c r="J487" s="669"/>
      <c r="K487" s="669"/>
      <c r="L487" s="669"/>
      <c r="M487" s="669"/>
      <c r="N487" s="669"/>
      <c r="O487" s="669"/>
      <c r="P487" s="669"/>
      <c r="Q487" s="669"/>
      <c r="R487" s="669"/>
      <c r="S487" s="669"/>
      <c r="T487" s="669"/>
      <c r="U487" s="669"/>
      <c r="V487" s="669"/>
      <c r="W487" s="669"/>
      <c r="X487" s="669"/>
      <c r="Y487" s="669"/>
      <c r="Z487" s="669"/>
      <c r="AA487" s="669"/>
    </row>
    <row r="488">
      <c r="A488" s="715"/>
      <c r="B488" s="669"/>
      <c r="C488" s="669"/>
      <c r="D488" s="669"/>
      <c r="E488" s="669"/>
      <c r="F488" s="669"/>
      <c r="G488" s="716"/>
      <c r="H488" s="669"/>
      <c r="I488" s="669"/>
      <c r="J488" s="669"/>
      <c r="K488" s="669"/>
      <c r="L488" s="669"/>
      <c r="M488" s="669"/>
      <c r="N488" s="669"/>
      <c r="O488" s="669"/>
      <c r="P488" s="669"/>
      <c r="Q488" s="669"/>
      <c r="R488" s="669"/>
      <c r="S488" s="669"/>
      <c r="T488" s="669"/>
      <c r="U488" s="669"/>
      <c r="V488" s="669"/>
      <c r="W488" s="669"/>
      <c r="X488" s="669"/>
      <c r="Y488" s="669"/>
      <c r="Z488" s="669"/>
      <c r="AA488" s="669"/>
    </row>
    <row r="489">
      <c r="A489" s="715"/>
      <c r="B489" s="669"/>
      <c r="C489" s="669"/>
      <c r="D489" s="669"/>
      <c r="E489" s="669"/>
      <c r="F489" s="669"/>
      <c r="G489" s="716"/>
      <c r="H489" s="669"/>
      <c r="I489" s="669"/>
      <c r="J489" s="669"/>
      <c r="K489" s="669"/>
      <c r="L489" s="669"/>
      <c r="M489" s="669"/>
      <c r="N489" s="669"/>
      <c r="O489" s="669"/>
      <c r="P489" s="669"/>
      <c r="Q489" s="669"/>
      <c r="R489" s="669"/>
      <c r="S489" s="669"/>
      <c r="T489" s="669"/>
      <c r="U489" s="669"/>
      <c r="V489" s="669"/>
      <c r="W489" s="669"/>
      <c r="X489" s="669"/>
      <c r="Y489" s="669"/>
      <c r="Z489" s="669"/>
      <c r="AA489" s="669"/>
    </row>
    <row r="490">
      <c r="A490" s="715"/>
      <c r="B490" s="669"/>
      <c r="C490" s="669"/>
      <c r="D490" s="669"/>
      <c r="E490" s="669"/>
      <c r="F490" s="669"/>
      <c r="G490" s="716"/>
      <c r="H490" s="669"/>
      <c r="I490" s="669"/>
      <c r="J490" s="669"/>
      <c r="K490" s="669"/>
      <c r="L490" s="669"/>
      <c r="M490" s="669"/>
      <c r="N490" s="669"/>
      <c r="O490" s="669"/>
      <c r="P490" s="669"/>
      <c r="Q490" s="669"/>
      <c r="R490" s="669"/>
      <c r="S490" s="669"/>
      <c r="T490" s="669"/>
      <c r="U490" s="669"/>
      <c r="V490" s="669"/>
      <c r="W490" s="669"/>
      <c r="X490" s="669"/>
      <c r="Y490" s="669"/>
      <c r="Z490" s="669"/>
      <c r="AA490" s="669"/>
    </row>
    <row r="491">
      <c r="A491" s="715"/>
      <c r="B491" s="669"/>
      <c r="C491" s="669"/>
      <c r="D491" s="669"/>
      <c r="E491" s="669"/>
      <c r="F491" s="669"/>
      <c r="G491" s="716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69"/>
    </row>
    <row r="492">
      <c r="A492" s="715"/>
      <c r="B492" s="669"/>
      <c r="C492" s="669"/>
      <c r="D492" s="669"/>
      <c r="E492" s="669"/>
      <c r="F492" s="669"/>
      <c r="G492" s="716"/>
      <c r="H492" s="669"/>
      <c r="I492" s="669"/>
      <c r="J492" s="669"/>
      <c r="K492" s="669"/>
      <c r="L492" s="669"/>
      <c r="M492" s="669"/>
      <c r="N492" s="669"/>
      <c r="O492" s="669"/>
      <c r="P492" s="669"/>
      <c r="Q492" s="669"/>
      <c r="R492" s="669"/>
      <c r="S492" s="669"/>
      <c r="T492" s="669"/>
      <c r="U492" s="669"/>
      <c r="V492" s="669"/>
      <c r="W492" s="669"/>
      <c r="X492" s="669"/>
      <c r="Y492" s="669"/>
      <c r="Z492" s="669"/>
      <c r="AA492" s="669"/>
    </row>
    <row r="493">
      <c r="A493" s="715"/>
      <c r="B493" s="669"/>
      <c r="C493" s="669"/>
      <c r="D493" s="669"/>
      <c r="E493" s="669"/>
      <c r="F493" s="669"/>
      <c r="G493" s="716"/>
      <c r="H493" s="669"/>
      <c r="I493" s="669"/>
      <c r="J493" s="669"/>
      <c r="K493" s="669"/>
      <c r="L493" s="669"/>
      <c r="M493" s="669"/>
      <c r="N493" s="669"/>
      <c r="O493" s="669"/>
      <c r="P493" s="669"/>
      <c r="Q493" s="669"/>
      <c r="R493" s="669"/>
      <c r="S493" s="669"/>
      <c r="T493" s="669"/>
      <c r="U493" s="669"/>
      <c r="V493" s="669"/>
      <c r="W493" s="669"/>
      <c r="X493" s="669"/>
      <c r="Y493" s="669"/>
      <c r="Z493" s="669"/>
      <c r="AA493" s="669"/>
    </row>
    <row r="494">
      <c r="A494" s="715"/>
      <c r="B494" s="669"/>
      <c r="C494" s="669"/>
      <c r="D494" s="669"/>
      <c r="E494" s="669"/>
      <c r="F494" s="669"/>
      <c r="G494" s="716"/>
      <c r="H494" s="669"/>
      <c r="I494" s="669"/>
      <c r="J494" s="669"/>
      <c r="K494" s="669"/>
      <c r="L494" s="669"/>
      <c r="M494" s="669"/>
      <c r="N494" s="669"/>
      <c r="O494" s="669"/>
      <c r="P494" s="669"/>
      <c r="Q494" s="669"/>
      <c r="R494" s="669"/>
      <c r="S494" s="669"/>
      <c r="T494" s="669"/>
      <c r="U494" s="669"/>
      <c r="V494" s="669"/>
      <c r="W494" s="669"/>
      <c r="X494" s="669"/>
      <c r="Y494" s="669"/>
      <c r="Z494" s="669"/>
      <c r="AA494" s="669"/>
    </row>
    <row r="495">
      <c r="A495" s="715"/>
      <c r="B495" s="669"/>
      <c r="C495" s="669"/>
      <c r="D495" s="669"/>
      <c r="E495" s="669"/>
      <c r="F495" s="669"/>
      <c r="G495" s="716"/>
      <c r="H495" s="669"/>
      <c r="I495" s="669"/>
      <c r="J495" s="669"/>
      <c r="K495" s="669"/>
      <c r="L495" s="669"/>
      <c r="M495" s="669"/>
      <c r="N495" s="669"/>
      <c r="O495" s="669"/>
      <c r="P495" s="669"/>
      <c r="Q495" s="669"/>
      <c r="R495" s="669"/>
      <c r="S495" s="669"/>
      <c r="T495" s="669"/>
      <c r="U495" s="669"/>
      <c r="V495" s="669"/>
      <c r="W495" s="669"/>
      <c r="X495" s="669"/>
      <c r="Y495" s="669"/>
      <c r="Z495" s="669"/>
      <c r="AA495" s="669"/>
    </row>
    <row r="496">
      <c r="A496" s="715"/>
      <c r="B496" s="669"/>
      <c r="C496" s="669"/>
      <c r="D496" s="669"/>
      <c r="E496" s="669"/>
      <c r="F496" s="669"/>
      <c r="G496" s="716"/>
      <c r="H496" s="669"/>
      <c r="I496" s="669"/>
      <c r="J496" s="669"/>
      <c r="K496" s="669"/>
      <c r="L496" s="669"/>
      <c r="M496" s="669"/>
      <c r="N496" s="669"/>
      <c r="O496" s="669"/>
      <c r="P496" s="669"/>
      <c r="Q496" s="669"/>
      <c r="R496" s="669"/>
      <c r="S496" s="669"/>
      <c r="T496" s="669"/>
      <c r="U496" s="669"/>
      <c r="V496" s="669"/>
      <c r="W496" s="669"/>
      <c r="X496" s="669"/>
      <c r="Y496" s="669"/>
      <c r="Z496" s="669"/>
      <c r="AA496" s="669"/>
    </row>
    <row r="497">
      <c r="A497" s="715"/>
      <c r="B497" s="669"/>
      <c r="C497" s="669"/>
      <c r="D497" s="669"/>
      <c r="E497" s="669"/>
      <c r="F497" s="669"/>
      <c r="G497" s="716"/>
      <c r="H497" s="669"/>
      <c r="I497" s="669"/>
      <c r="J497" s="669"/>
      <c r="K497" s="669"/>
      <c r="L497" s="669"/>
      <c r="M497" s="669"/>
      <c r="N497" s="669"/>
      <c r="O497" s="669"/>
      <c r="P497" s="669"/>
      <c r="Q497" s="669"/>
      <c r="R497" s="669"/>
      <c r="S497" s="669"/>
      <c r="T497" s="669"/>
      <c r="U497" s="669"/>
      <c r="V497" s="669"/>
      <c r="W497" s="669"/>
      <c r="X497" s="669"/>
      <c r="Y497" s="669"/>
      <c r="Z497" s="669"/>
      <c r="AA497" s="669"/>
    </row>
    <row r="498">
      <c r="A498" s="715"/>
      <c r="B498" s="669"/>
      <c r="C498" s="669"/>
      <c r="D498" s="669"/>
      <c r="E498" s="669"/>
      <c r="F498" s="669"/>
      <c r="G498" s="716"/>
      <c r="H498" s="669"/>
      <c r="I498" s="669"/>
      <c r="J498" s="669"/>
      <c r="K498" s="669"/>
      <c r="L498" s="669"/>
      <c r="M498" s="669"/>
      <c r="N498" s="669"/>
      <c r="O498" s="669"/>
      <c r="P498" s="669"/>
      <c r="Q498" s="669"/>
      <c r="R498" s="669"/>
      <c r="S498" s="669"/>
      <c r="T498" s="669"/>
      <c r="U498" s="669"/>
      <c r="V498" s="669"/>
      <c r="W498" s="669"/>
      <c r="X498" s="669"/>
      <c r="Y498" s="669"/>
      <c r="Z498" s="669"/>
      <c r="AA498" s="669"/>
    </row>
    <row r="499">
      <c r="A499" s="715"/>
      <c r="B499" s="669"/>
      <c r="C499" s="669"/>
      <c r="D499" s="669"/>
      <c r="E499" s="669"/>
      <c r="F499" s="669"/>
      <c r="G499" s="716"/>
      <c r="H499" s="669"/>
      <c r="I499" s="669"/>
      <c r="J499" s="669"/>
      <c r="K499" s="669"/>
      <c r="L499" s="669"/>
      <c r="M499" s="669"/>
      <c r="N499" s="669"/>
      <c r="O499" s="669"/>
      <c r="P499" s="669"/>
      <c r="Q499" s="669"/>
      <c r="R499" s="669"/>
      <c r="S499" s="669"/>
      <c r="T499" s="669"/>
      <c r="U499" s="669"/>
      <c r="V499" s="669"/>
      <c r="W499" s="669"/>
      <c r="X499" s="669"/>
      <c r="Y499" s="669"/>
      <c r="Z499" s="669"/>
      <c r="AA499" s="669"/>
    </row>
    <row r="500">
      <c r="A500" s="715"/>
      <c r="B500" s="669"/>
      <c r="C500" s="669"/>
      <c r="D500" s="669"/>
      <c r="E500" s="669"/>
      <c r="F500" s="669"/>
      <c r="G500" s="716"/>
      <c r="H500" s="669"/>
      <c r="I500" s="669"/>
      <c r="J500" s="669"/>
      <c r="K500" s="669"/>
      <c r="L500" s="669"/>
      <c r="M500" s="669"/>
      <c r="N500" s="669"/>
      <c r="O500" s="669"/>
      <c r="P500" s="669"/>
      <c r="Q500" s="669"/>
      <c r="R500" s="669"/>
      <c r="S500" s="669"/>
      <c r="T500" s="669"/>
      <c r="U500" s="669"/>
      <c r="V500" s="669"/>
      <c r="W500" s="669"/>
      <c r="X500" s="669"/>
      <c r="Y500" s="669"/>
      <c r="Z500" s="669"/>
      <c r="AA500" s="669"/>
    </row>
    <row r="501">
      <c r="A501" s="715"/>
      <c r="B501" s="669"/>
      <c r="C501" s="669"/>
      <c r="D501" s="669"/>
      <c r="E501" s="669"/>
      <c r="F501" s="669"/>
      <c r="G501" s="716"/>
      <c r="H501" s="669"/>
      <c r="I501" s="669"/>
      <c r="J501" s="669"/>
      <c r="K501" s="669"/>
      <c r="L501" s="669"/>
      <c r="M501" s="669"/>
      <c r="N501" s="669"/>
      <c r="O501" s="669"/>
      <c r="P501" s="669"/>
      <c r="Q501" s="669"/>
      <c r="R501" s="669"/>
      <c r="S501" s="669"/>
      <c r="T501" s="669"/>
      <c r="U501" s="669"/>
      <c r="V501" s="669"/>
      <c r="W501" s="669"/>
      <c r="X501" s="669"/>
      <c r="Y501" s="669"/>
      <c r="Z501" s="669"/>
      <c r="AA501" s="669"/>
    </row>
    <row r="502">
      <c r="A502" s="715"/>
      <c r="B502" s="669"/>
      <c r="C502" s="669"/>
      <c r="D502" s="669"/>
      <c r="E502" s="669"/>
      <c r="F502" s="669"/>
      <c r="G502" s="716"/>
      <c r="H502" s="669"/>
      <c r="I502" s="669"/>
      <c r="J502" s="669"/>
      <c r="K502" s="669"/>
      <c r="L502" s="669"/>
      <c r="M502" s="669"/>
      <c r="N502" s="669"/>
      <c r="O502" s="669"/>
      <c r="P502" s="669"/>
      <c r="Q502" s="669"/>
      <c r="R502" s="669"/>
      <c r="S502" s="669"/>
      <c r="T502" s="669"/>
      <c r="U502" s="669"/>
      <c r="V502" s="669"/>
      <c r="W502" s="669"/>
      <c r="X502" s="669"/>
      <c r="Y502" s="669"/>
      <c r="Z502" s="669"/>
      <c r="AA502" s="669"/>
    </row>
    <row r="503">
      <c r="A503" s="715"/>
      <c r="B503" s="669"/>
      <c r="C503" s="669"/>
      <c r="D503" s="669"/>
      <c r="E503" s="669"/>
      <c r="F503" s="669"/>
      <c r="G503" s="716"/>
      <c r="H503" s="669"/>
      <c r="I503" s="669"/>
      <c r="J503" s="669"/>
      <c r="K503" s="669"/>
      <c r="L503" s="669"/>
      <c r="M503" s="669"/>
      <c r="N503" s="669"/>
      <c r="O503" s="669"/>
      <c r="P503" s="669"/>
      <c r="Q503" s="669"/>
      <c r="R503" s="669"/>
      <c r="S503" s="669"/>
      <c r="T503" s="669"/>
      <c r="U503" s="669"/>
      <c r="V503" s="669"/>
      <c r="W503" s="669"/>
      <c r="X503" s="669"/>
      <c r="Y503" s="669"/>
      <c r="Z503" s="669"/>
      <c r="AA503" s="669"/>
    </row>
    <row r="504">
      <c r="A504" s="715"/>
      <c r="B504" s="669"/>
      <c r="C504" s="669"/>
      <c r="D504" s="669"/>
      <c r="E504" s="669"/>
      <c r="F504" s="669"/>
      <c r="G504" s="716"/>
      <c r="H504" s="669"/>
      <c r="I504" s="669"/>
      <c r="J504" s="669"/>
      <c r="K504" s="669"/>
      <c r="L504" s="669"/>
      <c r="M504" s="669"/>
      <c r="N504" s="669"/>
      <c r="O504" s="669"/>
      <c r="P504" s="669"/>
      <c r="Q504" s="669"/>
      <c r="R504" s="669"/>
      <c r="S504" s="669"/>
      <c r="T504" s="669"/>
      <c r="U504" s="669"/>
      <c r="V504" s="669"/>
      <c r="W504" s="669"/>
      <c r="X504" s="669"/>
      <c r="Y504" s="669"/>
      <c r="Z504" s="669"/>
      <c r="AA504" s="669"/>
    </row>
    <row r="505">
      <c r="A505" s="715"/>
      <c r="B505" s="669"/>
      <c r="C505" s="669"/>
      <c r="D505" s="669"/>
      <c r="E505" s="669"/>
      <c r="F505" s="669"/>
      <c r="G505" s="716"/>
      <c r="H505" s="669"/>
      <c r="I505" s="669"/>
      <c r="J505" s="669"/>
      <c r="K505" s="669"/>
      <c r="L505" s="669"/>
      <c r="M505" s="669"/>
      <c r="N505" s="669"/>
      <c r="O505" s="669"/>
      <c r="P505" s="669"/>
      <c r="Q505" s="669"/>
      <c r="R505" s="669"/>
      <c r="S505" s="669"/>
      <c r="T505" s="669"/>
      <c r="U505" s="669"/>
      <c r="V505" s="669"/>
      <c r="W505" s="669"/>
      <c r="X505" s="669"/>
      <c r="Y505" s="669"/>
      <c r="Z505" s="669"/>
      <c r="AA505" s="669"/>
    </row>
    <row r="506">
      <c r="A506" s="715"/>
      <c r="B506" s="669"/>
      <c r="C506" s="669"/>
      <c r="D506" s="669"/>
      <c r="E506" s="669"/>
      <c r="F506" s="669"/>
      <c r="G506" s="716"/>
      <c r="H506" s="669"/>
      <c r="I506" s="669"/>
      <c r="J506" s="669"/>
      <c r="K506" s="669"/>
      <c r="L506" s="669"/>
      <c r="M506" s="669"/>
      <c r="N506" s="669"/>
      <c r="O506" s="669"/>
      <c r="P506" s="669"/>
      <c r="Q506" s="669"/>
      <c r="R506" s="669"/>
      <c r="S506" s="669"/>
      <c r="T506" s="669"/>
      <c r="U506" s="669"/>
      <c r="V506" s="669"/>
      <c r="W506" s="669"/>
      <c r="X506" s="669"/>
      <c r="Y506" s="669"/>
      <c r="Z506" s="669"/>
      <c r="AA506" s="669"/>
    </row>
    <row r="507">
      <c r="A507" s="715"/>
      <c r="B507" s="669"/>
      <c r="C507" s="669"/>
      <c r="D507" s="669"/>
      <c r="E507" s="669"/>
      <c r="F507" s="669"/>
      <c r="G507" s="716"/>
      <c r="H507" s="669"/>
      <c r="I507" s="669"/>
      <c r="J507" s="669"/>
      <c r="K507" s="669"/>
      <c r="L507" s="669"/>
      <c r="M507" s="669"/>
      <c r="N507" s="669"/>
      <c r="O507" s="669"/>
      <c r="P507" s="669"/>
      <c r="Q507" s="669"/>
      <c r="R507" s="669"/>
      <c r="S507" s="669"/>
      <c r="T507" s="669"/>
      <c r="U507" s="669"/>
      <c r="V507" s="669"/>
      <c r="W507" s="669"/>
      <c r="X507" s="669"/>
      <c r="Y507" s="669"/>
      <c r="Z507" s="669"/>
      <c r="AA507" s="669"/>
    </row>
    <row r="508">
      <c r="A508" s="715"/>
      <c r="B508" s="669"/>
      <c r="C508" s="669"/>
      <c r="D508" s="669"/>
      <c r="E508" s="669"/>
      <c r="F508" s="669"/>
      <c r="G508" s="716"/>
      <c r="H508" s="669"/>
      <c r="I508" s="669"/>
      <c r="J508" s="669"/>
      <c r="K508" s="669"/>
      <c r="L508" s="669"/>
      <c r="M508" s="669"/>
      <c r="N508" s="669"/>
      <c r="O508" s="669"/>
      <c r="P508" s="669"/>
      <c r="Q508" s="669"/>
      <c r="R508" s="669"/>
      <c r="S508" s="669"/>
      <c r="T508" s="669"/>
      <c r="U508" s="669"/>
      <c r="V508" s="669"/>
      <c r="W508" s="669"/>
      <c r="X508" s="669"/>
      <c r="Y508" s="669"/>
      <c r="Z508" s="669"/>
      <c r="AA508" s="669"/>
    </row>
    <row r="509">
      <c r="A509" s="715"/>
      <c r="B509" s="669"/>
      <c r="C509" s="669"/>
      <c r="D509" s="669"/>
      <c r="E509" s="669"/>
      <c r="F509" s="669"/>
      <c r="G509" s="716"/>
      <c r="H509" s="669"/>
      <c r="I509" s="669"/>
      <c r="J509" s="669"/>
      <c r="K509" s="669"/>
      <c r="L509" s="669"/>
      <c r="M509" s="669"/>
      <c r="N509" s="669"/>
      <c r="O509" s="669"/>
      <c r="P509" s="669"/>
      <c r="Q509" s="669"/>
      <c r="R509" s="669"/>
      <c r="S509" s="669"/>
      <c r="T509" s="669"/>
      <c r="U509" s="669"/>
      <c r="V509" s="669"/>
      <c r="W509" s="669"/>
      <c r="X509" s="669"/>
      <c r="Y509" s="669"/>
      <c r="Z509" s="669"/>
      <c r="AA509" s="669"/>
    </row>
    <row r="510">
      <c r="A510" s="715"/>
      <c r="B510" s="669"/>
      <c r="C510" s="669"/>
      <c r="D510" s="669"/>
      <c r="E510" s="669"/>
      <c r="F510" s="669"/>
      <c r="G510" s="716"/>
      <c r="H510" s="669"/>
      <c r="I510" s="669"/>
      <c r="J510" s="669"/>
      <c r="K510" s="669"/>
      <c r="L510" s="669"/>
      <c r="M510" s="669"/>
      <c r="N510" s="669"/>
      <c r="O510" s="669"/>
      <c r="P510" s="669"/>
      <c r="Q510" s="669"/>
      <c r="R510" s="669"/>
      <c r="S510" s="669"/>
      <c r="T510" s="669"/>
      <c r="U510" s="669"/>
      <c r="V510" s="669"/>
      <c r="W510" s="669"/>
      <c r="X510" s="669"/>
      <c r="Y510" s="669"/>
      <c r="Z510" s="669"/>
      <c r="AA510" s="669"/>
    </row>
    <row r="511">
      <c r="A511" s="715"/>
      <c r="B511" s="669"/>
      <c r="C511" s="669"/>
      <c r="D511" s="669"/>
      <c r="E511" s="669"/>
      <c r="F511" s="669"/>
      <c r="G511" s="716"/>
      <c r="H511" s="669"/>
      <c r="I511" s="669"/>
      <c r="J511" s="669"/>
      <c r="K511" s="669"/>
      <c r="L511" s="669"/>
      <c r="M511" s="669"/>
      <c r="N511" s="669"/>
      <c r="O511" s="669"/>
      <c r="P511" s="669"/>
      <c r="Q511" s="669"/>
      <c r="R511" s="669"/>
      <c r="S511" s="669"/>
      <c r="T511" s="669"/>
      <c r="U511" s="669"/>
      <c r="V511" s="669"/>
      <c r="W511" s="669"/>
      <c r="X511" s="669"/>
      <c r="Y511" s="669"/>
      <c r="Z511" s="669"/>
      <c r="AA511" s="669"/>
    </row>
    <row r="512">
      <c r="A512" s="715"/>
      <c r="B512" s="669"/>
      <c r="C512" s="669"/>
      <c r="D512" s="669"/>
      <c r="E512" s="669"/>
      <c r="F512" s="669"/>
      <c r="G512" s="716"/>
      <c r="H512" s="669"/>
      <c r="I512" s="669"/>
      <c r="J512" s="669"/>
      <c r="K512" s="669"/>
      <c r="L512" s="669"/>
      <c r="M512" s="669"/>
      <c r="N512" s="669"/>
      <c r="O512" s="669"/>
      <c r="P512" s="669"/>
      <c r="Q512" s="669"/>
      <c r="R512" s="669"/>
      <c r="S512" s="669"/>
      <c r="T512" s="669"/>
      <c r="U512" s="669"/>
      <c r="V512" s="669"/>
      <c r="W512" s="669"/>
      <c r="X512" s="669"/>
      <c r="Y512" s="669"/>
      <c r="Z512" s="669"/>
      <c r="AA512" s="669"/>
    </row>
    <row r="513">
      <c r="A513" s="715"/>
      <c r="B513" s="669"/>
      <c r="C513" s="669"/>
      <c r="D513" s="669"/>
      <c r="E513" s="669"/>
      <c r="F513" s="669"/>
      <c r="G513" s="716"/>
      <c r="H513" s="669"/>
      <c r="I513" s="669"/>
      <c r="J513" s="669"/>
      <c r="K513" s="669"/>
      <c r="L513" s="669"/>
      <c r="M513" s="669"/>
      <c r="N513" s="669"/>
      <c r="O513" s="669"/>
      <c r="P513" s="669"/>
      <c r="Q513" s="669"/>
      <c r="R513" s="669"/>
      <c r="S513" s="669"/>
      <c r="T513" s="669"/>
      <c r="U513" s="669"/>
      <c r="V513" s="669"/>
      <c r="W513" s="669"/>
      <c r="X513" s="669"/>
      <c r="Y513" s="669"/>
      <c r="Z513" s="669"/>
      <c r="AA513" s="669"/>
    </row>
    <row r="514">
      <c r="A514" s="715"/>
      <c r="B514" s="669"/>
      <c r="C514" s="669"/>
      <c r="D514" s="669"/>
      <c r="E514" s="669"/>
      <c r="F514" s="669"/>
      <c r="G514" s="716"/>
      <c r="H514" s="669"/>
      <c r="I514" s="669"/>
      <c r="J514" s="669"/>
      <c r="K514" s="669"/>
      <c r="L514" s="669"/>
      <c r="M514" s="669"/>
      <c r="N514" s="669"/>
      <c r="O514" s="669"/>
      <c r="P514" s="669"/>
      <c r="Q514" s="669"/>
      <c r="R514" s="669"/>
      <c r="S514" s="669"/>
      <c r="T514" s="669"/>
      <c r="U514" s="669"/>
      <c r="V514" s="669"/>
      <c r="W514" s="669"/>
      <c r="X514" s="669"/>
      <c r="Y514" s="669"/>
      <c r="Z514" s="669"/>
      <c r="AA514" s="669"/>
    </row>
    <row r="515">
      <c r="A515" s="715"/>
      <c r="B515" s="669"/>
      <c r="C515" s="669"/>
      <c r="D515" s="669"/>
      <c r="E515" s="669"/>
      <c r="F515" s="669"/>
      <c r="G515" s="716"/>
      <c r="H515" s="669"/>
      <c r="I515" s="669"/>
      <c r="J515" s="669"/>
      <c r="K515" s="669"/>
      <c r="L515" s="669"/>
      <c r="M515" s="669"/>
      <c r="N515" s="669"/>
      <c r="O515" s="669"/>
      <c r="P515" s="669"/>
      <c r="Q515" s="669"/>
      <c r="R515" s="669"/>
      <c r="S515" s="669"/>
      <c r="T515" s="669"/>
      <c r="U515" s="669"/>
      <c r="V515" s="669"/>
      <c r="W515" s="669"/>
      <c r="X515" s="669"/>
      <c r="Y515" s="669"/>
      <c r="Z515" s="669"/>
      <c r="AA515" s="669"/>
    </row>
    <row r="516">
      <c r="A516" s="715"/>
      <c r="B516" s="669"/>
      <c r="C516" s="669"/>
      <c r="D516" s="669"/>
      <c r="E516" s="669"/>
      <c r="F516" s="669"/>
      <c r="G516" s="716"/>
      <c r="H516" s="669"/>
      <c r="I516" s="669"/>
      <c r="J516" s="669"/>
      <c r="K516" s="669"/>
      <c r="L516" s="669"/>
      <c r="M516" s="669"/>
      <c r="N516" s="669"/>
      <c r="O516" s="669"/>
      <c r="P516" s="669"/>
      <c r="Q516" s="669"/>
      <c r="R516" s="669"/>
      <c r="S516" s="669"/>
      <c r="T516" s="669"/>
      <c r="U516" s="669"/>
      <c r="V516" s="669"/>
      <c r="W516" s="669"/>
      <c r="X516" s="669"/>
      <c r="Y516" s="669"/>
      <c r="Z516" s="669"/>
      <c r="AA516" s="669"/>
    </row>
    <row r="517">
      <c r="A517" s="715"/>
      <c r="B517" s="669"/>
      <c r="C517" s="669"/>
      <c r="D517" s="669"/>
      <c r="E517" s="669"/>
      <c r="F517" s="669"/>
      <c r="G517" s="716"/>
      <c r="H517" s="669"/>
      <c r="I517" s="669"/>
      <c r="J517" s="669"/>
      <c r="K517" s="669"/>
      <c r="L517" s="669"/>
      <c r="M517" s="669"/>
      <c r="N517" s="669"/>
      <c r="O517" s="669"/>
      <c r="P517" s="669"/>
      <c r="Q517" s="669"/>
      <c r="R517" s="669"/>
      <c r="S517" s="669"/>
      <c r="T517" s="669"/>
      <c r="U517" s="669"/>
      <c r="V517" s="669"/>
      <c r="W517" s="669"/>
      <c r="X517" s="669"/>
      <c r="Y517" s="669"/>
      <c r="Z517" s="669"/>
      <c r="AA517" s="669"/>
    </row>
    <row r="518">
      <c r="A518" s="715"/>
      <c r="B518" s="669"/>
      <c r="C518" s="669"/>
      <c r="D518" s="669"/>
      <c r="E518" s="669"/>
      <c r="F518" s="669"/>
      <c r="G518" s="716"/>
      <c r="H518" s="669"/>
      <c r="I518" s="669"/>
      <c r="J518" s="669"/>
      <c r="K518" s="669"/>
      <c r="L518" s="669"/>
      <c r="M518" s="669"/>
      <c r="N518" s="669"/>
      <c r="O518" s="669"/>
      <c r="P518" s="669"/>
      <c r="Q518" s="669"/>
      <c r="R518" s="669"/>
      <c r="S518" s="669"/>
      <c r="T518" s="669"/>
      <c r="U518" s="669"/>
      <c r="V518" s="669"/>
      <c r="W518" s="669"/>
      <c r="X518" s="669"/>
      <c r="Y518" s="669"/>
      <c r="Z518" s="669"/>
      <c r="AA518" s="669"/>
    </row>
    <row r="519">
      <c r="A519" s="715"/>
      <c r="B519" s="669"/>
      <c r="C519" s="669"/>
      <c r="D519" s="669"/>
      <c r="E519" s="669"/>
      <c r="F519" s="669"/>
      <c r="G519" s="716"/>
      <c r="H519" s="669"/>
      <c r="I519" s="669"/>
      <c r="J519" s="669"/>
      <c r="K519" s="669"/>
      <c r="L519" s="669"/>
      <c r="M519" s="669"/>
      <c r="N519" s="669"/>
      <c r="O519" s="669"/>
      <c r="P519" s="669"/>
      <c r="Q519" s="669"/>
      <c r="R519" s="669"/>
      <c r="S519" s="669"/>
      <c r="T519" s="669"/>
      <c r="U519" s="669"/>
      <c r="V519" s="669"/>
      <c r="W519" s="669"/>
      <c r="X519" s="669"/>
      <c r="Y519" s="669"/>
      <c r="Z519" s="669"/>
      <c r="AA519" s="669"/>
    </row>
    <row r="520">
      <c r="A520" s="715"/>
      <c r="B520" s="669"/>
      <c r="C520" s="669"/>
      <c r="D520" s="669"/>
      <c r="E520" s="669"/>
      <c r="F520" s="669"/>
      <c r="G520" s="716"/>
      <c r="H520" s="669"/>
      <c r="I520" s="669"/>
      <c r="J520" s="669"/>
      <c r="K520" s="669"/>
      <c r="L520" s="669"/>
      <c r="M520" s="669"/>
      <c r="N520" s="669"/>
      <c r="O520" s="669"/>
      <c r="P520" s="669"/>
      <c r="Q520" s="669"/>
      <c r="R520" s="669"/>
      <c r="S520" s="669"/>
      <c r="T520" s="669"/>
      <c r="U520" s="669"/>
      <c r="V520" s="669"/>
      <c r="W520" s="669"/>
      <c r="X520" s="669"/>
      <c r="Y520" s="669"/>
      <c r="Z520" s="669"/>
      <c r="AA520" s="669"/>
    </row>
    <row r="521">
      <c r="A521" s="715"/>
      <c r="B521" s="669"/>
      <c r="C521" s="669"/>
      <c r="D521" s="669"/>
      <c r="E521" s="669"/>
      <c r="F521" s="669"/>
      <c r="G521" s="716"/>
      <c r="H521" s="669"/>
      <c r="I521" s="669"/>
      <c r="J521" s="669"/>
      <c r="K521" s="669"/>
      <c r="L521" s="669"/>
      <c r="M521" s="669"/>
      <c r="N521" s="669"/>
      <c r="O521" s="669"/>
      <c r="P521" s="669"/>
      <c r="Q521" s="669"/>
      <c r="R521" s="669"/>
      <c r="S521" s="669"/>
      <c r="T521" s="669"/>
      <c r="U521" s="669"/>
      <c r="V521" s="669"/>
      <c r="W521" s="669"/>
      <c r="X521" s="669"/>
      <c r="Y521" s="669"/>
      <c r="Z521" s="669"/>
      <c r="AA521" s="669"/>
    </row>
    <row r="522">
      <c r="A522" s="715"/>
      <c r="B522" s="669"/>
      <c r="C522" s="669"/>
      <c r="D522" s="669"/>
      <c r="E522" s="669"/>
      <c r="F522" s="669"/>
      <c r="G522" s="716"/>
      <c r="H522" s="669"/>
      <c r="I522" s="669"/>
      <c r="J522" s="669"/>
      <c r="K522" s="669"/>
      <c r="L522" s="669"/>
      <c r="M522" s="669"/>
      <c r="N522" s="669"/>
      <c r="O522" s="669"/>
      <c r="P522" s="669"/>
      <c r="Q522" s="669"/>
      <c r="R522" s="669"/>
      <c r="S522" s="669"/>
      <c r="T522" s="669"/>
      <c r="U522" s="669"/>
      <c r="V522" s="669"/>
      <c r="W522" s="669"/>
      <c r="X522" s="669"/>
      <c r="Y522" s="669"/>
      <c r="Z522" s="669"/>
      <c r="AA522" s="669"/>
    </row>
    <row r="523">
      <c r="A523" s="715"/>
      <c r="B523" s="669"/>
      <c r="C523" s="669"/>
      <c r="D523" s="669"/>
      <c r="E523" s="669"/>
      <c r="F523" s="669"/>
      <c r="G523" s="716"/>
      <c r="H523" s="669"/>
      <c r="I523" s="669"/>
      <c r="J523" s="669"/>
      <c r="K523" s="669"/>
      <c r="L523" s="669"/>
      <c r="M523" s="669"/>
      <c r="N523" s="669"/>
      <c r="O523" s="669"/>
      <c r="P523" s="669"/>
      <c r="Q523" s="669"/>
      <c r="R523" s="669"/>
      <c r="S523" s="669"/>
      <c r="T523" s="669"/>
      <c r="U523" s="669"/>
      <c r="V523" s="669"/>
      <c r="W523" s="669"/>
      <c r="X523" s="669"/>
      <c r="Y523" s="669"/>
      <c r="Z523" s="669"/>
      <c r="AA523" s="669"/>
    </row>
    <row r="524">
      <c r="A524" s="715"/>
      <c r="B524" s="669"/>
      <c r="C524" s="669"/>
      <c r="D524" s="669"/>
      <c r="E524" s="669"/>
      <c r="F524" s="669"/>
      <c r="G524" s="716"/>
      <c r="H524" s="669"/>
      <c r="I524" s="669"/>
      <c r="J524" s="669"/>
      <c r="K524" s="669"/>
      <c r="L524" s="669"/>
      <c r="M524" s="669"/>
      <c r="N524" s="669"/>
      <c r="O524" s="669"/>
      <c r="P524" s="669"/>
      <c r="Q524" s="669"/>
      <c r="R524" s="669"/>
      <c r="S524" s="669"/>
      <c r="T524" s="669"/>
      <c r="U524" s="669"/>
      <c r="V524" s="669"/>
      <c r="W524" s="669"/>
      <c r="X524" s="669"/>
      <c r="Y524" s="669"/>
      <c r="Z524" s="669"/>
      <c r="AA524" s="669"/>
    </row>
    <row r="525">
      <c r="A525" s="715"/>
      <c r="B525" s="669"/>
      <c r="C525" s="669"/>
      <c r="D525" s="669"/>
      <c r="E525" s="669"/>
      <c r="F525" s="669"/>
      <c r="G525" s="716"/>
      <c r="H525" s="669"/>
      <c r="I525" s="669"/>
      <c r="J525" s="669"/>
      <c r="K525" s="669"/>
      <c r="L525" s="669"/>
      <c r="M525" s="669"/>
      <c r="N525" s="669"/>
      <c r="O525" s="669"/>
      <c r="P525" s="669"/>
      <c r="Q525" s="669"/>
      <c r="R525" s="669"/>
      <c r="S525" s="669"/>
      <c r="T525" s="669"/>
      <c r="U525" s="669"/>
      <c r="V525" s="669"/>
      <c r="W525" s="669"/>
      <c r="X525" s="669"/>
      <c r="Y525" s="669"/>
      <c r="Z525" s="669"/>
      <c r="AA525" s="669"/>
    </row>
    <row r="526">
      <c r="A526" s="715"/>
      <c r="B526" s="669"/>
      <c r="C526" s="669"/>
      <c r="D526" s="669"/>
      <c r="E526" s="669"/>
      <c r="F526" s="669"/>
      <c r="G526" s="716"/>
      <c r="H526" s="669"/>
      <c r="I526" s="669"/>
      <c r="J526" s="669"/>
      <c r="K526" s="669"/>
      <c r="L526" s="669"/>
      <c r="M526" s="669"/>
      <c r="N526" s="669"/>
      <c r="O526" s="669"/>
      <c r="P526" s="669"/>
      <c r="Q526" s="669"/>
      <c r="R526" s="669"/>
      <c r="S526" s="669"/>
      <c r="T526" s="669"/>
      <c r="U526" s="669"/>
      <c r="V526" s="669"/>
      <c r="W526" s="669"/>
      <c r="X526" s="669"/>
      <c r="Y526" s="669"/>
      <c r="Z526" s="669"/>
      <c r="AA526" s="669"/>
    </row>
    <row r="527">
      <c r="A527" s="715"/>
      <c r="B527" s="669"/>
      <c r="C527" s="669"/>
      <c r="D527" s="669"/>
      <c r="E527" s="669"/>
      <c r="F527" s="669"/>
      <c r="G527" s="716"/>
      <c r="H527" s="669"/>
      <c r="I527" s="669"/>
      <c r="J527" s="669"/>
      <c r="K527" s="669"/>
      <c r="L527" s="669"/>
      <c r="M527" s="669"/>
      <c r="N527" s="669"/>
      <c r="O527" s="669"/>
      <c r="P527" s="669"/>
      <c r="Q527" s="669"/>
      <c r="R527" s="669"/>
      <c r="S527" s="669"/>
      <c r="T527" s="669"/>
      <c r="U527" s="669"/>
      <c r="V527" s="669"/>
      <c r="W527" s="669"/>
      <c r="X527" s="669"/>
      <c r="Y527" s="669"/>
      <c r="Z527" s="669"/>
      <c r="AA527" s="669"/>
    </row>
    <row r="528">
      <c r="A528" s="715"/>
      <c r="B528" s="669"/>
      <c r="C528" s="669"/>
      <c r="D528" s="669"/>
      <c r="E528" s="669"/>
      <c r="F528" s="669"/>
      <c r="G528" s="716"/>
      <c r="H528" s="669"/>
      <c r="I528" s="669"/>
      <c r="J528" s="669"/>
      <c r="K528" s="669"/>
      <c r="L528" s="669"/>
      <c r="M528" s="669"/>
      <c r="N528" s="669"/>
      <c r="O528" s="669"/>
      <c r="P528" s="669"/>
      <c r="Q528" s="669"/>
      <c r="R528" s="669"/>
      <c r="S528" s="669"/>
      <c r="T528" s="669"/>
      <c r="U528" s="669"/>
      <c r="V528" s="669"/>
      <c r="W528" s="669"/>
      <c r="X528" s="669"/>
      <c r="Y528" s="669"/>
      <c r="Z528" s="669"/>
      <c r="AA528" s="669"/>
    </row>
    <row r="529">
      <c r="A529" s="715"/>
      <c r="B529" s="669"/>
      <c r="C529" s="669"/>
      <c r="D529" s="669"/>
      <c r="E529" s="669"/>
      <c r="F529" s="669"/>
      <c r="G529" s="716"/>
      <c r="H529" s="669"/>
      <c r="I529" s="669"/>
      <c r="J529" s="669"/>
      <c r="K529" s="669"/>
      <c r="L529" s="669"/>
      <c r="M529" s="669"/>
      <c r="N529" s="669"/>
      <c r="O529" s="669"/>
      <c r="P529" s="669"/>
      <c r="Q529" s="669"/>
      <c r="R529" s="669"/>
      <c r="S529" s="669"/>
      <c r="T529" s="669"/>
      <c r="U529" s="669"/>
      <c r="V529" s="669"/>
      <c r="W529" s="669"/>
      <c r="X529" s="669"/>
      <c r="Y529" s="669"/>
      <c r="Z529" s="669"/>
      <c r="AA529" s="669"/>
    </row>
    <row r="530">
      <c r="A530" s="715"/>
      <c r="B530" s="669"/>
      <c r="C530" s="669"/>
      <c r="D530" s="669"/>
      <c r="E530" s="669"/>
      <c r="F530" s="669"/>
      <c r="G530" s="716"/>
      <c r="H530" s="669"/>
      <c r="I530" s="669"/>
      <c r="J530" s="669"/>
      <c r="K530" s="669"/>
      <c r="L530" s="669"/>
      <c r="M530" s="669"/>
      <c r="N530" s="669"/>
      <c r="O530" s="669"/>
      <c r="P530" s="669"/>
      <c r="Q530" s="669"/>
      <c r="R530" s="669"/>
      <c r="S530" s="669"/>
      <c r="T530" s="669"/>
      <c r="U530" s="669"/>
      <c r="V530" s="669"/>
      <c r="W530" s="669"/>
      <c r="X530" s="669"/>
      <c r="Y530" s="669"/>
      <c r="Z530" s="669"/>
      <c r="AA530" s="669"/>
    </row>
    <row r="531">
      <c r="A531" s="715"/>
      <c r="B531" s="669"/>
      <c r="C531" s="669"/>
      <c r="D531" s="669"/>
      <c r="E531" s="669"/>
      <c r="F531" s="669"/>
      <c r="G531" s="716"/>
      <c r="H531" s="669"/>
      <c r="I531" s="669"/>
      <c r="J531" s="669"/>
      <c r="K531" s="669"/>
      <c r="L531" s="669"/>
      <c r="M531" s="669"/>
      <c r="N531" s="669"/>
      <c r="O531" s="669"/>
      <c r="P531" s="669"/>
      <c r="Q531" s="669"/>
      <c r="R531" s="669"/>
      <c r="S531" s="669"/>
      <c r="T531" s="669"/>
      <c r="U531" s="669"/>
      <c r="V531" s="669"/>
      <c r="W531" s="669"/>
      <c r="X531" s="669"/>
      <c r="Y531" s="669"/>
      <c r="Z531" s="669"/>
      <c r="AA531" s="669"/>
    </row>
    <row r="532">
      <c r="A532" s="715"/>
      <c r="B532" s="669"/>
      <c r="C532" s="669"/>
      <c r="D532" s="669"/>
      <c r="E532" s="669"/>
      <c r="F532" s="669"/>
      <c r="G532" s="716"/>
      <c r="H532" s="669"/>
      <c r="I532" s="669"/>
      <c r="J532" s="669"/>
      <c r="K532" s="669"/>
      <c r="L532" s="669"/>
      <c r="M532" s="669"/>
      <c r="N532" s="669"/>
      <c r="O532" s="669"/>
      <c r="P532" s="669"/>
      <c r="Q532" s="669"/>
      <c r="R532" s="669"/>
      <c r="S532" s="669"/>
      <c r="T532" s="669"/>
      <c r="U532" s="669"/>
      <c r="V532" s="669"/>
      <c r="W532" s="669"/>
      <c r="X532" s="669"/>
      <c r="Y532" s="669"/>
      <c r="Z532" s="669"/>
      <c r="AA532" s="669"/>
    </row>
    <row r="533">
      <c r="A533" s="715"/>
      <c r="B533" s="669"/>
      <c r="C533" s="669"/>
      <c r="D533" s="669"/>
      <c r="E533" s="669"/>
      <c r="F533" s="669"/>
      <c r="G533" s="716"/>
      <c r="H533" s="669"/>
      <c r="I533" s="669"/>
      <c r="J533" s="669"/>
      <c r="K533" s="669"/>
      <c r="L533" s="669"/>
      <c r="M533" s="669"/>
      <c r="N533" s="669"/>
      <c r="O533" s="669"/>
      <c r="P533" s="669"/>
      <c r="Q533" s="669"/>
      <c r="R533" s="669"/>
      <c r="S533" s="669"/>
      <c r="T533" s="669"/>
      <c r="U533" s="669"/>
      <c r="V533" s="669"/>
      <c r="W533" s="669"/>
      <c r="X533" s="669"/>
      <c r="Y533" s="669"/>
      <c r="Z533" s="669"/>
      <c r="AA533" s="669"/>
    </row>
    <row r="534">
      <c r="A534" s="715"/>
      <c r="B534" s="669"/>
      <c r="C534" s="669"/>
      <c r="D534" s="669"/>
      <c r="E534" s="669"/>
      <c r="F534" s="669"/>
      <c r="G534" s="716"/>
      <c r="H534" s="669"/>
      <c r="I534" s="669"/>
      <c r="J534" s="669"/>
      <c r="K534" s="669"/>
      <c r="L534" s="669"/>
      <c r="M534" s="669"/>
      <c r="N534" s="669"/>
      <c r="O534" s="669"/>
      <c r="P534" s="669"/>
      <c r="Q534" s="669"/>
      <c r="R534" s="669"/>
      <c r="S534" s="669"/>
      <c r="T534" s="669"/>
      <c r="U534" s="669"/>
      <c r="V534" s="669"/>
      <c r="W534" s="669"/>
      <c r="X534" s="669"/>
      <c r="Y534" s="669"/>
      <c r="Z534" s="669"/>
      <c r="AA534" s="669"/>
    </row>
    <row r="535">
      <c r="A535" s="715"/>
      <c r="B535" s="669"/>
      <c r="C535" s="669"/>
      <c r="D535" s="669"/>
      <c r="E535" s="669"/>
      <c r="F535" s="669"/>
      <c r="G535" s="716"/>
      <c r="H535" s="669"/>
      <c r="I535" s="669"/>
      <c r="J535" s="669"/>
      <c r="K535" s="669"/>
      <c r="L535" s="669"/>
      <c r="M535" s="669"/>
      <c r="N535" s="669"/>
      <c r="O535" s="669"/>
      <c r="P535" s="669"/>
      <c r="Q535" s="669"/>
      <c r="R535" s="669"/>
      <c r="S535" s="669"/>
      <c r="T535" s="669"/>
      <c r="U535" s="669"/>
      <c r="V535" s="669"/>
      <c r="W535" s="669"/>
      <c r="X535" s="669"/>
      <c r="Y535" s="669"/>
      <c r="Z535" s="669"/>
      <c r="AA535" s="669"/>
    </row>
    <row r="536">
      <c r="A536" s="715"/>
      <c r="B536" s="669"/>
      <c r="C536" s="669"/>
      <c r="D536" s="669"/>
      <c r="E536" s="669"/>
      <c r="F536" s="669"/>
      <c r="G536" s="716"/>
      <c r="H536" s="669"/>
      <c r="I536" s="669"/>
      <c r="J536" s="669"/>
      <c r="K536" s="669"/>
      <c r="L536" s="669"/>
      <c r="M536" s="669"/>
      <c r="N536" s="669"/>
      <c r="O536" s="669"/>
      <c r="P536" s="669"/>
      <c r="Q536" s="669"/>
      <c r="R536" s="669"/>
      <c r="S536" s="669"/>
      <c r="T536" s="669"/>
      <c r="U536" s="669"/>
      <c r="V536" s="669"/>
      <c r="W536" s="669"/>
      <c r="X536" s="669"/>
      <c r="Y536" s="669"/>
      <c r="Z536" s="669"/>
      <c r="AA536" s="669"/>
    </row>
    <row r="537">
      <c r="A537" s="715"/>
      <c r="B537" s="669"/>
      <c r="C537" s="669"/>
      <c r="D537" s="669"/>
      <c r="E537" s="669"/>
      <c r="F537" s="669"/>
      <c r="G537" s="716"/>
      <c r="H537" s="669"/>
      <c r="I537" s="669"/>
      <c r="J537" s="669"/>
      <c r="K537" s="669"/>
      <c r="L537" s="669"/>
      <c r="M537" s="669"/>
      <c r="N537" s="669"/>
      <c r="O537" s="669"/>
      <c r="P537" s="669"/>
      <c r="Q537" s="669"/>
      <c r="R537" s="669"/>
      <c r="S537" s="669"/>
      <c r="T537" s="669"/>
      <c r="U537" s="669"/>
      <c r="V537" s="669"/>
      <c r="W537" s="669"/>
      <c r="X537" s="669"/>
      <c r="Y537" s="669"/>
      <c r="Z537" s="669"/>
      <c r="AA537" s="669"/>
    </row>
    <row r="538">
      <c r="A538" s="715"/>
      <c r="B538" s="669"/>
      <c r="C538" s="669"/>
      <c r="D538" s="669"/>
      <c r="E538" s="669"/>
      <c r="F538" s="669"/>
      <c r="G538" s="716"/>
      <c r="H538" s="669"/>
      <c r="I538" s="669"/>
      <c r="J538" s="669"/>
      <c r="K538" s="669"/>
      <c r="L538" s="669"/>
      <c r="M538" s="669"/>
      <c r="N538" s="669"/>
      <c r="O538" s="669"/>
      <c r="P538" s="669"/>
      <c r="Q538" s="669"/>
      <c r="R538" s="669"/>
      <c r="S538" s="669"/>
      <c r="T538" s="669"/>
      <c r="U538" s="669"/>
      <c r="V538" s="669"/>
      <c r="W538" s="669"/>
      <c r="X538" s="669"/>
      <c r="Y538" s="669"/>
      <c r="Z538" s="669"/>
      <c r="AA538" s="669"/>
    </row>
    <row r="539">
      <c r="A539" s="715"/>
      <c r="B539" s="669"/>
      <c r="C539" s="669"/>
      <c r="D539" s="669"/>
      <c r="E539" s="669"/>
      <c r="F539" s="669"/>
      <c r="G539" s="716"/>
      <c r="H539" s="669"/>
      <c r="I539" s="669"/>
      <c r="J539" s="669"/>
      <c r="K539" s="669"/>
      <c r="L539" s="669"/>
      <c r="M539" s="669"/>
      <c r="N539" s="669"/>
      <c r="O539" s="669"/>
      <c r="P539" s="669"/>
      <c r="Q539" s="669"/>
      <c r="R539" s="669"/>
      <c r="S539" s="669"/>
      <c r="T539" s="669"/>
      <c r="U539" s="669"/>
      <c r="V539" s="669"/>
      <c r="W539" s="669"/>
      <c r="X539" s="669"/>
      <c r="Y539" s="669"/>
      <c r="Z539" s="669"/>
      <c r="AA539" s="669"/>
    </row>
    <row r="540">
      <c r="A540" s="715"/>
      <c r="B540" s="669"/>
      <c r="C540" s="669"/>
      <c r="D540" s="669"/>
      <c r="E540" s="669"/>
      <c r="F540" s="669"/>
      <c r="G540" s="716"/>
      <c r="H540" s="669"/>
      <c r="I540" s="669"/>
      <c r="J540" s="669"/>
      <c r="K540" s="669"/>
      <c r="L540" s="669"/>
      <c r="M540" s="669"/>
      <c r="N540" s="669"/>
      <c r="O540" s="669"/>
      <c r="P540" s="669"/>
      <c r="Q540" s="669"/>
      <c r="R540" s="669"/>
      <c r="S540" s="669"/>
      <c r="T540" s="669"/>
      <c r="U540" s="669"/>
      <c r="V540" s="669"/>
      <c r="W540" s="669"/>
      <c r="X540" s="669"/>
      <c r="Y540" s="669"/>
      <c r="Z540" s="669"/>
      <c r="AA540" s="669"/>
    </row>
    <row r="541">
      <c r="A541" s="715"/>
      <c r="B541" s="669"/>
      <c r="C541" s="669"/>
      <c r="D541" s="669"/>
      <c r="E541" s="669"/>
      <c r="F541" s="669"/>
      <c r="G541" s="716"/>
      <c r="H541" s="669"/>
      <c r="I541" s="669"/>
      <c r="J541" s="669"/>
      <c r="K541" s="669"/>
      <c r="L541" s="669"/>
      <c r="M541" s="669"/>
      <c r="N541" s="669"/>
      <c r="O541" s="669"/>
      <c r="P541" s="669"/>
      <c r="Q541" s="669"/>
      <c r="R541" s="669"/>
      <c r="S541" s="669"/>
      <c r="T541" s="669"/>
      <c r="U541" s="669"/>
      <c r="V541" s="669"/>
      <c r="W541" s="669"/>
      <c r="X541" s="669"/>
      <c r="Y541" s="669"/>
      <c r="Z541" s="669"/>
      <c r="AA541" s="669"/>
    </row>
    <row r="542">
      <c r="A542" s="715"/>
      <c r="B542" s="669"/>
      <c r="C542" s="669"/>
      <c r="D542" s="669"/>
      <c r="E542" s="669"/>
      <c r="F542" s="669"/>
      <c r="G542" s="716"/>
      <c r="H542" s="669"/>
      <c r="I542" s="669"/>
      <c r="J542" s="669"/>
      <c r="K542" s="669"/>
      <c r="L542" s="669"/>
      <c r="M542" s="669"/>
      <c r="N542" s="669"/>
      <c r="O542" s="669"/>
      <c r="P542" s="669"/>
      <c r="Q542" s="669"/>
      <c r="R542" s="669"/>
      <c r="S542" s="669"/>
      <c r="T542" s="669"/>
      <c r="U542" s="669"/>
      <c r="V542" s="669"/>
      <c r="W542" s="669"/>
      <c r="X542" s="669"/>
      <c r="Y542" s="669"/>
      <c r="Z542" s="669"/>
      <c r="AA542" s="669"/>
    </row>
    <row r="543">
      <c r="A543" s="715"/>
      <c r="B543" s="669"/>
      <c r="C543" s="669"/>
      <c r="D543" s="669"/>
      <c r="E543" s="669"/>
      <c r="F543" s="669"/>
      <c r="G543" s="716"/>
      <c r="H543" s="669"/>
      <c r="I543" s="669"/>
      <c r="J543" s="669"/>
      <c r="K543" s="669"/>
      <c r="L543" s="669"/>
      <c r="M543" s="669"/>
      <c r="N543" s="669"/>
      <c r="O543" s="669"/>
      <c r="P543" s="669"/>
      <c r="Q543" s="669"/>
      <c r="R543" s="669"/>
      <c r="S543" s="669"/>
      <c r="T543" s="669"/>
      <c r="U543" s="669"/>
      <c r="V543" s="669"/>
      <c r="W543" s="669"/>
      <c r="X543" s="669"/>
      <c r="Y543" s="669"/>
      <c r="Z543" s="669"/>
      <c r="AA543" s="669"/>
    </row>
    <row r="544">
      <c r="A544" s="715"/>
      <c r="B544" s="669"/>
      <c r="C544" s="669"/>
      <c r="D544" s="669"/>
      <c r="E544" s="669"/>
      <c r="F544" s="669"/>
      <c r="G544" s="716"/>
      <c r="H544" s="669"/>
      <c r="I544" s="669"/>
      <c r="J544" s="669"/>
      <c r="K544" s="669"/>
      <c r="L544" s="669"/>
      <c r="M544" s="669"/>
      <c r="N544" s="669"/>
      <c r="O544" s="669"/>
      <c r="P544" s="669"/>
      <c r="Q544" s="669"/>
      <c r="R544" s="669"/>
      <c r="S544" s="669"/>
      <c r="T544" s="669"/>
      <c r="U544" s="669"/>
      <c r="V544" s="669"/>
      <c r="W544" s="669"/>
      <c r="X544" s="669"/>
      <c r="Y544" s="669"/>
      <c r="Z544" s="669"/>
      <c r="AA544" s="669"/>
    </row>
    <row r="545">
      <c r="A545" s="715"/>
      <c r="B545" s="669"/>
      <c r="C545" s="669"/>
      <c r="D545" s="669"/>
      <c r="E545" s="669"/>
      <c r="F545" s="669"/>
      <c r="G545" s="716"/>
      <c r="H545" s="669"/>
      <c r="I545" s="669"/>
      <c r="J545" s="669"/>
      <c r="K545" s="669"/>
      <c r="L545" s="669"/>
      <c r="M545" s="669"/>
      <c r="N545" s="669"/>
      <c r="O545" s="669"/>
      <c r="P545" s="669"/>
      <c r="Q545" s="669"/>
      <c r="R545" s="669"/>
      <c r="S545" s="669"/>
      <c r="T545" s="669"/>
      <c r="U545" s="669"/>
      <c r="V545" s="669"/>
      <c r="W545" s="669"/>
      <c r="X545" s="669"/>
      <c r="Y545" s="669"/>
      <c r="Z545" s="669"/>
      <c r="AA545" s="669"/>
    </row>
    <row r="546">
      <c r="A546" s="715"/>
      <c r="B546" s="669"/>
      <c r="C546" s="669"/>
      <c r="D546" s="669"/>
      <c r="E546" s="669"/>
      <c r="F546" s="669"/>
      <c r="G546" s="716"/>
      <c r="H546" s="669"/>
      <c r="I546" s="669"/>
      <c r="J546" s="669"/>
      <c r="K546" s="669"/>
      <c r="L546" s="669"/>
      <c r="M546" s="669"/>
      <c r="N546" s="669"/>
      <c r="O546" s="669"/>
      <c r="P546" s="669"/>
      <c r="Q546" s="669"/>
      <c r="R546" s="669"/>
      <c r="S546" s="669"/>
      <c r="T546" s="669"/>
      <c r="U546" s="669"/>
      <c r="V546" s="669"/>
      <c r="W546" s="669"/>
      <c r="X546" s="669"/>
      <c r="Y546" s="669"/>
      <c r="Z546" s="669"/>
      <c r="AA546" s="669"/>
    </row>
    <row r="547">
      <c r="A547" s="715"/>
      <c r="B547" s="669"/>
      <c r="C547" s="669"/>
      <c r="D547" s="669"/>
      <c r="E547" s="669"/>
      <c r="F547" s="669"/>
      <c r="G547" s="716"/>
      <c r="H547" s="669"/>
      <c r="I547" s="669"/>
      <c r="J547" s="669"/>
      <c r="K547" s="669"/>
      <c r="L547" s="669"/>
      <c r="M547" s="669"/>
      <c r="N547" s="669"/>
      <c r="O547" s="669"/>
      <c r="P547" s="669"/>
      <c r="Q547" s="669"/>
      <c r="R547" s="669"/>
      <c r="S547" s="669"/>
      <c r="T547" s="669"/>
      <c r="U547" s="669"/>
      <c r="V547" s="669"/>
      <c r="W547" s="669"/>
      <c r="X547" s="669"/>
      <c r="Y547" s="669"/>
      <c r="Z547" s="669"/>
      <c r="AA547" s="669"/>
    </row>
    <row r="548">
      <c r="A548" s="715"/>
      <c r="B548" s="669"/>
      <c r="C548" s="669"/>
      <c r="D548" s="669"/>
      <c r="E548" s="669"/>
      <c r="F548" s="669"/>
      <c r="G548" s="716"/>
      <c r="H548" s="669"/>
      <c r="I548" s="669"/>
      <c r="J548" s="669"/>
      <c r="K548" s="669"/>
      <c r="L548" s="669"/>
      <c r="M548" s="669"/>
      <c r="N548" s="669"/>
      <c r="O548" s="669"/>
      <c r="P548" s="669"/>
      <c r="Q548" s="669"/>
      <c r="R548" s="669"/>
      <c r="S548" s="669"/>
      <c r="T548" s="669"/>
      <c r="U548" s="669"/>
      <c r="V548" s="669"/>
      <c r="W548" s="669"/>
      <c r="X548" s="669"/>
      <c r="Y548" s="669"/>
      <c r="Z548" s="669"/>
      <c r="AA548" s="669"/>
    </row>
    <row r="549">
      <c r="A549" s="715"/>
      <c r="B549" s="669"/>
      <c r="C549" s="669"/>
      <c r="D549" s="669"/>
      <c r="E549" s="669"/>
      <c r="F549" s="669"/>
      <c r="G549" s="716"/>
      <c r="H549" s="669"/>
      <c r="I549" s="669"/>
      <c r="J549" s="669"/>
      <c r="K549" s="669"/>
      <c r="L549" s="669"/>
      <c r="M549" s="669"/>
      <c r="N549" s="669"/>
      <c r="O549" s="669"/>
      <c r="P549" s="669"/>
      <c r="Q549" s="669"/>
      <c r="R549" s="669"/>
      <c r="S549" s="669"/>
      <c r="T549" s="669"/>
      <c r="U549" s="669"/>
      <c r="V549" s="669"/>
      <c r="W549" s="669"/>
      <c r="X549" s="669"/>
      <c r="Y549" s="669"/>
      <c r="Z549" s="669"/>
      <c r="AA549" s="669"/>
    </row>
    <row r="550">
      <c r="A550" s="715"/>
      <c r="B550" s="669"/>
      <c r="C550" s="669"/>
      <c r="D550" s="669"/>
      <c r="E550" s="669"/>
      <c r="F550" s="669"/>
      <c r="G550" s="716"/>
      <c r="H550" s="669"/>
      <c r="I550" s="669"/>
      <c r="J550" s="669"/>
      <c r="K550" s="669"/>
      <c r="L550" s="669"/>
      <c r="M550" s="669"/>
      <c r="N550" s="669"/>
      <c r="O550" s="669"/>
      <c r="P550" s="669"/>
      <c r="Q550" s="669"/>
      <c r="R550" s="669"/>
      <c r="S550" s="669"/>
      <c r="T550" s="669"/>
      <c r="U550" s="669"/>
      <c r="V550" s="669"/>
      <c r="W550" s="669"/>
      <c r="X550" s="669"/>
      <c r="Y550" s="669"/>
      <c r="Z550" s="669"/>
      <c r="AA550" s="669"/>
    </row>
    <row r="551">
      <c r="A551" s="715"/>
      <c r="B551" s="669"/>
      <c r="C551" s="669"/>
      <c r="D551" s="669"/>
      <c r="E551" s="669"/>
      <c r="F551" s="669"/>
      <c r="G551" s="716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69"/>
    </row>
    <row r="552">
      <c r="A552" s="715"/>
      <c r="B552" s="669"/>
      <c r="C552" s="669"/>
      <c r="D552" s="669"/>
      <c r="E552" s="669"/>
      <c r="F552" s="669"/>
      <c r="G552" s="716"/>
      <c r="H552" s="669"/>
      <c r="I552" s="669"/>
      <c r="J552" s="669"/>
      <c r="K552" s="669"/>
      <c r="L552" s="669"/>
      <c r="M552" s="669"/>
      <c r="N552" s="669"/>
      <c r="O552" s="669"/>
      <c r="P552" s="669"/>
      <c r="Q552" s="669"/>
      <c r="R552" s="669"/>
      <c r="S552" s="669"/>
      <c r="T552" s="669"/>
      <c r="U552" s="669"/>
      <c r="V552" s="669"/>
      <c r="W552" s="669"/>
      <c r="X552" s="669"/>
      <c r="Y552" s="669"/>
      <c r="Z552" s="669"/>
      <c r="AA552" s="669"/>
    </row>
    <row r="553">
      <c r="A553" s="715"/>
      <c r="B553" s="669"/>
      <c r="C553" s="669"/>
      <c r="D553" s="669"/>
      <c r="E553" s="669"/>
      <c r="F553" s="669"/>
      <c r="G553" s="716"/>
      <c r="H553" s="669"/>
      <c r="I553" s="669"/>
      <c r="J553" s="669"/>
      <c r="K553" s="669"/>
      <c r="L553" s="669"/>
      <c r="M553" s="669"/>
      <c r="N553" s="669"/>
      <c r="O553" s="669"/>
      <c r="P553" s="669"/>
      <c r="Q553" s="669"/>
      <c r="R553" s="669"/>
      <c r="S553" s="669"/>
      <c r="T553" s="669"/>
      <c r="U553" s="669"/>
      <c r="V553" s="669"/>
      <c r="W553" s="669"/>
      <c r="X553" s="669"/>
      <c r="Y553" s="669"/>
      <c r="Z553" s="669"/>
      <c r="AA553" s="669"/>
    </row>
    <row r="554">
      <c r="A554" s="715"/>
      <c r="B554" s="669"/>
      <c r="C554" s="669"/>
      <c r="D554" s="669"/>
      <c r="E554" s="669"/>
      <c r="F554" s="669"/>
      <c r="G554" s="716"/>
      <c r="H554" s="669"/>
      <c r="I554" s="669"/>
      <c r="J554" s="669"/>
      <c r="K554" s="669"/>
      <c r="L554" s="669"/>
      <c r="M554" s="669"/>
      <c r="N554" s="669"/>
      <c r="O554" s="669"/>
      <c r="P554" s="669"/>
      <c r="Q554" s="669"/>
      <c r="R554" s="669"/>
      <c r="S554" s="669"/>
      <c r="T554" s="669"/>
      <c r="U554" s="669"/>
      <c r="V554" s="669"/>
      <c r="W554" s="669"/>
      <c r="X554" s="669"/>
      <c r="Y554" s="669"/>
      <c r="Z554" s="669"/>
      <c r="AA554" s="669"/>
    </row>
    <row r="555">
      <c r="A555" s="715"/>
      <c r="B555" s="669"/>
      <c r="C555" s="669"/>
      <c r="D555" s="669"/>
      <c r="E555" s="669"/>
      <c r="F555" s="669"/>
      <c r="G555" s="716"/>
      <c r="H555" s="669"/>
      <c r="I555" s="669"/>
      <c r="J555" s="669"/>
      <c r="K555" s="669"/>
      <c r="L555" s="669"/>
      <c r="M555" s="669"/>
      <c r="N555" s="669"/>
      <c r="O555" s="669"/>
      <c r="P555" s="669"/>
      <c r="Q555" s="669"/>
      <c r="R555" s="669"/>
      <c r="S555" s="669"/>
      <c r="T555" s="669"/>
      <c r="U555" s="669"/>
      <c r="V555" s="669"/>
      <c r="W555" s="669"/>
      <c r="X555" s="669"/>
      <c r="Y555" s="669"/>
      <c r="Z555" s="669"/>
      <c r="AA555" s="669"/>
    </row>
    <row r="556">
      <c r="A556" s="715"/>
      <c r="B556" s="669"/>
      <c r="C556" s="669"/>
      <c r="D556" s="669"/>
      <c r="E556" s="669"/>
      <c r="F556" s="669"/>
      <c r="G556" s="716"/>
      <c r="H556" s="669"/>
      <c r="I556" s="669"/>
      <c r="J556" s="669"/>
      <c r="K556" s="669"/>
      <c r="L556" s="669"/>
      <c r="M556" s="669"/>
      <c r="N556" s="669"/>
      <c r="O556" s="669"/>
      <c r="P556" s="669"/>
      <c r="Q556" s="669"/>
      <c r="R556" s="669"/>
      <c r="S556" s="669"/>
      <c r="T556" s="669"/>
      <c r="U556" s="669"/>
      <c r="V556" s="669"/>
      <c r="W556" s="669"/>
      <c r="X556" s="669"/>
      <c r="Y556" s="669"/>
      <c r="Z556" s="669"/>
      <c r="AA556" s="669"/>
    </row>
    <row r="557">
      <c r="A557" s="715"/>
      <c r="B557" s="669"/>
      <c r="C557" s="669"/>
      <c r="D557" s="669"/>
      <c r="E557" s="669"/>
      <c r="F557" s="669"/>
      <c r="G557" s="716"/>
      <c r="H557" s="669"/>
      <c r="I557" s="669"/>
      <c r="J557" s="669"/>
      <c r="K557" s="669"/>
      <c r="L557" s="669"/>
      <c r="M557" s="669"/>
      <c r="N557" s="669"/>
      <c r="O557" s="669"/>
      <c r="P557" s="669"/>
      <c r="Q557" s="669"/>
      <c r="R557" s="669"/>
      <c r="S557" s="669"/>
      <c r="T557" s="669"/>
      <c r="U557" s="669"/>
      <c r="V557" s="669"/>
      <c r="W557" s="669"/>
      <c r="X557" s="669"/>
      <c r="Y557" s="669"/>
      <c r="Z557" s="669"/>
      <c r="AA557" s="669"/>
    </row>
    <row r="558">
      <c r="A558" s="715"/>
      <c r="B558" s="669"/>
      <c r="C558" s="669"/>
      <c r="D558" s="669"/>
      <c r="E558" s="669"/>
      <c r="F558" s="669"/>
      <c r="G558" s="716"/>
      <c r="H558" s="669"/>
      <c r="I558" s="669"/>
      <c r="J558" s="669"/>
      <c r="K558" s="669"/>
      <c r="L558" s="669"/>
      <c r="M558" s="669"/>
      <c r="N558" s="669"/>
      <c r="O558" s="669"/>
      <c r="P558" s="669"/>
      <c r="Q558" s="669"/>
      <c r="R558" s="669"/>
      <c r="S558" s="669"/>
      <c r="T558" s="669"/>
      <c r="U558" s="669"/>
      <c r="V558" s="669"/>
      <c r="W558" s="669"/>
      <c r="X558" s="669"/>
      <c r="Y558" s="669"/>
      <c r="Z558" s="669"/>
      <c r="AA558" s="669"/>
    </row>
    <row r="559">
      <c r="A559" s="715"/>
      <c r="B559" s="669"/>
      <c r="C559" s="669"/>
      <c r="D559" s="669"/>
      <c r="E559" s="669"/>
      <c r="F559" s="669"/>
      <c r="G559" s="716"/>
      <c r="H559" s="669"/>
      <c r="I559" s="669"/>
      <c r="J559" s="669"/>
      <c r="K559" s="669"/>
      <c r="L559" s="669"/>
      <c r="M559" s="669"/>
      <c r="N559" s="669"/>
      <c r="O559" s="669"/>
      <c r="P559" s="669"/>
      <c r="Q559" s="669"/>
      <c r="R559" s="669"/>
      <c r="S559" s="669"/>
      <c r="T559" s="669"/>
      <c r="U559" s="669"/>
      <c r="V559" s="669"/>
      <c r="W559" s="669"/>
      <c r="X559" s="669"/>
      <c r="Y559" s="669"/>
      <c r="Z559" s="669"/>
      <c r="AA559" s="669"/>
    </row>
    <row r="560">
      <c r="A560" s="715"/>
      <c r="B560" s="669"/>
      <c r="C560" s="669"/>
      <c r="D560" s="669"/>
      <c r="E560" s="669"/>
      <c r="F560" s="669"/>
      <c r="G560" s="716"/>
      <c r="H560" s="669"/>
      <c r="I560" s="669"/>
      <c r="J560" s="669"/>
      <c r="K560" s="669"/>
      <c r="L560" s="669"/>
      <c r="M560" s="669"/>
      <c r="N560" s="669"/>
      <c r="O560" s="669"/>
      <c r="P560" s="669"/>
      <c r="Q560" s="669"/>
      <c r="R560" s="669"/>
      <c r="S560" s="669"/>
      <c r="T560" s="669"/>
      <c r="U560" s="669"/>
      <c r="V560" s="669"/>
      <c r="W560" s="669"/>
      <c r="X560" s="669"/>
      <c r="Y560" s="669"/>
      <c r="Z560" s="669"/>
      <c r="AA560" s="669"/>
    </row>
    <row r="561">
      <c r="A561" s="715"/>
      <c r="B561" s="669"/>
      <c r="C561" s="669"/>
      <c r="D561" s="669"/>
      <c r="E561" s="669"/>
      <c r="F561" s="669"/>
      <c r="G561" s="716"/>
      <c r="H561" s="669"/>
      <c r="I561" s="669"/>
      <c r="J561" s="669"/>
      <c r="K561" s="669"/>
      <c r="L561" s="669"/>
      <c r="M561" s="669"/>
      <c r="N561" s="669"/>
      <c r="O561" s="669"/>
      <c r="P561" s="669"/>
      <c r="Q561" s="669"/>
      <c r="R561" s="669"/>
      <c r="S561" s="669"/>
      <c r="T561" s="669"/>
      <c r="U561" s="669"/>
      <c r="V561" s="669"/>
      <c r="W561" s="669"/>
      <c r="X561" s="669"/>
      <c r="Y561" s="669"/>
      <c r="Z561" s="669"/>
      <c r="AA561" s="669"/>
    </row>
    <row r="562">
      <c r="A562" s="715"/>
      <c r="B562" s="669"/>
      <c r="C562" s="669"/>
      <c r="D562" s="669"/>
      <c r="E562" s="669"/>
      <c r="F562" s="669"/>
      <c r="G562" s="716"/>
      <c r="H562" s="669"/>
      <c r="I562" s="669"/>
      <c r="J562" s="669"/>
      <c r="K562" s="669"/>
      <c r="L562" s="669"/>
      <c r="M562" s="669"/>
      <c r="N562" s="669"/>
      <c r="O562" s="669"/>
      <c r="P562" s="669"/>
      <c r="Q562" s="669"/>
      <c r="R562" s="669"/>
      <c r="S562" s="669"/>
      <c r="T562" s="669"/>
      <c r="U562" s="669"/>
      <c r="V562" s="669"/>
      <c r="W562" s="669"/>
      <c r="X562" s="669"/>
      <c r="Y562" s="669"/>
      <c r="Z562" s="669"/>
      <c r="AA562" s="669"/>
    </row>
    <row r="563">
      <c r="A563" s="715"/>
      <c r="B563" s="669"/>
      <c r="C563" s="669"/>
      <c r="D563" s="669"/>
      <c r="E563" s="669"/>
      <c r="F563" s="669"/>
      <c r="G563" s="716"/>
      <c r="H563" s="669"/>
      <c r="I563" s="669"/>
      <c r="J563" s="669"/>
      <c r="K563" s="669"/>
      <c r="L563" s="669"/>
      <c r="M563" s="669"/>
      <c r="N563" s="669"/>
      <c r="O563" s="669"/>
      <c r="P563" s="669"/>
      <c r="Q563" s="669"/>
      <c r="R563" s="669"/>
      <c r="S563" s="669"/>
      <c r="T563" s="669"/>
      <c r="U563" s="669"/>
      <c r="V563" s="669"/>
      <c r="W563" s="669"/>
      <c r="X563" s="669"/>
      <c r="Y563" s="669"/>
      <c r="Z563" s="669"/>
      <c r="AA563" s="669"/>
    </row>
    <row r="564">
      <c r="A564" s="715"/>
      <c r="B564" s="669"/>
      <c r="C564" s="669"/>
      <c r="D564" s="669"/>
      <c r="E564" s="669"/>
      <c r="F564" s="669"/>
      <c r="G564" s="716"/>
      <c r="H564" s="669"/>
      <c r="I564" s="669"/>
      <c r="J564" s="669"/>
      <c r="K564" s="669"/>
      <c r="L564" s="669"/>
      <c r="M564" s="669"/>
      <c r="N564" s="669"/>
      <c r="O564" s="669"/>
      <c r="P564" s="669"/>
      <c r="Q564" s="669"/>
      <c r="R564" s="669"/>
      <c r="S564" s="669"/>
      <c r="T564" s="669"/>
      <c r="U564" s="669"/>
      <c r="V564" s="669"/>
      <c r="W564" s="669"/>
      <c r="X564" s="669"/>
      <c r="Y564" s="669"/>
      <c r="Z564" s="669"/>
      <c r="AA564" s="669"/>
    </row>
    <row r="565">
      <c r="A565" s="715"/>
      <c r="B565" s="669"/>
      <c r="C565" s="669"/>
      <c r="D565" s="669"/>
      <c r="E565" s="669"/>
      <c r="F565" s="669"/>
      <c r="G565" s="716"/>
      <c r="H565" s="669"/>
      <c r="I565" s="669"/>
      <c r="J565" s="669"/>
      <c r="K565" s="669"/>
      <c r="L565" s="669"/>
      <c r="M565" s="669"/>
      <c r="N565" s="669"/>
      <c r="O565" s="669"/>
      <c r="P565" s="669"/>
      <c r="Q565" s="669"/>
      <c r="R565" s="669"/>
      <c r="S565" s="669"/>
      <c r="T565" s="669"/>
      <c r="U565" s="669"/>
      <c r="V565" s="669"/>
      <c r="W565" s="669"/>
      <c r="X565" s="669"/>
      <c r="Y565" s="669"/>
      <c r="Z565" s="669"/>
      <c r="AA565" s="669"/>
    </row>
    <row r="566">
      <c r="A566" s="715"/>
      <c r="B566" s="669"/>
      <c r="C566" s="669"/>
      <c r="D566" s="669"/>
      <c r="E566" s="669"/>
      <c r="F566" s="669"/>
      <c r="G566" s="716"/>
      <c r="H566" s="669"/>
      <c r="I566" s="669"/>
      <c r="J566" s="669"/>
      <c r="K566" s="669"/>
      <c r="L566" s="669"/>
      <c r="M566" s="669"/>
      <c r="N566" s="669"/>
      <c r="O566" s="669"/>
      <c r="P566" s="669"/>
      <c r="Q566" s="669"/>
      <c r="R566" s="669"/>
      <c r="S566" s="669"/>
      <c r="T566" s="669"/>
      <c r="U566" s="669"/>
      <c r="V566" s="669"/>
      <c r="W566" s="669"/>
      <c r="X566" s="669"/>
      <c r="Y566" s="669"/>
      <c r="Z566" s="669"/>
      <c r="AA566" s="669"/>
    </row>
    <row r="567">
      <c r="A567" s="715"/>
      <c r="B567" s="669"/>
      <c r="C567" s="669"/>
      <c r="D567" s="669"/>
      <c r="E567" s="669"/>
      <c r="F567" s="669"/>
      <c r="G567" s="716"/>
      <c r="H567" s="669"/>
      <c r="I567" s="669"/>
      <c r="J567" s="669"/>
      <c r="K567" s="669"/>
      <c r="L567" s="669"/>
      <c r="M567" s="669"/>
      <c r="N567" s="669"/>
      <c r="O567" s="669"/>
      <c r="P567" s="669"/>
      <c r="Q567" s="669"/>
      <c r="R567" s="669"/>
      <c r="S567" s="669"/>
      <c r="T567" s="669"/>
      <c r="U567" s="669"/>
      <c r="V567" s="669"/>
      <c r="W567" s="669"/>
      <c r="X567" s="669"/>
      <c r="Y567" s="669"/>
      <c r="Z567" s="669"/>
      <c r="AA567" s="669"/>
    </row>
    <row r="568">
      <c r="A568" s="715"/>
      <c r="B568" s="669"/>
      <c r="C568" s="669"/>
      <c r="D568" s="669"/>
      <c r="E568" s="669"/>
      <c r="F568" s="669"/>
      <c r="G568" s="716"/>
      <c r="H568" s="669"/>
      <c r="I568" s="669"/>
      <c r="J568" s="669"/>
      <c r="K568" s="669"/>
      <c r="L568" s="669"/>
      <c r="M568" s="669"/>
      <c r="N568" s="669"/>
      <c r="O568" s="669"/>
      <c r="P568" s="669"/>
      <c r="Q568" s="669"/>
      <c r="R568" s="669"/>
      <c r="S568" s="669"/>
      <c r="T568" s="669"/>
      <c r="U568" s="669"/>
      <c r="V568" s="669"/>
      <c r="W568" s="669"/>
      <c r="X568" s="669"/>
      <c r="Y568" s="669"/>
      <c r="Z568" s="669"/>
      <c r="AA568" s="669"/>
    </row>
    <row r="569">
      <c r="A569" s="715"/>
      <c r="B569" s="669"/>
      <c r="C569" s="669"/>
      <c r="D569" s="669"/>
      <c r="E569" s="669"/>
      <c r="F569" s="669"/>
      <c r="G569" s="716"/>
      <c r="H569" s="669"/>
      <c r="I569" s="669"/>
      <c r="J569" s="669"/>
      <c r="K569" s="669"/>
      <c r="L569" s="669"/>
      <c r="M569" s="669"/>
      <c r="N569" s="669"/>
      <c r="O569" s="669"/>
      <c r="P569" s="669"/>
      <c r="Q569" s="669"/>
      <c r="R569" s="669"/>
      <c r="S569" s="669"/>
      <c r="T569" s="669"/>
      <c r="U569" s="669"/>
      <c r="V569" s="669"/>
      <c r="W569" s="669"/>
      <c r="X569" s="669"/>
      <c r="Y569" s="669"/>
      <c r="Z569" s="669"/>
      <c r="AA569" s="669"/>
    </row>
    <row r="570">
      <c r="A570" s="715"/>
      <c r="B570" s="669"/>
      <c r="C570" s="669"/>
      <c r="D570" s="669"/>
      <c r="E570" s="669"/>
      <c r="F570" s="669"/>
      <c r="G570" s="716"/>
      <c r="H570" s="669"/>
      <c r="I570" s="669"/>
      <c r="J570" s="669"/>
      <c r="K570" s="669"/>
      <c r="L570" s="669"/>
      <c r="M570" s="669"/>
      <c r="N570" s="669"/>
      <c r="O570" s="669"/>
      <c r="P570" s="669"/>
      <c r="Q570" s="669"/>
      <c r="R570" s="669"/>
      <c r="S570" s="669"/>
      <c r="T570" s="669"/>
      <c r="U570" s="669"/>
      <c r="V570" s="669"/>
      <c r="W570" s="669"/>
      <c r="X570" s="669"/>
      <c r="Y570" s="669"/>
      <c r="Z570" s="669"/>
      <c r="AA570" s="669"/>
    </row>
    <row r="571">
      <c r="A571" s="715"/>
      <c r="B571" s="669"/>
      <c r="C571" s="669"/>
      <c r="D571" s="669"/>
      <c r="E571" s="669"/>
      <c r="F571" s="669"/>
      <c r="G571" s="716"/>
      <c r="H571" s="669"/>
      <c r="I571" s="669"/>
      <c r="J571" s="669"/>
      <c r="K571" s="669"/>
      <c r="L571" s="669"/>
      <c r="M571" s="669"/>
      <c r="N571" s="669"/>
      <c r="O571" s="669"/>
      <c r="P571" s="669"/>
      <c r="Q571" s="669"/>
      <c r="R571" s="669"/>
      <c r="S571" s="669"/>
      <c r="T571" s="669"/>
      <c r="U571" s="669"/>
      <c r="V571" s="669"/>
      <c r="W571" s="669"/>
      <c r="X571" s="669"/>
      <c r="Y571" s="669"/>
      <c r="Z571" s="669"/>
      <c r="AA571" s="669"/>
    </row>
    <row r="572">
      <c r="A572" s="715"/>
      <c r="B572" s="669"/>
      <c r="C572" s="669"/>
      <c r="D572" s="669"/>
      <c r="E572" s="669"/>
      <c r="F572" s="669"/>
      <c r="G572" s="716"/>
      <c r="H572" s="669"/>
      <c r="I572" s="669"/>
      <c r="J572" s="669"/>
      <c r="K572" s="669"/>
      <c r="L572" s="669"/>
      <c r="M572" s="669"/>
      <c r="N572" s="669"/>
      <c r="O572" s="669"/>
      <c r="P572" s="669"/>
      <c r="Q572" s="669"/>
      <c r="R572" s="669"/>
      <c r="S572" s="669"/>
      <c r="T572" s="669"/>
      <c r="U572" s="669"/>
      <c r="V572" s="669"/>
      <c r="W572" s="669"/>
      <c r="X572" s="669"/>
      <c r="Y572" s="669"/>
      <c r="Z572" s="669"/>
      <c r="AA572" s="669"/>
    </row>
    <row r="573">
      <c r="A573" s="715"/>
      <c r="B573" s="669"/>
      <c r="C573" s="669"/>
      <c r="D573" s="669"/>
      <c r="E573" s="669"/>
      <c r="F573" s="669"/>
      <c r="G573" s="716"/>
      <c r="H573" s="669"/>
      <c r="I573" s="669"/>
      <c r="J573" s="669"/>
      <c r="K573" s="669"/>
      <c r="L573" s="669"/>
      <c r="M573" s="669"/>
      <c r="N573" s="669"/>
      <c r="O573" s="669"/>
      <c r="P573" s="669"/>
      <c r="Q573" s="669"/>
      <c r="R573" s="669"/>
      <c r="S573" s="669"/>
      <c r="T573" s="669"/>
      <c r="U573" s="669"/>
      <c r="V573" s="669"/>
      <c r="W573" s="669"/>
      <c r="X573" s="669"/>
      <c r="Y573" s="669"/>
      <c r="Z573" s="669"/>
      <c r="AA573" s="669"/>
    </row>
    <row r="574">
      <c r="A574" s="715"/>
      <c r="B574" s="669"/>
      <c r="C574" s="669"/>
      <c r="D574" s="669"/>
      <c r="E574" s="669"/>
      <c r="F574" s="669"/>
      <c r="G574" s="716"/>
      <c r="H574" s="669"/>
      <c r="I574" s="669"/>
      <c r="J574" s="669"/>
      <c r="K574" s="669"/>
      <c r="L574" s="669"/>
      <c r="M574" s="669"/>
      <c r="N574" s="669"/>
      <c r="O574" s="669"/>
      <c r="P574" s="669"/>
      <c r="Q574" s="669"/>
      <c r="R574" s="669"/>
      <c r="S574" s="669"/>
      <c r="T574" s="669"/>
      <c r="U574" s="669"/>
      <c r="V574" s="669"/>
      <c r="W574" s="669"/>
      <c r="X574" s="669"/>
      <c r="Y574" s="669"/>
      <c r="Z574" s="669"/>
      <c r="AA574" s="669"/>
    </row>
    <row r="575">
      <c r="A575" s="715"/>
      <c r="B575" s="669"/>
      <c r="C575" s="669"/>
      <c r="D575" s="669"/>
      <c r="E575" s="669"/>
      <c r="F575" s="669"/>
      <c r="G575" s="716"/>
      <c r="H575" s="669"/>
      <c r="I575" s="669"/>
      <c r="J575" s="669"/>
      <c r="K575" s="669"/>
      <c r="L575" s="669"/>
      <c r="M575" s="669"/>
      <c r="N575" s="669"/>
      <c r="O575" s="669"/>
      <c r="P575" s="669"/>
      <c r="Q575" s="669"/>
      <c r="R575" s="669"/>
      <c r="S575" s="669"/>
      <c r="T575" s="669"/>
      <c r="U575" s="669"/>
      <c r="V575" s="669"/>
      <c r="W575" s="669"/>
      <c r="X575" s="669"/>
      <c r="Y575" s="669"/>
      <c r="Z575" s="669"/>
      <c r="AA575" s="669"/>
    </row>
    <row r="576">
      <c r="A576" s="715"/>
      <c r="B576" s="669"/>
      <c r="C576" s="669"/>
      <c r="D576" s="669"/>
      <c r="E576" s="669"/>
      <c r="F576" s="669"/>
      <c r="G576" s="716"/>
      <c r="H576" s="669"/>
      <c r="I576" s="669"/>
      <c r="J576" s="669"/>
      <c r="K576" s="669"/>
      <c r="L576" s="669"/>
      <c r="M576" s="669"/>
      <c r="N576" s="669"/>
      <c r="O576" s="669"/>
      <c r="P576" s="669"/>
      <c r="Q576" s="669"/>
      <c r="R576" s="669"/>
      <c r="S576" s="669"/>
      <c r="T576" s="669"/>
      <c r="U576" s="669"/>
      <c r="V576" s="669"/>
      <c r="W576" s="669"/>
      <c r="X576" s="669"/>
      <c r="Y576" s="669"/>
      <c r="Z576" s="669"/>
      <c r="AA576" s="669"/>
    </row>
    <row r="577">
      <c r="A577" s="715"/>
      <c r="B577" s="669"/>
      <c r="C577" s="669"/>
      <c r="D577" s="669"/>
      <c r="E577" s="669"/>
      <c r="F577" s="669"/>
      <c r="G577" s="716"/>
      <c r="H577" s="669"/>
      <c r="I577" s="669"/>
      <c r="J577" s="669"/>
      <c r="K577" s="669"/>
      <c r="L577" s="669"/>
      <c r="M577" s="669"/>
      <c r="N577" s="669"/>
      <c r="O577" s="669"/>
      <c r="P577" s="669"/>
      <c r="Q577" s="669"/>
      <c r="R577" s="669"/>
      <c r="S577" s="669"/>
      <c r="T577" s="669"/>
      <c r="U577" s="669"/>
      <c r="V577" s="669"/>
      <c r="W577" s="669"/>
      <c r="X577" s="669"/>
      <c r="Y577" s="669"/>
      <c r="Z577" s="669"/>
      <c r="AA577" s="669"/>
    </row>
    <row r="578">
      <c r="A578" s="715"/>
      <c r="B578" s="669"/>
      <c r="C578" s="669"/>
      <c r="D578" s="669"/>
      <c r="E578" s="669"/>
      <c r="F578" s="669"/>
      <c r="G578" s="716"/>
      <c r="H578" s="669"/>
      <c r="I578" s="669"/>
      <c r="J578" s="669"/>
      <c r="K578" s="669"/>
      <c r="L578" s="669"/>
      <c r="M578" s="669"/>
      <c r="N578" s="669"/>
      <c r="O578" s="669"/>
      <c r="P578" s="669"/>
      <c r="Q578" s="669"/>
      <c r="R578" s="669"/>
      <c r="S578" s="669"/>
      <c r="T578" s="669"/>
      <c r="U578" s="669"/>
      <c r="V578" s="669"/>
      <c r="W578" s="669"/>
      <c r="X578" s="669"/>
      <c r="Y578" s="669"/>
      <c r="Z578" s="669"/>
      <c r="AA578" s="669"/>
    </row>
    <row r="579">
      <c r="A579" s="715"/>
      <c r="B579" s="669"/>
      <c r="C579" s="669"/>
      <c r="D579" s="669"/>
      <c r="E579" s="669"/>
      <c r="F579" s="669"/>
      <c r="G579" s="716"/>
      <c r="H579" s="669"/>
      <c r="I579" s="669"/>
      <c r="J579" s="669"/>
      <c r="K579" s="669"/>
      <c r="L579" s="669"/>
      <c r="M579" s="669"/>
      <c r="N579" s="669"/>
      <c r="O579" s="669"/>
      <c r="P579" s="669"/>
      <c r="Q579" s="669"/>
      <c r="R579" s="669"/>
      <c r="S579" s="669"/>
      <c r="T579" s="669"/>
      <c r="U579" s="669"/>
      <c r="V579" s="669"/>
      <c r="W579" s="669"/>
      <c r="X579" s="669"/>
      <c r="Y579" s="669"/>
      <c r="Z579" s="669"/>
      <c r="AA579" s="669"/>
    </row>
    <row r="580">
      <c r="A580" s="715"/>
      <c r="B580" s="669"/>
      <c r="C580" s="669"/>
      <c r="D580" s="669"/>
      <c r="E580" s="669"/>
      <c r="F580" s="669"/>
      <c r="G580" s="716"/>
      <c r="H580" s="669"/>
      <c r="I580" s="669"/>
      <c r="J580" s="669"/>
      <c r="K580" s="669"/>
      <c r="L580" s="669"/>
      <c r="M580" s="669"/>
      <c r="N580" s="669"/>
      <c r="O580" s="669"/>
      <c r="P580" s="669"/>
      <c r="Q580" s="669"/>
      <c r="R580" s="669"/>
      <c r="S580" s="669"/>
      <c r="T580" s="669"/>
      <c r="U580" s="669"/>
      <c r="V580" s="669"/>
      <c r="W580" s="669"/>
      <c r="X580" s="669"/>
      <c r="Y580" s="669"/>
      <c r="Z580" s="669"/>
      <c r="AA580" s="669"/>
    </row>
    <row r="581">
      <c r="A581" s="715"/>
      <c r="B581" s="669"/>
      <c r="C581" s="669"/>
      <c r="D581" s="669"/>
      <c r="E581" s="669"/>
      <c r="F581" s="669"/>
      <c r="G581" s="716"/>
      <c r="H581" s="669"/>
      <c r="I581" s="669"/>
      <c r="J581" s="669"/>
      <c r="K581" s="669"/>
      <c r="L581" s="669"/>
      <c r="M581" s="669"/>
      <c r="N581" s="669"/>
      <c r="O581" s="669"/>
      <c r="P581" s="669"/>
      <c r="Q581" s="669"/>
      <c r="R581" s="669"/>
      <c r="S581" s="669"/>
      <c r="T581" s="669"/>
      <c r="U581" s="669"/>
      <c r="V581" s="669"/>
      <c r="W581" s="669"/>
      <c r="X581" s="669"/>
      <c r="Y581" s="669"/>
      <c r="Z581" s="669"/>
      <c r="AA581" s="669"/>
    </row>
    <row r="582">
      <c r="A582" s="715"/>
      <c r="B582" s="669"/>
      <c r="C582" s="669"/>
      <c r="D582" s="669"/>
      <c r="E582" s="669"/>
      <c r="F582" s="669"/>
      <c r="G582" s="716"/>
      <c r="H582" s="669"/>
      <c r="I582" s="669"/>
      <c r="J582" s="669"/>
      <c r="K582" s="669"/>
      <c r="L582" s="669"/>
      <c r="M582" s="669"/>
      <c r="N582" s="669"/>
      <c r="O582" s="669"/>
      <c r="P582" s="669"/>
      <c r="Q582" s="669"/>
      <c r="R582" s="669"/>
      <c r="S582" s="669"/>
      <c r="T582" s="669"/>
      <c r="U582" s="669"/>
      <c r="V582" s="669"/>
      <c r="W582" s="669"/>
      <c r="X582" s="669"/>
      <c r="Y582" s="669"/>
      <c r="Z582" s="669"/>
      <c r="AA582" s="669"/>
    </row>
    <row r="583">
      <c r="A583" s="715"/>
      <c r="B583" s="669"/>
      <c r="C583" s="669"/>
      <c r="D583" s="669"/>
      <c r="E583" s="669"/>
      <c r="F583" s="669"/>
      <c r="G583" s="716"/>
      <c r="H583" s="669"/>
      <c r="I583" s="669"/>
      <c r="J583" s="669"/>
      <c r="K583" s="669"/>
      <c r="L583" s="669"/>
      <c r="M583" s="669"/>
      <c r="N583" s="669"/>
      <c r="O583" s="669"/>
      <c r="P583" s="669"/>
      <c r="Q583" s="669"/>
      <c r="R583" s="669"/>
      <c r="S583" s="669"/>
      <c r="T583" s="669"/>
      <c r="U583" s="669"/>
      <c r="V583" s="669"/>
      <c r="W583" s="669"/>
      <c r="X583" s="669"/>
      <c r="Y583" s="669"/>
      <c r="Z583" s="669"/>
      <c r="AA583" s="669"/>
    </row>
    <row r="584">
      <c r="A584" s="715"/>
      <c r="B584" s="669"/>
      <c r="C584" s="669"/>
      <c r="D584" s="669"/>
      <c r="E584" s="669"/>
      <c r="F584" s="669"/>
      <c r="G584" s="716"/>
      <c r="H584" s="669"/>
      <c r="I584" s="669"/>
      <c r="J584" s="669"/>
      <c r="K584" s="669"/>
      <c r="L584" s="669"/>
      <c r="M584" s="669"/>
      <c r="N584" s="669"/>
      <c r="O584" s="669"/>
      <c r="P584" s="669"/>
      <c r="Q584" s="669"/>
      <c r="R584" s="669"/>
      <c r="S584" s="669"/>
      <c r="T584" s="669"/>
      <c r="U584" s="669"/>
      <c r="V584" s="669"/>
      <c r="W584" s="669"/>
      <c r="X584" s="669"/>
      <c r="Y584" s="669"/>
      <c r="Z584" s="669"/>
      <c r="AA584" s="669"/>
    </row>
    <row r="585">
      <c r="A585" s="715"/>
      <c r="B585" s="669"/>
      <c r="C585" s="669"/>
      <c r="D585" s="669"/>
      <c r="E585" s="669"/>
      <c r="F585" s="669"/>
      <c r="G585" s="716"/>
      <c r="H585" s="669"/>
      <c r="I585" s="669"/>
      <c r="J585" s="669"/>
      <c r="K585" s="669"/>
      <c r="L585" s="669"/>
      <c r="M585" s="669"/>
      <c r="N585" s="669"/>
      <c r="O585" s="669"/>
      <c r="P585" s="669"/>
      <c r="Q585" s="669"/>
      <c r="R585" s="669"/>
      <c r="S585" s="669"/>
      <c r="T585" s="669"/>
      <c r="U585" s="669"/>
      <c r="V585" s="669"/>
      <c r="W585" s="669"/>
      <c r="X585" s="669"/>
      <c r="Y585" s="669"/>
      <c r="Z585" s="669"/>
      <c r="AA585" s="669"/>
    </row>
    <row r="586">
      <c r="A586" s="715"/>
      <c r="B586" s="669"/>
      <c r="C586" s="669"/>
      <c r="D586" s="669"/>
      <c r="E586" s="669"/>
      <c r="F586" s="669"/>
      <c r="G586" s="716"/>
      <c r="H586" s="669"/>
      <c r="I586" s="669"/>
      <c r="J586" s="669"/>
      <c r="K586" s="669"/>
      <c r="L586" s="669"/>
      <c r="M586" s="669"/>
      <c r="N586" s="669"/>
      <c r="O586" s="669"/>
      <c r="P586" s="669"/>
      <c r="Q586" s="669"/>
      <c r="R586" s="669"/>
      <c r="S586" s="669"/>
      <c r="T586" s="669"/>
      <c r="U586" s="669"/>
      <c r="V586" s="669"/>
      <c r="W586" s="669"/>
      <c r="X586" s="669"/>
      <c r="Y586" s="669"/>
      <c r="Z586" s="669"/>
      <c r="AA586" s="669"/>
    </row>
    <row r="587">
      <c r="A587" s="715"/>
      <c r="B587" s="669"/>
      <c r="C587" s="669"/>
      <c r="D587" s="669"/>
      <c r="E587" s="669"/>
      <c r="F587" s="669"/>
      <c r="G587" s="716"/>
      <c r="H587" s="669"/>
      <c r="I587" s="669"/>
      <c r="J587" s="669"/>
      <c r="K587" s="669"/>
      <c r="L587" s="669"/>
      <c r="M587" s="669"/>
      <c r="N587" s="669"/>
      <c r="O587" s="669"/>
      <c r="P587" s="669"/>
      <c r="Q587" s="669"/>
      <c r="R587" s="669"/>
      <c r="S587" s="669"/>
      <c r="T587" s="669"/>
      <c r="U587" s="669"/>
      <c r="V587" s="669"/>
      <c r="W587" s="669"/>
      <c r="X587" s="669"/>
      <c r="Y587" s="669"/>
      <c r="Z587" s="669"/>
      <c r="AA587" s="669"/>
    </row>
    <row r="588">
      <c r="A588" s="715"/>
      <c r="B588" s="669"/>
      <c r="C588" s="669"/>
      <c r="D588" s="669"/>
      <c r="E588" s="669"/>
      <c r="F588" s="669"/>
      <c r="G588" s="716"/>
      <c r="H588" s="669"/>
      <c r="I588" s="669"/>
      <c r="J588" s="669"/>
      <c r="K588" s="669"/>
      <c r="L588" s="669"/>
      <c r="M588" s="669"/>
      <c r="N588" s="669"/>
      <c r="O588" s="669"/>
      <c r="P588" s="669"/>
      <c r="Q588" s="669"/>
      <c r="R588" s="669"/>
      <c r="S588" s="669"/>
      <c r="T588" s="669"/>
      <c r="U588" s="669"/>
      <c r="V588" s="669"/>
      <c r="W588" s="669"/>
      <c r="X588" s="669"/>
      <c r="Y588" s="669"/>
      <c r="Z588" s="669"/>
      <c r="AA588" s="669"/>
    </row>
    <row r="589">
      <c r="A589" s="715"/>
      <c r="B589" s="669"/>
      <c r="C589" s="669"/>
      <c r="D589" s="669"/>
      <c r="E589" s="669"/>
      <c r="F589" s="669"/>
      <c r="G589" s="716"/>
      <c r="H589" s="669"/>
      <c r="I589" s="669"/>
      <c r="J589" s="669"/>
      <c r="K589" s="669"/>
      <c r="L589" s="669"/>
      <c r="M589" s="669"/>
      <c r="N589" s="669"/>
      <c r="O589" s="669"/>
      <c r="P589" s="669"/>
      <c r="Q589" s="669"/>
      <c r="R589" s="669"/>
      <c r="S589" s="669"/>
      <c r="T589" s="669"/>
      <c r="U589" s="669"/>
      <c r="V589" s="669"/>
      <c r="W589" s="669"/>
      <c r="X589" s="669"/>
      <c r="Y589" s="669"/>
      <c r="Z589" s="669"/>
      <c r="AA589" s="669"/>
    </row>
    <row r="590">
      <c r="A590" s="715"/>
      <c r="B590" s="669"/>
      <c r="C590" s="669"/>
      <c r="D590" s="669"/>
      <c r="E590" s="669"/>
      <c r="F590" s="669"/>
      <c r="G590" s="716"/>
      <c r="H590" s="669"/>
      <c r="I590" s="669"/>
      <c r="J590" s="669"/>
      <c r="K590" s="669"/>
      <c r="L590" s="669"/>
      <c r="M590" s="669"/>
      <c r="N590" s="669"/>
      <c r="O590" s="669"/>
      <c r="P590" s="669"/>
      <c r="Q590" s="669"/>
      <c r="R590" s="669"/>
      <c r="S590" s="669"/>
      <c r="T590" s="669"/>
      <c r="U590" s="669"/>
      <c r="V590" s="669"/>
      <c r="W590" s="669"/>
      <c r="X590" s="669"/>
      <c r="Y590" s="669"/>
      <c r="Z590" s="669"/>
      <c r="AA590" s="669"/>
    </row>
    <row r="591">
      <c r="A591" s="715"/>
      <c r="B591" s="669"/>
      <c r="C591" s="669"/>
      <c r="D591" s="669"/>
      <c r="E591" s="669"/>
      <c r="F591" s="669"/>
      <c r="G591" s="716"/>
      <c r="H591" s="669"/>
      <c r="I591" s="669"/>
      <c r="J591" s="669"/>
      <c r="K591" s="669"/>
      <c r="L591" s="669"/>
      <c r="M591" s="669"/>
      <c r="N591" s="669"/>
      <c r="O591" s="669"/>
      <c r="P591" s="669"/>
      <c r="Q591" s="669"/>
      <c r="R591" s="669"/>
      <c r="S591" s="669"/>
      <c r="T591" s="669"/>
      <c r="U591" s="669"/>
      <c r="V591" s="669"/>
      <c r="W591" s="669"/>
      <c r="X591" s="669"/>
      <c r="Y591" s="669"/>
      <c r="Z591" s="669"/>
      <c r="AA591" s="669"/>
    </row>
    <row r="592">
      <c r="A592" s="715"/>
      <c r="B592" s="669"/>
      <c r="C592" s="669"/>
      <c r="D592" s="669"/>
      <c r="E592" s="669"/>
      <c r="F592" s="669"/>
      <c r="G592" s="716"/>
      <c r="H592" s="669"/>
      <c r="I592" s="669"/>
      <c r="J592" s="669"/>
      <c r="K592" s="669"/>
      <c r="L592" s="669"/>
      <c r="M592" s="669"/>
      <c r="N592" s="669"/>
      <c r="O592" s="669"/>
      <c r="P592" s="669"/>
      <c r="Q592" s="669"/>
      <c r="R592" s="669"/>
      <c r="S592" s="669"/>
      <c r="T592" s="669"/>
      <c r="U592" s="669"/>
      <c r="V592" s="669"/>
      <c r="W592" s="669"/>
      <c r="X592" s="669"/>
      <c r="Y592" s="669"/>
      <c r="Z592" s="669"/>
      <c r="AA592" s="669"/>
    </row>
    <row r="593">
      <c r="A593" s="715"/>
      <c r="B593" s="669"/>
      <c r="C593" s="669"/>
      <c r="D593" s="669"/>
      <c r="E593" s="669"/>
      <c r="F593" s="669"/>
      <c r="G593" s="716"/>
      <c r="H593" s="669"/>
      <c r="I593" s="669"/>
      <c r="J593" s="669"/>
      <c r="K593" s="669"/>
      <c r="L593" s="669"/>
      <c r="M593" s="669"/>
      <c r="N593" s="669"/>
      <c r="O593" s="669"/>
      <c r="P593" s="669"/>
      <c r="Q593" s="669"/>
      <c r="R593" s="669"/>
      <c r="S593" s="669"/>
      <c r="T593" s="669"/>
      <c r="U593" s="669"/>
      <c r="V593" s="669"/>
      <c r="W593" s="669"/>
      <c r="X593" s="669"/>
      <c r="Y593" s="669"/>
      <c r="Z593" s="669"/>
      <c r="AA593" s="669"/>
    </row>
    <row r="594">
      <c r="A594" s="715"/>
      <c r="B594" s="669"/>
      <c r="C594" s="669"/>
      <c r="D594" s="669"/>
      <c r="E594" s="669"/>
      <c r="F594" s="669"/>
      <c r="G594" s="716"/>
      <c r="H594" s="669"/>
      <c r="I594" s="669"/>
      <c r="J594" s="669"/>
      <c r="K594" s="669"/>
      <c r="L594" s="669"/>
      <c r="M594" s="669"/>
      <c r="N594" s="669"/>
      <c r="O594" s="669"/>
      <c r="P594" s="669"/>
      <c r="Q594" s="669"/>
      <c r="R594" s="669"/>
      <c r="S594" s="669"/>
      <c r="T594" s="669"/>
      <c r="U594" s="669"/>
      <c r="V594" s="669"/>
      <c r="W594" s="669"/>
      <c r="X594" s="669"/>
      <c r="Y594" s="669"/>
      <c r="Z594" s="669"/>
      <c r="AA594" s="669"/>
    </row>
    <row r="595">
      <c r="A595" s="715"/>
      <c r="B595" s="669"/>
      <c r="C595" s="669"/>
      <c r="D595" s="669"/>
      <c r="E595" s="669"/>
      <c r="F595" s="669"/>
      <c r="G595" s="716"/>
      <c r="H595" s="669"/>
      <c r="I595" s="669"/>
      <c r="J595" s="669"/>
      <c r="K595" s="669"/>
      <c r="L595" s="669"/>
      <c r="M595" s="669"/>
      <c r="N595" s="669"/>
      <c r="O595" s="669"/>
      <c r="P595" s="669"/>
      <c r="Q595" s="669"/>
      <c r="R595" s="669"/>
      <c r="S595" s="669"/>
      <c r="T595" s="669"/>
      <c r="U595" s="669"/>
      <c r="V595" s="669"/>
      <c r="W595" s="669"/>
      <c r="X595" s="669"/>
      <c r="Y595" s="669"/>
      <c r="Z595" s="669"/>
      <c r="AA595" s="669"/>
    </row>
    <row r="596">
      <c r="A596" s="715"/>
      <c r="B596" s="669"/>
      <c r="C596" s="669"/>
      <c r="D596" s="669"/>
      <c r="E596" s="669"/>
      <c r="F596" s="669"/>
      <c r="G596" s="716"/>
      <c r="H596" s="669"/>
      <c r="I596" s="669"/>
      <c r="J596" s="669"/>
      <c r="K596" s="669"/>
      <c r="L596" s="669"/>
      <c r="M596" s="669"/>
      <c r="N596" s="669"/>
      <c r="O596" s="669"/>
      <c r="P596" s="669"/>
      <c r="Q596" s="669"/>
      <c r="R596" s="669"/>
      <c r="S596" s="669"/>
      <c r="T596" s="669"/>
      <c r="U596" s="669"/>
      <c r="V596" s="669"/>
      <c r="W596" s="669"/>
      <c r="X596" s="669"/>
      <c r="Y596" s="669"/>
      <c r="Z596" s="669"/>
      <c r="AA596" s="669"/>
    </row>
    <row r="597">
      <c r="A597" s="715"/>
      <c r="B597" s="669"/>
      <c r="C597" s="669"/>
      <c r="D597" s="669"/>
      <c r="E597" s="669"/>
      <c r="F597" s="669"/>
      <c r="G597" s="716"/>
      <c r="H597" s="669"/>
      <c r="I597" s="669"/>
      <c r="J597" s="669"/>
      <c r="K597" s="669"/>
      <c r="L597" s="669"/>
      <c r="M597" s="669"/>
      <c r="N597" s="669"/>
      <c r="O597" s="669"/>
      <c r="P597" s="669"/>
      <c r="Q597" s="669"/>
      <c r="R597" s="669"/>
      <c r="S597" s="669"/>
      <c r="T597" s="669"/>
      <c r="U597" s="669"/>
      <c r="V597" s="669"/>
      <c r="W597" s="669"/>
      <c r="X597" s="669"/>
      <c r="Y597" s="669"/>
      <c r="Z597" s="669"/>
      <c r="AA597" s="669"/>
    </row>
    <row r="598">
      <c r="A598" s="715"/>
      <c r="B598" s="669"/>
      <c r="C598" s="669"/>
      <c r="D598" s="669"/>
      <c r="E598" s="669"/>
      <c r="F598" s="669"/>
      <c r="G598" s="716"/>
      <c r="H598" s="669"/>
      <c r="I598" s="669"/>
      <c r="J598" s="669"/>
      <c r="K598" s="669"/>
      <c r="L598" s="669"/>
      <c r="M598" s="669"/>
      <c r="N598" s="669"/>
      <c r="O598" s="669"/>
      <c r="P598" s="669"/>
      <c r="Q598" s="669"/>
      <c r="R598" s="669"/>
      <c r="S598" s="669"/>
      <c r="T598" s="669"/>
      <c r="U598" s="669"/>
      <c r="V598" s="669"/>
      <c r="W598" s="669"/>
      <c r="X598" s="669"/>
      <c r="Y598" s="669"/>
      <c r="Z598" s="669"/>
      <c r="AA598" s="669"/>
    </row>
    <row r="599">
      <c r="A599" s="715"/>
      <c r="B599" s="669"/>
      <c r="C599" s="669"/>
      <c r="D599" s="669"/>
      <c r="E599" s="669"/>
      <c r="F599" s="669"/>
      <c r="G599" s="716"/>
      <c r="H599" s="669"/>
      <c r="I599" s="669"/>
      <c r="J599" s="669"/>
      <c r="K599" s="669"/>
      <c r="L599" s="669"/>
      <c r="M599" s="669"/>
      <c r="N599" s="669"/>
      <c r="O599" s="669"/>
      <c r="P599" s="669"/>
      <c r="Q599" s="669"/>
      <c r="R599" s="669"/>
      <c r="S599" s="669"/>
      <c r="T599" s="669"/>
      <c r="U599" s="669"/>
      <c r="V599" s="669"/>
      <c r="W599" s="669"/>
      <c r="X599" s="669"/>
      <c r="Y599" s="669"/>
      <c r="Z599" s="669"/>
      <c r="AA599" s="669"/>
    </row>
    <row r="600">
      <c r="A600" s="715"/>
      <c r="B600" s="669"/>
      <c r="C600" s="669"/>
      <c r="D600" s="669"/>
      <c r="E600" s="669"/>
      <c r="F600" s="669"/>
      <c r="G600" s="716"/>
      <c r="H600" s="669"/>
      <c r="I600" s="669"/>
      <c r="J600" s="669"/>
      <c r="K600" s="669"/>
      <c r="L600" s="669"/>
      <c r="M600" s="669"/>
      <c r="N600" s="669"/>
      <c r="O600" s="669"/>
      <c r="P600" s="669"/>
      <c r="Q600" s="669"/>
      <c r="R600" s="669"/>
      <c r="S600" s="669"/>
      <c r="T600" s="669"/>
      <c r="U600" s="669"/>
      <c r="V600" s="669"/>
      <c r="W600" s="669"/>
      <c r="X600" s="669"/>
      <c r="Y600" s="669"/>
      <c r="Z600" s="669"/>
      <c r="AA600" s="669"/>
    </row>
    <row r="601">
      <c r="A601" s="715"/>
      <c r="B601" s="669"/>
      <c r="C601" s="669"/>
      <c r="D601" s="669"/>
      <c r="E601" s="669"/>
      <c r="F601" s="669"/>
      <c r="G601" s="716"/>
      <c r="H601" s="669"/>
      <c r="I601" s="669"/>
      <c r="J601" s="669"/>
      <c r="K601" s="669"/>
      <c r="L601" s="669"/>
      <c r="M601" s="669"/>
      <c r="N601" s="669"/>
      <c r="O601" s="669"/>
      <c r="P601" s="669"/>
      <c r="Q601" s="669"/>
      <c r="R601" s="669"/>
      <c r="S601" s="669"/>
      <c r="T601" s="669"/>
      <c r="U601" s="669"/>
      <c r="V601" s="669"/>
      <c r="W601" s="669"/>
      <c r="X601" s="669"/>
      <c r="Y601" s="669"/>
      <c r="Z601" s="669"/>
      <c r="AA601" s="669"/>
    </row>
    <row r="602">
      <c r="A602" s="715"/>
      <c r="B602" s="669"/>
      <c r="C602" s="669"/>
      <c r="D602" s="669"/>
      <c r="E602" s="669"/>
      <c r="F602" s="669"/>
      <c r="G602" s="716"/>
      <c r="H602" s="669"/>
      <c r="I602" s="669"/>
      <c r="J602" s="669"/>
      <c r="K602" s="669"/>
      <c r="L602" s="669"/>
      <c r="M602" s="669"/>
      <c r="N602" s="669"/>
      <c r="O602" s="669"/>
      <c r="P602" s="669"/>
      <c r="Q602" s="669"/>
      <c r="R602" s="669"/>
      <c r="S602" s="669"/>
      <c r="T602" s="669"/>
      <c r="U602" s="669"/>
      <c r="V602" s="669"/>
      <c r="W602" s="669"/>
      <c r="X602" s="669"/>
      <c r="Y602" s="669"/>
      <c r="Z602" s="669"/>
      <c r="AA602" s="669"/>
    </row>
    <row r="603">
      <c r="A603" s="715"/>
      <c r="B603" s="669"/>
      <c r="C603" s="669"/>
      <c r="D603" s="669"/>
      <c r="E603" s="669"/>
      <c r="F603" s="669"/>
      <c r="G603" s="716"/>
      <c r="H603" s="669"/>
      <c r="I603" s="669"/>
      <c r="J603" s="669"/>
      <c r="K603" s="669"/>
      <c r="L603" s="669"/>
      <c r="M603" s="669"/>
      <c r="N603" s="669"/>
      <c r="O603" s="669"/>
      <c r="P603" s="669"/>
      <c r="Q603" s="669"/>
      <c r="R603" s="669"/>
      <c r="S603" s="669"/>
      <c r="T603" s="669"/>
      <c r="U603" s="669"/>
      <c r="V603" s="669"/>
      <c r="W603" s="669"/>
      <c r="X603" s="669"/>
      <c r="Y603" s="669"/>
      <c r="Z603" s="669"/>
      <c r="AA603" s="669"/>
    </row>
    <row r="604">
      <c r="A604" s="715"/>
      <c r="B604" s="669"/>
      <c r="C604" s="669"/>
      <c r="D604" s="669"/>
      <c r="E604" s="669"/>
      <c r="F604" s="669"/>
      <c r="G604" s="716"/>
      <c r="H604" s="669"/>
      <c r="I604" s="669"/>
      <c r="J604" s="669"/>
      <c r="K604" s="669"/>
      <c r="L604" s="669"/>
      <c r="M604" s="669"/>
      <c r="N604" s="669"/>
      <c r="O604" s="669"/>
      <c r="P604" s="669"/>
      <c r="Q604" s="669"/>
      <c r="R604" s="669"/>
      <c r="S604" s="669"/>
      <c r="T604" s="669"/>
      <c r="U604" s="669"/>
      <c r="V604" s="669"/>
      <c r="W604" s="669"/>
      <c r="X604" s="669"/>
      <c r="Y604" s="669"/>
      <c r="Z604" s="669"/>
      <c r="AA604" s="669"/>
    </row>
    <row r="605">
      <c r="A605" s="715"/>
      <c r="B605" s="669"/>
      <c r="C605" s="669"/>
      <c r="D605" s="669"/>
      <c r="E605" s="669"/>
      <c r="F605" s="669"/>
      <c r="G605" s="716"/>
      <c r="H605" s="669"/>
      <c r="I605" s="669"/>
      <c r="J605" s="669"/>
      <c r="K605" s="669"/>
      <c r="L605" s="669"/>
      <c r="M605" s="669"/>
      <c r="N605" s="669"/>
      <c r="O605" s="669"/>
      <c r="P605" s="669"/>
      <c r="Q605" s="669"/>
      <c r="R605" s="669"/>
      <c r="S605" s="669"/>
      <c r="T605" s="669"/>
      <c r="U605" s="669"/>
      <c r="V605" s="669"/>
      <c r="W605" s="669"/>
      <c r="X605" s="669"/>
      <c r="Y605" s="669"/>
      <c r="Z605" s="669"/>
      <c r="AA605" s="669"/>
    </row>
    <row r="606">
      <c r="A606" s="715"/>
      <c r="B606" s="669"/>
      <c r="C606" s="669"/>
      <c r="D606" s="669"/>
      <c r="E606" s="669"/>
      <c r="F606" s="669"/>
      <c r="G606" s="716"/>
      <c r="H606" s="669"/>
      <c r="I606" s="669"/>
      <c r="J606" s="669"/>
      <c r="K606" s="669"/>
      <c r="L606" s="669"/>
      <c r="M606" s="669"/>
      <c r="N606" s="669"/>
      <c r="O606" s="669"/>
      <c r="P606" s="669"/>
      <c r="Q606" s="669"/>
      <c r="R606" s="669"/>
      <c r="S606" s="669"/>
      <c r="T606" s="669"/>
      <c r="U606" s="669"/>
      <c r="V606" s="669"/>
      <c r="W606" s="669"/>
      <c r="X606" s="669"/>
      <c r="Y606" s="669"/>
      <c r="Z606" s="669"/>
      <c r="AA606" s="669"/>
    </row>
    <row r="607">
      <c r="A607" s="715"/>
      <c r="B607" s="669"/>
      <c r="C607" s="669"/>
      <c r="D607" s="669"/>
      <c r="E607" s="669"/>
      <c r="F607" s="669"/>
      <c r="G607" s="716"/>
      <c r="H607" s="669"/>
      <c r="I607" s="669"/>
      <c r="J607" s="669"/>
      <c r="K607" s="669"/>
      <c r="L607" s="669"/>
      <c r="M607" s="669"/>
      <c r="N607" s="669"/>
      <c r="O607" s="669"/>
      <c r="P607" s="669"/>
      <c r="Q607" s="669"/>
      <c r="R607" s="669"/>
      <c r="S607" s="669"/>
      <c r="T607" s="669"/>
      <c r="U607" s="669"/>
      <c r="V607" s="669"/>
      <c r="W607" s="669"/>
      <c r="X607" s="669"/>
      <c r="Y607" s="669"/>
      <c r="Z607" s="669"/>
      <c r="AA607" s="669"/>
    </row>
    <row r="608">
      <c r="A608" s="715"/>
      <c r="B608" s="669"/>
      <c r="C608" s="669"/>
      <c r="D608" s="669"/>
      <c r="E608" s="669"/>
      <c r="F608" s="669"/>
      <c r="G608" s="716"/>
      <c r="H608" s="669"/>
      <c r="I608" s="669"/>
      <c r="J608" s="669"/>
      <c r="K608" s="669"/>
      <c r="L608" s="669"/>
      <c r="M608" s="669"/>
      <c r="N608" s="669"/>
      <c r="O608" s="669"/>
      <c r="P608" s="669"/>
      <c r="Q608" s="669"/>
      <c r="R608" s="669"/>
      <c r="S608" s="669"/>
      <c r="T608" s="669"/>
      <c r="U608" s="669"/>
      <c r="V608" s="669"/>
      <c r="W608" s="669"/>
      <c r="X608" s="669"/>
      <c r="Y608" s="669"/>
      <c r="Z608" s="669"/>
      <c r="AA608" s="669"/>
    </row>
    <row r="609">
      <c r="A609" s="715"/>
      <c r="B609" s="669"/>
      <c r="C609" s="669"/>
      <c r="D609" s="669"/>
      <c r="E609" s="669"/>
      <c r="F609" s="669"/>
      <c r="G609" s="716"/>
      <c r="H609" s="669"/>
      <c r="I609" s="669"/>
      <c r="J609" s="669"/>
      <c r="K609" s="669"/>
      <c r="L609" s="669"/>
      <c r="M609" s="669"/>
      <c r="N609" s="669"/>
      <c r="O609" s="669"/>
      <c r="P609" s="669"/>
      <c r="Q609" s="669"/>
      <c r="R609" s="669"/>
      <c r="S609" s="669"/>
      <c r="T609" s="669"/>
      <c r="U609" s="669"/>
      <c r="V609" s="669"/>
      <c r="W609" s="669"/>
      <c r="X609" s="669"/>
      <c r="Y609" s="669"/>
      <c r="Z609" s="669"/>
      <c r="AA609" s="669"/>
    </row>
    <row r="610">
      <c r="A610" s="715"/>
      <c r="B610" s="669"/>
      <c r="C610" s="669"/>
      <c r="D610" s="669"/>
      <c r="E610" s="669"/>
      <c r="F610" s="669"/>
      <c r="G610" s="716"/>
      <c r="H610" s="669"/>
      <c r="I610" s="669"/>
      <c r="J610" s="669"/>
      <c r="K610" s="669"/>
      <c r="L610" s="669"/>
      <c r="M610" s="669"/>
      <c r="N610" s="669"/>
      <c r="O610" s="669"/>
      <c r="P610" s="669"/>
      <c r="Q610" s="669"/>
      <c r="R610" s="669"/>
      <c r="S610" s="669"/>
      <c r="T610" s="669"/>
      <c r="U610" s="669"/>
      <c r="V610" s="669"/>
      <c r="W610" s="669"/>
      <c r="X610" s="669"/>
      <c r="Y610" s="669"/>
      <c r="Z610" s="669"/>
      <c r="AA610" s="669"/>
    </row>
    <row r="611">
      <c r="A611" s="715"/>
      <c r="B611" s="669"/>
      <c r="C611" s="669"/>
      <c r="D611" s="669"/>
      <c r="E611" s="669"/>
      <c r="F611" s="669"/>
      <c r="G611" s="716"/>
      <c r="H611" s="669"/>
      <c r="I611" s="669"/>
      <c r="J611" s="669"/>
      <c r="K611" s="669"/>
      <c r="L611" s="669"/>
      <c r="M611" s="669"/>
      <c r="N611" s="669"/>
      <c r="O611" s="669"/>
      <c r="P611" s="669"/>
      <c r="Q611" s="669"/>
      <c r="R611" s="669"/>
      <c r="S611" s="669"/>
      <c r="T611" s="669"/>
      <c r="U611" s="669"/>
      <c r="V611" s="669"/>
      <c r="W611" s="669"/>
      <c r="X611" s="669"/>
      <c r="Y611" s="669"/>
      <c r="Z611" s="669"/>
      <c r="AA611" s="669"/>
    </row>
    <row r="612">
      <c r="A612" s="715"/>
      <c r="B612" s="669"/>
      <c r="C612" s="669"/>
      <c r="D612" s="669"/>
      <c r="E612" s="669"/>
      <c r="F612" s="669"/>
      <c r="G612" s="716"/>
      <c r="H612" s="669"/>
      <c r="I612" s="669"/>
      <c r="J612" s="669"/>
      <c r="K612" s="669"/>
      <c r="L612" s="669"/>
      <c r="M612" s="669"/>
      <c r="N612" s="669"/>
      <c r="O612" s="669"/>
      <c r="P612" s="669"/>
      <c r="Q612" s="669"/>
      <c r="R612" s="669"/>
      <c r="S612" s="669"/>
      <c r="T612" s="669"/>
      <c r="U612" s="669"/>
      <c r="V612" s="669"/>
      <c r="W612" s="669"/>
      <c r="X612" s="669"/>
      <c r="Y612" s="669"/>
      <c r="Z612" s="669"/>
      <c r="AA612" s="669"/>
    </row>
    <row r="613">
      <c r="A613" s="715"/>
      <c r="B613" s="669"/>
      <c r="C613" s="669"/>
      <c r="D613" s="669"/>
      <c r="E613" s="669"/>
      <c r="F613" s="669"/>
      <c r="G613" s="716"/>
      <c r="H613" s="669"/>
      <c r="I613" s="669"/>
      <c r="J613" s="669"/>
      <c r="K613" s="669"/>
      <c r="L613" s="669"/>
      <c r="M613" s="669"/>
      <c r="N613" s="669"/>
      <c r="O613" s="669"/>
      <c r="P613" s="669"/>
      <c r="Q613" s="669"/>
      <c r="R613" s="669"/>
      <c r="S613" s="669"/>
      <c r="T613" s="669"/>
      <c r="U613" s="669"/>
      <c r="V613" s="669"/>
      <c r="W613" s="669"/>
      <c r="X613" s="669"/>
      <c r="Y613" s="669"/>
      <c r="Z613" s="669"/>
      <c r="AA613" s="669"/>
    </row>
    <row r="614">
      <c r="A614" s="715"/>
      <c r="B614" s="669"/>
      <c r="C614" s="669"/>
      <c r="D614" s="669"/>
      <c r="E614" s="669"/>
      <c r="F614" s="669"/>
      <c r="G614" s="716"/>
      <c r="H614" s="669"/>
      <c r="I614" s="669"/>
      <c r="J614" s="669"/>
      <c r="K614" s="669"/>
      <c r="L614" s="669"/>
      <c r="M614" s="669"/>
      <c r="N614" s="669"/>
      <c r="O614" s="669"/>
      <c r="P614" s="669"/>
      <c r="Q614" s="669"/>
      <c r="R614" s="669"/>
      <c r="S614" s="669"/>
      <c r="T614" s="669"/>
      <c r="U614" s="669"/>
      <c r="V614" s="669"/>
      <c r="W614" s="669"/>
      <c r="X614" s="669"/>
      <c r="Y614" s="669"/>
      <c r="Z614" s="669"/>
      <c r="AA614" s="669"/>
    </row>
    <row r="615">
      <c r="A615" s="715"/>
      <c r="B615" s="669"/>
      <c r="C615" s="669"/>
      <c r="D615" s="669"/>
      <c r="E615" s="669"/>
      <c r="F615" s="669"/>
      <c r="G615" s="716"/>
      <c r="H615" s="669"/>
      <c r="I615" s="669"/>
      <c r="J615" s="669"/>
      <c r="K615" s="669"/>
      <c r="L615" s="669"/>
      <c r="M615" s="669"/>
      <c r="N615" s="669"/>
      <c r="O615" s="669"/>
      <c r="P615" s="669"/>
      <c r="Q615" s="669"/>
      <c r="R615" s="669"/>
      <c r="S615" s="669"/>
      <c r="T615" s="669"/>
      <c r="U615" s="669"/>
      <c r="V615" s="669"/>
      <c r="W615" s="669"/>
      <c r="X615" s="669"/>
      <c r="Y615" s="669"/>
      <c r="Z615" s="669"/>
      <c r="AA615" s="669"/>
    </row>
    <row r="616">
      <c r="A616" s="715"/>
      <c r="B616" s="669"/>
      <c r="C616" s="669"/>
      <c r="D616" s="669"/>
      <c r="E616" s="669"/>
      <c r="F616" s="669"/>
      <c r="G616" s="716"/>
      <c r="H616" s="669"/>
      <c r="I616" s="669"/>
      <c r="J616" s="669"/>
      <c r="K616" s="669"/>
      <c r="L616" s="669"/>
      <c r="M616" s="669"/>
      <c r="N616" s="669"/>
      <c r="O616" s="669"/>
      <c r="P616" s="669"/>
      <c r="Q616" s="669"/>
      <c r="R616" s="669"/>
      <c r="S616" s="669"/>
      <c r="T616" s="669"/>
      <c r="U616" s="669"/>
      <c r="V616" s="669"/>
      <c r="W616" s="669"/>
      <c r="X616" s="669"/>
      <c r="Y616" s="669"/>
      <c r="Z616" s="669"/>
      <c r="AA616" s="669"/>
    </row>
    <row r="617">
      <c r="A617" s="715"/>
      <c r="B617" s="669"/>
      <c r="C617" s="669"/>
      <c r="D617" s="669"/>
      <c r="E617" s="669"/>
      <c r="F617" s="669"/>
      <c r="G617" s="716"/>
      <c r="H617" s="669"/>
      <c r="I617" s="669"/>
      <c r="J617" s="669"/>
      <c r="K617" s="669"/>
      <c r="L617" s="669"/>
      <c r="M617" s="669"/>
      <c r="N617" s="669"/>
      <c r="O617" s="669"/>
      <c r="P617" s="669"/>
      <c r="Q617" s="669"/>
      <c r="R617" s="669"/>
      <c r="S617" s="669"/>
      <c r="T617" s="669"/>
      <c r="U617" s="669"/>
      <c r="V617" s="669"/>
      <c r="W617" s="669"/>
      <c r="X617" s="669"/>
      <c r="Y617" s="669"/>
      <c r="Z617" s="669"/>
      <c r="AA617" s="669"/>
    </row>
    <row r="618">
      <c r="A618" s="715"/>
      <c r="B618" s="669"/>
      <c r="C618" s="669"/>
      <c r="D618" s="669"/>
      <c r="E618" s="669"/>
      <c r="F618" s="669"/>
      <c r="G618" s="716"/>
      <c r="H618" s="669"/>
      <c r="I618" s="669"/>
      <c r="J618" s="669"/>
      <c r="K618" s="669"/>
      <c r="L618" s="669"/>
      <c r="M618" s="669"/>
      <c r="N618" s="669"/>
      <c r="O618" s="669"/>
      <c r="P618" s="669"/>
      <c r="Q618" s="669"/>
      <c r="R618" s="669"/>
      <c r="S618" s="669"/>
      <c r="T618" s="669"/>
      <c r="U618" s="669"/>
      <c r="V618" s="669"/>
      <c r="W618" s="669"/>
      <c r="X618" s="669"/>
      <c r="Y618" s="669"/>
      <c r="Z618" s="669"/>
      <c r="AA618" s="669"/>
    </row>
    <row r="619">
      <c r="A619" s="715"/>
      <c r="B619" s="669"/>
      <c r="C619" s="669"/>
      <c r="D619" s="669"/>
      <c r="E619" s="669"/>
      <c r="F619" s="669"/>
      <c r="G619" s="716"/>
      <c r="H619" s="669"/>
      <c r="I619" s="669"/>
      <c r="J619" s="669"/>
      <c r="K619" s="669"/>
      <c r="L619" s="669"/>
      <c r="M619" s="669"/>
      <c r="N619" s="669"/>
      <c r="O619" s="669"/>
      <c r="P619" s="669"/>
      <c r="Q619" s="669"/>
      <c r="R619" s="669"/>
      <c r="S619" s="669"/>
      <c r="T619" s="669"/>
      <c r="U619" s="669"/>
      <c r="V619" s="669"/>
      <c r="W619" s="669"/>
      <c r="X619" s="669"/>
      <c r="Y619" s="669"/>
      <c r="Z619" s="669"/>
      <c r="AA619" s="669"/>
    </row>
    <row r="620">
      <c r="A620" s="715"/>
      <c r="B620" s="669"/>
      <c r="C620" s="669"/>
      <c r="D620" s="669"/>
      <c r="E620" s="669"/>
      <c r="F620" s="669"/>
      <c r="G620" s="716"/>
      <c r="H620" s="669"/>
      <c r="I620" s="669"/>
      <c r="J620" s="669"/>
      <c r="K620" s="669"/>
      <c r="L620" s="669"/>
      <c r="M620" s="669"/>
      <c r="N620" s="669"/>
      <c r="O620" s="669"/>
      <c r="P620" s="669"/>
      <c r="Q620" s="669"/>
      <c r="R620" s="669"/>
      <c r="S620" s="669"/>
      <c r="T620" s="669"/>
      <c r="U620" s="669"/>
      <c r="V620" s="669"/>
      <c r="W620" s="669"/>
      <c r="X620" s="669"/>
      <c r="Y620" s="669"/>
      <c r="Z620" s="669"/>
      <c r="AA620" s="669"/>
    </row>
    <row r="621">
      <c r="A621" s="715"/>
      <c r="B621" s="669"/>
      <c r="C621" s="669"/>
      <c r="D621" s="669"/>
      <c r="E621" s="669"/>
      <c r="F621" s="669"/>
      <c r="G621" s="716"/>
      <c r="H621" s="669"/>
      <c r="I621" s="669"/>
      <c r="J621" s="669"/>
      <c r="K621" s="669"/>
      <c r="L621" s="669"/>
      <c r="M621" s="669"/>
      <c r="N621" s="669"/>
      <c r="O621" s="669"/>
      <c r="P621" s="669"/>
      <c r="Q621" s="669"/>
      <c r="R621" s="669"/>
      <c r="S621" s="669"/>
      <c r="T621" s="669"/>
      <c r="U621" s="669"/>
      <c r="V621" s="669"/>
      <c r="W621" s="669"/>
      <c r="X621" s="669"/>
      <c r="Y621" s="669"/>
      <c r="Z621" s="669"/>
      <c r="AA621" s="669"/>
    </row>
    <row r="622">
      <c r="A622" s="715"/>
      <c r="B622" s="669"/>
      <c r="C622" s="669"/>
      <c r="D622" s="669"/>
      <c r="E622" s="669"/>
      <c r="F622" s="669"/>
      <c r="G622" s="716"/>
      <c r="H622" s="669"/>
      <c r="I622" s="669"/>
      <c r="J622" s="669"/>
      <c r="K622" s="669"/>
      <c r="L622" s="669"/>
      <c r="M622" s="669"/>
      <c r="N622" s="669"/>
      <c r="O622" s="669"/>
      <c r="P622" s="669"/>
      <c r="Q622" s="669"/>
      <c r="R622" s="669"/>
      <c r="S622" s="669"/>
      <c r="T622" s="669"/>
      <c r="U622" s="669"/>
      <c r="V622" s="669"/>
      <c r="W622" s="669"/>
      <c r="X622" s="669"/>
      <c r="Y622" s="669"/>
      <c r="Z622" s="669"/>
      <c r="AA622" s="669"/>
    </row>
    <row r="623">
      <c r="A623" s="715"/>
      <c r="B623" s="669"/>
      <c r="C623" s="669"/>
      <c r="D623" s="669"/>
      <c r="E623" s="669"/>
      <c r="F623" s="669"/>
      <c r="G623" s="716"/>
      <c r="H623" s="669"/>
      <c r="I623" s="669"/>
      <c r="J623" s="669"/>
      <c r="K623" s="669"/>
      <c r="L623" s="669"/>
      <c r="M623" s="669"/>
      <c r="N623" s="669"/>
      <c r="O623" s="669"/>
      <c r="P623" s="669"/>
      <c r="Q623" s="669"/>
      <c r="R623" s="669"/>
      <c r="S623" s="669"/>
      <c r="T623" s="669"/>
      <c r="U623" s="669"/>
      <c r="V623" s="669"/>
      <c r="W623" s="669"/>
      <c r="X623" s="669"/>
      <c r="Y623" s="669"/>
      <c r="Z623" s="669"/>
      <c r="AA623" s="669"/>
    </row>
    <row r="624">
      <c r="A624" s="715"/>
      <c r="B624" s="669"/>
      <c r="C624" s="669"/>
      <c r="D624" s="669"/>
      <c r="E624" s="669"/>
      <c r="F624" s="669"/>
      <c r="G624" s="716"/>
      <c r="H624" s="669"/>
      <c r="I624" s="669"/>
      <c r="J624" s="669"/>
      <c r="K624" s="669"/>
      <c r="L624" s="669"/>
      <c r="M624" s="669"/>
      <c r="N624" s="669"/>
      <c r="O624" s="669"/>
      <c r="P624" s="669"/>
      <c r="Q624" s="669"/>
      <c r="R624" s="669"/>
      <c r="S624" s="669"/>
      <c r="T624" s="669"/>
      <c r="U624" s="669"/>
      <c r="V624" s="669"/>
      <c r="W624" s="669"/>
      <c r="X624" s="669"/>
      <c r="Y624" s="669"/>
      <c r="Z624" s="669"/>
      <c r="AA624" s="669"/>
    </row>
    <row r="625">
      <c r="A625" s="715"/>
      <c r="B625" s="669"/>
      <c r="C625" s="669"/>
      <c r="D625" s="669"/>
      <c r="E625" s="669"/>
      <c r="F625" s="669"/>
      <c r="G625" s="716"/>
      <c r="H625" s="669"/>
      <c r="I625" s="669"/>
      <c r="J625" s="669"/>
      <c r="K625" s="669"/>
      <c r="L625" s="669"/>
      <c r="M625" s="669"/>
      <c r="N625" s="669"/>
      <c r="O625" s="669"/>
      <c r="P625" s="669"/>
      <c r="Q625" s="669"/>
      <c r="R625" s="669"/>
      <c r="S625" s="669"/>
      <c r="T625" s="669"/>
      <c r="U625" s="669"/>
      <c r="V625" s="669"/>
      <c r="W625" s="669"/>
      <c r="X625" s="669"/>
      <c r="Y625" s="669"/>
      <c r="Z625" s="669"/>
      <c r="AA625" s="669"/>
    </row>
    <row r="626">
      <c r="A626" s="715"/>
      <c r="B626" s="669"/>
      <c r="C626" s="669"/>
      <c r="D626" s="669"/>
      <c r="E626" s="669"/>
      <c r="F626" s="669"/>
      <c r="G626" s="716"/>
      <c r="H626" s="669"/>
      <c r="I626" s="669"/>
      <c r="J626" s="669"/>
      <c r="K626" s="669"/>
      <c r="L626" s="669"/>
      <c r="M626" s="669"/>
      <c r="N626" s="669"/>
      <c r="O626" s="669"/>
      <c r="P626" s="669"/>
      <c r="Q626" s="669"/>
      <c r="R626" s="669"/>
      <c r="S626" s="669"/>
      <c r="T626" s="669"/>
      <c r="U626" s="669"/>
      <c r="V626" s="669"/>
      <c r="W626" s="669"/>
      <c r="X626" s="669"/>
      <c r="Y626" s="669"/>
      <c r="Z626" s="669"/>
      <c r="AA626" s="669"/>
    </row>
    <row r="627">
      <c r="A627" s="715"/>
      <c r="B627" s="669"/>
      <c r="C627" s="669"/>
      <c r="D627" s="669"/>
      <c r="E627" s="669"/>
      <c r="F627" s="669"/>
      <c r="G627" s="716"/>
      <c r="H627" s="669"/>
      <c r="I627" s="669"/>
      <c r="J627" s="669"/>
      <c r="K627" s="669"/>
      <c r="L627" s="669"/>
      <c r="M627" s="669"/>
      <c r="N627" s="669"/>
      <c r="O627" s="669"/>
      <c r="P627" s="669"/>
      <c r="Q627" s="669"/>
      <c r="R627" s="669"/>
      <c r="S627" s="669"/>
      <c r="T627" s="669"/>
      <c r="U627" s="669"/>
      <c r="V627" s="669"/>
      <c r="W627" s="669"/>
      <c r="X627" s="669"/>
      <c r="Y627" s="669"/>
      <c r="Z627" s="669"/>
      <c r="AA627" s="669"/>
    </row>
    <row r="628">
      <c r="A628" s="715"/>
      <c r="B628" s="669"/>
      <c r="C628" s="669"/>
      <c r="D628" s="669"/>
      <c r="E628" s="669"/>
      <c r="F628" s="669"/>
      <c r="G628" s="716"/>
      <c r="H628" s="669"/>
      <c r="I628" s="669"/>
      <c r="J628" s="669"/>
      <c r="K628" s="669"/>
      <c r="L628" s="669"/>
      <c r="M628" s="669"/>
      <c r="N628" s="669"/>
      <c r="O628" s="669"/>
      <c r="P628" s="669"/>
      <c r="Q628" s="669"/>
      <c r="R628" s="669"/>
      <c r="S628" s="669"/>
      <c r="T628" s="669"/>
      <c r="U628" s="669"/>
      <c r="V628" s="669"/>
      <c r="W628" s="669"/>
      <c r="X628" s="669"/>
      <c r="Y628" s="669"/>
      <c r="Z628" s="669"/>
      <c r="AA628" s="669"/>
    </row>
    <row r="629">
      <c r="A629" s="715"/>
      <c r="B629" s="669"/>
      <c r="C629" s="669"/>
      <c r="D629" s="669"/>
      <c r="E629" s="669"/>
      <c r="F629" s="669"/>
      <c r="G629" s="716"/>
      <c r="H629" s="669"/>
      <c r="I629" s="669"/>
      <c r="J629" s="669"/>
      <c r="K629" s="669"/>
      <c r="L629" s="669"/>
      <c r="M629" s="669"/>
      <c r="N629" s="669"/>
      <c r="O629" s="669"/>
      <c r="P629" s="669"/>
      <c r="Q629" s="669"/>
      <c r="R629" s="669"/>
      <c r="S629" s="669"/>
      <c r="T629" s="669"/>
      <c r="U629" s="669"/>
      <c r="V629" s="669"/>
      <c r="W629" s="669"/>
      <c r="X629" s="669"/>
      <c r="Y629" s="669"/>
      <c r="Z629" s="669"/>
      <c r="AA629" s="669"/>
    </row>
    <row r="630">
      <c r="A630" s="715"/>
      <c r="B630" s="669"/>
      <c r="C630" s="669"/>
      <c r="D630" s="669"/>
      <c r="E630" s="669"/>
      <c r="F630" s="669"/>
      <c r="G630" s="716"/>
      <c r="H630" s="669"/>
      <c r="I630" s="669"/>
      <c r="J630" s="669"/>
      <c r="K630" s="669"/>
      <c r="L630" s="669"/>
      <c r="M630" s="669"/>
      <c r="N630" s="669"/>
      <c r="O630" s="669"/>
      <c r="P630" s="669"/>
      <c r="Q630" s="669"/>
      <c r="R630" s="669"/>
      <c r="S630" s="669"/>
      <c r="T630" s="669"/>
      <c r="U630" s="669"/>
      <c r="V630" s="669"/>
      <c r="W630" s="669"/>
      <c r="X630" s="669"/>
      <c r="Y630" s="669"/>
      <c r="Z630" s="669"/>
      <c r="AA630" s="669"/>
    </row>
    <row r="631">
      <c r="A631" s="715"/>
      <c r="B631" s="669"/>
      <c r="C631" s="669"/>
      <c r="D631" s="669"/>
      <c r="E631" s="669"/>
      <c r="F631" s="669"/>
      <c r="G631" s="716"/>
      <c r="H631" s="669"/>
      <c r="I631" s="669"/>
      <c r="J631" s="669"/>
      <c r="K631" s="669"/>
      <c r="L631" s="669"/>
      <c r="M631" s="669"/>
      <c r="N631" s="669"/>
      <c r="O631" s="669"/>
      <c r="P631" s="669"/>
      <c r="Q631" s="669"/>
      <c r="R631" s="669"/>
      <c r="S631" s="669"/>
      <c r="T631" s="669"/>
      <c r="U631" s="669"/>
      <c r="V631" s="669"/>
      <c r="W631" s="669"/>
      <c r="X631" s="669"/>
      <c r="Y631" s="669"/>
      <c r="Z631" s="669"/>
      <c r="AA631" s="669"/>
    </row>
    <row r="632">
      <c r="A632" s="715"/>
      <c r="B632" s="669"/>
      <c r="C632" s="669"/>
      <c r="D632" s="669"/>
      <c r="E632" s="669"/>
      <c r="F632" s="669"/>
      <c r="G632" s="716"/>
      <c r="H632" s="669"/>
      <c r="I632" s="669"/>
      <c r="J632" s="669"/>
      <c r="K632" s="669"/>
      <c r="L632" s="669"/>
      <c r="M632" s="669"/>
      <c r="N632" s="669"/>
      <c r="O632" s="669"/>
      <c r="P632" s="669"/>
      <c r="Q632" s="669"/>
      <c r="R632" s="669"/>
      <c r="S632" s="669"/>
      <c r="T632" s="669"/>
      <c r="U632" s="669"/>
      <c r="V632" s="669"/>
      <c r="W632" s="669"/>
      <c r="X632" s="669"/>
      <c r="Y632" s="669"/>
      <c r="Z632" s="669"/>
      <c r="AA632" s="669"/>
    </row>
    <row r="633">
      <c r="A633" s="715"/>
      <c r="B633" s="669"/>
      <c r="C633" s="669"/>
      <c r="D633" s="669"/>
      <c r="E633" s="669"/>
      <c r="F633" s="669"/>
      <c r="G633" s="716"/>
      <c r="H633" s="669"/>
      <c r="I633" s="669"/>
      <c r="J633" s="669"/>
      <c r="K633" s="669"/>
      <c r="L633" s="669"/>
      <c r="M633" s="669"/>
      <c r="N633" s="669"/>
      <c r="O633" s="669"/>
      <c r="P633" s="669"/>
      <c r="Q633" s="669"/>
      <c r="R633" s="669"/>
      <c r="S633" s="669"/>
      <c r="T633" s="669"/>
      <c r="U633" s="669"/>
      <c r="V633" s="669"/>
      <c r="W633" s="669"/>
      <c r="X633" s="669"/>
      <c r="Y633" s="669"/>
      <c r="Z633" s="669"/>
      <c r="AA633" s="669"/>
    </row>
    <row r="634">
      <c r="A634" s="715"/>
      <c r="B634" s="669"/>
      <c r="C634" s="669"/>
      <c r="D634" s="669"/>
      <c r="E634" s="669"/>
      <c r="F634" s="669"/>
      <c r="G634" s="716"/>
      <c r="H634" s="669"/>
      <c r="I634" s="669"/>
      <c r="J634" s="669"/>
      <c r="K634" s="669"/>
      <c r="L634" s="669"/>
      <c r="M634" s="669"/>
      <c r="N634" s="669"/>
      <c r="O634" s="669"/>
      <c r="P634" s="669"/>
      <c r="Q634" s="669"/>
      <c r="R634" s="669"/>
      <c r="S634" s="669"/>
      <c r="T634" s="669"/>
      <c r="U634" s="669"/>
      <c r="V634" s="669"/>
      <c r="W634" s="669"/>
      <c r="X634" s="669"/>
      <c r="Y634" s="669"/>
      <c r="Z634" s="669"/>
      <c r="AA634" s="669"/>
    </row>
    <row r="635">
      <c r="A635" s="715"/>
      <c r="B635" s="669"/>
      <c r="C635" s="669"/>
      <c r="D635" s="669"/>
      <c r="E635" s="669"/>
      <c r="F635" s="669"/>
      <c r="G635" s="716"/>
      <c r="H635" s="669"/>
      <c r="I635" s="669"/>
      <c r="J635" s="669"/>
      <c r="K635" s="669"/>
      <c r="L635" s="669"/>
      <c r="M635" s="669"/>
      <c r="N635" s="669"/>
      <c r="O635" s="669"/>
      <c r="P635" s="669"/>
      <c r="Q635" s="669"/>
      <c r="R635" s="669"/>
      <c r="S635" s="669"/>
      <c r="T635" s="669"/>
      <c r="U635" s="669"/>
      <c r="V635" s="669"/>
      <c r="W635" s="669"/>
      <c r="X635" s="669"/>
      <c r="Y635" s="669"/>
      <c r="Z635" s="669"/>
      <c r="AA635" s="669"/>
    </row>
    <row r="636">
      <c r="A636" s="715"/>
      <c r="B636" s="669"/>
      <c r="C636" s="669"/>
      <c r="D636" s="669"/>
      <c r="E636" s="669"/>
      <c r="F636" s="669"/>
      <c r="G636" s="716"/>
      <c r="H636" s="669"/>
      <c r="I636" s="669"/>
      <c r="J636" s="669"/>
      <c r="K636" s="669"/>
      <c r="L636" s="669"/>
      <c r="M636" s="669"/>
      <c r="N636" s="669"/>
      <c r="O636" s="669"/>
      <c r="P636" s="669"/>
      <c r="Q636" s="669"/>
      <c r="R636" s="669"/>
      <c r="S636" s="669"/>
      <c r="T636" s="669"/>
      <c r="U636" s="669"/>
      <c r="V636" s="669"/>
      <c r="W636" s="669"/>
      <c r="X636" s="669"/>
      <c r="Y636" s="669"/>
      <c r="Z636" s="669"/>
      <c r="AA636" s="669"/>
    </row>
    <row r="637">
      <c r="A637" s="715"/>
      <c r="B637" s="669"/>
      <c r="C637" s="669"/>
      <c r="D637" s="669"/>
      <c r="E637" s="669"/>
      <c r="F637" s="669"/>
      <c r="G637" s="716"/>
      <c r="H637" s="669"/>
      <c r="I637" s="669"/>
      <c r="J637" s="669"/>
      <c r="K637" s="669"/>
      <c r="L637" s="669"/>
      <c r="M637" s="669"/>
      <c r="N637" s="669"/>
      <c r="O637" s="669"/>
      <c r="P637" s="669"/>
      <c r="Q637" s="669"/>
      <c r="R637" s="669"/>
      <c r="S637" s="669"/>
      <c r="T637" s="669"/>
      <c r="U637" s="669"/>
      <c r="V637" s="669"/>
      <c r="W637" s="669"/>
      <c r="X637" s="669"/>
      <c r="Y637" s="669"/>
      <c r="Z637" s="669"/>
      <c r="AA637" s="669"/>
    </row>
    <row r="638">
      <c r="A638" s="715"/>
      <c r="B638" s="669"/>
      <c r="C638" s="669"/>
      <c r="D638" s="669"/>
      <c r="E638" s="669"/>
      <c r="F638" s="669"/>
      <c r="G638" s="716"/>
      <c r="H638" s="669"/>
      <c r="I638" s="669"/>
      <c r="J638" s="669"/>
      <c r="K638" s="669"/>
      <c r="L638" s="669"/>
      <c r="M638" s="669"/>
      <c r="N638" s="669"/>
      <c r="O638" s="669"/>
      <c r="P638" s="669"/>
      <c r="Q638" s="669"/>
      <c r="R638" s="669"/>
      <c r="S638" s="669"/>
      <c r="T638" s="669"/>
      <c r="U638" s="669"/>
      <c r="V638" s="669"/>
      <c r="W638" s="669"/>
      <c r="X638" s="669"/>
      <c r="Y638" s="669"/>
      <c r="Z638" s="669"/>
      <c r="AA638" s="669"/>
    </row>
    <row r="639">
      <c r="A639" s="715"/>
      <c r="B639" s="669"/>
      <c r="C639" s="669"/>
      <c r="D639" s="669"/>
      <c r="E639" s="669"/>
      <c r="F639" s="669"/>
      <c r="G639" s="716"/>
      <c r="H639" s="669"/>
      <c r="I639" s="669"/>
      <c r="J639" s="669"/>
      <c r="K639" s="669"/>
      <c r="L639" s="669"/>
      <c r="M639" s="669"/>
      <c r="N639" s="669"/>
      <c r="O639" s="669"/>
      <c r="P639" s="669"/>
      <c r="Q639" s="669"/>
      <c r="R639" s="669"/>
      <c r="S639" s="669"/>
      <c r="T639" s="669"/>
      <c r="U639" s="669"/>
      <c r="V639" s="669"/>
      <c r="W639" s="669"/>
      <c r="X639" s="669"/>
      <c r="Y639" s="669"/>
      <c r="Z639" s="669"/>
      <c r="AA639" s="669"/>
    </row>
    <row r="640">
      <c r="A640" s="715"/>
      <c r="B640" s="669"/>
      <c r="C640" s="669"/>
      <c r="D640" s="669"/>
      <c r="E640" s="669"/>
      <c r="F640" s="669"/>
      <c r="G640" s="716"/>
      <c r="H640" s="669"/>
      <c r="I640" s="669"/>
      <c r="J640" s="669"/>
      <c r="K640" s="669"/>
      <c r="L640" s="669"/>
      <c r="M640" s="669"/>
      <c r="N640" s="669"/>
      <c r="O640" s="669"/>
      <c r="P640" s="669"/>
      <c r="Q640" s="669"/>
      <c r="R640" s="669"/>
      <c r="S640" s="669"/>
      <c r="T640" s="669"/>
      <c r="U640" s="669"/>
      <c r="V640" s="669"/>
      <c r="W640" s="669"/>
      <c r="X640" s="669"/>
      <c r="Y640" s="669"/>
      <c r="Z640" s="669"/>
      <c r="AA640" s="669"/>
    </row>
    <row r="641">
      <c r="A641" s="715"/>
      <c r="B641" s="669"/>
      <c r="C641" s="669"/>
      <c r="D641" s="669"/>
      <c r="E641" s="669"/>
      <c r="F641" s="669"/>
      <c r="G641" s="716"/>
      <c r="H641" s="669"/>
      <c r="I641" s="669"/>
      <c r="J641" s="669"/>
      <c r="K641" s="669"/>
      <c r="L641" s="669"/>
      <c r="M641" s="669"/>
      <c r="N641" s="669"/>
      <c r="O641" s="669"/>
      <c r="P641" s="669"/>
      <c r="Q641" s="669"/>
      <c r="R641" s="669"/>
      <c r="S641" s="669"/>
      <c r="T641" s="669"/>
      <c r="U641" s="669"/>
      <c r="V641" s="669"/>
      <c r="W641" s="669"/>
      <c r="X641" s="669"/>
      <c r="Y641" s="669"/>
      <c r="Z641" s="669"/>
      <c r="AA641" s="669"/>
    </row>
    <row r="642">
      <c r="A642" s="715"/>
      <c r="B642" s="669"/>
      <c r="C642" s="669"/>
      <c r="D642" s="669"/>
      <c r="E642" s="669"/>
      <c r="F642" s="669"/>
      <c r="G642" s="716"/>
      <c r="H642" s="669"/>
      <c r="I642" s="669"/>
      <c r="J642" s="669"/>
      <c r="K642" s="669"/>
      <c r="L642" s="669"/>
      <c r="M642" s="669"/>
      <c r="N642" s="669"/>
      <c r="O642" s="669"/>
      <c r="P642" s="669"/>
      <c r="Q642" s="669"/>
      <c r="R642" s="669"/>
      <c r="S642" s="669"/>
      <c r="T642" s="669"/>
      <c r="U642" s="669"/>
      <c r="V642" s="669"/>
      <c r="W642" s="669"/>
      <c r="X642" s="669"/>
      <c r="Y642" s="669"/>
      <c r="Z642" s="669"/>
      <c r="AA642" s="669"/>
    </row>
    <row r="643">
      <c r="A643" s="715"/>
      <c r="B643" s="669"/>
      <c r="C643" s="669"/>
      <c r="D643" s="669"/>
      <c r="E643" s="669"/>
      <c r="F643" s="669"/>
      <c r="G643" s="716"/>
      <c r="H643" s="669"/>
      <c r="I643" s="669"/>
      <c r="J643" s="669"/>
      <c r="K643" s="669"/>
      <c r="L643" s="669"/>
      <c r="M643" s="669"/>
      <c r="N643" s="669"/>
      <c r="O643" s="669"/>
      <c r="P643" s="669"/>
      <c r="Q643" s="669"/>
      <c r="R643" s="669"/>
      <c r="S643" s="669"/>
      <c r="T643" s="669"/>
      <c r="U643" s="669"/>
      <c r="V643" s="669"/>
      <c r="W643" s="669"/>
      <c r="X643" s="669"/>
      <c r="Y643" s="669"/>
      <c r="Z643" s="669"/>
      <c r="AA643" s="669"/>
    </row>
    <row r="644">
      <c r="A644" s="715"/>
      <c r="B644" s="669"/>
      <c r="C644" s="669"/>
      <c r="D644" s="669"/>
      <c r="E644" s="669"/>
      <c r="F644" s="669"/>
      <c r="G644" s="716"/>
      <c r="H644" s="669"/>
      <c r="I644" s="669"/>
      <c r="J644" s="669"/>
      <c r="K644" s="669"/>
      <c r="L644" s="669"/>
      <c r="M644" s="669"/>
      <c r="N644" s="669"/>
      <c r="O644" s="669"/>
      <c r="P644" s="669"/>
      <c r="Q644" s="669"/>
      <c r="R644" s="669"/>
      <c r="S644" s="669"/>
      <c r="T644" s="669"/>
      <c r="U644" s="669"/>
      <c r="V644" s="669"/>
      <c r="W644" s="669"/>
      <c r="X644" s="669"/>
      <c r="Y644" s="669"/>
      <c r="Z644" s="669"/>
      <c r="AA644" s="669"/>
    </row>
    <row r="645">
      <c r="A645" s="715"/>
      <c r="B645" s="669"/>
      <c r="C645" s="669"/>
      <c r="D645" s="669"/>
      <c r="E645" s="669"/>
      <c r="F645" s="669"/>
      <c r="G645" s="716"/>
      <c r="H645" s="669"/>
      <c r="I645" s="669"/>
      <c r="J645" s="669"/>
      <c r="K645" s="669"/>
      <c r="L645" s="669"/>
      <c r="M645" s="669"/>
      <c r="N645" s="669"/>
      <c r="O645" s="669"/>
      <c r="P645" s="669"/>
      <c r="Q645" s="669"/>
      <c r="R645" s="669"/>
      <c r="S645" s="669"/>
      <c r="T645" s="669"/>
      <c r="U645" s="669"/>
      <c r="V645" s="669"/>
      <c r="W645" s="669"/>
      <c r="X645" s="669"/>
      <c r="Y645" s="669"/>
      <c r="Z645" s="669"/>
      <c r="AA645" s="669"/>
    </row>
    <row r="646">
      <c r="A646" s="715"/>
      <c r="B646" s="669"/>
      <c r="C646" s="669"/>
      <c r="D646" s="669"/>
      <c r="E646" s="669"/>
      <c r="F646" s="669"/>
      <c r="G646" s="716"/>
      <c r="H646" s="669"/>
      <c r="I646" s="669"/>
      <c r="J646" s="669"/>
      <c r="K646" s="669"/>
      <c r="L646" s="669"/>
      <c r="M646" s="669"/>
      <c r="N646" s="669"/>
      <c r="O646" s="669"/>
      <c r="P646" s="669"/>
      <c r="Q646" s="669"/>
      <c r="R646" s="669"/>
      <c r="S646" s="669"/>
      <c r="T646" s="669"/>
      <c r="U646" s="669"/>
      <c r="V646" s="669"/>
      <c r="W646" s="669"/>
      <c r="X646" s="669"/>
      <c r="Y646" s="669"/>
      <c r="Z646" s="669"/>
      <c r="AA646" s="669"/>
    </row>
    <row r="647">
      <c r="A647" s="715"/>
      <c r="B647" s="669"/>
      <c r="C647" s="669"/>
      <c r="D647" s="669"/>
      <c r="E647" s="669"/>
      <c r="F647" s="669"/>
      <c r="G647" s="716"/>
      <c r="H647" s="669"/>
      <c r="I647" s="669"/>
      <c r="J647" s="669"/>
      <c r="K647" s="669"/>
      <c r="L647" s="669"/>
      <c r="M647" s="669"/>
      <c r="N647" s="669"/>
      <c r="O647" s="669"/>
      <c r="P647" s="669"/>
      <c r="Q647" s="669"/>
      <c r="R647" s="669"/>
      <c r="S647" s="669"/>
      <c r="T647" s="669"/>
      <c r="U647" s="669"/>
      <c r="V647" s="669"/>
      <c r="W647" s="669"/>
      <c r="X647" s="669"/>
      <c r="Y647" s="669"/>
      <c r="Z647" s="669"/>
      <c r="AA647" s="669"/>
    </row>
    <row r="648">
      <c r="A648" s="715"/>
      <c r="B648" s="669"/>
      <c r="C648" s="669"/>
      <c r="D648" s="669"/>
      <c r="E648" s="669"/>
      <c r="F648" s="669"/>
      <c r="G648" s="716"/>
      <c r="H648" s="669"/>
      <c r="I648" s="669"/>
      <c r="J648" s="669"/>
      <c r="K648" s="669"/>
      <c r="L648" s="669"/>
      <c r="M648" s="669"/>
      <c r="N648" s="669"/>
      <c r="O648" s="669"/>
      <c r="P648" s="669"/>
      <c r="Q648" s="669"/>
      <c r="R648" s="669"/>
      <c r="S648" s="669"/>
      <c r="T648" s="669"/>
      <c r="U648" s="669"/>
      <c r="V648" s="669"/>
      <c r="W648" s="669"/>
      <c r="X648" s="669"/>
      <c r="Y648" s="669"/>
      <c r="Z648" s="669"/>
      <c r="AA648" s="669"/>
    </row>
    <row r="649">
      <c r="A649" s="715"/>
      <c r="B649" s="669"/>
      <c r="C649" s="669"/>
      <c r="D649" s="669"/>
      <c r="E649" s="669"/>
      <c r="F649" s="669"/>
      <c r="G649" s="716"/>
      <c r="H649" s="669"/>
      <c r="I649" s="669"/>
      <c r="J649" s="669"/>
      <c r="K649" s="669"/>
      <c r="L649" s="669"/>
      <c r="M649" s="669"/>
      <c r="N649" s="669"/>
      <c r="O649" s="669"/>
      <c r="P649" s="669"/>
      <c r="Q649" s="669"/>
      <c r="R649" s="669"/>
      <c r="S649" s="669"/>
      <c r="T649" s="669"/>
      <c r="U649" s="669"/>
      <c r="V649" s="669"/>
      <c r="W649" s="669"/>
      <c r="X649" s="669"/>
      <c r="Y649" s="669"/>
      <c r="Z649" s="669"/>
      <c r="AA649" s="669"/>
    </row>
    <row r="650">
      <c r="A650" s="715"/>
      <c r="B650" s="669"/>
      <c r="C650" s="669"/>
      <c r="D650" s="669"/>
      <c r="E650" s="669"/>
      <c r="F650" s="669"/>
      <c r="G650" s="716"/>
      <c r="H650" s="669"/>
      <c r="I650" s="669"/>
      <c r="J650" s="669"/>
      <c r="K650" s="669"/>
      <c r="L650" s="669"/>
      <c r="M650" s="669"/>
      <c r="N650" s="669"/>
      <c r="O650" s="669"/>
      <c r="P650" s="669"/>
      <c r="Q650" s="669"/>
      <c r="R650" s="669"/>
      <c r="S650" s="669"/>
      <c r="T650" s="669"/>
      <c r="U650" s="669"/>
      <c r="V650" s="669"/>
      <c r="W650" s="669"/>
      <c r="X650" s="669"/>
      <c r="Y650" s="669"/>
      <c r="Z650" s="669"/>
      <c r="AA650" s="669"/>
    </row>
    <row r="651">
      <c r="A651" s="715"/>
      <c r="B651" s="669"/>
      <c r="C651" s="669"/>
      <c r="D651" s="669"/>
      <c r="E651" s="669"/>
      <c r="F651" s="669"/>
      <c r="G651" s="716"/>
      <c r="H651" s="669"/>
      <c r="I651" s="669"/>
      <c r="J651" s="669"/>
      <c r="K651" s="669"/>
      <c r="L651" s="669"/>
      <c r="M651" s="669"/>
      <c r="N651" s="669"/>
      <c r="O651" s="669"/>
      <c r="P651" s="669"/>
      <c r="Q651" s="669"/>
      <c r="R651" s="669"/>
      <c r="S651" s="669"/>
      <c r="T651" s="669"/>
      <c r="U651" s="669"/>
      <c r="V651" s="669"/>
      <c r="W651" s="669"/>
      <c r="X651" s="669"/>
      <c r="Y651" s="669"/>
      <c r="Z651" s="669"/>
      <c r="AA651" s="669"/>
    </row>
    <row r="652">
      <c r="A652" s="715"/>
      <c r="B652" s="669"/>
      <c r="C652" s="669"/>
      <c r="D652" s="669"/>
      <c r="E652" s="669"/>
      <c r="F652" s="669"/>
      <c r="G652" s="716"/>
      <c r="H652" s="669"/>
      <c r="I652" s="669"/>
      <c r="J652" s="669"/>
      <c r="K652" s="669"/>
      <c r="L652" s="669"/>
      <c r="M652" s="669"/>
      <c r="N652" s="669"/>
      <c r="O652" s="669"/>
      <c r="P652" s="669"/>
      <c r="Q652" s="669"/>
      <c r="R652" s="669"/>
      <c r="S652" s="669"/>
      <c r="T652" s="669"/>
      <c r="U652" s="669"/>
      <c r="V652" s="669"/>
      <c r="W652" s="669"/>
      <c r="X652" s="669"/>
      <c r="Y652" s="669"/>
      <c r="Z652" s="669"/>
      <c r="AA652" s="669"/>
    </row>
    <row r="653">
      <c r="A653" s="715"/>
      <c r="B653" s="669"/>
      <c r="C653" s="669"/>
      <c r="D653" s="669"/>
      <c r="E653" s="669"/>
      <c r="F653" s="669"/>
      <c r="G653" s="716"/>
      <c r="H653" s="669"/>
      <c r="I653" s="669"/>
      <c r="J653" s="669"/>
      <c r="K653" s="669"/>
      <c r="L653" s="669"/>
      <c r="M653" s="669"/>
      <c r="N653" s="669"/>
      <c r="O653" s="669"/>
      <c r="P653" s="669"/>
      <c r="Q653" s="669"/>
      <c r="R653" s="669"/>
      <c r="S653" s="669"/>
      <c r="T653" s="669"/>
      <c r="U653" s="669"/>
      <c r="V653" s="669"/>
      <c r="W653" s="669"/>
      <c r="X653" s="669"/>
      <c r="Y653" s="669"/>
      <c r="Z653" s="669"/>
      <c r="AA653" s="669"/>
    </row>
    <row r="654">
      <c r="A654" s="715"/>
      <c r="B654" s="669"/>
      <c r="C654" s="669"/>
      <c r="D654" s="669"/>
      <c r="E654" s="669"/>
      <c r="F654" s="669"/>
      <c r="G654" s="716"/>
      <c r="H654" s="669"/>
      <c r="I654" s="669"/>
      <c r="J654" s="669"/>
      <c r="K654" s="669"/>
      <c r="L654" s="669"/>
      <c r="M654" s="669"/>
      <c r="N654" s="669"/>
      <c r="O654" s="669"/>
      <c r="P654" s="669"/>
      <c r="Q654" s="669"/>
      <c r="R654" s="669"/>
      <c r="S654" s="669"/>
      <c r="T654" s="669"/>
      <c r="U654" s="669"/>
      <c r="V654" s="669"/>
      <c r="W654" s="669"/>
      <c r="X654" s="669"/>
      <c r="Y654" s="669"/>
      <c r="Z654" s="669"/>
      <c r="AA654" s="669"/>
    </row>
    <row r="655">
      <c r="A655" s="715"/>
      <c r="B655" s="669"/>
      <c r="C655" s="669"/>
      <c r="D655" s="669"/>
      <c r="E655" s="669"/>
      <c r="F655" s="669"/>
      <c r="G655" s="716"/>
      <c r="H655" s="669"/>
      <c r="I655" s="669"/>
      <c r="J655" s="669"/>
      <c r="K655" s="669"/>
      <c r="L655" s="669"/>
      <c r="M655" s="669"/>
      <c r="N655" s="669"/>
      <c r="O655" s="669"/>
      <c r="P655" s="669"/>
      <c r="Q655" s="669"/>
      <c r="R655" s="669"/>
      <c r="S655" s="669"/>
      <c r="T655" s="669"/>
      <c r="U655" s="669"/>
      <c r="V655" s="669"/>
      <c r="W655" s="669"/>
      <c r="X655" s="669"/>
      <c r="Y655" s="669"/>
      <c r="Z655" s="669"/>
      <c r="AA655" s="669"/>
    </row>
    <row r="656">
      <c r="A656" s="715"/>
      <c r="B656" s="669"/>
      <c r="C656" s="669"/>
      <c r="D656" s="669"/>
      <c r="E656" s="669"/>
      <c r="F656" s="669"/>
      <c r="G656" s="716"/>
      <c r="H656" s="669"/>
      <c r="I656" s="669"/>
      <c r="J656" s="669"/>
      <c r="K656" s="669"/>
      <c r="L656" s="669"/>
      <c r="M656" s="669"/>
      <c r="N656" s="669"/>
      <c r="O656" s="669"/>
      <c r="P656" s="669"/>
      <c r="Q656" s="669"/>
      <c r="R656" s="669"/>
      <c r="S656" s="669"/>
      <c r="T656" s="669"/>
      <c r="U656" s="669"/>
      <c r="V656" s="669"/>
      <c r="W656" s="669"/>
      <c r="X656" s="669"/>
      <c r="Y656" s="669"/>
      <c r="Z656" s="669"/>
      <c r="AA656" s="669"/>
    </row>
    <row r="657">
      <c r="A657" s="715"/>
      <c r="B657" s="669"/>
      <c r="C657" s="669"/>
      <c r="D657" s="669"/>
      <c r="E657" s="669"/>
      <c r="F657" s="669"/>
      <c r="G657" s="716"/>
      <c r="H657" s="669"/>
      <c r="I657" s="669"/>
      <c r="J657" s="669"/>
      <c r="K657" s="669"/>
      <c r="L657" s="669"/>
      <c r="M657" s="669"/>
      <c r="N657" s="669"/>
      <c r="O657" s="669"/>
      <c r="P657" s="669"/>
      <c r="Q657" s="669"/>
      <c r="R657" s="669"/>
      <c r="S657" s="669"/>
      <c r="T657" s="669"/>
      <c r="U657" s="669"/>
      <c r="V657" s="669"/>
      <c r="W657" s="669"/>
      <c r="X657" s="669"/>
      <c r="Y657" s="669"/>
      <c r="Z657" s="669"/>
      <c r="AA657" s="669"/>
    </row>
    <row r="658">
      <c r="A658" s="715"/>
      <c r="B658" s="669"/>
      <c r="C658" s="669"/>
      <c r="D658" s="669"/>
      <c r="E658" s="669"/>
      <c r="F658" s="669"/>
      <c r="G658" s="716"/>
      <c r="H658" s="669"/>
      <c r="I658" s="669"/>
      <c r="J658" s="669"/>
      <c r="K658" s="669"/>
      <c r="L658" s="669"/>
      <c r="M658" s="669"/>
      <c r="N658" s="669"/>
      <c r="O658" s="669"/>
      <c r="P658" s="669"/>
      <c r="Q658" s="669"/>
      <c r="R658" s="669"/>
      <c r="S658" s="669"/>
      <c r="T658" s="669"/>
      <c r="U658" s="669"/>
      <c r="V658" s="669"/>
      <c r="W658" s="669"/>
      <c r="X658" s="669"/>
      <c r="Y658" s="669"/>
      <c r="Z658" s="669"/>
      <c r="AA658" s="669"/>
    </row>
    <row r="659">
      <c r="A659" s="715"/>
      <c r="B659" s="669"/>
      <c r="C659" s="669"/>
      <c r="D659" s="669"/>
      <c r="E659" s="669"/>
      <c r="F659" s="669"/>
      <c r="G659" s="716"/>
      <c r="H659" s="669"/>
      <c r="I659" s="669"/>
      <c r="J659" s="669"/>
      <c r="K659" s="669"/>
      <c r="L659" s="669"/>
      <c r="M659" s="669"/>
      <c r="N659" s="669"/>
      <c r="O659" s="669"/>
      <c r="P659" s="669"/>
      <c r="Q659" s="669"/>
      <c r="R659" s="669"/>
      <c r="S659" s="669"/>
      <c r="T659" s="669"/>
      <c r="U659" s="669"/>
      <c r="V659" s="669"/>
      <c r="W659" s="669"/>
      <c r="X659" s="669"/>
      <c r="Y659" s="669"/>
      <c r="Z659" s="669"/>
      <c r="AA659" s="669"/>
    </row>
    <row r="660">
      <c r="A660" s="715"/>
      <c r="B660" s="669"/>
      <c r="C660" s="669"/>
      <c r="D660" s="669"/>
      <c r="E660" s="669"/>
      <c r="F660" s="669"/>
      <c r="G660" s="716"/>
      <c r="H660" s="669"/>
      <c r="I660" s="669"/>
      <c r="J660" s="669"/>
      <c r="K660" s="669"/>
      <c r="L660" s="669"/>
      <c r="M660" s="669"/>
      <c r="N660" s="669"/>
      <c r="O660" s="669"/>
      <c r="P660" s="669"/>
      <c r="Q660" s="669"/>
      <c r="R660" s="669"/>
      <c r="S660" s="669"/>
      <c r="T660" s="669"/>
      <c r="U660" s="669"/>
      <c r="V660" s="669"/>
      <c r="W660" s="669"/>
      <c r="X660" s="669"/>
      <c r="Y660" s="669"/>
      <c r="Z660" s="669"/>
      <c r="AA660" s="669"/>
    </row>
    <row r="661">
      <c r="A661" s="715"/>
      <c r="B661" s="669"/>
      <c r="C661" s="669"/>
      <c r="D661" s="669"/>
      <c r="E661" s="669"/>
      <c r="F661" s="669"/>
      <c r="G661" s="716"/>
      <c r="H661" s="669"/>
      <c r="I661" s="669"/>
      <c r="J661" s="669"/>
      <c r="K661" s="669"/>
      <c r="L661" s="669"/>
      <c r="M661" s="669"/>
      <c r="N661" s="669"/>
      <c r="O661" s="669"/>
      <c r="P661" s="669"/>
      <c r="Q661" s="669"/>
      <c r="R661" s="669"/>
      <c r="S661" s="669"/>
      <c r="T661" s="669"/>
      <c r="U661" s="669"/>
      <c r="V661" s="669"/>
      <c r="W661" s="669"/>
      <c r="X661" s="669"/>
      <c r="Y661" s="669"/>
      <c r="Z661" s="669"/>
      <c r="AA661" s="669"/>
    </row>
    <row r="662">
      <c r="A662" s="715"/>
      <c r="B662" s="669"/>
      <c r="C662" s="669"/>
      <c r="D662" s="669"/>
      <c r="E662" s="669"/>
      <c r="F662" s="669"/>
      <c r="G662" s="716"/>
      <c r="H662" s="669"/>
      <c r="I662" s="669"/>
      <c r="J662" s="669"/>
      <c r="K662" s="669"/>
      <c r="L662" s="669"/>
      <c r="M662" s="669"/>
      <c r="N662" s="669"/>
      <c r="O662" s="669"/>
      <c r="P662" s="669"/>
      <c r="Q662" s="669"/>
      <c r="R662" s="669"/>
      <c r="S662" s="669"/>
      <c r="T662" s="669"/>
      <c r="U662" s="669"/>
      <c r="V662" s="669"/>
      <c r="W662" s="669"/>
      <c r="X662" s="669"/>
      <c r="Y662" s="669"/>
      <c r="Z662" s="669"/>
      <c r="AA662" s="669"/>
    </row>
    <row r="663">
      <c r="A663" s="715"/>
      <c r="B663" s="669"/>
      <c r="C663" s="669"/>
      <c r="D663" s="669"/>
      <c r="E663" s="669"/>
      <c r="F663" s="669"/>
      <c r="G663" s="716"/>
      <c r="H663" s="669"/>
      <c r="I663" s="669"/>
      <c r="J663" s="669"/>
      <c r="K663" s="669"/>
      <c r="L663" s="669"/>
      <c r="M663" s="669"/>
      <c r="N663" s="669"/>
      <c r="O663" s="669"/>
      <c r="P663" s="669"/>
      <c r="Q663" s="669"/>
      <c r="R663" s="669"/>
      <c r="S663" s="669"/>
      <c r="T663" s="669"/>
      <c r="U663" s="669"/>
      <c r="V663" s="669"/>
      <c r="W663" s="669"/>
      <c r="X663" s="669"/>
      <c r="Y663" s="669"/>
      <c r="Z663" s="669"/>
      <c r="AA663" s="669"/>
    </row>
    <row r="664">
      <c r="A664" s="715"/>
      <c r="B664" s="669"/>
      <c r="C664" s="669"/>
      <c r="D664" s="669"/>
      <c r="E664" s="669"/>
      <c r="F664" s="669"/>
      <c r="G664" s="716"/>
      <c r="H664" s="669"/>
      <c r="I664" s="669"/>
      <c r="J664" s="669"/>
      <c r="K664" s="669"/>
      <c r="L664" s="669"/>
      <c r="M664" s="669"/>
      <c r="N664" s="669"/>
      <c r="O664" s="669"/>
      <c r="P664" s="669"/>
      <c r="Q664" s="669"/>
      <c r="R664" s="669"/>
      <c r="S664" s="669"/>
      <c r="T664" s="669"/>
      <c r="U664" s="669"/>
      <c r="V664" s="669"/>
      <c r="W664" s="669"/>
      <c r="X664" s="669"/>
      <c r="Y664" s="669"/>
      <c r="Z664" s="669"/>
      <c r="AA664" s="669"/>
    </row>
    <row r="665">
      <c r="A665" s="715"/>
      <c r="B665" s="669"/>
      <c r="C665" s="669"/>
      <c r="D665" s="669"/>
      <c r="E665" s="669"/>
      <c r="F665" s="669"/>
      <c r="G665" s="716"/>
      <c r="H665" s="669"/>
      <c r="I665" s="669"/>
      <c r="J665" s="669"/>
      <c r="K665" s="669"/>
      <c r="L665" s="669"/>
      <c r="M665" s="669"/>
      <c r="N665" s="669"/>
      <c r="O665" s="669"/>
      <c r="P665" s="669"/>
      <c r="Q665" s="669"/>
      <c r="R665" s="669"/>
      <c r="S665" s="669"/>
      <c r="T665" s="669"/>
      <c r="U665" s="669"/>
      <c r="V665" s="669"/>
      <c r="W665" s="669"/>
      <c r="X665" s="669"/>
      <c r="Y665" s="669"/>
      <c r="Z665" s="669"/>
      <c r="AA665" s="669"/>
    </row>
    <row r="666">
      <c r="A666" s="715"/>
      <c r="B666" s="669"/>
      <c r="C666" s="669"/>
      <c r="D666" s="669"/>
      <c r="E666" s="669"/>
      <c r="F666" s="669"/>
      <c r="G666" s="716"/>
      <c r="H666" s="669"/>
      <c r="I666" s="669"/>
      <c r="J666" s="669"/>
      <c r="K666" s="669"/>
      <c r="L666" s="669"/>
      <c r="M666" s="669"/>
      <c r="N666" s="669"/>
      <c r="O666" s="669"/>
      <c r="P666" s="669"/>
      <c r="Q666" s="669"/>
      <c r="R666" s="669"/>
      <c r="S666" s="669"/>
      <c r="T666" s="669"/>
      <c r="U666" s="669"/>
      <c r="V666" s="669"/>
      <c r="W666" s="669"/>
      <c r="X666" s="669"/>
      <c r="Y666" s="669"/>
      <c r="Z666" s="669"/>
      <c r="AA666" s="669"/>
    </row>
    <row r="667">
      <c r="A667" s="715"/>
      <c r="B667" s="669"/>
      <c r="C667" s="669"/>
      <c r="D667" s="669"/>
      <c r="E667" s="669"/>
      <c r="F667" s="669"/>
      <c r="G667" s="716"/>
      <c r="H667" s="669"/>
      <c r="I667" s="669"/>
      <c r="J667" s="669"/>
      <c r="K667" s="669"/>
      <c r="L667" s="669"/>
      <c r="M667" s="669"/>
      <c r="N667" s="669"/>
      <c r="O667" s="669"/>
      <c r="P667" s="669"/>
      <c r="Q667" s="669"/>
      <c r="R667" s="669"/>
      <c r="S667" s="669"/>
      <c r="T667" s="669"/>
      <c r="U667" s="669"/>
      <c r="V667" s="669"/>
      <c r="W667" s="669"/>
      <c r="X667" s="669"/>
      <c r="Y667" s="669"/>
      <c r="Z667" s="669"/>
      <c r="AA667" s="669"/>
    </row>
    <row r="668">
      <c r="A668" s="715"/>
      <c r="B668" s="669"/>
      <c r="C668" s="669"/>
      <c r="D668" s="669"/>
      <c r="E668" s="669"/>
      <c r="F668" s="669"/>
      <c r="G668" s="716"/>
      <c r="H668" s="669"/>
      <c r="I668" s="669"/>
      <c r="J668" s="669"/>
      <c r="K668" s="669"/>
      <c r="L668" s="669"/>
      <c r="M668" s="669"/>
      <c r="N668" s="669"/>
      <c r="O668" s="669"/>
      <c r="P668" s="669"/>
      <c r="Q668" s="669"/>
      <c r="R668" s="669"/>
      <c r="S668" s="669"/>
      <c r="T668" s="669"/>
      <c r="U668" s="669"/>
      <c r="V668" s="669"/>
      <c r="W668" s="669"/>
      <c r="X668" s="669"/>
      <c r="Y668" s="669"/>
      <c r="Z668" s="669"/>
      <c r="AA668" s="669"/>
    </row>
    <row r="669">
      <c r="A669" s="715"/>
      <c r="B669" s="669"/>
      <c r="C669" s="669"/>
      <c r="D669" s="669"/>
      <c r="E669" s="669"/>
      <c r="F669" s="669"/>
      <c r="G669" s="716"/>
      <c r="H669" s="669"/>
      <c r="I669" s="669"/>
      <c r="J669" s="669"/>
      <c r="K669" s="669"/>
      <c r="L669" s="669"/>
      <c r="M669" s="669"/>
      <c r="N669" s="669"/>
      <c r="O669" s="669"/>
      <c r="P669" s="669"/>
      <c r="Q669" s="669"/>
      <c r="R669" s="669"/>
      <c r="S669" s="669"/>
      <c r="T669" s="669"/>
      <c r="U669" s="669"/>
      <c r="V669" s="669"/>
      <c r="W669" s="669"/>
      <c r="X669" s="669"/>
      <c r="Y669" s="669"/>
      <c r="Z669" s="669"/>
      <c r="AA669" s="669"/>
    </row>
    <row r="670">
      <c r="A670" s="715"/>
      <c r="B670" s="669"/>
      <c r="C670" s="669"/>
      <c r="D670" s="669"/>
      <c r="E670" s="669"/>
      <c r="F670" s="669"/>
      <c r="G670" s="716"/>
      <c r="H670" s="669"/>
      <c r="I670" s="669"/>
      <c r="J670" s="669"/>
      <c r="K670" s="669"/>
      <c r="L670" s="669"/>
      <c r="M670" s="669"/>
      <c r="N670" s="669"/>
      <c r="O670" s="669"/>
      <c r="P670" s="669"/>
      <c r="Q670" s="669"/>
      <c r="R670" s="669"/>
      <c r="S670" s="669"/>
      <c r="T670" s="669"/>
      <c r="U670" s="669"/>
      <c r="V670" s="669"/>
      <c r="W670" s="669"/>
      <c r="X670" s="669"/>
      <c r="Y670" s="669"/>
      <c r="Z670" s="669"/>
      <c r="AA670" s="669"/>
    </row>
    <row r="671">
      <c r="A671" s="715"/>
      <c r="B671" s="669"/>
      <c r="C671" s="669"/>
      <c r="D671" s="669"/>
      <c r="E671" s="669"/>
      <c r="F671" s="669"/>
      <c r="G671" s="716"/>
      <c r="H671" s="669"/>
      <c r="I671" s="669"/>
      <c r="J671" s="669"/>
      <c r="K671" s="669"/>
      <c r="L671" s="669"/>
      <c r="M671" s="669"/>
      <c r="N671" s="669"/>
      <c r="O671" s="669"/>
      <c r="P671" s="669"/>
      <c r="Q671" s="669"/>
      <c r="R671" s="669"/>
      <c r="S671" s="669"/>
      <c r="T671" s="669"/>
      <c r="U671" s="669"/>
      <c r="V671" s="669"/>
      <c r="W671" s="669"/>
      <c r="X671" s="669"/>
      <c r="Y671" s="669"/>
      <c r="Z671" s="669"/>
      <c r="AA671" s="669"/>
    </row>
    <row r="672">
      <c r="A672" s="715"/>
      <c r="B672" s="669"/>
      <c r="C672" s="669"/>
      <c r="D672" s="669"/>
      <c r="E672" s="669"/>
      <c r="F672" s="669"/>
      <c r="G672" s="716"/>
      <c r="H672" s="669"/>
      <c r="I672" s="669"/>
      <c r="J672" s="669"/>
      <c r="K672" s="669"/>
      <c r="L672" s="669"/>
      <c r="M672" s="669"/>
      <c r="N672" s="669"/>
      <c r="O672" s="669"/>
      <c r="P672" s="669"/>
      <c r="Q672" s="669"/>
      <c r="R672" s="669"/>
      <c r="S672" s="669"/>
      <c r="T672" s="669"/>
      <c r="U672" s="669"/>
      <c r="V672" s="669"/>
      <c r="W672" s="669"/>
      <c r="X672" s="669"/>
      <c r="Y672" s="669"/>
      <c r="Z672" s="669"/>
      <c r="AA672" s="669"/>
    </row>
    <row r="673">
      <c r="A673" s="715"/>
      <c r="B673" s="669"/>
      <c r="C673" s="669"/>
      <c r="D673" s="669"/>
      <c r="E673" s="669"/>
      <c r="F673" s="669"/>
      <c r="G673" s="716"/>
      <c r="H673" s="669"/>
      <c r="I673" s="669"/>
      <c r="J673" s="669"/>
      <c r="K673" s="669"/>
      <c r="L673" s="669"/>
      <c r="M673" s="669"/>
      <c r="N673" s="669"/>
      <c r="O673" s="669"/>
      <c r="P673" s="669"/>
      <c r="Q673" s="669"/>
      <c r="R673" s="669"/>
      <c r="S673" s="669"/>
      <c r="T673" s="669"/>
      <c r="U673" s="669"/>
      <c r="V673" s="669"/>
      <c r="W673" s="669"/>
      <c r="X673" s="669"/>
      <c r="Y673" s="669"/>
      <c r="Z673" s="669"/>
      <c r="AA673" s="669"/>
    </row>
    <row r="674">
      <c r="A674" s="715"/>
      <c r="B674" s="669"/>
      <c r="C674" s="669"/>
      <c r="D674" s="669"/>
      <c r="E674" s="669"/>
      <c r="F674" s="669"/>
      <c r="G674" s="716"/>
      <c r="H674" s="669"/>
      <c r="I674" s="669"/>
      <c r="J674" s="669"/>
      <c r="K674" s="669"/>
      <c r="L674" s="669"/>
      <c r="M674" s="669"/>
      <c r="N674" s="669"/>
      <c r="O674" s="669"/>
      <c r="P674" s="669"/>
      <c r="Q674" s="669"/>
      <c r="R674" s="669"/>
      <c r="S674" s="669"/>
      <c r="T674" s="669"/>
      <c r="U674" s="669"/>
      <c r="V674" s="669"/>
      <c r="W674" s="669"/>
      <c r="X674" s="669"/>
      <c r="Y674" s="669"/>
      <c r="Z674" s="669"/>
      <c r="AA674" s="669"/>
    </row>
    <row r="675">
      <c r="A675" s="715"/>
      <c r="B675" s="669"/>
      <c r="C675" s="669"/>
      <c r="D675" s="669"/>
      <c r="E675" s="669"/>
      <c r="F675" s="669"/>
      <c r="G675" s="716"/>
      <c r="H675" s="669"/>
      <c r="I675" s="669"/>
      <c r="J675" s="669"/>
      <c r="K675" s="669"/>
      <c r="L675" s="669"/>
      <c r="M675" s="669"/>
      <c r="N675" s="669"/>
      <c r="O675" s="669"/>
      <c r="P675" s="669"/>
      <c r="Q675" s="669"/>
      <c r="R675" s="669"/>
      <c r="S675" s="669"/>
      <c r="T675" s="669"/>
      <c r="U675" s="669"/>
      <c r="V675" s="669"/>
      <c r="W675" s="669"/>
      <c r="X675" s="669"/>
      <c r="Y675" s="669"/>
      <c r="Z675" s="669"/>
      <c r="AA675" s="669"/>
    </row>
    <row r="676">
      <c r="A676" s="715"/>
      <c r="B676" s="669"/>
      <c r="C676" s="669"/>
      <c r="D676" s="669"/>
      <c r="E676" s="669"/>
      <c r="F676" s="669"/>
      <c r="G676" s="716"/>
      <c r="H676" s="669"/>
      <c r="I676" s="669"/>
      <c r="J676" s="669"/>
      <c r="K676" s="669"/>
      <c r="L676" s="669"/>
      <c r="M676" s="669"/>
      <c r="N676" s="669"/>
      <c r="O676" s="669"/>
      <c r="P676" s="669"/>
      <c r="Q676" s="669"/>
      <c r="R676" s="669"/>
      <c r="S676" s="669"/>
      <c r="T676" s="669"/>
      <c r="U676" s="669"/>
      <c r="V676" s="669"/>
      <c r="W676" s="669"/>
      <c r="X676" s="669"/>
      <c r="Y676" s="669"/>
      <c r="Z676" s="669"/>
      <c r="AA676" s="669"/>
    </row>
    <row r="677">
      <c r="A677" s="715"/>
      <c r="B677" s="669"/>
      <c r="C677" s="669"/>
      <c r="D677" s="669"/>
      <c r="E677" s="669"/>
      <c r="F677" s="669"/>
      <c r="G677" s="716"/>
      <c r="H677" s="669"/>
      <c r="I677" s="669"/>
      <c r="J677" s="669"/>
      <c r="K677" s="669"/>
      <c r="L677" s="669"/>
      <c r="M677" s="669"/>
      <c r="N677" s="669"/>
      <c r="O677" s="669"/>
      <c r="P677" s="669"/>
      <c r="Q677" s="669"/>
      <c r="R677" s="669"/>
      <c r="S677" s="669"/>
      <c r="T677" s="669"/>
      <c r="U677" s="669"/>
      <c r="V677" s="669"/>
      <c r="W677" s="669"/>
      <c r="X677" s="669"/>
      <c r="Y677" s="669"/>
      <c r="Z677" s="669"/>
      <c r="AA677" s="669"/>
    </row>
    <row r="678">
      <c r="A678" s="715"/>
      <c r="B678" s="669"/>
      <c r="C678" s="669"/>
      <c r="D678" s="669"/>
      <c r="E678" s="669"/>
      <c r="F678" s="669"/>
      <c r="G678" s="716"/>
      <c r="H678" s="669"/>
      <c r="I678" s="669"/>
      <c r="J678" s="669"/>
      <c r="K678" s="669"/>
      <c r="L678" s="669"/>
      <c r="M678" s="669"/>
      <c r="N678" s="669"/>
      <c r="O678" s="669"/>
      <c r="P678" s="669"/>
      <c r="Q678" s="669"/>
      <c r="R678" s="669"/>
      <c r="S678" s="669"/>
      <c r="T678" s="669"/>
      <c r="U678" s="669"/>
      <c r="V678" s="669"/>
      <c r="W678" s="669"/>
      <c r="X678" s="669"/>
      <c r="Y678" s="669"/>
      <c r="Z678" s="669"/>
      <c r="AA678" s="669"/>
    </row>
    <row r="679">
      <c r="A679" s="715"/>
      <c r="B679" s="669"/>
      <c r="C679" s="669"/>
      <c r="D679" s="669"/>
      <c r="E679" s="669"/>
      <c r="F679" s="669"/>
      <c r="G679" s="716"/>
      <c r="H679" s="669"/>
      <c r="I679" s="669"/>
      <c r="J679" s="669"/>
      <c r="K679" s="669"/>
      <c r="L679" s="669"/>
      <c r="M679" s="669"/>
      <c r="N679" s="669"/>
      <c r="O679" s="669"/>
      <c r="P679" s="669"/>
      <c r="Q679" s="669"/>
      <c r="R679" s="669"/>
      <c r="S679" s="669"/>
      <c r="T679" s="669"/>
      <c r="U679" s="669"/>
      <c r="V679" s="669"/>
      <c r="W679" s="669"/>
      <c r="X679" s="669"/>
      <c r="Y679" s="669"/>
      <c r="Z679" s="669"/>
      <c r="AA679" s="669"/>
    </row>
    <row r="680">
      <c r="A680" s="715"/>
      <c r="B680" s="669"/>
      <c r="C680" s="669"/>
      <c r="D680" s="669"/>
      <c r="E680" s="669"/>
      <c r="F680" s="669"/>
      <c r="G680" s="716"/>
      <c r="H680" s="669"/>
      <c r="I680" s="669"/>
      <c r="J680" s="669"/>
      <c r="K680" s="669"/>
      <c r="L680" s="669"/>
      <c r="M680" s="669"/>
      <c r="N680" s="669"/>
      <c r="O680" s="669"/>
      <c r="P680" s="669"/>
      <c r="Q680" s="669"/>
      <c r="R680" s="669"/>
      <c r="S680" s="669"/>
      <c r="T680" s="669"/>
      <c r="U680" s="669"/>
      <c r="V680" s="669"/>
      <c r="W680" s="669"/>
      <c r="X680" s="669"/>
      <c r="Y680" s="669"/>
      <c r="Z680" s="669"/>
      <c r="AA680" s="669"/>
    </row>
    <row r="681">
      <c r="A681" s="715"/>
      <c r="B681" s="669"/>
      <c r="C681" s="669"/>
      <c r="D681" s="669"/>
      <c r="E681" s="669"/>
      <c r="F681" s="669"/>
      <c r="G681" s="716"/>
      <c r="H681" s="669"/>
      <c r="I681" s="669"/>
      <c r="J681" s="669"/>
      <c r="K681" s="669"/>
      <c r="L681" s="669"/>
      <c r="M681" s="669"/>
      <c r="N681" s="669"/>
      <c r="O681" s="669"/>
      <c r="P681" s="669"/>
      <c r="Q681" s="669"/>
      <c r="R681" s="669"/>
      <c r="S681" s="669"/>
      <c r="T681" s="669"/>
      <c r="U681" s="669"/>
      <c r="V681" s="669"/>
      <c r="W681" s="669"/>
      <c r="X681" s="669"/>
      <c r="Y681" s="669"/>
      <c r="Z681" s="669"/>
      <c r="AA681" s="669"/>
    </row>
    <row r="682">
      <c r="A682" s="715"/>
      <c r="B682" s="669"/>
      <c r="C682" s="669"/>
      <c r="D682" s="669"/>
      <c r="E682" s="669"/>
      <c r="F682" s="669"/>
      <c r="G682" s="716"/>
      <c r="H682" s="669"/>
      <c r="I682" s="669"/>
      <c r="J682" s="669"/>
      <c r="K682" s="669"/>
      <c r="L682" s="669"/>
      <c r="M682" s="669"/>
      <c r="N682" s="669"/>
      <c r="O682" s="669"/>
      <c r="P682" s="669"/>
      <c r="Q682" s="669"/>
      <c r="R682" s="669"/>
      <c r="S682" s="669"/>
      <c r="T682" s="669"/>
      <c r="U682" s="669"/>
      <c r="V682" s="669"/>
      <c r="W682" s="669"/>
      <c r="X682" s="669"/>
      <c r="Y682" s="669"/>
      <c r="Z682" s="669"/>
      <c r="AA682" s="669"/>
    </row>
    <row r="683">
      <c r="A683" s="715"/>
      <c r="B683" s="669"/>
      <c r="C683" s="669"/>
      <c r="D683" s="669"/>
      <c r="E683" s="669"/>
      <c r="F683" s="669"/>
      <c r="G683" s="716"/>
      <c r="H683" s="669"/>
      <c r="I683" s="669"/>
      <c r="J683" s="669"/>
      <c r="K683" s="669"/>
      <c r="L683" s="669"/>
      <c r="M683" s="669"/>
      <c r="N683" s="669"/>
      <c r="O683" s="669"/>
      <c r="P683" s="669"/>
      <c r="Q683" s="669"/>
      <c r="R683" s="669"/>
      <c r="S683" s="669"/>
      <c r="T683" s="669"/>
      <c r="U683" s="669"/>
      <c r="V683" s="669"/>
      <c r="W683" s="669"/>
      <c r="X683" s="669"/>
      <c r="Y683" s="669"/>
      <c r="Z683" s="669"/>
      <c r="AA683" s="669"/>
    </row>
    <row r="684">
      <c r="A684" s="715"/>
      <c r="B684" s="669"/>
      <c r="C684" s="669"/>
      <c r="D684" s="669"/>
      <c r="E684" s="669"/>
      <c r="F684" s="669"/>
      <c r="G684" s="716"/>
      <c r="H684" s="669"/>
      <c r="I684" s="669"/>
      <c r="J684" s="669"/>
      <c r="K684" s="669"/>
      <c r="L684" s="669"/>
      <c r="M684" s="669"/>
      <c r="N684" s="669"/>
      <c r="O684" s="669"/>
      <c r="P684" s="669"/>
      <c r="Q684" s="669"/>
      <c r="R684" s="669"/>
      <c r="S684" s="669"/>
      <c r="T684" s="669"/>
      <c r="U684" s="669"/>
      <c r="V684" s="669"/>
      <c r="W684" s="669"/>
      <c r="X684" s="669"/>
      <c r="Y684" s="669"/>
      <c r="Z684" s="669"/>
      <c r="AA684" s="669"/>
    </row>
    <row r="685">
      <c r="A685" s="715"/>
      <c r="B685" s="669"/>
      <c r="C685" s="669"/>
      <c r="D685" s="669"/>
      <c r="E685" s="669"/>
      <c r="F685" s="669"/>
      <c r="G685" s="716"/>
      <c r="H685" s="669"/>
      <c r="I685" s="669"/>
      <c r="J685" s="669"/>
      <c r="K685" s="669"/>
      <c r="L685" s="669"/>
      <c r="M685" s="669"/>
      <c r="N685" s="669"/>
      <c r="O685" s="669"/>
      <c r="P685" s="669"/>
      <c r="Q685" s="669"/>
      <c r="R685" s="669"/>
      <c r="S685" s="669"/>
      <c r="T685" s="669"/>
      <c r="U685" s="669"/>
      <c r="V685" s="669"/>
      <c r="W685" s="669"/>
      <c r="X685" s="669"/>
      <c r="Y685" s="669"/>
      <c r="Z685" s="669"/>
      <c r="AA685" s="669"/>
    </row>
    <row r="686">
      <c r="A686" s="715"/>
      <c r="B686" s="669"/>
      <c r="C686" s="669"/>
      <c r="D686" s="669"/>
      <c r="E686" s="669"/>
      <c r="F686" s="669"/>
      <c r="G686" s="716"/>
      <c r="H686" s="669"/>
      <c r="I686" s="669"/>
      <c r="J686" s="669"/>
      <c r="K686" s="669"/>
      <c r="L686" s="669"/>
      <c r="M686" s="669"/>
      <c r="N686" s="669"/>
      <c r="O686" s="669"/>
      <c r="P686" s="669"/>
      <c r="Q686" s="669"/>
      <c r="R686" s="669"/>
      <c r="S686" s="669"/>
      <c r="T686" s="669"/>
      <c r="U686" s="669"/>
      <c r="V686" s="669"/>
      <c r="W686" s="669"/>
      <c r="X686" s="669"/>
      <c r="Y686" s="669"/>
      <c r="Z686" s="669"/>
      <c r="AA686" s="669"/>
    </row>
    <row r="687">
      <c r="A687" s="715"/>
      <c r="B687" s="669"/>
      <c r="C687" s="669"/>
      <c r="D687" s="669"/>
      <c r="E687" s="669"/>
      <c r="F687" s="669"/>
      <c r="G687" s="716"/>
      <c r="H687" s="669"/>
      <c r="I687" s="669"/>
      <c r="J687" s="669"/>
      <c r="K687" s="669"/>
      <c r="L687" s="669"/>
      <c r="M687" s="669"/>
      <c r="N687" s="669"/>
      <c r="O687" s="669"/>
      <c r="P687" s="669"/>
      <c r="Q687" s="669"/>
      <c r="R687" s="669"/>
      <c r="S687" s="669"/>
      <c r="T687" s="669"/>
      <c r="U687" s="669"/>
      <c r="V687" s="669"/>
      <c r="W687" s="669"/>
      <c r="X687" s="669"/>
      <c r="Y687" s="669"/>
      <c r="Z687" s="669"/>
      <c r="AA687" s="669"/>
    </row>
    <row r="688">
      <c r="A688" s="715"/>
      <c r="B688" s="669"/>
      <c r="C688" s="669"/>
      <c r="D688" s="669"/>
      <c r="E688" s="669"/>
      <c r="F688" s="669"/>
      <c r="G688" s="716"/>
      <c r="H688" s="669"/>
      <c r="I688" s="669"/>
      <c r="J688" s="669"/>
      <c r="K688" s="669"/>
      <c r="L688" s="669"/>
      <c r="M688" s="669"/>
      <c r="N688" s="669"/>
      <c r="O688" s="669"/>
      <c r="P688" s="669"/>
      <c r="Q688" s="669"/>
      <c r="R688" s="669"/>
      <c r="S688" s="669"/>
      <c r="T688" s="669"/>
      <c r="U688" s="669"/>
      <c r="V688" s="669"/>
      <c r="W688" s="669"/>
      <c r="X688" s="669"/>
      <c r="Y688" s="669"/>
      <c r="Z688" s="669"/>
      <c r="AA688" s="669"/>
    </row>
    <row r="689">
      <c r="A689" s="715"/>
      <c r="B689" s="669"/>
      <c r="C689" s="669"/>
      <c r="D689" s="669"/>
      <c r="E689" s="669"/>
      <c r="F689" s="669"/>
      <c r="G689" s="716"/>
      <c r="H689" s="669"/>
      <c r="I689" s="669"/>
      <c r="J689" s="669"/>
      <c r="K689" s="669"/>
      <c r="L689" s="669"/>
      <c r="M689" s="669"/>
      <c r="N689" s="669"/>
      <c r="O689" s="669"/>
      <c r="P689" s="669"/>
      <c r="Q689" s="669"/>
      <c r="R689" s="669"/>
      <c r="S689" s="669"/>
      <c r="T689" s="669"/>
      <c r="U689" s="669"/>
      <c r="V689" s="669"/>
      <c r="W689" s="669"/>
      <c r="X689" s="669"/>
      <c r="Y689" s="669"/>
      <c r="Z689" s="669"/>
      <c r="AA689" s="669"/>
    </row>
    <row r="690">
      <c r="A690" s="715"/>
      <c r="B690" s="669"/>
      <c r="C690" s="669"/>
      <c r="D690" s="669"/>
      <c r="E690" s="669"/>
      <c r="F690" s="669"/>
      <c r="G690" s="716"/>
      <c r="H690" s="669"/>
      <c r="I690" s="669"/>
      <c r="J690" s="669"/>
      <c r="K690" s="669"/>
      <c r="L690" s="669"/>
      <c r="M690" s="669"/>
      <c r="N690" s="669"/>
      <c r="O690" s="669"/>
      <c r="P690" s="669"/>
      <c r="Q690" s="669"/>
      <c r="R690" s="669"/>
      <c r="S690" s="669"/>
      <c r="T690" s="669"/>
      <c r="U690" s="669"/>
      <c r="V690" s="669"/>
      <c r="W690" s="669"/>
      <c r="X690" s="669"/>
      <c r="Y690" s="669"/>
      <c r="Z690" s="669"/>
      <c r="AA690" s="669"/>
    </row>
    <row r="691">
      <c r="A691" s="715"/>
      <c r="B691" s="669"/>
      <c r="C691" s="669"/>
      <c r="D691" s="669"/>
      <c r="E691" s="669"/>
      <c r="F691" s="669"/>
      <c r="G691" s="716"/>
      <c r="H691" s="669"/>
      <c r="I691" s="669"/>
      <c r="J691" s="669"/>
      <c r="K691" s="669"/>
      <c r="L691" s="669"/>
      <c r="M691" s="669"/>
      <c r="N691" s="669"/>
      <c r="O691" s="669"/>
      <c r="P691" s="669"/>
      <c r="Q691" s="669"/>
      <c r="R691" s="669"/>
      <c r="S691" s="669"/>
      <c r="T691" s="669"/>
      <c r="U691" s="669"/>
      <c r="V691" s="669"/>
      <c r="W691" s="669"/>
      <c r="X691" s="669"/>
      <c r="Y691" s="669"/>
      <c r="Z691" s="669"/>
      <c r="AA691" s="669"/>
    </row>
    <row r="692">
      <c r="A692" s="715"/>
      <c r="B692" s="669"/>
      <c r="C692" s="669"/>
      <c r="D692" s="669"/>
      <c r="E692" s="669"/>
      <c r="F692" s="669"/>
      <c r="G692" s="716"/>
      <c r="H692" s="669"/>
      <c r="I692" s="669"/>
      <c r="J692" s="669"/>
      <c r="K692" s="669"/>
      <c r="L692" s="669"/>
      <c r="M692" s="669"/>
      <c r="N692" s="669"/>
      <c r="O692" s="669"/>
      <c r="P692" s="669"/>
      <c r="Q692" s="669"/>
      <c r="R692" s="669"/>
      <c r="S692" s="669"/>
      <c r="T692" s="669"/>
      <c r="U692" s="669"/>
      <c r="V692" s="669"/>
      <c r="W692" s="669"/>
      <c r="X692" s="669"/>
      <c r="Y692" s="669"/>
      <c r="Z692" s="669"/>
      <c r="AA692" s="669"/>
    </row>
    <row r="693">
      <c r="A693" s="715"/>
      <c r="B693" s="669"/>
      <c r="C693" s="669"/>
      <c r="D693" s="669"/>
      <c r="E693" s="669"/>
      <c r="F693" s="669"/>
      <c r="G693" s="716"/>
      <c r="H693" s="669"/>
      <c r="I693" s="669"/>
      <c r="J693" s="669"/>
      <c r="K693" s="669"/>
      <c r="L693" s="669"/>
      <c r="M693" s="669"/>
      <c r="N693" s="669"/>
      <c r="O693" s="669"/>
      <c r="P693" s="669"/>
      <c r="Q693" s="669"/>
      <c r="R693" s="669"/>
      <c r="S693" s="669"/>
      <c r="T693" s="669"/>
      <c r="U693" s="669"/>
      <c r="V693" s="669"/>
      <c r="W693" s="669"/>
      <c r="X693" s="669"/>
      <c r="Y693" s="669"/>
      <c r="Z693" s="669"/>
      <c r="AA693" s="669"/>
    </row>
    <row r="694">
      <c r="A694" s="715"/>
      <c r="B694" s="669"/>
      <c r="C694" s="669"/>
      <c r="D694" s="669"/>
      <c r="E694" s="669"/>
      <c r="F694" s="669"/>
      <c r="G694" s="716"/>
      <c r="H694" s="669"/>
      <c r="I694" s="669"/>
      <c r="J694" s="669"/>
      <c r="K694" s="669"/>
      <c r="L694" s="669"/>
      <c r="M694" s="669"/>
      <c r="N694" s="669"/>
      <c r="O694" s="669"/>
      <c r="P694" s="669"/>
      <c r="Q694" s="669"/>
      <c r="R694" s="669"/>
      <c r="S694" s="669"/>
      <c r="T694" s="669"/>
      <c r="U694" s="669"/>
      <c r="V694" s="669"/>
      <c r="W694" s="669"/>
      <c r="X694" s="669"/>
      <c r="Y694" s="669"/>
      <c r="Z694" s="669"/>
      <c r="AA694" s="669"/>
    </row>
    <row r="695">
      <c r="A695" s="715"/>
      <c r="B695" s="669"/>
      <c r="C695" s="669"/>
      <c r="D695" s="669"/>
      <c r="E695" s="669"/>
      <c r="F695" s="669"/>
      <c r="G695" s="716"/>
      <c r="H695" s="669"/>
      <c r="I695" s="669"/>
      <c r="J695" s="669"/>
      <c r="K695" s="669"/>
      <c r="L695" s="669"/>
      <c r="M695" s="669"/>
      <c r="N695" s="669"/>
      <c r="O695" s="669"/>
      <c r="P695" s="669"/>
      <c r="Q695" s="669"/>
      <c r="R695" s="669"/>
      <c r="S695" s="669"/>
      <c r="T695" s="669"/>
      <c r="U695" s="669"/>
      <c r="V695" s="669"/>
      <c r="W695" s="669"/>
      <c r="X695" s="669"/>
      <c r="Y695" s="669"/>
      <c r="Z695" s="669"/>
      <c r="AA695" s="669"/>
    </row>
    <row r="696">
      <c r="A696" s="715"/>
      <c r="B696" s="669"/>
      <c r="C696" s="669"/>
      <c r="D696" s="669"/>
      <c r="E696" s="669"/>
      <c r="F696" s="669"/>
      <c r="G696" s="716"/>
      <c r="H696" s="669"/>
      <c r="I696" s="669"/>
      <c r="J696" s="669"/>
      <c r="K696" s="669"/>
      <c r="L696" s="669"/>
      <c r="M696" s="669"/>
      <c r="N696" s="669"/>
      <c r="O696" s="669"/>
      <c r="P696" s="669"/>
      <c r="Q696" s="669"/>
      <c r="R696" s="669"/>
      <c r="S696" s="669"/>
      <c r="T696" s="669"/>
      <c r="U696" s="669"/>
      <c r="V696" s="669"/>
      <c r="W696" s="669"/>
      <c r="X696" s="669"/>
      <c r="Y696" s="669"/>
      <c r="Z696" s="669"/>
      <c r="AA696" s="669"/>
    </row>
    <row r="697">
      <c r="A697" s="715"/>
      <c r="B697" s="669"/>
      <c r="C697" s="669"/>
      <c r="D697" s="669"/>
      <c r="E697" s="669"/>
      <c r="F697" s="669"/>
      <c r="G697" s="716"/>
      <c r="H697" s="669"/>
      <c r="I697" s="669"/>
      <c r="J697" s="669"/>
      <c r="K697" s="669"/>
      <c r="L697" s="669"/>
      <c r="M697" s="669"/>
      <c r="N697" s="669"/>
      <c r="O697" s="669"/>
      <c r="P697" s="669"/>
      <c r="Q697" s="669"/>
      <c r="R697" s="669"/>
      <c r="S697" s="669"/>
      <c r="T697" s="669"/>
      <c r="U697" s="669"/>
      <c r="V697" s="669"/>
      <c r="W697" s="669"/>
      <c r="X697" s="669"/>
      <c r="Y697" s="669"/>
      <c r="Z697" s="669"/>
      <c r="AA697" s="669"/>
    </row>
    <row r="698">
      <c r="A698" s="715"/>
      <c r="B698" s="669"/>
      <c r="C698" s="669"/>
      <c r="D698" s="669"/>
      <c r="E698" s="669"/>
      <c r="F698" s="669"/>
      <c r="G698" s="716"/>
      <c r="H698" s="669"/>
      <c r="I698" s="669"/>
      <c r="J698" s="669"/>
      <c r="K698" s="669"/>
      <c r="L698" s="669"/>
      <c r="M698" s="669"/>
      <c r="N698" s="669"/>
      <c r="O698" s="669"/>
      <c r="P698" s="669"/>
      <c r="Q698" s="669"/>
      <c r="R698" s="669"/>
      <c r="S698" s="669"/>
      <c r="T698" s="669"/>
      <c r="U698" s="669"/>
      <c r="V698" s="669"/>
      <c r="W698" s="669"/>
      <c r="X698" s="669"/>
      <c r="Y698" s="669"/>
      <c r="Z698" s="669"/>
      <c r="AA698" s="669"/>
    </row>
    <row r="699">
      <c r="A699" s="715"/>
      <c r="B699" s="669"/>
      <c r="C699" s="669"/>
      <c r="D699" s="669"/>
      <c r="E699" s="669"/>
      <c r="F699" s="669"/>
      <c r="G699" s="716"/>
      <c r="H699" s="669"/>
      <c r="I699" s="669"/>
      <c r="J699" s="669"/>
      <c r="K699" s="669"/>
      <c r="L699" s="669"/>
      <c r="M699" s="669"/>
      <c r="N699" s="669"/>
      <c r="O699" s="669"/>
      <c r="P699" s="669"/>
      <c r="Q699" s="669"/>
      <c r="R699" s="669"/>
      <c r="S699" s="669"/>
      <c r="T699" s="669"/>
      <c r="U699" s="669"/>
      <c r="V699" s="669"/>
      <c r="W699" s="669"/>
      <c r="X699" s="669"/>
      <c r="Y699" s="669"/>
      <c r="Z699" s="669"/>
      <c r="AA699" s="669"/>
    </row>
    <row r="700">
      <c r="A700" s="715"/>
      <c r="B700" s="669"/>
      <c r="C700" s="669"/>
      <c r="D700" s="669"/>
      <c r="E700" s="669"/>
      <c r="F700" s="669"/>
      <c r="G700" s="716"/>
      <c r="H700" s="669"/>
      <c r="I700" s="669"/>
      <c r="J700" s="669"/>
      <c r="K700" s="669"/>
      <c r="L700" s="669"/>
      <c r="M700" s="669"/>
      <c r="N700" s="669"/>
      <c r="O700" s="669"/>
      <c r="P700" s="669"/>
      <c r="Q700" s="669"/>
      <c r="R700" s="669"/>
      <c r="S700" s="669"/>
      <c r="T700" s="669"/>
      <c r="U700" s="669"/>
      <c r="V700" s="669"/>
      <c r="W700" s="669"/>
      <c r="X700" s="669"/>
      <c r="Y700" s="669"/>
      <c r="Z700" s="669"/>
      <c r="AA700" s="669"/>
    </row>
    <row r="701">
      <c r="A701" s="715"/>
      <c r="B701" s="669"/>
      <c r="C701" s="669"/>
      <c r="D701" s="669"/>
      <c r="E701" s="669"/>
      <c r="F701" s="669"/>
      <c r="G701" s="716"/>
      <c r="H701" s="669"/>
      <c r="I701" s="669"/>
      <c r="J701" s="669"/>
      <c r="K701" s="669"/>
      <c r="L701" s="669"/>
      <c r="M701" s="669"/>
      <c r="N701" s="669"/>
      <c r="O701" s="669"/>
      <c r="P701" s="669"/>
      <c r="Q701" s="669"/>
      <c r="R701" s="669"/>
      <c r="S701" s="669"/>
      <c r="T701" s="669"/>
      <c r="U701" s="669"/>
      <c r="V701" s="669"/>
      <c r="W701" s="669"/>
      <c r="X701" s="669"/>
      <c r="Y701" s="669"/>
      <c r="Z701" s="669"/>
      <c r="AA701" s="669"/>
    </row>
    <row r="702">
      <c r="A702" s="715"/>
      <c r="B702" s="669"/>
      <c r="C702" s="669"/>
      <c r="D702" s="669"/>
      <c r="E702" s="669"/>
      <c r="F702" s="669"/>
      <c r="G702" s="716"/>
      <c r="H702" s="669"/>
      <c r="I702" s="669"/>
      <c r="J702" s="669"/>
      <c r="K702" s="669"/>
      <c r="L702" s="669"/>
      <c r="M702" s="669"/>
      <c r="N702" s="669"/>
      <c r="O702" s="669"/>
      <c r="P702" s="669"/>
      <c r="Q702" s="669"/>
      <c r="R702" s="669"/>
      <c r="S702" s="669"/>
      <c r="T702" s="669"/>
      <c r="U702" s="669"/>
      <c r="V702" s="669"/>
      <c r="W702" s="669"/>
      <c r="X702" s="669"/>
      <c r="Y702" s="669"/>
      <c r="Z702" s="669"/>
      <c r="AA702" s="669"/>
    </row>
    <row r="703">
      <c r="A703" s="715"/>
      <c r="B703" s="669"/>
      <c r="C703" s="669"/>
      <c r="D703" s="669"/>
      <c r="E703" s="669"/>
      <c r="F703" s="669"/>
      <c r="G703" s="716"/>
      <c r="H703" s="669"/>
      <c r="I703" s="669"/>
      <c r="J703" s="669"/>
      <c r="K703" s="669"/>
      <c r="L703" s="669"/>
      <c r="M703" s="669"/>
      <c r="N703" s="669"/>
      <c r="O703" s="669"/>
      <c r="P703" s="669"/>
      <c r="Q703" s="669"/>
      <c r="R703" s="669"/>
      <c r="S703" s="669"/>
      <c r="T703" s="669"/>
      <c r="U703" s="669"/>
      <c r="V703" s="669"/>
      <c r="W703" s="669"/>
      <c r="X703" s="669"/>
      <c r="Y703" s="669"/>
      <c r="Z703" s="669"/>
      <c r="AA703" s="669"/>
    </row>
    <row r="704">
      <c r="A704" s="715"/>
      <c r="B704" s="669"/>
      <c r="C704" s="669"/>
      <c r="D704" s="669"/>
      <c r="E704" s="669"/>
      <c r="F704" s="669"/>
      <c r="G704" s="716"/>
      <c r="H704" s="669"/>
      <c r="I704" s="669"/>
      <c r="J704" s="669"/>
      <c r="K704" s="669"/>
      <c r="L704" s="669"/>
      <c r="M704" s="669"/>
      <c r="N704" s="669"/>
      <c r="O704" s="669"/>
      <c r="P704" s="669"/>
      <c r="Q704" s="669"/>
      <c r="R704" s="669"/>
      <c r="S704" s="669"/>
      <c r="T704" s="669"/>
      <c r="U704" s="669"/>
      <c r="V704" s="669"/>
      <c r="W704" s="669"/>
      <c r="X704" s="669"/>
      <c r="Y704" s="669"/>
      <c r="Z704" s="669"/>
      <c r="AA704" s="669"/>
    </row>
    <row r="705">
      <c r="A705" s="715"/>
      <c r="B705" s="669"/>
      <c r="C705" s="669"/>
      <c r="D705" s="669"/>
      <c r="E705" s="669"/>
      <c r="F705" s="669"/>
      <c r="G705" s="716"/>
      <c r="H705" s="669"/>
      <c r="I705" s="669"/>
      <c r="J705" s="669"/>
      <c r="K705" s="669"/>
      <c r="L705" s="669"/>
      <c r="M705" s="669"/>
      <c r="N705" s="669"/>
      <c r="O705" s="669"/>
      <c r="P705" s="669"/>
      <c r="Q705" s="669"/>
      <c r="R705" s="669"/>
      <c r="S705" s="669"/>
      <c r="T705" s="669"/>
      <c r="U705" s="669"/>
      <c r="V705" s="669"/>
      <c r="W705" s="669"/>
      <c r="X705" s="669"/>
      <c r="Y705" s="669"/>
      <c r="Z705" s="669"/>
      <c r="AA705" s="669"/>
    </row>
    <row r="706">
      <c r="A706" s="715"/>
      <c r="B706" s="669"/>
      <c r="C706" s="669"/>
      <c r="D706" s="669"/>
      <c r="E706" s="669"/>
      <c r="F706" s="669"/>
      <c r="G706" s="716"/>
      <c r="H706" s="669"/>
      <c r="I706" s="669"/>
      <c r="J706" s="669"/>
      <c r="K706" s="669"/>
      <c r="L706" s="669"/>
      <c r="M706" s="669"/>
      <c r="N706" s="669"/>
      <c r="O706" s="669"/>
      <c r="P706" s="669"/>
      <c r="Q706" s="669"/>
      <c r="R706" s="669"/>
      <c r="S706" s="669"/>
      <c r="T706" s="669"/>
      <c r="U706" s="669"/>
      <c r="V706" s="669"/>
      <c r="W706" s="669"/>
      <c r="X706" s="669"/>
      <c r="Y706" s="669"/>
      <c r="Z706" s="669"/>
      <c r="AA706" s="669"/>
    </row>
    <row r="707">
      <c r="A707" s="715"/>
      <c r="B707" s="669"/>
      <c r="C707" s="669"/>
      <c r="D707" s="669"/>
      <c r="E707" s="669"/>
      <c r="F707" s="669"/>
      <c r="G707" s="716"/>
      <c r="H707" s="669"/>
      <c r="I707" s="669"/>
      <c r="J707" s="669"/>
      <c r="K707" s="669"/>
      <c r="L707" s="669"/>
      <c r="M707" s="669"/>
      <c r="N707" s="669"/>
      <c r="O707" s="669"/>
      <c r="P707" s="669"/>
      <c r="Q707" s="669"/>
      <c r="R707" s="669"/>
      <c r="S707" s="669"/>
      <c r="T707" s="669"/>
      <c r="U707" s="669"/>
      <c r="V707" s="669"/>
      <c r="W707" s="669"/>
      <c r="X707" s="669"/>
      <c r="Y707" s="669"/>
      <c r="Z707" s="669"/>
      <c r="AA707" s="669"/>
    </row>
    <row r="708">
      <c r="A708" s="715"/>
      <c r="B708" s="669"/>
      <c r="C708" s="669"/>
      <c r="D708" s="669"/>
      <c r="E708" s="669"/>
      <c r="F708" s="669"/>
      <c r="G708" s="716"/>
      <c r="H708" s="669"/>
      <c r="I708" s="669"/>
      <c r="J708" s="669"/>
      <c r="K708" s="669"/>
      <c r="L708" s="669"/>
      <c r="M708" s="669"/>
      <c r="N708" s="669"/>
      <c r="O708" s="669"/>
      <c r="P708" s="669"/>
      <c r="Q708" s="669"/>
      <c r="R708" s="669"/>
      <c r="S708" s="669"/>
      <c r="T708" s="669"/>
      <c r="U708" s="669"/>
      <c r="V708" s="669"/>
      <c r="W708" s="669"/>
      <c r="X708" s="669"/>
      <c r="Y708" s="669"/>
      <c r="Z708" s="669"/>
      <c r="AA708" s="669"/>
    </row>
    <row r="709">
      <c r="A709" s="715"/>
      <c r="B709" s="669"/>
      <c r="C709" s="669"/>
      <c r="D709" s="669"/>
      <c r="E709" s="669"/>
      <c r="F709" s="669"/>
      <c r="G709" s="716"/>
      <c r="H709" s="669"/>
      <c r="I709" s="669"/>
      <c r="J709" s="669"/>
      <c r="K709" s="669"/>
      <c r="L709" s="669"/>
      <c r="M709" s="669"/>
      <c r="N709" s="669"/>
      <c r="O709" s="669"/>
      <c r="P709" s="669"/>
      <c r="Q709" s="669"/>
      <c r="R709" s="669"/>
      <c r="S709" s="669"/>
      <c r="T709" s="669"/>
      <c r="U709" s="669"/>
      <c r="V709" s="669"/>
      <c r="W709" s="669"/>
      <c r="X709" s="669"/>
      <c r="Y709" s="669"/>
      <c r="Z709" s="669"/>
      <c r="AA709" s="669"/>
    </row>
    <row r="710">
      <c r="A710" s="715"/>
      <c r="B710" s="669"/>
      <c r="C710" s="669"/>
      <c r="D710" s="669"/>
      <c r="E710" s="669"/>
      <c r="F710" s="669"/>
      <c r="G710" s="716"/>
      <c r="H710" s="669"/>
      <c r="I710" s="669"/>
      <c r="J710" s="669"/>
      <c r="K710" s="669"/>
      <c r="L710" s="669"/>
      <c r="M710" s="669"/>
      <c r="N710" s="669"/>
      <c r="O710" s="669"/>
      <c r="P710" s="669"/>
      <c r="Q710" s="669"/>
      <c r="R710" s="669"/>
      <c r="S710" s="669"/>
      <c r="T710" s="669"/>
      <c r="U710" s="669"/>
      <c r="V710" s="669"/>
      <c r="W710" s="669"/>
      <c r="X710" s="669"/>
      <c r="Y710" s="669"/>
      <c r="Z710" s="669"/>
      <c r="AA710" s="669"/>
    </row>
    <row r="711">
      <c r="A711" s="715"/>
      <c r="B711" s="669"/>
      <c r="C711" s="669"/>
      <c r="D711" s="669"/>
      <c r="E711" s="669"/>
      <c r="F711" s="669"/>
      <c r="G711" s="716"/>
      <c r="H711" s="669"/>
      <c r="I711" s="669"/>
      <c r="J711" s="669"/>
      <c r="K711" s="669"/>
      <c r="L711" s="669"/>
      <c r="M711" s="669"/>
      <c r="N711" s="669"/>
      <c r="O711" s="669"/>
      <c r="P711" s="669"/>
      <c r="Q711" s="669"/>
      <c r="R711" s="669"/>
      <c r="S711" s="669"/>
      <c r="T711" s="669"/>
      <c r="U711" s="669"/>
      <c r="V711" s="669"/>
      <c r="W711" s="669"/>
      <c r="X711" s="669"/>
      <c r="Y711" s="669"/>
      <c r="Z711" s="669"/>
      <c r="AA711" s="669"/>
    </row>
    <row r="712">
      <c r="A712" s="715"/>
      <c r="B712" s="669"/>
      <c r="C712" s="669"/>
      <c r="D712" s="669"/>
      <c r="E712" s="669"/>
      <c r="F712" s="669"/>
      <c r="G712" s="716"/>
      <c r="H712" s="669"/>
      <c r="I712" s="669"/>
      <c r="J712" s="669"/>
      <c r="K712" s="669"/>
      <c r="L712" s="669"/>
      <c r="M712" s="669"/>
      <c r="N712" s="669"/>
      <c r="O712" s="669"/>
      <c r="P712" s="669"/>
      <c r="Q712" s="669"/>
      <c r="R712" s="669"/>
      <c r="S712" s="669"/>
      <c r="T712" s="669"/>
      <c r="U712" s="669"/>
      <c r="V712" s="669"/>
      <c r="W712" s="669"/>
      <c r="X712" s="669"/>
      <c r="Y712" s="669"/>
      <c r="Z712" s="669"/>
      <c r="AA712" s="669"/>
    </row>
    <row r="713">
      <c r="A713" s="715"/>
      <c r="B713" s="669"/>
      <c r="C713" s="669"/>
      <c r="D713" s="669"/>
      <c r="E713" s="669"/>
      <c r="F713" s="669"/>
      <c r="G713" s="716"/>
      <c r="H713" s="669"/>
      <c r="I713" s="669"/>
      <c r="J713" s="669"/>
      <c r="K713" s="669"/>
      <c r="L713" s="669"/>
      <c r="M713" s="669"/>
      <c r="N713" s="669"/>
      <c r="O713" s="669"/>
      <c r="P713" s="669"/>
      <c r="Q713" s="669"/>
      <c r="R713" s="669"/>
      <c r="S713" s="669"/>
      <c r="T713" s="669"/>
      <c r="U713" s="669"/>
      <c r="V713" s="669"/>
      <c r="W713" s="669"/>
      <c r="X713" s="669"/>
      <c r="Y713" s="669"/>
      <c r="Z713" s="669"/>
      <c r="AA713" s="669"/>
    </row>
    <row r="714">
      <c r="A714" s="715"/>
      <c r="B714" s="669"/>
      <c r="C714" s="669"/>
      <c r="D714" s="669"/>
      <c r="E714" s="669"/>
      <c r="F714" s="669"/>
      <c r="G714" s="716"/>
      <c r="H714" s="669"/>
      <c r="I714" s="669"/>
      <c r="J714" s="669"/>
      <c r="K714" s="669"/>
      <c r="L714" s="669"/>
      <c r="M714" s="669"/>
      <c r="N714" s="669"/>
      <c r="O714" s="669"/>
      <c r="P714" s="669"/>
      <c r="Q714" s="669"/>
      <c r="R714" s="669"/>
      <c r="S714" s="669"/>
      <c r="T714" s="669"/>
      <c r="U714" s="669"/>
      <c r="V714" s="669"/>
      <c r="W714" s="669"/>
      <c r="X714" s="669"/>
      <c r="Y714" s="669"/>
      <c r="Z714" s="669"/>
      <c r="AA714" s="669"/>
    </row>
    <row r="715">
      <c r="A715" s="715"/>
      <c r="B715" s="669"/>
      <c r="C715" s="669"/>
      <c r="D715" s="669"/>
      <c r="E715" s="669"/>
      <c r="F715" s="669"/>
      <c r="G715" s="716"/>
      <c r="H715" s="669"/>
      <c r="I715" s="669"/>
      <c r="J715" s="669"/>
      <c r="K715" s="669"/>
      <c r="L715" s="669"/>
      <c r="M715" s="669"/>
      <c r="N715" s="669"/>
      <c r="O715" s="669"/>
      <c r="P715" s="669"/>
      <c r="Q715" s="669"/>
      <c r="R715" s="669"/>
      <c r="S715" s="669"/>
      <c r="T715" s="669"/>
      <c r="U715" s="669"/>
      <c r="V715" s="669"/>
      <c r="W715" s="669"/>
      <c r="X715" s="669"/>
      <c r="Y715" s="669"/>
      <c r="Z715" s="669"/>
      <c r="AA715" s="669"/>
    </row>
    <row r="716">
      <c r="A716" s="715"/>
      <c r="B716" s="669"/>
      <c r="C716" s="669"/>
      <c r="D716" s="669"/>
      <c r="E716" s="669"/>
      <c r="F716" s="669"/>
      <c r="G716" s="716"/>
      <c r="H716" s="669"/>
      <c r="I716" s="669"/>
      <c r="J716" s="669"/>
      <c r="K716" s="669"/>
      <c r="L716" s="669"/>
      <c r="M716" s="669"/>
      <c r="N716" s="669"/>
      <c r="O716" s="669"/>
      <c r="P716" s="669"/>
      <c r="Q716" s="669"/>
      <c r="R716" s="669"/>
      <c r="S716" s="669"/>
      <c r="T716" s="669"/>
      <c r="U716" s="669"/>
      <c r="V716" s="669"/>
      <c r="W716" s="669"/>
      <c r="X716" s="669"/>
      <c r="Y716" s="669"/>
      <c r="Z716" s="669"/>
      <c r="AA716" s="669"/>
    </row>
    <row r="717">
      <c r="A717" s="715"/>
      <c r="B717" s="669"/>
      <c r="C717" s="669"/>
      <c r="D717" s="669"/>
      <c r="E717" s="669"/>
      <c r="F717" s="669"/>
      <c r="G717" s="716"/>
      <c r="H717" s="669"/>
      <c r="I717" s="669"/>
      <c r="J717" s="669"/>
      <c r="K717" s="669"/>
      <c r="L717" s="669"/>
      <c r="M717" s="669"/>
      <c r="N717" s="669"/>
      <c r="O717" s="669"/>
      <c r="P717" s="669"/>
      <c r="Q717" s="669"/>
      <c r="R717" s="669"/>
      <c r="S717" s="669"/>
      <c r="T717" s="669"/>
      <c r="U717" s="669"/>
      <c r="V717" s="669"/>
      <c r="W717" s="669"/>
      <c r="X717" s="669"/>
      <c r="Y717" s="669"/>
      <c r="Z717" s="669"/>
      <c r="AA717" s="669"/>
    </row>
    <row r="718">
      <c r="A718" s="715"/>
      <c r="B718" s="669"/>
      <c r="C718" s="669"/>
      <c r="D718" s="669"/>
      <c r="E718" s="669"/>
      <c r="F718" s="669"/>
      <c r="G718" s="716"/>
      <c r="H718" s="669"/>
      <c r="I718" s="669"/>
      <c r="J718" s="669"/>
      <c r="K718" s="669"/>
      <c r="L718" s="669"/>
      <c r="M718" s="669"/>
      <c r="N718" s="669"/>
      <c r="O718" s="669"/>
      <c r="P718" s="669"/>
      <c r="Q718" s="669"/>
      <c r="R718" s="669"/>
      <c r="S718" s="669"/>
      <c r="T718" s="669"/>
      <c r="U718" s="669"/>
      <c r="V718" s="669"/>
      <c r="W718" s="669"/>
      <c r="X718" s="669"/>
      <c r="Y718" s="669"/>
      <c r="Z718" s="669"/>
      <c r="AA718" s="669"/>
    </row>
    <row r="719">
      <c r="A719" s="715"/>
      <c r="B719" s="669"/>
      <c r="C719" s="669"/>
      <c r="D719" s="669"/>
      <c r="E719" s="669"/>
      <c r="F719" s="669"/>
      <c r="G719" s="716"/>
      <c r="H719" s="669"/>
      <c r="I719" s="669"/>
      <c r="J719" s="669"/>
      <c r="K719" s="669"/>
      <c r="L719" s="669"/>
      <c r="M719" s="669"/>
      <c r="N719" s="669"/>
      <c r="O719" s="669"/>
      <c r="P719" s="669"/>
      <c r="Q719" s="669"/>
      <c r="R719" s="669"/>
      <c r="S719" s="669"/>
      <c r="T719" s="669"/>
      <c r="U719" s="669"/>
      <c r="V719" s="669"/>
      <c r="W719" s="669"/>
      <c r="X719" s="669"/>
      <c r="Y719" s="669"/>
      <c r="Z719" s="669"/>
      <c r="AA719" s="669"/>
    </row>
    <row r="720">
      <c r="A720" s="715"/>
      <c r="B720" s="669"/>
      <c r="C720" s="669"/>
      <c r="D720" s="669"/>
      <c r="E720" s="669"/>
      <c r="F720" s="669"/>
      <c r="G720" s="716"/>
      <c r="H720" s="669"/>
      <c r="I720" s="669"/>
      <c r="J720" s="669"/>
      <c r="K720" s="669"/>
      <c r="L720" s="669"/>
      <c r="M720" s="669"/>
      <c r="N720" s="669"/>
      <c r="O720" s="669"/>
      <c r="P720" s="669"/>
      <c r="Q720" s="669"/>
      <c r="R720" s="669"/>
      <c r="S720" s="669"/>
      <c r="T720" s="669"/>
      <c r="U720" s="669"/>
      <c r="V720" s="669"/>
      <c r="W720" s="669"/>
      <c r="X720" s="669"/>
      <c r="Y720" s="669"/>
      <c r="Z720" s="669"/>
      <c r="AA720" s="669"/>
    </row>
    <row r="721">
      <c r="A721" s="715"/>
      <c r="B721" s="669"/>
      <c r="C721" s="669"/>
      <c r="D721" s="669"/>
      <c r="E721" s="669"/>
      <c r="F721" s="669"/>
      <c r="G721" s="716"/>
      <c r="H721" s="669"/>
      <c r="I721" s="669"/>
      <c r="J721" s="669"/>
      <c r="K721" s="669"/>
      <c r="L721" s="669"/>
      <c r="M721" s="669"/>
      <c r="N721" s="669"/>
      <c r="O721" s="669"/>
      <c r="P721" s="669"/>
      <c r="Q721" s="669"/>
      <c r="R721" s="669"/>
      <c r="S721" s="669"/>
      <c r="T721" s="669"/>
      <c r="U721" s="669"/>
      <c r="V721" s="669"/>
      <c r="W721" s="669"/>
      <c r="X721" s="669"/>
      <c r="Y721" s="669"/>
      <c r="Z721" s="669"/>
      <c r="AA721" s="669"/>
    </row>
    <row r="722">
      <c r="A722" s="715"/>
      <c r="B722" s="669"/>
      <c r="C722" s="669"/>
      <c r="D722" s="669"/>
      <c r="E722" s="669"/>
      <c r="F722" s="669"/>
      <c r="G722" s="716"/>
      <c r="H722" s="669"/>
      <c r="I722" s="669"/>
      <c r="J722" s="669"/>
      <c r="K722" s="669"/>
      <c r="L722" s="669"/>
      <c r="M722" s="669"/>
      <c r="N722" s="669"/>
      <c r="O722" s="669"/>
      <c r="P722" s="669"/>
      <c r="Q722" s="669"/>
      <c r="R722" s="669"/>
      <c r="S722" s="669"/>
      <c r="T722" s="669"/>
      <c r="U722" s="669"/>
      <c r="V722" s="669"/>
      <c r="W722" s="669"/>
      <c r="X722" s="669"/>
      <c r="Y722" s="669"/>
      <c r="Z722" s="669"/>
      <c r="AA722" s="669"/>
    </row>
    <row r="723">
      <c r="A723" s="715"/>
      <c r="B723" s="669"/>
      <c r="C723" s="669"/>
      <c r="D723" s="669"/>
      <c r="E723" s="669"/>
      <c r="F723" s="669"/>
      <c r="G723" s="716"/>
      <c r="H723" s="669"/>
      <c r="I723" s="669"/>
      <c r="J723" s="669"/>
      <c r="K723" s="669"/>
      <c r="L723" s="669"/>
      <c r="M723" s="669"/>
      <c r="N723" s="669"/>
      <c r="O723" s="669"/>
      <c r="P723" s="669"/>
      <c r="Q723" s="669"/>
      <c r="R723" s="669"/>
      <c r="S723" s="669"/>
      <c r="T723" s="669"/>
      <c r="U723" s="669"/>
      <c r="V723" s="669"/>
      <c r="W723" s="669"/>
      <c r="X723" s="669"/>
      <c r="Y723" s="669"/>
      <c r="Z723" s="669"/>
      <c r="AA723" s="669"/>
    </row>
    <row r="724">
      <c r="A724" s="715"/>
      <c r="B724" s="669"/>
      <c r="C724" s="669"/>
      <c r="D724" s="669"/>
      <c r="E724" s="669"/>
      <c r="F724" s="669"/>
      <c r="G724" s="716"/>
      <c r="H724" s="669"/>
      <c r="I724" s="669"/>
      <c r="J724" s="669"/>
      <c r="K724" s="669"/>
      <c r="L724" s="669"/>
      <c r="M724" s="669"/>
      <c r="N724" s="669"/>
      <c r="O724" s="669"/>
      <c r="P724" s="669"/>
      <c r="Q724" s="669"/>
      <c r="R724" s="669"/>
      <c r="S724" s="669"/>
      <c r="T724" s="669"/>
      <c r="U724" s="669"/>
      <c r="V724" s="669"/>
      <c r="W724" s="669"/>
      <c r="X724" s="669"/>
      <c r="Y724" s="669"/>
      <c r="Z724" s="669"/>
      <c r="AA724" s="669"/>
    </row>
    <row r="725">
      <c r="A725" s="715"/>
      <c r="B725" s="669"/>
      <c r="C725" s="669"/>
      <c r="D725" s="669"/>
      <c r="E725" s="669"/>
      <c r="F725" s="669"/>
      <c r="G725" s="716"/>
      <c r="H725" s="669"/>
      <c r="I725" s="669"/>
      <c r="J725" s="669"/>
      <c r="K725" s="669"/>
      <c r="L725" s="669"/>
      <c r="M725" s="669"/>
      <c r="N725" s="669"/>
      <c r="O725" s="669"/>
      <c r="P725" s="669"/>
      <c r="Q725" s="669"/>
      <c r="R725" s="669"/>
      <c r="S725" s="669"/>
      <c r="T725" s="669"/>
      <c r="U725" s="669"/>
      <c r="V725" s="669"/>
      <c r="W725" s="669"/>
      <c r="X725" s="669"/>
      <c r="Y725" s="669"/>
      <c r="Z725" s="669"/>
      <c r="AA725" s="669"/>
    </row>
    <row r="726">
      <c r="A726" s="715"/>
      <c r="B726" s="669"/>
      <c r="C726" s="669"/>
      <c r="D726" s="669"/>
      <c r="E726" s="669"/>
      <c r="F726" s="669"/>
      <c r="G726" s="716"/>
      <c r="H726" s="669"/>
      <c r="I726" s="669"/>
      <c r="J726" s="669"/>
      <c r="K726" s="669"/>
      <c r="L726" s="669"/>
      <c r="M726" s="669"/>
      <c r="N726" s="669"/>
      <c r="O726" s="669"/>
      <c r="P726" s="669"/>
      <c r="Q726" s="669"/>
      <c r="R726" s="669"/>
      <c r="S726" s="669"/>
      <c r="T726" s="669"/>
      <c r="U726" s="669"/>
      <c r="V726" s="669"/>
      <c r="W726" s="669"/>
      <c r="X726" s="669"/>
      <c r="Y726" s="669"/>
      <c r="Z726" s="669"/>
      <c r="AA726" s="669"/>
    </row>
    <row r="727">
      <c r="A727" s="715"/>
      <c r="B727" s="669"/>
      <c r="C727" s="669"/>
      <c r="D727" s="669"/>
      <c r="E727" s="669"/>
      <c r="F727" s="669"/>
      <c r="G727" s="716"/>
      <c r="H727" s="669"/>
      <c r="I727" s="669"/>
      <c r="J727" s="669"/>
      <c r="K727" s="669"/>
      <c r="L727" s="669"/>
      <c r="M727" s="669"/>
      <c r="N727" s="669"/>
      <c r="O727" s="669"/>
      <c r="P727" s="669"/>
      <c r="Q727" s="669"/>
      <c r="R727" s="669"/>
      <c r="S727" s="669"/>
      <c r="T727" s="669"/>
      <c r="U727" s="669"/>
      <c r="V727" s="669"/>
      <c r="W727" s="669"/>
      <c r="X727" s="669"/>
      <c r="Y727" s="669"/>
      <c r="Z727" s="669"/>
      <c r="AA727" s="669"/>
    </row>
    <row r="728">
      <c r="A728" s="715"/>
      <c r="B728" s="669"/>
      <c r="C728" s="669"/>
      <c r="D728" s="669"/>
      <c r="E728" s="669"/>
      <c r="F728" s="669"/>
      <c r="G728" s="716"/>
      <c r="H728" s="669"/>
      <c r="I728" s="669"/>
      <c r="J728" s="669"/>
      <c r="K728" s="669"/>
      <c r="L728" s="669"/>
      <c r="M728" s="669"/>
      <c r="N728" s="669"/>
      <c r="O728" s="669"/>
      <c r="P728" s="669"/>
      <c r="Q728" s="669"/>
      <c r="R728" s="669"/>
      <c r="S728" s="669"/>
      <c r="T728" s="669"/>
      <c r="U728" s="669"/>
      <c r="V728" s="669"/>
      <c r="W728" s="669"/>
      <c r="X728" s="669"/>
      <c r="Y728" s="669"/>
      <c r="Z728" s="669"/>
      <c r="AA728" s="669"/>
    </row>
    <row r="729">
      <c r="A729" s="715"/>
      <c r="B729" s="669"/>
      <c r="C729" s="669"/>
      <c r="D729" s="669"/>
      <c r="E729" s="669"/>
      <c r="F729" s="669"/>
      <c r="G729" s="716"/>
      <c r="H729" s="669"/>
      <c r="I729" s="669"/>
      <c r="J729" s="669"/>
      <c r="K729" s="669"/>
      <c r="L729" s="669"/>
      <c r="M729" s="669"/>
      <c r="N729" s="669"/>
      <c r="O729" s="669"/>
      <c r="P729" s="669"/>
      <c r="Q729" s="669"/>
      <c r="R729" s="669"/>
      <c r="S729" s="669"/>
      <c r="T729" s="669"/>
      <c r="U729" s="669"/>
      <c r="V729" s="669"/>
      <c r="W729" s="669"/>
      <c r="X729" s="669"/>
      <c r="Y729" s="669"/>
      <c r="Z729" s="669"/>
      <c r="AA729" s="669"/>
    </row>
    <row r="730">
      <c r="A730" s="715"/>
      <c r="B730" s="669"/>
      <c r="C730" s="669"/>
      <c r="D730" s="669"/>
      <c r="E730" s="669"/>
      <c r="F730" s="669"/>
      <c r="G730" s="716"/>
      <c r="H730" s="669"/>
      <c r="I730" s="669"/>
      <c r="J730" s="669"/>
      <c r="K730" s="669"/>
      <c r="L730" s="669"/>
      <c r="M730" s="669"/>
      <c r="N730" s="669"/>
      <c r="O730" s="669"/>
      <c r="P730" s="669"/>
      <c r="Q730" s="669"/>
      <c r="R730" s="669"/>
      <c r="S730" s="669"/>
      <c r="T730" s="669"/>
      <c r="U730" s="669"/>
      <c r="V730" s="669"/>
      <c r="W730" s="669"/>
      <c r="X730" s="669"/>
      <c r="Y730" s="669"/>
      <c r="Z730" s="669"/>
      <c r="AA730" s="669"/>
    </row>
    <row r="731">
      <c r="A731" s="715"/>
      <c r="B731" s="669"/>
      <c r="C731" s="669"/>
      <c r="D731" s="669"/>
      <c r="E731" s="669"/>
      <c r="F731" s="669"/>
      <c r="G731" s="716"/>
      <c r="H731" s="669"/>
      <c r="I731" s="669"/>
      <c r="J731" s="669"/>
      <c r="K731" s="669"/>
      <c r="L731" s="669"/>
      <c r="M731" s="669"/>
      <c r="N731" s="669"/>
      <c r="O731" s="669"/>
      <c r="P731" s="669"/>
      <c r="Q731" s="669"/>
      <c r="R731" s="669"/>
      <c r="S731" s="669"/>
      <c r="T731" s="669"/>
      <c r="U731" s="669"/>
      <c r="V731" s="669"/>
      <c r="W731" s="669"/>
      <c r="X731" s="669"/>
      <c r="Y731" s="669"/>
      <c r="Z731" s="669"/>
      <c r="AA731" s="669"/>
    </row>
    <row r="732">
      <c r="A732" s="715"/>
      <c r="B732" s="669"/>
      <c r="C732" s="669"/>
      <c r="D732" s="669"/>
      <c r="E732" s="669"/>
      <c r="F732" s="669"/>
      <c r="G732" s="716"/>
      <c r="H732" s="669"/>
      <c r="I732" s="669"/>
      <c r="J732" s="669"/>
      <c r="K732" s="669"/>
      <c r="L732" s="669"/>
      <c r="M732" s="669"/>
      <c r="N732" s="669"/>
      <c r="O732" s="669"/>
      <c r="P732" s="669"/>
      <c r="Q732" s="669"/>
      <c r="R732" s="669"/>
      <c r="S732" s="669"/>
      <c r="T732" s="669"/>
      <c r="U732" s="669"/>
      <c r="V732" s="669"/>
      <c r="W732" s="669"/>
      <c r="X732" s="669"/>
      <c r="Y732" s="669"/>
      <c r="Z732" s="669"/>
      <c r="AA732" s="669"/>
    </row>
    <row r="733">
      <c r="A733" s="715"/>
      <c r="B733" s="669"/>
      <c r="C733" s="669"/>
      <c r="D733" s="669"/>
      <c r="E733" s="669"/>
      <c r="F733" s="669"/>
      <c r="G733" s="716"/>
      <c r="H733" s="669"/>
      <c r="I733" s="669"/>
      <c r="J733" s="669"/>
      <c r="K733" s="669"/>
      <c r="L733" s="669"/>
      <c r="M733" s="669"/>
      <c r="N733" s="669"/>
      <c r="O733" s="669"/>
      <c r="P733" s="669"/>
      <c r="Q733" s="669"/>
      <c r="R733" s="669"/>
      <c r="S733" s="669"/>
      <c r="T733" s="669"/>
      <c r="U733" s="669"/>
      <c r="V733" s="669"/>
      <c r="W733" s="669"/>
      <c r="X733" s="669"/>
      <c r="Y733" s="669"/>
      <c r="Z733" s="669"/>
      <c r="AA733" s="669"/>
    </row>
    <row r="734">
      <c r="A734" s="715"/>
      <c r="B734" s="669"/>
      <c r="C734" s="669"/>
      <c r="D734" s="669"/>
      <c r="E734" s="669"/>
      <c r="F734" s="669"/>
      <c r="G734" s="716"/>
      <c r="H734" s="669"/>
      <c r="I734" s="669"/>
      <c r="J734" s="669"/>
      <c r="K734" s="669"/>
      <c r="L734" s="669"/>
      <c r="M734" s="669"/>
      <c r="N734" s="669"/>
      <c r="O734" s="669"/>
      <c r="P734" s="669"/>
      <c r="Q734" s="669"/>
      <c r="R734" s="669"/>
      <c r="S734" s="669"/>
      <c r="T734" s="669"/>
      <c r="U734" s="669"/>
      <c r="V734" s="669"/>
      <c r="W734" s="669"/>
      <c r="X734" s="669"/>
      <c r="Y734" s="669"/>
      <c r="Z734" s="669"/>
      <c r="AA734" s="669"/>
    </row>
    <row r="735">
      <c r="A735" s="715"/>
      <c r="B735" s="669"/>
      <c r="C735" s="669"/>
      <c r="D735" s="669"/>
      <c r="E735" s="669"/>
      <c r="F735" s="669"/>
      <c r="G735" s="716"/>
      <c r="H735" s="669"/>
      <c r="I735" s="669"/>
      <c r="J735" s="669"/>
      <c r="K735" s="669"/>
      <c r="L735" s="669"/>
      <c r="M735" s="669"/>
      <c r="N735" s="669"/>
      <c r="O735" s="669"/>
      <c r="P735" s="669"/>
      <c r="Q735" s="669"/>
      <c r="R735" s="669"/>
      <c r="S735" s="669"/>
      <c r="T735" s="669"/>
      <c r="U735" s="669"/>
      <c r="V735" s="669"/>
      <c r="W735" s="669"/>
      <c r="X735" s="669"/>
      <c r="Y735" s="669"/>
      <c r="Z735" s="669"/>
      <c r="AA735" s="669"/>
    </row>
    <row r="736">
      <c r="A736" s="715"/>
      <c r="B736" s="669"/>
      <c r="C736" s="669"/>
      <c r="D736" s="669"/>
      <c r="E736" s="669"/>
      <c r="F736" s="669"/>
      <c r="G736" s="716"/>
      <c r="H736" s="669"/>
      <c r="I736" s="669"/>
      <c r="J736" s="669"/>
      <c r="K736" s="669"/>
      <c r="L736" s="669"/>
      <c r="M736" s="669"/>
      <c r="N736" s="669"/>
      <c r="O736" s="669"/>
      <c r="P736" s="669"/>
      <c r="Q736" s="669"/>
      <c r="R736" s="669"/>
      <c r="S736" s="669"/>
      <c r="T736" s="669"/>
      <c r="U736" s="669"/>
      <c r="V736" s="669"/>
      <c r="W736" s="669"/>
      <c r="X736" s="669"/>
      <c r="Y736" s="669"/>
      <c r="Z736" s="669"/>
      <c r="AA736" s="669"/>
    </row>
    <row r="737">
      <c r="A737" s="715"/>
      <c r="B737" s="669"/>
      <c r="C737" s="669"/>
      <c r="D737" s="669"/>
      <c r="E737" s="669"/>
      <c r="F737" s="669"/>
      <c r="G737" s="716"/>
      <c r="H737" s="669"/>
      <c r="I737" s="669"/>
      <c r="J737" s="669"/>
      <c r="K737" s="669"/>
      <c r="L737" s="669"/>
      <c r="M737" s="669"/>
      <c r="N737" s="669"/>
      <c r="O737" s="669"/>
      <c r="P737" s="669"/>
      <c r="Q737" s="669"/>
      <c r="R737" s="669"/>
      <c r="S737" s="669"/>
      <c r="T737" s="669"/>
      <c r="U737" s="669"/>
      <c r="V737" s="669"/>
      <c r="W737" s="669"/>
      <c r="X737" s="669"/>
      <c r="Y737" s="669"/>
      <c r="Z737" s="669"/>
      <c r="AA737" s="669"/>
    </row>
    <row r="738">
      <c r="A738" s="715"/>
      <c r="B738" s="669"/>
      <c r="C738" s="669"/>
      <c r="D738" s="669"/>
      <c r="E738" s="669"/>
      <c r="F738" s="669"/>
      <c r="G738" s="716"/>
      <c r="H738" s="669"/>
      <c r="I738" s="669"/>
      <c r="J738" s="669"/>
      <c r="K738" s="669"/>
      <c r="L738" s="669"/>
      <c r="M738" s="669"/>
      <c r="N738" s="669"/>
      <c r="O738" s="669"/>
      <c r="P738" s="669"/>
      <c r="Q738" s="669"/>
      <c r="R738" s="669"/>
      <c r="S738" s="669"/>
      <c r="T738" s="669"/>
      <c r="U738" s="669"/>
      <c r="V738" s="669"/>
      <c r="W738" s="669"/>
      <c r="X738" s="669"/>
      <c r="Y738" s="669"/>
      <c r="Z738" s="669"/>
      <c r="AA738" s="669"/>
    </row>
    <row r="739">
      <c r="A739" s="715"/>
      <c r="B739" s="669"/>
      <c r="C739" s="669"/>
      <c r="D739" s="669"/>
      <c r="E739" s="669"/>
      <c r="F739" s="669"/>
      <c r="G739" s="716"/>
      <c r="H739" s="669"/>
      <c r="I739" s="669"/>
      <c r="J739" s="669"/>
      <c r="K739" s="669"/>
      <c r="L739" s="669"/>
      <c r="M739" s="669"/>
      <c r="N739" s="669"/>
      <c r="O739" s="669"/>
      <c r="P739" s="669"/>
      <c r="Q739" s="669"/>
      <c r="R739" s="669"/>
      <c r="S739" s="669"/>
      <c r="T739" s="669"/>
      <c r="U739" s="669"/>
      <c r="V739" s="669"/>
      <c r="W739" s="669"/>
      <c r="X739" s="669"/>
      <c r="Y739" s="669"/>
      <c r="Z739" s="669"/>
      <c r="AA739" s="669"/>
    </row>
    <row r="740">
      <c r="A740" s="715"/>
      <c r="B740" s="669"/>
      <c r="C740" s="669"/>
      <c r="D740" s="669"/>
      <c r="E740" s="669"/>
      <c r="F740" s="669"/>
      <c r="G740" s="716"/>
      <c r="H740" s="669"/>
      <c r="I740" s="669"/>
      <c r="J740" s="669"/>
      <c r="K740" s="669"/>
      <c r="L740" s="669"/>
      <c r="M740" s="669"/>
      <c r="N740" s="669"/>
      <c r="O740" s="669"/>
      <c r="P740" s="669"/>
      <c r="Q740" s="669"/>
      <c r="R740" s="669"/>
      <c r="S740" s="669"/>
      <c r="T740" s="669"/>
      <c r="U740" s="669"/>
      <c r="V740" s="669"/>
      <c r="W740" s="669"/>
      <c r="X740" s="669"/>
      <c r="Y740" s="669"/>
      <c r="Z740" s="669"/>
      <c r="AA740" s="669"/>
    </row>
    <row r="741">
      <c r="A741" s="715"/>
      <c r="B741" s="669"/>
      <c r="C741" s="669"/>
      <c r="D741" s="669"/>
      <c r="E741" s="669"/>
      <c r="F741" s="669"/>
      <c r="G741" s="716"/>
      <c r="H741" s="669"/>
      <c r="I741" s="669"/>
      <c r="J741" s="669"/>
      <c r="K741" s="669"/>
      <c r="L741" s="669"/>
      <c r="M741" s="669"/>
      <c r="N741" s="669"/>
      <c r="O741" s="669"/>
      <c r="P741" s="669"/>
      <c r="Q741" s="669"/>
      <c r="R741" s="669"/>
      <c r="S741" s="669"/>
      <c r="T741" s="669"/>
      <c r="U741" s="669"/>
      <c r="V741" s="669"/>
      <c r="W741" s="669"/>
      <c r="X741" s="669"/>
      <c r="Y741" s="669"/>
      <c r="Z741" s="669"/>
      <c r="AA741" s="669"/>
    </row>
    <row r="742">
      <c r="A742" s="715"/>
      <c r="B742" s="669"/>
      <c r="C742" s="669"/>
      <c r="D742" s="669"/>
      <c r="E742" s="669"/>
      <c r="F742" s="669"/>
      <c r="G742" s="716"/>
      <c r="H742" s="669"/>
      <c r="I742" s="669"/>
      <c r="J742" s="669"/>
      <c r="K742" s="669"/>
      <c r="L742" s="669"/>
      <c r="M742" s="669"/>
      <c r="N742" s="669"/>
      <c r="O742" s="669"/>
      <c r="P742" s="669"/>
      <c r="Q742" s="669"/>
      <c r="R742" s="669"/>
      <c r="S742" s="669"/>
      <c r="T742" s="669"/>
      <c r="U742" s="669"/>
      <c r="V742" s="669"/>
      <c r="W742" s="669"/>
      <c r="X742" s="669"/>
      <c r="Y742" s="669"/>
      <c r="Z742" s="669"/>
      <c r="AA742" s="669"/>
    </row>
    <row r="743">
      <c r="A743" s="715"/>
      <c r="B743" s="669"/>
      <c r="C743" s="669"/>
      <c r="D743" s="669"/>
      <c r="E743" s="669"/>
      <c r="F743" s="669"/>
      <c r="G743" s="716"/>
      <c r="H743" s="669"/>
      <c r="I743" s="669"/>
      <c r="J743" s="669"/>
      <c r="K743" s="669"/>
      <c r="L743" s="669"/>
      <c r="M743" s="669"/>
      <c r="N743" s="669"/>
      <c r="O743" s="669"/>
      <c r="P743" s="669"/>
      <c r="Q743" s="669"/>
      <c r="R743" s="669"/>
      <c r="S743" s="669"/>
      <c r="T743" s="669"/>
      <c r="U743" s="669"/>
      <c r="V743" s="669"/>
      <c r="W743" s="669"/>
      <c r="X743" s="669"/>
      <c r="Y743" s="669"/>
      <c r="Z743" s="669"/>
      <c r="AA743" s="669"/>
    </row>
    <row r="744">
      <c r="A744" s="715"/>
      <c r="B744" s="669"/>
      <c r="C744" s="669"/>
      <c r="D744" s="669"/>
      <c r="E744" s="669"/>
      <c r="F744" s="669"/>
      <c r="G744" s="716"/>
      <c r="H744" s="669"/>
      <c r="I744" s="669"/>
      <c r="J744" s="669"/>
      <c r="K744" s="669"/>
      <c r="L744" s="669"/>
      <c r="M744" s="669"/>
      <c r="N744" s="669"/>
      <c r="O744" s="669"/>
      <c r="P744" s="669"/>
      <c r="Q744" s="669"/>
      <c r="R744" s="669"/>
      <c r="S744" s="669"/>
      <c r="T744" s="669"/>
      <c r="U744" s="669"/>
      <c r="V744" s="669"/>
      <c r="W744" s="669"/>
      <c r="X744" s="669"/>
      <c r="Y744" s="669"/>
      <c r="Z744" s="669"/>
      <c r="AA744" s="669"/>
    </row>
    <row r="745">
      <c r="A745" s="715"/>
      <c r="B745" s="669"/>
      <c r="C745" s="669"/>
      <c r="D745" s="669"/>
      <c r="E745" s="669"/>
      <c r="F745" s="669"/>
      <c r="G745" s="716"/>
      <c r="H745" s="669"/>
      <c r="I745" s="669"/>
      <c r="J745" s="669"/>
      <c r="K745" s="669"/>
      <c r="L745" s="669"/>
      <c r="M745" s="669"/>
      <c r="N745" s="669"/>
      <c r="O745" s="669"/>
      <c r="P745" s="669"/>
      <c r="Q745" s="669"/>
      <c r="R745" s="669"/>
      <c r="S745" s="669"/>
      <c r="T745" s="669"/>
      <c r="U745" s="669"/>
      <c r="V745" s="669"/>
      <c r="W745" s="669"/>
      <c r="X745" s="669"/>
      <c r="Y745" s="669"/>
      <c r="Z745" s="669"/>
      <c r="AA745" s="669"/>
    </row>
    <row r="746">
      <c r="A746" s="715"/>
      <c r="B746" s="669"/>
      <c r="C746" s="669"/>
      <c r="D746" s="669"/>
      <c r="E746" s="669"/>
      <c r="F746" s="669"/>
      <c r="G746" s="716"/>
      <c r="H746" s="669"/>
      <c r="I746" s="669"/>
      <c r="J746" s="669"/>
      <c r="K746" s="669"/>
      <c r="L746" s="669"/>
      <c r="M746" s="669"/>
      <c r="N746" s="669"/>
      <c r="O746" s="669"/>
      <c r="P746" s="669"/>
      <c r="Q746" s="669"/>
      <c r="R746" s="669"/>
      <c r="S746" s="669"/>
      <c r="T746" s="669"/>
      <c r="U746" s="669"/>
      <c r="V746" s="669"/>
      <c r="W746" s="669"/>
      <c r="X746" s="669"/>
      <c r="Y746" s="669"/>
      <c r="Z746" s="669"/>
      <c r="AA746" s="669"/>
    </row>
    <row r="747">
      <c r="A747" s="715"/>
      <c r="B747" s="669"/>
      <c r="C747" s="669"/>
      <c r="D747" s="669"/>
      <c r="E747" s="669"/>
      <c r="F747" s="669"/>
      <c r="G747" s="716"/>
      <c r="H747" s="669"/>
      <c r="I747" s="669"/>
      <c r="J747" s="669"/>
      <c r="K747" s="669"/>
      <c r="L747" s="669"/>
      <c r="M747" s="669"/>
      <c r="N747" s="669"/>
      <c r="O747" s="669"/>
      <c r="P747" s="669"/>
      <c r="Q747" s="669"/>
      <c r="R747" s="669"/>
      <c r="S747" s="669"/>
      <c r="T747" s="669"/>
      <c r="U747" s="669"/>
      <c r="V747" s="669"/>
      <c r="W747" s="669"/>
      <c r="X747" s="669"/>
      <c r="Y747" s="669"/>
      <c r="Z747" s="669"/>
      <c r="AA747" s="669"/>
    </row>
    <row r="748">
      <c r="A748" s="715"/>
      <c r="B748" s="669"/>
      <c r="C748" s="669"/>
      <c r="D748" s="669"/>
      <c r="E748" s="669"/>
      <c r="F748" s="669"/>
      <c r="G748" s="716"/>
      <c r="H748" s="669"/>
      <c r="I748" s="669"/>
      <c r="J748" s="669"/>
      <c r="K748" s="669"/>
      <c r="L748" s="669"/>
      <c r="M748" s="669"/>
      <c r="N748" s="669"/>
      <c r="O748" s="669"/>
      <c r="P748" s="669"/>
      <c r="Q748" s="669"/>
      <c r="R748" s="669"/>
      <c r="S748" s="669"/>
      <c r="T748" s="669"/>
      <c r="U748" s="669"/>
      <c r="V748" s="669"/>
      <c r="W748" s="669"/>
      <c r="X748" s="669"/>
      <c r="Y748" s="669"/>
      <c r="Z748" s="669"/>
      <c r="AA748" s="669"/>
    </row>
    <row r="749">
      <c r="A749" s="715"/>
      <c r="B749" s="669"/>
      <c r="C749" s="669"/>
      <c r="D749" s="669"/>
      <c r="E749" s="669"/>
      <c r="F749" s="669"/>
      <c r="G749" s="716"/>
      <c r="H749" s="669"/>
      <c r="I749" s="669"/>
      <c r="J749" s="669"/>
      <c r="K749" s="669"/>
      <c r="L749" s="669"/>
      <c r="M749" s="669"/>
      <c r="N749" s="669"/>
      <c r="O749" s="669"/>
      <c r="P749" s="669"/>
      <c r="Q749" s="669"/>
      <c r="R749" s="669"/>
      <c r="S749" s="669"/>
      <c r="T749" s="669"/>
      <c r="U749" s="669"/>
      <c r="V749" s="669"/>
      <c r="W749" s="669"/>
      <c r="X749" s="669"/>
      <c r="Y749" s="669"/>
      <c r="Z749" s="669"/>
      <c r="AA749" s="669"/>
    </row>
    <row r="750">
      <c r="A750" s="715"/>
      <c r="B750" s="669"/>
      <c r="C750" s="669"/>
      <c r="D750" s="669"/>
      <c r="E750" s="669"/>
      <c r="F750" s="669"/>
      <c r="G750" s="716"/>
      <c r="H750" s="669"/>
      <c r="I750" s="669"/>
      <c r="J750" s="669"/>
      <c r="K750" s="669"/>
      <c r="L750" s="669"/>
      <c r="M750" s="669"/>
      <c r="N750" s="669"/>
      <c r="O750" s="669"/>
      <c r="P750" s="669"/>
      <c r="Q750" s="669"/>
      <c r="R750" s="669"/>
      <c r="S750" s="669"/>
      <c r="T750" s="669"/>
      <c r="U750" s="669"/>
      <c r="V750" s="669"/>
      <c r="W750" s="669"/>
      <c r="X750" s="669"/>
      <c r="Y750" s="669"/>
      <c r="Z750" s="669"/>
      <c r="AA750" s="669"/>
    </row>
    <row r="751">
      <c r="A751" s="715"/>
      <c r="B751" s="669"/>
      <c r="C751" s="669"/>
      <c r="D751" s="669"/>
      <c r="E751" s="669"/>
      <c r="F751" s="669"/>
      <c r="G751" s="716"/>
      <c r="H751" s="669"/>
      <c r="I751" s="669"/>
      <c r="J751" s="669"/>
      <c r="K751" s="669"/>
      <c r="L751" s="669"/>
      <c r="M751" s="669"/>
      <c r="N751" s="669"/>
      <c r="O751" s="669"/>
      <c r="P751" s="669"/>
      <c r="Q751" s="669"/>
      <c r="R751" s="669"/>
      <c r="S751" s="669"/>
      <c r="T751" s="669"/>
      <c r="U751" s="669"/>
      <c r="V751" s="669"/>
      <c r="W751" s="669"/>
      <c r="X751" s="669"/>
      <c r="Y751" s="669"/>
      <c r="Z751" s="669"/>
      <c r="AA751" s="669"/>
    </row>
    <row r="752">
      <c r="A752" s="715"/>
      <c r="B752" s="669"/>
      <c r="C752" s="669"/>
      <c r="D752" s="669"/>
      <c r="E752" s="669"/>
      <c r="F752" s="669"/>
      <c r="G752" s="716"/>
      <c r="H752" s="669"/>
      <c r="I752" s="669"/>
      <c r="J752" s="669"/>
      <c r="K752" s="669"/>
      <c r="L752" s="669"/>
      <c r="M752" s="669"/>
      <c r="N752" s="669"/>
      <c r="O752" s="669"/>
      <c r="P752" s="669"/>
      <c r="Q752" s="669"/>
      <c r="R752" s="669"/>
      <c r="S752" s="669"/>
      <c r="T752" s="669"/>
      <c r="U752" s="669"/>
      <c r="V752" s="669"/>
      <c r="W752" s="669"/>
      <c r="X752" s="669"/>
      <c r="Y752" s="669"/>
      <c r="Z752" s="669"/>
      <c r="AA752" s="669"/>
    </row>
    <row r="753">
      <c r="A753" s="715"/>
      <c r="B753" s="669"/>
      <c r="C753" s="669"/>
      <c r="D753" s="669"/>
      <c r="E753" s="669"/>
      <c r="F753" s="669"/>
      <c r="G753" s="716"/>
      <c r="H753" s="669"/>
      <c r="I753" s="669"/>
      <c r="J753" s="669"/>
      <c r="K753" s="669"/>
      <c r="L753" s="669"/>
      <c r="M753" s="669"/>
      <c r="N753" s="669"/>
      <c r="O753" s="669"/>
      <c r="P753" s="669"/>
      <c r="Q753" s="669"/>
      <c r="R753" s="669"/>
      <c r="S753" s="669"/>
      <c r="T753" s="669"/>
      <c r="U753" s="669"/>
      <c r="V753" s="669"/>
      <c r="W753" s="669"/>
      <c r="X753" s="669"/>
      <c r="Y753" s="669"/>
      <c r="Z753" s="669"/>
      <c r="AA753" s="669"/>
    </row>
    <row r="754">
      <c r="A754" s="715"/>
      <c r="B754" s="669"/>
      <c r="C754" s="669"/>
      <c r="D754" s="669"/>
      <c r="E754" s="669"/>
      <c r="F754" s="669"/>
      <c r="G754" s="716"/>
      <c r="H754" s="669"/>
      <c r="I754" s="669"/>
      <c r="J754" s="669"/>
      <c r="K754" s="669"/>
      <c r="L754" s="669"/>
      <c r="M754" s="669"/>
      <c r="N754" s="669"/>
      <c r="O754" s="669"/>
      <c r="P754" s="669"/>
      <c r="Q754" s="669"/>
      <c r="R754" s="669"/>
      <c r="S754" s="669"/>
      <c r="T754" s="669"/>
      <c r="U754" s="669"/>
      <c r="V754" s="669"/>
      <c r="W754" s="669"/>
      <c r="X754" s="669"/>
      <c r="Y754" s="669"/>
      <c r="Z754" s="669"/>
      <c r="AA754" s="669"/>
    </row>
    <row r="755">
      <c r="A755" s="715"/>
      <c r="B755" s="669"/>
      <c r="C755" s="669"/>
      <c r="D755" s="669"/>
      <c r="E755" s="669"/>
      <c r="F755" s="669"/>
      <c r="G755" s="716"/>
      <c r="H755" s="669"/>
      <c r="I755" s="669"/>
      <c r="J755" s="669"/>
      <c r="K755" s="669"/>
      <c r="L755" s="669"/>
      <c r="M755" s="669"/>
      <c r="N755" s="669"/>
      <c r="O755" s="669"/>
      <c r="P755" s="669"/>
      <c r="Q755" s="669"/>
      <c r="R755" s="669"/>
      <c r="S755" s="669"/>
      <c r="T755" s="669"/>
      <c r="U755" s="669"/>
      <c r="V755" s="669"/>
      <c r="W755" s="669"/>
      <c r="X755" s="669"/>
      <c r="Y755" s="669"/>
      <c r="Z755" s="669"/>
      <c r="AA755" s="669"/>
    </row>
    <row r="756">
      <c r="A756" s="715"/>
      <c r="B756" s="669"/>
      <c r="C756" s="669"/>
      <c r="D756" s="669"/>
      <c r="E756" s="669"/>
      <c r="F756" s="669"/>
      <c r="G756" s="716"/>
      <c r="H756" s="669"/>
      <c r="I756" s="669"/>
      <c r="J756" s="669"/>
      <c r="K756" s="669"/>
      <c r="L756" s="669"/>
      <c r="M756" s="669"/>
      <c r="N756" s="669"/>
      <c r="O756" s="669"/>
      <c r="P756" s="669"/>
      <c r="Q756" s="669"/>
      <c r="R756" s="669"/>
      <c r="S756" s="669"/>
      <c r="T756" s="669"/>
      <c r="U756" s="669"/>
      <c r="V756" s="669"/>
      <c r="W756" s="669"/>
      <c r="X756" s="669"/>
      <c r="Y756" s="669"/>
      <c r="Z756" s="669"/>
      <c r="AA756" s="669"/>
    </row>
    <row r="757">
      <c r="A757" s="715"/>
      <c r="B757" s="669"/>
      <c r="C757" s="669"/>
      <c r="D757" s="669"/>
      <c r="E757" s="669"/>
      <c r="F757" s="669"/>
      <c r="G757" s="716"/>
      <c r="H757" s="669"/>
      <c r="I757" s="669"/>
      <c r="J757" s="669"/>
      <c r="K757" s="669"/>
      <c r="L757" s="669"/>
      <c r="M757" s="669"/>
      <c r="N757" s="669"/>
      <c r="O757" s="669"/>
      <c r="P757" s="669"/>
      <c r="Q757" s="669"/>
      <c r="R757" s="669"/>
      <c r="S757" s="669"/>
      <c r="T757" s="669"/>
      <c r="U757" s="669"/>
      <c r="V757" s="669"/>
      <c r="W757" s="669"/>
      <c r="X757" s="669"/>
      <c r="Y757" s="669"/>
      <c r="Z757" s="669"/>
      <c r="AA757" s="669"/>
    </row>
    <row r="758">
      <c r="A758" s="715"/>
      <c r="B758" s="669"/>
      <c r="C758" s="669"/>
      <c r="D758" s="669"/>
      <c r="E758" s="669"/>
      <c r="F758" s="669"/>
      <c r="G758" s="716"/>
      <c r="H758" s="669"/>
      <c r="I758" s="669"/>
      <c r="J758" s="669"/>
      <c r="K758" s="669"/>
      <c r="L758" s="669"/>
      <c r="M758" s="669"/>
      <c r="N758" s="669"/>
      <c r="O758" s="669"/>
      <c r="P758" s="669"/>
      <c r="Q758" s="669"/>
      <c r="R758" s="669"/>
      <c r="S758" s="669"/>
      <c r="T758" s="669"/>
      <c r="U758" s="669"/>
      <c r="V758" s="669"/>
      <c r="W758" s="669"/>
      <c r="X758" s="669"/>
      <c r="Y758" s="669"/>
      <c r="Z758" s="669"/>
      <c r="AA758" s="669"/>
    </row>
    <row r="759">
      <c r="A759" s="715"/>
      <c r="B759" s="669"/>
      <c r="C759" s="669"/>
      <c r="D759" s="669"/>
      <c r="E759" s="669"/>
      <c r="F759" s="669"/>
      <c r="G759" s="716"/>
      <c r="H759" s="669"/>
      <c r="I759" s="669"/>
      <c r="J759" s="669"/>
      <c r="K759" s="669"/>
      <c r="L759" s="669"/>
      <c r="M759" s="669"/>
      <c r="N759" s="669"/>
      <c r="O759" s="669"/>
      <c r="P759" s="669"/>
      <c r="Q759" s="669"/>
      <c r="R759" s="669"/>
      <c r="S759" s="669"/>
      <c r="T759" s="669"/>
      <c r="U759" s="669"/>
      <c r="V759" s="669"/>
      <c r="W759" s="669"/>
      <c r="X759" s="669"/>
      <c r="Y759" s="669"/>
      <c r="Z759" s="669"/>
      <c r="AA759" s="669"/>
    </row>
    <row r="760">
      <c r="A760" s="715"/>
      <c r="B760" s="669"/>
      <c r="C760" s="669"/>
      <c r="D760" s="669"/>
      <c r="E760" s="669"/>
      <c r="F760" s="669"/>
      <c r="G760" s="716"/>
      <c r="H760" s="669"/>
      <c r="I760" s="669"/>
      <c r="J760" s="669"/>
      <c r="K760" s="669"/>
      <c r="L760" s="669"/>
      <c r="M760" s="669"/>
      <c r="N760" s="669"/>
      <c r="O760" s="669"/>
      <c r="P760" s="669"/>
      <c r="Q760" s="669"/>
      <c r="R760" s="669"/>
      <c r="S760" s="669"/>
      <c r="T760" s="669"/>
      <c r="U760" s="669"/>
      <c r="V760" s="669"/>
      <c r="W760" s="669"/>
      <c r="X760" s="669"/>
      <c r="Y760" s="669"/>
      <c r="Z760" s="669"/>
      <c r="AA760" s="669"/>
    </row>
    <row r="761">
      <c r="A761" s="715"/>
      <c r="B761" s="669"/>
      <c r="C761" s="669"/>
      <c r="D761" s="669"/>
      <c r="E761" s="669"/>
      <c r="F761" s="669"/>
      <c r="G761" s="716"/>
      <c r="H761" s="669"/>
      <c r="I761" s="669"/>
      <c r="J761" s="669"/>
      <c r="K761" s="669"/>
      <c r="L761" s="669"/>
      <c r="M761" s="669"/>
      <c r="N761" s="669"/>
      <c r="O761" s="669"/>
      <c r="P761" s="669"/>
      <c r="Q761" s="669"/>
      <c r="R761" s="669"/>
      <c r="S761" s="669"/>
      <c r="T761" s="669"/>
      <c r="U761" s="669"/>
      <c r="V761" s="669"/>
      <c r="W761" s="669"/>
      <c r="X761" s="669"/>
      <c r="Y761" s="669"/>
      <c r="Z761" s="669"/>
      <c r="AA761" s="669"/>
    </row>
    <row r="762">
      <c r="A762" s="715"/>
      <c r="B762" s="669"/>
      <c r="C762" s="669"/>
      <c r="D762" s="669"/>
      <c r="E762" s="669"/>
      <c r="F762" s="669"/>
      <c r="G762" s="716"/>
      <c r="H762" s="669"/>
      <c r="I762" s="669"/>
      <c r="J762" s="669"/>
      <c r="K762" s="669"/>
      <c r="L762" s="669"/>
      <c r="M762" s="669"/>
      <c r="N762" s="669"/>
      <c r="O762" s="669"/>
      <c r="P762" s="669"/>
      <c r="Q762" s="669"/>
      <c r="R762" s="669"/>
      <c r="S762" s="669"/>
      <c r="T762" s="669"/>
      <c r="U762" s="669"/>
      <c r="V762" s="669"/>
      <c r="W762" s="669"/>
      <c r="X762" s="669"/>
      <c r="Y762" s="669"/>
      <c r="Z762" s="669"/>
      <c r="AA762" s="669"/>
    </row>
    <row r="763">
      <c r="A763" s="715"/>
      <c r="B763" s="669"/>
      <c r="C763" s="669"/>
      <c r="D763" s="669"/>
      <c r="E763" s="669"/>
      <c r="F763" s="669"/>
      <c r="G763" s="716"/>
      <c r="H763" s="669"/>
      <c r="I763" s="669"/>
      <c r="J763" s="669"/>
      <c r="K763" s="669"/>
      <c r="L763" s="669"/>
      <c r="M763" s="669"/>
      <c r="N763" s="669"/>
      <c r="O763" s="669"/>
      <c r="P763" s="669"/>
      <c r="Q763" s="669"/>
      <c r="R763" s="669"/>
      <c r="S763" s="669"/>
      <c r="T763" s="669"/>
      <c r="U763" s="669"/>
      <c r="V763" s="669"/>
      <c r="W763" s="669"/>
      <c r="X763" s="669"/>
      <c r="Y763" s="669"/>
      <c r="Z763" s="669"/>
      <c r="AA763" s="669"/>
    </row>
    <row r="764">
      <c r="A764" s="715"/>
      <c r="B764" s="669"/>
      <c r="C764" s="669"/>
      <c r="D764" s="669"/>
      <c r="E764" s="669"/>
      <c r="F764" s="669"/>
      <c r="G764" s="716"/>
      <c r="H764" s="669"/>
      <c r="I764" s="669"/>
      <c r="J764" s="669"/>
      <c r="K764" s="669"/>
      <c r="L764" s="669"/>
      <c r="M764" s="669"/>
      <c r="N764" s="669"/>
      <c r="O764" s="669"/>
      <c r="P764" s="669"/>
      <c r="Q764" s="669"/>
      <c r="R764" s="669"/>
      <c r="S764" s="669"/>
      <c r="T764" s="669"/>
      <c r="U764" s="669"/>
      <c r="V764" s="669"/>
      <c r="W764" s="669"/>
      <c r="X764" s="669"/>
      <c r="Y764" s="669"/>
      <c r="Z764" s="669"/>
      <c r="AA764" s="669"/>
    </row>
    <row r="765">
      <c r="A765" s="715"/>
      <c r="B765" s="669"/>
      <c r="C765" s="669"/>
      <c r="D765" s="669"/>
      <c r="E765" s="669"/>
      <c r="F765" s="669"/>
      <c r="G765" s="716"/>
      <c r="H765" s="669"/>
      <c r="I765" s="669"/>
      <c r="J765" s="669"/>
      <c r="K765" s="669"/>
      <c r="L765" s="669"/>
      <c r="M765" s="669"/>
      <c r="N765" s="669"/>
      <c r="O765" s="669"/>
      <c r="P765" s="669"/>
      <c r="Q765" s="669"/>
      <c r="R765" s="669"/>
      <c r="S765" s="669"/>
      <c r="T765" s="669"/>
      <c r="U765" s="669"/>
      <c r="V765" s="669"/>
      <c r="W765" s="669"/>
      <c r="X765" s="669"/>
      <c r="Y765" s="669"/>
      <c r="Z765" s="669"/>
      <c r="AA765" s="669"/>
    </row>
    <row r="766">
      <c r="A766" s="715"/>
      <c r="B766" s="669"/>
      <c r="C766" s="669"/>
      <c r="D766" s="669"/>
      <c r="E766" s="669"/>
      <c r="F766" s="669"/>
      <c r="G766" s="716"/>
      <c r="H766" s="669"/>
      <c r="I766" s="669"/>
      <c r="J766" s="669"/>
      <c r="K766" s="669"/>
      <c r="L766" s="669"/>
      <c r="M766" s="669"/>
      <c r="N766" s="669"/>
      <c r="O766" s="669"/>
      <c r="P766" s="669"/>
      <c r="Q766" s="669"/>
      <c r="R766" s="669"/>
      <c r="S766" s="669"/>
      <c r="T766" s="669"/>
      <c r="U766" s="669"/>
      <c r="V766" s="669"/>
      <c r="W766" s="669"/>
      <c r="X766" s="669"/>
      <c r="Y766" s="669"/>
      <c r="Z766" s="669"/>
      <c r="AA766" s="669"/>
    </row>
    <row r="767">
      <c r="A767" s="715"/>
      <c r="B767" s="669"/>
      <c r="C767" s="669"/>
      <c r="D767" s="669"/>
      <c r="E767" s="669"/>
      <c r="F767" s="669"/>
      <c r="G767" s="716"/>
      <c r="H767" s="669"/>
      <c r="I767" s="669"/>
      <c r="J767" s="669"/>
      <c r="K767" s="669"/>
      <c r="L767" s="669"/>
      <c r="M767" s="669"/>
      <c r="N767" s="669"/>
      <c r="O767" s="669"/>
      <c r="P767" s="669"/>
      <c r="Q767" s="669"/>
      <c r="R767" s="669"/>
      <c r="S767" s="669"/>
      <c r="T767" s="669"/>
      <c r="U767" s="669"/>
      <c r="V767" s="669"/>
      <c r="W767" s="669"/>
      <c r="X767" s="669"/>
      <c r="Y767" s="669"/>
      <c r="Z767" s="669"/>
      <c r="AA767" s="669"/>
    </row>
    <row r="768">
      <c r="A768" s="715"/>
      <c r="B768" s="669"/>
      <c r="C768" s="669"/>
      <c r="D768" s="669"/>
      <c r="E768" s="669"/>
      <c r="F768" s="669"/>
      <c r="G768" s="716"/>
      <c r="H768" s="669"/>
      <c r="I768" s="669"/>
      <c r="J768" s="669"/>
      <c r="K768" s="669"/>
      <c r="L768" s="669"/>
      <c r="M768" s="669"/>
      <c r="N768" s="669"/>
      <c r="O768" s="669"/>
      <c r="P768" s="669"/>
      <c r="Q768" s="669"/>
      <c r="R768" s="669"/>
      <c r="S768" s="669"/>
      <c r="T768" s="669"/>
      <c r="U768" s="669"/>
      <c r="V768" s="669"/>
      <c r="W768" s="669"/>
      <c r="X768" s="669"/>
      <c r="Y768" s="669"/>
      <c r="Z768" s="669"/>
      <c r="AA768" s="669"/>
    </row>
    <row r="769">
      <c r="A769" s="715"/>
      <c r="B769" s="669"/>
      <c r="C769" s="669"/>
      <c r="D769" s="669"/>
      <c r="E769" s="669"/>
      <c r="F769" s="669"/>
      <c r="G769" s="716"/>
      <c r="H769" s="669"/>
      <c r="I769" s="669"/>
      <c r="J769" s="669"/>
      <c r="K769" s="669"/>
      <c r="L769" s="669"/>
      <c r="M769" s="669"/>
      <c r="N769" s="669"/>
      <c r="O769" s="669"/>
      <c r="P769" s="669"/>
      <c r="Q769" s="669"/>
      <c r="R769" s="669"/>
      <c r="S769" s="669"/>
      <c r="T769" s="669"/>
      <c r="U769" s="669"/>
      <c r="V769" s="669"/>
      <c r="W769" s="669"/>
      <c r="X769" s="669"/>
      <c r="Y769" s="669"/>
      <c r="Z769" s="669"/>
      <c r="AA769" s="669"/>
    </row>
    <row r="770">
      <c r="A770" s="715"/>
      <c r="B770" s="669"/>
      <c r="C770" s="669"/>
      <c r="D770" s="669"/>
      <c r="E770" s="669"/>
      <c r="F770" s="669"/>
      <c r="G770" s="716"/>
      <c r="H770" s="669"/>
      <c r="I770" s="669"/>
      <c r="J770" s="669"/>
      <c r="K770" s="669"/>
      <c r="L770" s="669"/>
      <c r="M770" s="669"/>
      <c r="N770" s="669"/>
      <c r="O770" s="669"/>
      <c r="P770" s="669"/>
      <c r="Q770" s="669"/>
      <c r="R770" s="669"/>
      <c r="S770" s="669"/>
      <c r="T770" s="669"/>
      <c r="U770" s="669"/>
      <c r="V770" s="669"/>
      <c r="W770" s="669"/>
      <c r="X770" s="669"/>
      <c r="Y770" s="669"/>
      <c r="Z770" s="669"/>
      <c r="AA770" s="669"/>
    </row>
    <row r="771">
      <c r="A771" s="715"/>
      <c r="B771" s="669"/>
      <c r="C771" s="669"/>
      <c r="D771" s="669"/>
      <c r="E771" s="669"/>
      <c r="F771" s="669"/>
      <c r="G771" s="716"/>
      <c r="H771" s="669"/>
      <c r="I771" s="669"/>
      <c r="J771" s="669"/>
      <c r="K771" s="669"/>
      <c r="L771" s="669"/>
      <c r="M771" s="669"/>
      <c r="N771" s="669"/>
      <c r="O771" s="669"/>
      <c r="P771" s="669"/>
      <c r="Q771" s="669"/>
      <c r="R771" s="669"/>
      <c r="S771" s="669"/>
      <c r="T771" s="669"/>
      <c r="U771" s="669"/>
      <c r="V771" s="669"/>
      <c r="W771" s="669"/>
      <c r="X771" s="669"/>
      <c r="Y771" s="669"/>
      <c r="Z771" s="669"/>
      <c r="AA771" s="669"/>
    </row>
    <row r="772">
      <c r="A772" s="715"/>
      <c r="B772" s="669"/>
      <c r="C772" s="669"/>
      <c r="D772" s="669"/>
      <c r="E772" s="669"/>
      <c r="F772" s="669"/>
      <c r="G772" s="716"/>
      <c r="H772" s="669"/>
      <c r="I772" s="669"/>
      <c r="J772" s="669"/>
      <c r="K772" s="669"/>
      <c r="L772" s="669"/>
      <c r="M772" s="669"/>
      <c r="N772" s="669"/>
      <c r="O772" s="669"/>
      <c r="P772" s="669"/>
      <c r="Q772" s="669"/>
      <c r="R772" s="669"/>
      <c r="S772" s="669"/>
      <c r="T772" s="669"/>
      <c r="U772" s="669"/>
      <c r="V772" s="669"/>
      <c r="W772" s="669"/>
      <c r="X772" s="669"/>
      <c r="Y772" s="669"/>
      <c r="Z772" s="669"/>
      <c r="AA772" s="669"/>
    </row>
    <row r="773">
      <c r="A773" s="715"/>
      <c r="B773" s="669"/>
      <c r="C773" s="669"/>
      <c r="D773" s="669"/>
      <c r="E773" s="669"/>
      <c r="F773" s="669"/>
      <c r="G773" s="716"/>
      <c r="H773" s="669"/>
      <c r="I773" s="669"/>
      <c r="J773" s="669"/>
      <c r="K773" s="669"/>
      <c r="L773" s="669"/>
      <c r="M773" s="669"/>
      <c r="N773" s="669"/>
      <c r="O773" s="669"/>
      <c r="P773" s="669"/>
      <c r="Q773" s="669"/>
      <c r="R773" s="669"/>
      <c r="S773" s="669"/>
      <c r="T773" s="669"/>
      <c r="U773" s="669"/>
      <c r="V773" s="669"/>
      <c r="W773" s="669"/>
      <c r="X773" s="669"/>
      <c r="Y773" s="669"/>
      <c r="Z773" s="669"/>
      <c r="AA773" s="669"/>
    </row>
    <row r="774">
      <c r="A774" s="715"/>
      <c r="B774" s="669"/>
      <c r="C774" s="669"/>
      <c r="D774" s="669"/>
      <c r="E774" s="669"/>
      <c r="F774" s="669"/>
      <c r="G774" s="716"/>
      <c r="H774" s="669"/>
      <c r="I774" s="669"/>
      <c r="J774" s="669"/>
      <c r="K774" s="669"/>
      <c r="L774" s="669"/>
      <c r="M774" s="669"/>
      <c r="N774" s="669"/>
      <c r="O774" s="669"/>
      <c r="P774" s="669"/>
      <c r="Q774" s="669"/>
      <c r="R774" s="669"/>
      <c r="S774" s="669"/>
      <c r="T774" s="669"/>
      <c r="U774" s="669"/>
      <c r="V774" s="669"/>
      <c r="W774" s="669"/>
      <c r="X774" s="669"/>
      <c r="Y774" s="669"/>
      <c r="Z774" s="669"/>
      <c r="AA774" s="669"/>
    </row>
    <row r="775">
      <c r="A775" s="715"/>
      <c r="B775" s="669"/>
      <c r="C775" s="669"/>
      <c r="D775" s="669"/>
      <c r="E775" s="669"/>
      <c r="F775" s="669"/>
      <c r="G775" s="716"/>
      <c r="H775" s="669"/>
      <c r="I775" s="669"/>
      <c r="J775" s="669"/>
      <c r="K775" s="669"/>
      <c r="L775" s="669"/>
      <c r="M775" s="669"/>
      <c r="N775" s="669"/>
      <c r="O775" s="669"/>
      <c r="P775" s="669"/>
      <c r="Q775" s="669"/>
      <c r="R775" s="669"/>
      <c r="S775" s="669"/>
      <c r="T775" s="669"/>
      <c r="U775" s="669"/>
      <c r="V775" s="669"/>
      <c r="W775" s="669"/>
      <c r="X775" s="669"/>
      <c r="Y775" s="669"/>
      <c r="Z775" s="669"/>
      <c r="AA775" s="669"/>
    </row>
    <row r="776">
      <c r="A776" s="715"/>
      <c r="B776" s="669"/>
      <c r="C776" s="669"/>
      <c r="D776" s="669"/>
      <c r="E776" s="669"/>
      <c r="F776" s="669"/>
      <c r="G776" s="716"/>
      <c r="H776" s="669"/>
      <c r="I776" s="669"/>
      <c r="J776" s="669"/>
      <c r="K776" s="669"/>
      <c r="L776" s="669"/>
      <c r="M776" s="669"/>
      <c r="N776" s="669"/>
      <c r="O776" s="669"/>
      <c r="P776" s="669"/>
      <c r="Q776" s="669"/>
      <c r="R776" s="669"/>
      <c r="S776" s="669"/>
      <c r="T776" s="669"/>
      <c r="U776" s="669"/>
      <c r="V776" s="669"/>
      <c r="W776" s="669"/>
      <c r="X776" s="669"/>
      <c r="Y776" s="669"/>
      <c r="Z776" s="669"/>
      <c r="AA776" s="669"/>
    </row>
    <row r="777">
      <c r="A777" s="715"/>
      <c r="B777" s="669"/>
      <c r="C777" s="669"/>
      <c r="D777" s="669"/>
      <c r="E777" s="669"/>
      <c r="F777" s="669"/>
      <c r="G777" s="716"/>
      <c r="H777" s="669"/>
      <c r="I777" s="669"/>
      <c r="J777" s="669"/>
      <c r="K777" s="669"/>
      <c r="L777" s="669"/>
      <c r="M777" s="669"/>
      <c r="N777" s="669"/>
      <c r="O777" s="669"/>
      <c r="P777" s="669"/>
      <c r="Q777" s="669"/>
      <c r="R777" s="669"/>
      <c r="S777" s="669"/>
      <c r="T777" s="669"/>
      <c r="U777" s="669"/>
      <c r="V777" s="669"/>
      <c r="W777" s="669"/>
      <c r="X777" s="669"/>
      <c r="Y777" s="669"/>
      <c r="Z777" s="669"/>
      <c r="AA777" s="669"/>
    </row>
    <row r="778">
      <c r="A778" s="715"/>
      <c r="B778" s="669"/>
      <c r="C778" s="669"/>
      <c r="D778" s="669"/>
      <c r="E778" s="669"/>
      <c r="F778" s="669"/>
      <c r="G778" s="716"/>
      <c r="H778" s="669"/>
      <c r="I778" s="669"/>
      <c r="J778" s="669"/>
      <c r="K778" s="669"/>
      <c r="L778" s="669"/>
      <c r="M778" s="669"/>
      <c r="N778" s="669"/>
      <c r="O778" s="669"/>
      <c r="P778" s="669"/>
      <c r="Q778" s="669"/>
      <c r="R778" s="669"/>
      <c r="S778" s="669"/>
      <c r="T778" s="669"/>
      <c r="U778" s="669"/>
      <c r="V778" s="669"/>
      <c r="W778" s="669"/>
      <c r="X778" s="669"/>
      <c r="Y778" s="669"/>
      <c r="Z778" s="669"/>
      <c r="AA778" s="669"/>
    </row>
    <row r="779">
      <c r="A779" s="715"/>
      <c r="B779" s="669"/>
      <c r="C779" s="669"/>
      <c r="D779" s="669"/>
      <c r="E779" s="669"/>
      <c r="F779" s="669"/>
      <c r="G779" s="716"/>
      <c r="H779" s="669"/>
      <c r="I779" s="669"/>
      <c r="J779" s="669"/>
      <c r="K779" s="669"/>
      <c r="L779" s="669"/>
      <c r="M779" s="669"/>
      <c r="N779" s="669"/>
      <c r="O779" s="669"/>
      <c r="P779" s="669"/>
      <c r="Q779" s="669"/>
      <c r="R779" s="669"/>
      <c r="S779" s="669"/>
      <c r="T779" s="669"/>
      <c r="U779" s="669"/>
      <c r="V779" s="669"/>
      <c r="W779" s="669"/>
      <c r="X779" s="669"/>
      <c r="Y779" s="669"/>
      <c r="Z779" s="669"/>
      <c r="AA779" s="669"/>
    </row>
    <row r="780">
      <c r="A780" s="715"/>
      <c r="B780" s="669"/>
      <c r="C780" s="669"/>
      <c r="D780" s="669"/>
      <c r="E780" s="669"/>
      <c r="F780" s="669"/>
      <c r="G780" s="716"/>
      <c r="H780" s="669"/>
      <c r="I780" s="669"/>
      <c r="J780" s="669"/>
      <c r="K780" s="669"/>
      <c r="L780" s="669"/>
      <c r="M780" s="669"/>
      <c r="N780" s="669"/>
      <c r="O780" s="669"/>
      <c r="P780" s="669"/>
      <c r="Q780" s="669"/>
      <c r="R780" s="669"/>
      <c r="S780" s="669"/>
      <c r="T780" s="669"/>
      <c r="U780" s="669"/>
      <c r="V780" s="669"/>
      <c r="W780" s="669"/>
      <c r="X780" s="669"/>
      <c r="Y780" s="669"/>
      <c r="Z780" s="669"/>
      <c r="AA780" s="669"/>
    </row>
    <row r="781">
      <c r="A781" s="715"/>
      <c r="B781" s="669"/>
      <c r="C781" s="669"/>
      <c r="D781" s="669"/>
      <c r="E781" s="669"/>
      <c r="F781" s="669"/>
      <c r="G781" s="716"/>
      <c r="H781" s="669"/>
      <c r="I781" s="669"/>
      <c r="J781" s="669"/>
      <c r="K781" s="669"/>
      <c r="L781" s="669"/>
      <c r="M781" s="669"/>
      <c r="N781" s="669"/>
      <c r="O781" s="669"/>
      <c r="P781" s="669"/>
      <c r="Q781" s="669"/>
      <c r="R781" s="669"/>
      <c r="S781" s="669"/>
      <c r="T781" s="669"/>
      <c r="U781" s="669"/>
      <c r="V781" s="669"/>
      <c r="W781" s="669"/>
      <c r="X781" s="669"/>
      <c r="Y781" s="669"/>
      <c r="Z781" s="669"/>
      <c r="AA781" s="669"/>
    </row>
    <row r="782">
      <c r="A782" s="715"/>
      <c r="B782" s="669"/>
      <c r="C782" s="669"/>
      <c r="D782" s="669"/>
      <c r="E782" s="669"/>
      <c r="F782" s="669"/>
      <c r="G782" s="716"/>
      <c r="H782" s="669"/>
      <c r="I782" s="669"/>
      <c r="J782" s="669"/>
      <c r="K782" s="669"/>
      <c r="L782" s="669"/>
      <c r="M782" s="669"/>
      <c r="N782" s="669"/>
      <c r="O782" s="669"/>
      <c r="P782" s="669"/>
      <c r="Q782" s="669"/>
      <c r="R782" s="669"/>
      <c r="S782" s="669"/>
      <c r="T782" s="669"/>
      <c r="U782" s="669"/>
      <c r="V782" s="669"/>
      <c r="W782" s="669"/>
      <c r="X782" s="669"/>
      <c r="Y782" s="669"/>
      <c r="Z782" s="669"/>
      <c r="AA782" s="669"/>
    </row>
    <row r="783">
      <c r="A783" s="715"/>
      <c r="B783" s="669"/>
      <c r="C783" s="669"/>
      <c r="D783" s="669"/>
      <c r="E783" s="669"/>
      <c r="F783" s="669"/>
      <c r="G783" s="716"/>
      <c r="H783" s="669"/>
      <c r="I783" s="669"/>
      <c r="J783" s="669"/>
      <c r="K783" s="669"/>
      <c r="L783" s="669"/>
      <c r="M783" s="669"/>
      <c r="N783" s="669"/>
      <c r="O783" s="669"/>
      <c r="P783" s="669"/>
      <c r="Q783" s="669"/>
      <c r="R783" s="669"/>
      <c r="S783" s="669"/>
      <c r="T783" s="669"/>
      <c r="U783" s="669"/>
      <c r="V783" s="669"/>
      <c r="W783" s="669"/>
      <c r="X783" s="669"/>
      <c r="Y783" s="669"/>
      <c r="Z783" s="669"/>
      <c r="AA783" s="669"/>
    </row>
    <row r="784">
      <c r="A784" s="715"/>
      <c r="B784" s="669"/>
      <c r="C784" s="669"/>
      <c r="D784" s="669"/>
      <c r="E784" s="669"/>
      <c r="F784" s="669"/>
      <c r="G784" s="716"/>
      <c r="H784" s="669"/>
      <c r="I784" s="669"/>
      <c r="J784" s="669"/>
      <c r="K784" s="669"/>
      <c r="L784" s="669"/>
      <c r="M784" s="669"/>
      <c r="N784" s="669"/>
      <c r="O784" s="669"/>
      <c r="P784" s="669"/>
      <c r="Q784" s="669"/>
      <c r="R784" s="669"/>
      <c r="S784" s="669"/>
      <c r="T784" s="669"/>
      <c r="U784" s="669"/>
      <c r="V784" s="669"/>
      <c r="W784" s="669"/>
      <c r="X784" s="669"/>
      <c r="Y784" s="669"/>
      <c r="Z784" s="669"/>
      <c r="AA784" s="669"/>
    </row>
    <row r="785">
      <c r="A785" s="715"/>
      <c r="B785" s="669"/>
      <c r="C785" s="669"/>
      <c r="D785" s="669"/>
      <c r="E785" s="669"/>
      <c r="F785" s="669"/>
      <c r="G785" s="716"/>
      <c r="H785" s="669"/>
      <c r="I785" s="669"/>
      <c r="J785" s="669"/>
      <c r="K785" s="669"/>
      <c r="L785" s="669"/>
      <c r="M785" s="669"/>
      <c r="N785" s="669"/>
      <c r="O785" s="669"/>
      <c r="P785" s="669"/>
      <c r="Q785" s="669"/>
      <c r="R785" s="669"/>
      <c r="S785" s="669"/>
      <c r="T785" s="669"/>
      <c r="U785" s="669"/>
      <c r="V785" s="669"/>
      <c r="W785" s="669"/>
      <c r="X785" s="669"/>
      <c r="Y785" s="669"/>
      <c r="Z785" s="669"/>
      <c r="AA785" s="669"/>
    </row>
    <row r="786">
      <c r="A786" s="715"/>
      <c r="B786" s="669"/>
      <c r="C786" s="669"/>
      <c r="D786" s="669"/>
      <c r="E786" s="669"/>
      <c r="F786" s="669"/>
      <c r="G786" s="716"/>
      <c r="H786" s="669"/>
      <c r="I786" s="669"/>
      <c r="J786" s="669"/>
      <c r="K786" s="669"/>
      <c r="L786" s="669"/>
      <c r="M786" s="669"/>
      <c r="N786" s="669"/>
      <c r="O786" s="669"/>
      <c r="P786" s="669"/>
      <c r="Q786" s="669"/>
      <c r="R786" s="669"/>
      <c r="S786" s="669"/>
      <c r="T786" s="669"/>
      <c r="U786" s="669"/>
      <c r="V786" s="669"/>
      <c r="W786" s="669"/>
      <c r="X786" s="669"/>
      <c r="Y786" s="669"/>
      <c r="Z786" s="669"/>
      <c r="AA786" s="669"/>
    </row>
    <row r="787">
      <c r="A787" s="715"/>
      <c r="B787" s="669"/>
      <c r="C787" s="669"/>
      <c r="D787" s="669"/>
      <c r="E787" s="669"/>
      <c r="F787" s="669"/>
      <c r="G787" s="716"/>
      <c r="H787" s="669"/>
      <c r="I787" s="669"/>
      <c r="J787" s="669"/>
      <c r="K787" s="669"/>
      <c r="L787" s="669"/>
      <c r="M787" s="669"/>
      <c r="N787" s="669"/>
      <c r="O787" s="669"/>
      <c r="P787" s="669"/>
      <c r="Q787" s="669"/>
      <c r="R787" s="669"/>
      <c r="S787" s="669"/>
      <c r="T787" s="669"/>
      <c r="U787" s="669"/>
      <c r="V787" s="669"/>
      <c r="W787" s="669"/>
      <c r="X787" s="669"/>
      <c r="Y787" s="669"/>
      <c r="Z787" s="669"/>
      <c r="AA787" s="669"/>
    </row>
    <row r="788">
      <c r="A788" s="715"/>
      <c r="B788" s="669"/>
      <c r="C788" s="669"/>
      <c r="D788" s="669"/>
      <c r="E788" s="669"/>
      <c r="F788" s="669"/>
      <c r="G788" s="716"/>
      <c r="H788" s="669"/>
      <c r="I788" s="669"/>
      <c r="J788" s="669"/>
      <c r="K788" s="669"/>
      <c r="L788" s="669"/>
      <c r="M788" s="669"/>
      <c r="N788" s="669"/>
      <c r="O788" s="669"/>
      <c r="P788" s="669"/>
      <c r="Q788" s="669"/>
      <c r="R788" s="669"/>
      <c r="S788" s="669"/>
      <c r="T788" s="669"/>
      <c r="U788" s="669"/>
      <c r="V788" s="669"/>
      <c r="W788" s="669"/>
      <c r="X788" s="669"/>
      <c r="Y788" s="669"/>
      <c r="Z788" s="669"/>
      <c r="AA788" s="669"/>
    </row>
    <row r="789">
      <c r="A789" s="715"/>
      <c r="B789" s="669"/>
      <c r="C789" s="669"/>
      <c r="D789" s="669"/>
      <c r="E789" s="669"/>
      <c r="F789" s="669"/>
      <c r="G789" s="716"/>
      <c r="H789" s="669"/>
      <c r="I789" s="669"/>
      <c r="J789" s="669"/>
      <c r="K789" s="669"/>
      <c r="L789" s="669"/>
      <c r="M789" s="669"/>
      <c r="N789" s="669"/>
      <c r="O789" s="669"/>
      <c r="P789" s="669"/>
      <c r="Q789" s="669"/>
      <c r="R789" s="669"/>
      <c r="S789" s="669"/>
      <c r="T789" s="669"/>
      <c r="U789" s="669"/>
      <c r="V789" s="669"/>
      <c r="W789" s="669"/>
      <c r="X789" s="669"/>
      <c r="Y789" s="669"/>
      <c r="Z789" s="669"/>
      <c r="AA789" s="669"/>
    </row>
    <row r="790">
      <c r="A790" s="715"/>
      <c r="B790" s="669"/>
      <c r="C790" s="669"/>
      <c r="D790" s="669"/>
      <c r="E790" s="669"/>
      <c r="F790" s="669"/>
      <c r="G790" s="716"/>
      <c r="H790" s="669"/>
      <c r="I790" s="669"/>
      <c r="J790" s="669"/>
      <c r="K790" s="669"/>
      <c r="L790" s="669"/>
      <c r="M790" s="669"/>
      <c r="N790" s="669"/>
      <c r="O790" s="669"/>
      <c r="P790" s="669"/>
      <c r="Q790" s="669"/>
      <c r="R790" s="669"/>
      <c r="S790" s="669"/>
      <c r="T790" s="669"/>
      <c r="U790" s="669"/>
      <c r="V790" s="669"/>
      <c r="W790" s="669"/>
      <c r="X790" s="669"/>
      <c r="Y790" s="669"/>
      <c r="Z790" s="669"/>
      <c r="AA790" s="669"/>
    </row>
    <row r="791">
      <c r="A791" s="715"/>
      <c r="B791" s="669"/>
      <c r="C791" s="669"/>
      <c r="D791" s="669"/>
      <c r="E791" s="669"/>
      <c r="F791" s="669"/>
      <c r="G791" s="716"/>
      <c r="H791" s="669"/>
      <c r="I791" s="669"/>
      <c r="J791" s="669"/>
      <c r="K791" s="669"/>
      <c r="L791" s="669"/>
      <c r="M791" s="669"/>
      <c r="N791" s="669"/>
      <c r="O791" s="669"/>
      <c r="P791" s="669"/>
      <c r="Q791" s="669"/>
      <c r="R791" s="669"/>
      <c r="S791" s="669"/>
      <c r="T791" s="669"/>
      <c r="U791" s="669"/>
      <c r="V791" s="669"/>
      <c r="W791" s="669"/>
      <c r="X791" s="669"/>
      <c r="Y791" s="669"/>
      <c r="Z791" s="669"/>
      <c r="AA791" s="669"/>
    </row>
    <row r="792">
      <c r="A792" s="715"/>
      <c r="B792" s="669"/>
      <c r="C792" s="669"/>
      <c r="D792" s="669"/>
      <c r="E792" s="669"/>
      <c r="F792" s="669"/>
      <c r="G792" s="716"/>
      <c r="H792" s="669"/>
      <c r="I792" s="669"/>
      <c r="J792" s="669"/>
      <c r="K792" s="669"/>
      <c r="L792" s="669"/>
      <c r="M792" s="669"/>
      <c r="N792" s="669"/>
      <c r="O792" s="669"/>
      <c r="P792" s="669"/>
      <c r="Q792" s="669"/>
      <c r="R792" s="669"/>
      <c r="S792" s="669"/>
      <c r="T792" s="669"/>
      <c r="U792" s="669"/>
      <c r="V792" s="669"/>
      <c r="W792" s="669"/>
      <c r="X792" s="669"/>
      <c r="Y792" s="669"/>
      <c r="Z792" s="669"/>
      <c r="AA792" s="669"/>
    </row>
    <row r="793">
      <c r="A793" s="715"/>
      <c r="B793" s="669"/>
      <c r="C793" s="669"/>
      <c r="D793" s="669"/>
      <c r="E793" s="669"/>
      <c r="F793" s="669"/>
      <c r="G793" s="716"/>
      <c r="H793" s="669"/>
      <c r="I793" s="669"/>
      <c r="J793" s="669"/>
      <c r="K793" s="669"/>
      <c r="L793" s="669"/>
      <c r="M793" s="669"/>
      <c r="N793" s="669"/>
      <c r="O793" s="669"/>
      <c r="P793" s="669"/>
      <c r="Q793" s="669"/>
      <c r="R793" s="669"/>
      <c r="S793" s="669"/>
      <c r="T793" s="669"/>
      <c r="U793" s="669"/>
      <c r="V793" s="669"/>
      <c r="W793" s="669"/>
      <c r="X793" s="669"/>
      <c r="Y793" s="669"/>
      <c r="Z793" s="669"/>
      <c r="AA793" s="669"/>
    </row>
    <row r="794">
      <c r="A794" s="715"/>
      <c r="B794" s="669"/>
      <c r="C794" s="669"/>
      <c r="D794" s="669"/>
      <c r="E794" s="669"/>
      <c r="F794" s="669"/>
      <c r="G794" s="716"/>
      <c r="H794" s="669"/>
      <c r="I794" s="669"/>
      <c r="J794" s="669"/>
      <c r="K794" s="669"/>
      <c r="L794" s="669"/>
      <c r="M794" s="669"/>
      <c r="N794" s="669"/>
      <c r="O794" s="669"/>
      <c r="P794" s="669"/>
      <c r="Q794" s="669"/>
      <c r="R794" s="669"/>
      <c r="S794" s="669"/>
      <c r="T794" s="669"/>
      <c r="U794" s="669"/>
      <c r="V794" s="669"/>
      <c r="W794" s="669"/>
      <c r="X794" s="669"/>
      <c r="Y794" s="669"/>
      <c r="Z794" s="669"/>
      <c r="AA794" s="669"/>
    </row>
    <row r="795">
      <c r="A795" s="715"/>
      <c r="B795" s="669"/>
      <c r="C795" s="669"/>
      <c r="D795" s="669"/>
      <c r="E795" s="669"/>
      <c r="F795" s="669"/>
      <c r="G795" s="716"/>
      <c r="H795" s="669"/>
      <c r="I795" s="669"/>
      <c r="J795" s="669"/>
      <c r="K795" s="669"/>
      <c r="L795" s="669"/>
      <c r="M795" s="669"/>
      <c r="N795" s="669"/>
      <c r="O795" s="669"/>
      <c r="P795" s="669"/>
      <c r="Q795" s="669"/>
      <c r="R795" s="669"/>
      <c r="S795" s="669"/>
      <c r="T795" s="669"/>
      <c r="U795" s="669"/>
      <c r="V795" s="669"/>
      <c r="W795" s="669"/>
      <c r="X795" s="669"/>
      <c r="Y795" s="669"/>
      <c r="Z795" s="669"/>
      <c r="AA795" s="669"/>
    </row>
    <row r="796">
      <c r="A796" s="715"/>
      <c r="B796" s="669"/>
      <c r="C796" s="669"/>
      <c r="D796" s="669"/>
      <c r="E796" s="669"/>
      <c r="F796" s="669"/>
      <c r="G796" s="716"/>
      <c r="H796" s="669"/>
      <c r="I796" s="669"/>
      <c r="J796" s="669"/>
      <c r="K796" s="669"/>
      <c r="L796" s="669"/>
      <c r="M796" s="669"/>
      <c r="N796" s="669"/>
      <c r="O796" s="669"/>
      <c r="P796" s="669"/>
      <c r="Q796" s="669"/>
      <c r="R796" s="669"/>
      <c r="S796" s="669"/>
      <c r="T796" s="669"/>
      <c r="U796" s="669"/>
      <c r="V796" s="669"/>
      <c r="W796" s="669"/>
      <c r="X796" s="669"/>
      <c r="Y796" s="669"/>
      <c r="Z796" s="669"/>
      <c r="AA796" s="669"/>
    </row>
    <row r="797">
      <c r="A797" s="715"/>
      <c r="B797" s="669"/>
      <c r="C797" s="669"/>
      <c r="D797" s="669"/>
      <c r="E797" s="669"/>
      <c r="F797" s="669"/>
      <c r="G797" s="716"/>
      <c r="H797" s="669"/>
      <c r="I797" s="669"/>
      <c r="J797" s="669"/>
      <c r="K797" s="669"/>
      <c r="L797" s="669"/>
      <c r="M797" s="669"/>
      <c r="N797" s="669"/>
      <c r="O797" s="669"/>
      <c r="P797" s="669"/>
      <c r="Q797" s="669"/>
      <c r="R797" s="669"/>
      <c r="S797" s="669"/>
      <c r="T797" s="669"/>
      <c r="U797" s="669"/>
      <c r="V797" s="669"/>
      <c r="W797" s="669"/>
      <c r="X797" s="669"/>
      <c r="Y797" s="669"/>
      <c r="Z797" s="669"/>
      <c r="AA797" s="669"/>
    </row>
    <row r="798">
      <c r="A798" s="715"/>
      <c r="B798" s="669"/>
      <c r="C798" s="669"/>
      <c r="D798" s="669"/>
      <c r="E798" s="669"/>
      <c r="F798" s="669"/>
      <c r="G798" s="716"/>
      <c r="H798" s="669"/>
      <c r="I798" s="669"/>
      <c r="J798" s="669"/>
      <c r="K798" s="669"/>
      <c r="L798" s="669"/>
      <c r="M798" s="669"/>
      <c r="N798" s="669"/>
      <c r="O798" s="669"/>
      <c r="P798" s="669"/>
      <c r="Q798" s="669"/>
      <c r="R798" s="669"/>
      <c r="S798" s="669"/>
      <c r="T798" s="669"/>
      <c r="U798" s="669"/>
      <c r="V798" s="669"/>
      <c r="W798" s="669"/>
      <c r="X798" s="669"/>
      <c r="Y798" s="669"/>
      <c r="Z798" s="669"/>
      <c r="AA798" s="669"/>
    </row>
    <row r="799">
      <c r="A799" s="715"/>
      <c r="B799" s="669"/>
      <c r="C799" s="669"/>
      <c r="D799" s="669"/>
      <c r="E799" s="669"/>
      <c r="F799" s="669"/>
      <c r="G799" s="716"/>
      <c r="H799" s="669"/>
      <c r="I799" s="669"/>
      <c r="J799" s="669"/>
      <c r="K799" s="669"/>
      <c r="L799" s="669"/>
      <c r="M799" s="669"/>
      <c r="N799" s="669"/>
      <c r="O799" s="669"/>
      <c r="P799" s="669"/>
      <c r="Q799" s="669"/>
      <c r="R799" s="669"/>
      <c r="S799" s="669"/>
      <c r="T799" s="669"/>
      <c r="U799" s="669"/>
      <c r="V799" s="669"/>
      <c r="W799" s="669"/>
      <c r="X799" s="669"/>
      <c r="Y799" s="669"/>
      <c r="Z799" s="669"/>
      <c r="AA799" s="669"/>
    </row>
    <row r="800">
      <c r="A800" s="715"/>
      <c r="B800" s="669"/>
      <c r="C800" s="669"/>
      <c r="D800" s="669"/>
      <c r="E800" s="669"/>
      <c r="F800" s="669"/>
      <c r="G800" s="716"/>
      <c r="H800" s="669"/>
      <c r="I800" s="669"/>
      <c r="J800" s="669"/>
      <c r="K800" s="669"/>
      <c r="L800" s="669"/>
      <c r="M800" s="669"/>
      <c r="N800" s="669"/>
      <c r="O800" s="669"/>
      <c r="P800" s="669"/>
      <c r="Q800" s="669"/>
      <c r="R800" s="669"/>
      <c r="S800" s="669"/>
      <c r="T800" s="669"/>
      <c r="U800" s="669"/>
      <c r="V800" s="669"/>
      <c r="W800" s="669"/>
      <c r="X800" s="669"/>
      <c r="Y800" s="669"/>
      <c r="Z800" s="669"/>
      <c r="AA800" s="669"/>
    </row>
    <row r="801">
      <c r="A801" s="715"/>
      <c r="B801" s="669"/>
      <c r="C801" s="669"/>
      <c r="D801" s="669"/>
      <c r="E801" s="669"/>
      <c r="F801" s="669"/>
      <c r="G801" s="716"/>
      <c r="H801" s="669"/>
      <c r="I801" s="669"/>
      <c r="J801" s="669"/>
      <c r="K801" s="669"/>
      <c r="L801" s="669"/>
      <c r="M801" s="669"/>
      <c r="N801" s="669"/>
      <c r="O801" s="669"/>
      <c r="P801" s="669"/>
      <c r="Q801" s="669"/>
      <c r="R801" s="669"/>
      <c r="S801" s="669"/>
      <c r="T801" s="669"/>
      <c r="U801" s="669"/>
      <c r="V801" s="669"/>
      <c r="W801" s="669"/>
      <c r="X801" s="669"/>
      <c r="Y801" s="669"/>
      <c r="Z801" s="669"/>
      <c r="AA801" s="669"/>
    </row>
    <row r="802">
      <c r="A802" s="715"/>
      <c r="B802" s="669"/>
      <c r="C802" s="669"/>
      <c r="D802" s="669"/>
      <c r="E802" s="669"/>
      <c r="F802" s="669"/>
      <c r="G802" s="716"/>
      <c r="H802" s="669"/>
      <c r="I802" s="669"/>
      <c r="J802" s="669"/>
      <c r="K802" s="669"/>
      <c r="L802" s="669"/>
      <c r="M802" s="669"/>
      <c r="N802" s="669"/>
      <c r="O802" s="669"/>
      <c r="P802" s="669"/>
      <c r="Q802" s="669"/>
      <c r="R802" s="669"/>
      <c r="S802" s="669"/>
      <c r="T802" s="669"/>
      <c r="U802" s="669"/>
      <c r="V802" s="669"/>
      <c r="W802" s="669"/>
      <c r="X802" s="669"/>
      <c r="Y802" s="669"/>
      <c r="Z802" s="669"/>
      <c r="AA802" s="669"/>
    </row>
    <row r="803">
      <c r="A803" s="715"/>
      <c r="B803" s="669"/>
      <c r="C803" s="669"/>
      <c r="D803" s="669"/>
      <c r="E803" s="669"/>
      <c r="F803" s="669"/>
      <c r="G803" s="716"/>
      <c r="H803" s="669"/>
      <c r="I803" s="669"/>
      <c r="J803" s="669"/>
      <c r="K803" s="669"/>
      <c r="L803" s="669"/>
      <c r="M803" s="669"/>
      <c r="N803" s="669"/>
      <c r="O803" s="669"/>
      <c r="P803" s="669"/>
      <c r="Q803" s="669"/>
      <c r="R803" s="669"/>
      <c r="S803" s="669"/>
      <c r="T803" s="669"/>
      <c r="U803" s="669"/>
      <c r="V803" s="669"/>
      <c r="W803" s="669"/>
      <c r="X803" s="669"/>
      <c r="Y803" s="669"/>
      <c r="Z803" s="669"/>
      <c r="AA803" s="669"/>
    </row>
    <row r="804">
      <c r="A804" s="715"/>
      <c r="B804" s="669"/>
      <c r="C804" s="669"/>
      <c r="D804" s="669"/>
      <c r="E804" s="669"/>
      <c r="F804" s="669"/>
      <c r="G804" s="716"/>
      <c r="H804" s="669"/>
      <c r="I804" s="669"/>
      <c r="J804" s="669"/>
      <c r="K804" s="669"/>
      <c r="L804" s="669"/>
      <c r="M804" s="669"/>
      <c r="N804" s="669"/>
      <c r="O804" s="669"/>
      <c r="P804" s="669"/>
      <c r="Q804" s="669"/>
      <c r="R804" s="669"/>
      <c r="S804" s="669"/>
      <c r="T804" s="669"/>
      <c r="U804" s="669"/>
      <c r="V804" s="669"/>
      <c r="W804" s="669"/>
      <c r="X804" s="669"/>
      <c r="Y804" s="669"/>
      <c r="Z804" s="669"/>
      <c r="AA804" s="669"/>
    </row>
    <row r="805">
      <c r="A805" s="715"/>
      <c r="B805" s="669"/>
      <c r="C805" s="669"/>
      <c r="D805" s="669"/>
      <c r="E805" s="669"/>
      <c r="F805" s="669"/>
      <c r="G805" s="716"/>
      <c r="H805" s="669"/>
      <c r="I805" s="669"/>
      <c r="J805" s="669"/>
      <c r="K805" s="669"/>
      <c r="L805" s="669"/>
      <c r="M805" s="669"/>
      <c r="N805" s="669"/>
      <c r="O805" s="669"/>
      <c r="P805" s="669"/>
      <c r="Q805" s="669"/>
      <c r="R805" s="669"/>
      <c r="S805" s="669"/>
      <c r="T805" s="669"/>
      <c r="U805" s="669"/>
      <c r="V805" s="669"/>
      <c r="W805" s="669"/>
      <c r="X805" s="669"/>
      <c r="Y805" s="669"/>
      <c r="Z805" s="669"/>
      <c r="AA805" s="669"/>
    </row>
    <row r="806">
      <c r="A806" s="715"/>
      <c r="B806" s="669"/>
      <c r="C806" s="669"/>
      <c r="D806" s="669"/>
      <c r="E806" s="669"/>
      <c r="F806" s="669"/>
      <c r="G806" s="716"/>
      <c r="H806" s="669"/>
      <c r="I806" s="669"/>
      <c r="J806" s="669"/>
      <c r="K806" s="669"/>
      <c r="L806" s="669"/>
      <c r="M806" s="669"/>
      <c r="N806" s="669"/>
      <c r="O806" s="669"/>
      <c r="P806" s="669"/>
      <c r="Q806" s="669"/>
      <c r="R806" s="669"/>
      <c r="S806" s="669"/>
      <c r="T806" s="669"/>
      <c r="U806" s="669"/>
      <c r="V806" s="669"/>
      <c r="W806" s="669"/>
      <c r="X806" s="669"/>
      <c r="Y806" s="669"/>
      <c r="Z806" s="669"/>
      <c r="AA806" s="669"/>
    </row>
    <row r="807">
      <c r="A807" s="715"/>
      <c r="B807" s="669"/>
      <c r="C807" s="669"/>
      <c r="D807" s="669"/>
      <c r="E807" s="669"/>
      <c r="F807" s="669"/>
      <c r="G807" s="716"/>
      <c r="H807" s="669"/>
      <c r="I807" s="669"/>
      <c r="J807" s="669"/>
      <c r="K807" s="669"/>
      <c r="L807" s="669"/>
      <c r="M807" s="669"/>
      <c r="N807" s="669"/>
      <c r="O807" s="669"/>
      <c r="P807" s="669"/>
      <c r="Q807" s="669"/>
      <c r="R807" s="669"/>
      <c r="S807" s="669"/>
      <c r="T807" s="669"/>
      <c r="U807" s="669"/>
      <c r="V807" s="669"/>
      <c r="W807" s="669"/>
      <c r="X807" s="669"/>
      <c r="Y807" s="669"/>
      <c r="Z807" s="669"/>
      <c r="AA807" s="669"/>
    </row>
    <row r="808">
      <c r="A808" s="715"/>
      <c r="B808" s="669"/>
      <c r="C808" s="669"/>
      <c r="D808" s="669"/>
      <c r="E808" s="669"/>
      <c r="F808" s="669"/>
      <c r="G808" s="716"/>
      <c r="H808" s="669"/>
      <c r="I808" s="669"/>
      <c r="J808" s="669"/>
      <c r="K808" s="669"/>
      <c r="L808" s="669"/>
      <c r="M808" s="669"/>
      <c r="N808" s="669"/>
      <c r="O808" s="669"/>
      <c r="P808" s="669"/>
      <c r="Q808" s="669"/>
      <c r="R808" s="669"/>
      <c r="S808" s="669"/>
      <c r="T808" s="669"/>
      <c r="U808" s="669"/>
      <c r="V808" s="669"/>
      <c r="W808" s="669"/>
      <c r="X808" s="669"/>
      <c r="Y808" s="669"/>
      <c r="Z808" s="669"/>
      <c r="AA808" s="669"/>
    </row>
    <row r="809">
      <c r="A809" s="715"/>
      <c r="B809" s="669"/>
      <c r="C809" s="669"/>
      <c r="D809" s="669"/>
      <c r="E809" s="669"/>
      <c r="F809" s="669"/>
      <c r="G809" s="716"/>
      <c r="H809" s="669"/>
      <c r="I809" s="669"/>
      <c r="J809" s="669"/>
      <c r="K809" s="669"/>
      <c r="L809" s="669"/>
      <c r="M809" s="669"/>
      <c r="N809" s="669"/>
      <c r="O809" s="669"/>
      <c r="P809" s="669"/>
      <c r="Q809" s="669"/>
      <c r="R809" s="669"/>
      <c r="S809" s="669"/>
      <c r="T809" s="669"/>
      <c r="U809" s="669"/>
      <c r="V809" s="669"/>
      <c r="W809" s="669"/>
      <c r="X809" s="669"/>
      <c r="Y809" s="669"/>
      <c r="Z809" s="669"/>
      <c r="AA809" s="669"/>
    </row>
    <row r="810">
      <c r="A810" s="715"/>
      <c r="B810" s="669"/>
      <c r="C810" s="669"/>
      <c r="D810" s="669"/>
      <c r="E810" s="669"/>
      <c r="F810" s="669"/>
      <c r="G810" s="716"/>
      <c r="H810" s="669"/>
      <c r="I810" s="669"/>
      <c r="J810" s="669"/>
      <c r="K810" s="669"/>
      <c r="L810" s="669"/>
      <c r="M810" s="669"/>
      <c r="N810" s="669"/>
      <c r="O810" s="669"/>
      <c r="P810" s="669"/>
      <c r="Q810" s="669"/>
      <c r="R810" s="669"/>
      <c r="S810" s="669"/>
      <c r="T810" s="669"/>
      <c r="U810" s="669"/>
      <c r="V810" s="669"/>
      <c r="W810" s="669"/>
      <c r="X810" s="669"/>
      <c r="Y810" s="669"/>
      <c r="Z810" s="669"/>
      <c r="AA810" s="669"/>
    </row>
    <row r="811">
      <c r="A811" s="715"/>
      <c r="B811" s="669"/>
      <c r="C811" s="669"/>
      <c r="D811" s="669"/>
      <c r="E811" s="669"/>
      <c r="F811" s="669"/>
      <c r="G811" s="716"/>
      <c r="H811" s="669"/>
      <c r="I811" s="669"/>
      <c r="J811" s="669"/>
      <c r="K811" s="669"/>
      <c r="L811" s="669"/>
      <c r="M811" s="669"/>
      <c r="N811" s="669"/>
      <c r="O811" s="669"/>
      <c r="P811" s="669"/>
      <c r="Q811" s="669"/>
      <c r="R811" s="669"/>
      <c r="S811" s="669"/>
      <c r="T811" s="669"/>
      <c r="U811" s="669"/>
      <c r="V811" s="669"/>
      <c r="W811" s="669"/>
      <c r="X811" s="669"/>
      <c r="Y811" s="669"/>
      <c r="Z811" s="669"/>
      <c r="AA811" s="669"/>
    </row>
    <row r="812">
      <c r="A812" s="715"/>
      <c r="B812" s="669"/>
      <c r="C812" s="669"/>
      <c r="D812" s="669"/>
      <c r="E812" s="669"/>
      <c r="F812" s="669"/>
      <c r="G812" s="716"/>
      <c r="H812" s="669"/>
      <c r="I812" s="669"/>
      <c r="J812" s="669"/>
      <c r="K812" s="669"/>
      <c r="L812" s="669"/>
      <c r="M812" s="669"/>
      <c r="N812" s="669"/>
      <c r="O812" s="669"/>
      <c r="P812" s="669"/>
      <c r="Q812" s="669"/>
      <c r="R812" s="669"/>
      <c r="S812" s="669"/>
      <c r="T812" s="669"/>
      <c r="U812" s="669"/>
      <c r="V812" s="669"/>
      <c r="W812" s="669"/>
      <c r="X812" s="669"/>
      <c r="Y812" s="669"/>
      <c r="Z812" s="669"/>
      <c r="AA812" s="669"/>
    </row>
    <row r="813">
      <c r="A813" s="715"/>
      <c r="B813" s="669"/>
      <c r="C813" s="669"/>
      <c r="D813" s="669"/>
      <c r="E813" s="669"/>
      <c r="F813" s="669"/>
      <c r="G813" s="716"/>
      <c r="H813" s="669"/>
      <c r="I813" s="669"/>
      <c r="J813" s="669"/>
      <c r="K813" s="669"/>
      <c r="L813" s="669"/>
      <c r="M813" s="669"/>
      <c r="N813" s="669"/>
      <c r="O813" s="669"/>
      <c r="P813" s="669"/>
      <c r="Q813" s="669"/>
      <c r="R813" s="669"/>
      <c r="S813" s="669"/>
      <c r="T813" s="669"/>
      <c r="U813" s="669"/>
      <c r="V813" s="669"/>
      <c r="W813" s="669"/>
      <c r="X813" s="669"/>
      <c r="Y813" s="669"/>
      <c r="Z813" s="669"/>
      <c r="AA813" s="669"/>
    </row>
    <row r="814">
      <c r="A814" s="715"/>
      <c r="B814" s="669"/>
      <c r="C814" s="669"/>
      <c r="D814" s="669"/>
      <c r="E814" s="669"/>
      <c r="F814" s="669"/>
      <c r="G814" s="716"/>
      <c r="H814" s="669"/>
      <c r="I814" s="669"/>
      <c r="J814" s="669"/>
      <c r="K814" s="669"/>
      <c r="L814" s="669"/>
      <c r="M814" s="669"/>
      <c r="N814" s="669"/>
      <c r="O814" s="669"/>
      <c r="P814" s="669"/>
      <c r="Q814" s="669"/>
      <c r="R814" s="669"/>
      <c r="S814" s="669"/>
      <c r="T814" s="669"/>
      <c r="U814" s="669"/>
      <c r="V814" s="669"/>
      <c r="W814" s="669"/>
      <c r="X814" s="669"/>
      <c r="Y814" s="669"/>
      <c r="Z814" s="669"/>
      <c r="AA814" s="669"/>
    </row>
    <row r="815">
      <c r="A815" s="715"/>
      <c r="B815" s="669"/>
      <c r="C815" s="669"/>
      <c r="D815" s="669"/>
      <c r="E815" s="669"/>
      <c r="F815" s="669"/>
      <c r="G815" s="716"/>
      <c r="H815" s="669"/>
      <c r="I815" s="669"/>
      <c r="J815" s="669"/>
      <c r="K815" s="669"/>
      <c r="L815" s="669"/>
      <c r="M815" s="669"/>
      <c r="N815" s="669"/>
      <c r="O815" s="669"/>
      <c r="P815" s="669"/>
      <c r="Q815" s="669"/>
      <c r="R815" s="669"/>
      <c r="S815" s="669"/>
      <c r="T815" s="669"/>
      <c r="U815" s="669"/>
      <c r="V815" s="669"/>
      <c r="W815" s="669"/>
      <c r="X815" s="669"/>
      <c r="Y815" s="669"/>
      <c r="Z815" s="669"/>
      <c r="AA815" s="669"/>
    </row>
    <row r="816">
      <c r="A816" s="715"/>
      <c r="B816" s="669"/>
      <c r="C816" s="669"/>
      <c r="D816" s="669"/>
      <c r="E816" s="669"/>
      <c r="F816" s="669"/>
      <c r="G816" s="716"/>
      <c r="H816" s="669"/>
      <c r="I816" s="669"/>
      <c r="J816" s="669"/>
      <c r="K816" s="669"/>
      <c r="L816" s="669"/>
      <c r="M816" s="669"/>
      <c r="N816" s="669"/>
      <c r="O816" s="669"/>
      <c r="P816" s="669"/>
      <c r="Q816" s="669"/>
      <c r="R816" s="669"/>
      <c r="S816" s="669"/>
      <c r="T816" s="669"/>
      <c r="U816" s="669"/>
      <c r="V816" s="669"/>
      <c r="W816" s="669"/>
      <c r="X816" s="669"/>
      <c r="Y816" s="669"/>
      <c r="Z816" s="669"/>
      <c r="AA816" s="669"/>
    </row>
    <row r="817">
      <c r="A817" s="715"/>
      <c r="B817" s="669"/>
      <c r="C817" s="669"/>
      <c r="D817" s="669"/>
      <c r="E817" s="669"/>
      <c r="F817" s="669"/>
      <c r="G817" s="716"/>
      <c r="H817" s="669"/>
      <c r="I817" s="669"/>
      <c r="J817" s="669"/>
      <c r="K817" s="669"/>
      <c r="L817" s="669"/>
      <c r="M817" s="669"/>
      <c r="N817" s="669"/>
      <c r="O817" s="669"/>
      <c r="P817" s="669"/>
      <c r="Q817" s="669"/>
      <c r="R817" s="669"/>
      <c r="S817" s="669"/>
      <c r="T817" s="669"/>
      <c r="U817" s="669"/>
      <c r="V817" s="669"/>
      <c r="W817" s="669"/>
      <c r="X817" s="669"/>
      <c r="Y817" s="669"/>
      <c r="Z817" s="669"/>
      <c r="AA817" s="669"/>
    </row>
    <row r="818">
      <c r="A818" s="715"/>
      <c r="B818" s="669"/>
      <c r="C818" s="669"/>
      <c r="D818" s="669"/>
      <c r="E818" s="669"/>
      <c r="F818" s="669"/>
      <c r="G818" s="716"/>
      <c r="H818" s="669"/>
      <c r="I818" s="669"/>
      <c r="J818" s="669"/>
      <c r="K818" s="669"/>
      <c r="L818" s="669"/>
      <c r="M818" s="669"/>
      <c r="N818" s="669"/>
      <c r="O818" s="669"/>
      <c r="P818" s="669"/>
      <c r="Q818" s="669"/>
      <c r="R818" s="669"/>
      <c r="S818" s="669"/>
      <c r="T818" s="669"/>
      <c r="U818" s="669"/>
      <c r="V818" s="669"/>
      <c r="W818" s="669"/>
      <c r="X818" s="669"/>
      <c r="Y818" s="669"/>
      <c r="Z818" s="669"/>
      <c r="AA818" s="669"/>
    </row>
    <row r="819">
      <c r="A819" s="715"/>
      <c r="B819" s="669"/>
      <c r="C819" s="669"/>
      <c r="D819" s="669"/>
      <c r="E819" s="669"/>
      <c r="F819" s="669"/>
      <c r="G819" s="716"/>
      <c r="H819" s="669"/>
      <c r="I819" s="669"/>
      <c r="J819" s="669"/>
      <c r="K819" s="669"/>
      <c r="L819" s="669"/>
      <c r="M819" s="669"/>
      <c r="N819" s="669"/>
      <c r="O819" s="669"/>
      <c r="P819" s="669"/>
      <c r="Q819" s="669"/>
      <c r="R819" s="669"/>
      <c r="S819" s="669"/>
      <c r="T819" s="669"/>
      <c r="U819" s="669"/>
      <c r="V819" s="669"/>
      <c r="W819" s="669"/>
      <c r="X819" s="669"/>
      <c r="Y819" s="669"/>
      <c r="Z819" s="669"/>
      <c r="AA819" s="669"/>
    </row>
    <row r="820">
      <c r="A820" s="715"/>
      <c r="B820" s="669"/>
      <c r="C820" s="669"/>
      <c r="D820" s="669"/>
      <c r="E820" s="669"/>
      <c r="F820" s="669"/>
      <c r="G820" s="716"/>
      <c r="H820" s="669"/>
      <c r="I820" s="669"/>
      <c r="J820" s="669"/>
      <c r="K820" s="669"/>
      <c r="L820" s="669"/>
      <c r="M820" s="669"/>
      <c r="N820" s="669"/>
      <c r="O820" s="669"/>
      <c r="P820" s="669"/>
      <c r="Q820" s="669"/>
      <c r="R820" s="669"/>
      <c r="S820" s="669"/>
      <c r="T820" s="669"/>
      <c r="U820" s="669"/>
      <c r="V820" s="669"/>
      <c r="W820" s="669"/>
      <c r="X820" s="669"/>
      <c r="Y820" s="669"/>
      <c r="Z820" s="669"/>
      <c r="AA820" s="669"/>
    </row>
    <row r="821">
      <c r="A821" s="715"/>
      <c r="B821" s="669"/>
      <c r="C821" s="669"/>
      <c r="D821" s="669"/>
      <c r="E821" s="669"/>
      <c r="F821" s="669"/>
      <c r="G821" s="716"/>
      <c r="H821" s="669"/>
      <c r="I821" s="669"/>
      <c r="J821" s="669"/>
      <c r="K821" s="669"/>
      <c r="L821" s="669"/>
      <c r="M821" s="669"/>
      <c r="N821" s="669"/>
      <c r="O821" s="669"/>
      <c r="P821" s="669"/>
      <c r="Q821" s="669"/>
      <c r="R821" s="669"/>
      <c r="S821" s="669"/>
      <c r="T821" s="669"/>
      <c r="U821" s="669"/>
      <c r="V821" s="669"/>
      <c r="W821" s="669"/>
      <c r="X821" s="669"/>
      <c r="Y821" s="669"/>
      <c r="Z821" s="669"/>
      <c r="AA821" s="669"/>
    </row>
    <row r="822">
      <c r="A822" s="715"/>
      <c r="B822" s="669"/>
      <c r="C822" s="669"/>
      <c r="D822" s="669"/>
      <c r="E822" s="669"/>
      <c r="F822" s="669"/>
      <c r="G822" s="716"/>
      <c r="H822" s="669"/>
      <c r="I822" s="669"/>
      <c r="J822" s="669"/>
      <c r="K822" s="669"/>
      <c r="L822" s="669"/>
      <c r="M822" s="669"/>
      <c r="N822" s="669"/>
      <c r="O822" s="669"/>
      <c r="P822" s="669"/>
      <c r="Q822" s="669"/>
      <c r="R822" s="669"/>
      <c r="S822" s="669"/>
      <c r="T822" s="669"/>
      <c r="U822" s="669"/>
      <c r="V822" s="669"/>
      <c r="W822" s="669"/>
      <c r="X822" s="669"/>
      <c r="Y822" s="669"/>
      <c r="Z822" s="669"/>
      <c r="AA822" s="669"/>
    </row>
    <row r="823">
      <c r="A823" s="715"/>
      <c r="B823" s="669"/>
      <c r="C823" s="669"/>
      <c r="D823" s="669"/>
      <c r="E823" s="669"/>
      <c r="F823" s="669"/>
      <c r="G823" s="716"/>
      <c r="H823" s="669"/>
      <c r="I823" s="669"/>
      <c r="J823" s="669"/>
      <c r="K823" s="669"/>
      <c r="L823" s="669"/>
      <c r="M823" s="669"/>
      <c r="N823" s="669"/>
      <c r="O823" s="669"/>
      <c r="P823" s="669"/>
      <c r="Q823" s="669"/>
      <c r="R823" s="669"/>
      <c r="S823" s="669"/>
      <c r="T823" s="669"/>
      <c r="U823" s="669"/>
      <c r="V823" s="669"/>
      <c r="W823" s="669"/>
      <c r="X823" s="669"/>
      <c r="Y823" s="669"/>
      <c r="Z823" s="669"/>
      <c r="AA823" s="669"/>
    </row>
    <row r="824">
      <c r="A824" s="715"/>
      <c r="B824" s="669"/>
      <c r="C824" s="669"/>
      <c r="D824" s="669"/>
      <c r="E824" s="669"/>
      <c r="F824" s="669"/>
      <c r="G824" s="716"/>
      <c r="H824" s="669"/>
      <c r="I824" s="669"/>
      <c r="J824" s="669"/>
      <c r="K824" s="669"/>
      <c r="L824" s="669"/>
      <c r="M824" s="669"/>
      <c r="N824" s="669"/>
      <c r="O824" s="669"/>
      <c r="P824" s="669"/>
      <c r="Q824" s="669"/>
      <c r="R824" s="669"/>
      <c r="S824" s="669"/>
      <c r="T824" s="669"/>
      <c r="U824" s="669"/>
      <c r="V824" s="669"/>
      <c r="W824" s="669"/>
      <c r="X824" s="669"/>
      <c r="Y824" s="669"/>
      <c r="Z824" s="669"/>
      <c r="AA824" s="669"/>
    </row>
    <row r="825">
      <c r="A825" s="715"/>
      <c r="B825" s="669"/>
      <c r="C825" s="669"/>
      <c r="D825" s="669"/>
      <c r="E825" s="669"/>
      <c r="F825" s="669"/>
      <c r="G825" s="716"/>
      <c r="H825" s="669"/>
      <c r="I825" s="669"/>
      <c r="J825" s="669"/>
      <c r="K825" s="669"/>
      <c r="L825" s="669"/>
      <c r="M825" s="669"/>
      <c r="N825" s="669"/>
      <c r="O825" s="669"/>
      <c r="P825" s="669"/>
      <c r="Q825" s="669"/>
      <c r="R825" s="669"/>
      <c r="S825" s="669"/>
      <c r="T825" s="669"/>
      <c r="U825" s="669"/>
      <c r="V825" s="669"/>
      <c r="W825" s="669"/>
      <c r="X825" s="669"/>
      <c r="Y825" s="669"/>
      <c r="Z825" s="669"/>
      <c r="AA825" s="669"/>
    </row>
    <row r="826">
      <c r="A826" s="715"/>
      <c r="B826" s="669"/>
      <c r="C826" s="669"/>
      <c r="D826" s="669"/>
      <c r="E826" s="669"/>
      <c r="F826" s="669"/>
      <c r="G826" s="716"/>
      <c r="H826" s="669"/>
      <c r="I826" s="669"/>
      <c r="J826" s="669"/>
      <c r="K826" s="669"/>
      <c r="L826" s="669"/>
      <c r="M826" s="669"/>
      <c r="N826" s="669"/>
      <c r="O826" s="669"/>
      <c r="P826" s="669"/>
      <c r="Q826" s="669"/>
      <c r="R826" s="669"/>
      <c r="S826" s="669"/>
      <c r="T826" s="669"/>
      <c r="U826" s="669"/>
      <c r="V826" s="669"/>
      <c r="W826" s="669"/>
      <c r="X826" s="669"/>
      <c r="Y826" s="669"/>
      <c r="Z826" s="669"/>
      <c r="AA826" s="669"/>
    </row>
    <row r="827">
      <c r="A827" s="715"/>
      <c r="B827" s="669"/>
      <c r="C827" s="669"/>
      <c r="D827" s="669"/>
      <c r="E827" s="669"/>
      <c r="F827" s="669"/>
      <c r="G827" s="716"/>
      <c r="H827" s="669"/>
      <c r="I827" s="669"/>
      <c r="J827" s="669"/>
      <c r="K827" s="669"/>
      <c r="L827" s="669"/>
      <c r="M827" s="669"/>
      <c r="N827" s="669"/>
      <c r="O827" s="669"/>
      <c r="P827" s="669"/>
      <c r="Q827" s="669"/>
      <c r="R827" s="669"/>
      <c r="S827" s="669"/>
      <c r="T827" s="669"/>
      <c r="U827" s="669"/>
      <c r="V827" s="669"/>
      <c r="W827" s="669"/>
      <c r="X827" s="669"/>
      <c r="Y827" s="669"/>
      <c r="Z827" s="669"/>
      <c r="AA827" s="669"/>
    </row>
    <row r="828">
      <c r="A828" s="715"/>
      <c r="B828" s="669"/>
      <c r="C828" s="669"/>
      <c r="D828" s="669"/>
      <c r="E828" s="669"/>
      <c r="F828" s="669"/>
      <c r="G828" s="716"/>
      <c r="H828" s="669"/>
      <c r="I828" s="669"/>
      <c r="J828" s="669"/>
      <c r="K828" s="669"/>
      <c r="L828" s="669"/>
      <c r="M828" s="669"/>
      <c r="N828" s="669"/>
      <c r="O828" s="669"/>
      <c r="P828" s="669"/>
      <c r="Q828" s="669"/>
      <c r="R828" s="669"/>
      <c r="S828" s="669"/>
      <c r="T828" s="669"/>
      <c r="U828" s="669"/>
      <c r="V828" s="669"/>
      <c r="W828" s="669"/>
      <c r="X828" s="669"/>
      <c r="Y828" s="669"/>
      <c r="Z828" s="669"/>
      <c r="AA828" s="669"/>
    </row>
    <row r="829">
      <c r="A829" s="715"/>
      <c r="B829" s="669"/>
      <c r="C829" s="669"/>
      <c r="D829" s="669"/>
      <c r="E829" s="669"/>
      <c r="F829" s="669"/>
      <c r="G829" s="716"/>
      <c r="H829" s="669"/>
      <c r="I829" s="669"/>
      <c r="J829" s="669"/>
      <c r="K829" s="669"/>
      <c r="L829" s="669"/>
      <c r="M829" s="669"/>
      <c r="N829" s="669"/>
      <c r="O829" s="669"/>
      <c r="P829" s="669"/>
      <c r="Q829" s="669"/>
      <c r="R829" s="669"/>
      <c r="S829" s="669"/>
      <c r="T829" s="669"/>
      <c r="U829" s="669"/>
      <c r="V829" s="669"/>
      <c r="W829" s="669"/>
      <c r="X829" s="669"/>
      <c r="Y829" s="669"/>
      <c r="Z829" s="669"/>
      <c r="AA829" s="669"/>
    </row>
    <row r="830">
      <c r="A830" s="715"/>
      <c r="B830" s="669"/>
      <c r="C830" s="669"/>
      <c r="D830" s="669"/>
      <c r="E830" s="669"/>
      <c r="F830" s="669"/>
      <c r="G830" s="716"/>
      <c r="H830" s="669"/>
      <c r="I830" s="669"/>
      <c r="J830" s="669"/>
      <c r="K830" s="669"/>
      <c r="L830" s="669"/>
      <c r="M830" s="669"/>
      <c r="N830" s="669"/>
      <c r="O830" s="669"/>
      <c r="P830" s="669"/>
      <c r="Q830" s="669"/>
      <c r="R830" s="669"/>
      <c r="S830" s="669"/>
      <c r="T830" s="669"/>
      <c r="U830" s="669"/>
      <c r="V830" s="669"/>
      <c r="W830" s="669"/>
      <c r="X830" s="669"/>
      <c r="Y830" s="669"/>
      <c r="Z830" s="669"/>
      <c r="AA830" s="669"/>
    </row>
    <row r="831">
      <c r="A831" s="715"/>
      <c r="B831" s="669"/>
      <c r="C831" s="669"/>
      <c r="D831" s="669"/>
      <c r="E831" s="669"/>
      <c r="F831" s="669"/>
      <c r="G831" s="716"/>
      <c r="H831" s="669"/>
      <c r="I831" s="669"/>
      <c r="J831" s="669"/>
      <c r="K831" s="669"/>
      <c r="L831" s="669"/>
      <c r="M831" s="669"/>
      <c r="N831" s="669"/>
      <c r="O831" s="669"/>
      <c r="P831" s="669"/>
      <c r="Q831" s="669"/>
      <c r="R831" s="669"/>
      <c r="S831" s="669"/>
      <c r="T831" s="669"/>
      <c r="U831" s="669"/>
      <c r="V831" s="669"/>
      <c r="W831" s="669"/>
      <c r="X831" s="669"/>
      <c r="Y831" s="669"/>
      <c r="Z831" s="669"/>
      <c r="AA831" s="669"/>
    </row>
    <row r="832">
      <c r="A832" s="715"/>
      <c r="B832" s="669"/>
      <c r="C832" s="669"/>
      <c r="D832" s="669"/>
      <c r="E832" s="669"/>
      <c r="F832" s="669"/>
      <c r="G832" s="716"/>
      <c r="H832" s="669"/>
      <c r="I832" s="669"/>
      <c r="J832" s="669"/>
      <c r="K832" s="669"/>
      <c r="L832" s="669"/>
      <c r="M832" s="669"/>
      <c r="N832" s="669"/>
      <c r="O832" s="669"/>
      <c r="P832" s="669"/>
      <c r="Q832" s="669"/>
      <c r="R832" s="669"/>
      <c r="S832" s="669"/>
      <c r="T832" s="669"/>
      <c r="U832" s="669"/>
      <c r="V832" s="669"/>
      <c r="W832" s="669"/>
      <c r="X832" s="669"/>
      <c r="Y832" s="669"/>
      <c r="Z832" s="669"/>
      <c r="AA832" s="669"/>
    </row>
    <row r="833">
      <c r="A833" s="715"/>
      <c r="B833" s="669"/>
      <c r="C833" s="669"/>
      <c r="D833" s="669"/>
      <c r="E833" s="669"/>
      <c r="F833" s="669"/>
      <c r="G833" s="716"/>
      <c r="H833" s="669"/>
      <c r="I833" s="669"/>
      <c r="J833" s="669"/>
      <c r="K833" s="669"/>
      <c r="L833" s="669"/>
      <c r="M833" s="669"/>
      <c r="N833" s="669"/>
      <c r="O833" s="669"/>
      <c r="P833" s="669"/>
      <c r="Q833" s="669"/>
      <c r="R833" s="669"/>
      <c r="S833" s="669"/>
      <c r="T833" s="669"/>
      <c r="U833" s="669"/>
      <c r="V833" s="669"/>
      <c r="W833" s="669"/>
      <c r="X833" s="669"/>
      <c r="Y833" s="669"/>
      <c r="Z833" s="669"/>
      <c r="AA833" s="669"/>
    </row>
    <row r="834">
      <c r="A834" s="715"/>
      <c r="B834" s="669"/>
      <c r="C834" s="669"/>
      <c r="D834" s="669"/>
      <c r="E834" s="669"/>
      <c r="F834" s="669"/>
      <c r="G834" s="716"/>
      <c r="H834" s="669"/>
      <c r="I834" s="669"/>
      <c r="J834" s="669"/>
      <c r="K834" s="669"/>
      <c r="L834" s="669"/>
      <c r="M834" s="669"/>
      <c r="N834" s="669"/>
      <c r="O834" s="669"/>
      <c r="P834" s="669"/>
      <c r="Q834" s="669"/>
      <c r="R834" s="669"/>
      <c r="S834" s="669"/>
      <c r="T834" s="669"/>
      <c r="U834" s="669"/>
      <c r="V834" s="669"/>
      <c r="W834" s="669"/>
      <c r="X834" s="669"/>
      <c r="Y834" s="669"/>
      <c r="Z834" s="669"/>
      <c r="AA834" s="669"/>
    </row>
    <row r="835">
      <c r="A835" s="715"/>
      <c r="B835" s="669"/>
      <c r="C835" s="669"/>
      <c r="D835" s="669"/>
      <c r="E835" s="669"/>
      <c r="F835" s="669"/>
      <c r="G835" s="716"/>
      <c r="H835" s="669"/>
      <c r="I835" s="669"/>
      <c r="J835" s="669"/>
      <c r="K835" s="669"/>
      <c r="L835" s="669"/>
      <c r="M835" s="669"/>
      <c r="N835" s="669"/>
      <c r="O835" s="669"/>
      <c r="P835" s="669"/>
      <c r="Q835" s="669"/>
      <c r="R835" s="669"/>
      <c r="S835" s="669"/>
      <c r="T835" s="669"/>
      <c r="U835" s="669"/>
      <c r="V835" s="669"/>
      <c r="W835" s="669"/>
      <c r="X835" s="669"/>
      <c r="Y835" s="669"/>
      <c r="Z835" s="669"/>
      <c r="AA835" s="669"/>
    </row>
    <row r="836">
      <c r="A836" s="715"/>
      <c r="B836" s="669"/>
      <c r="C836" s="669"/>
      <c r="D836" s="669"/>
      <c r="E836" s="669"/>
      <c r="F836" s="669"/>
      <c r="G836" s="716"/>
      <c r="H836" s="669"/>
      <c r="I836" s="669"/>
      <c r="J836" s="669"/>
      <c r="K836" s="669"/>
      <c r="L836" s="669"/>
      <c r="M836" s="669"/>
      <c r="N836" s="669"/>
      <c r="O836" s="669"/>
      <c r="P836" s="669"/>
      <c r="Q836" s="669"/>
      <c r="R836" s="669"/>
      <c r="S836" s="669"/>
      <c r="T836" s="669"/>
      <c r="U836" s="669"/>
      <c r="V836" s="669"/>
      <c r="W836" s="669"/>
      <c r="X836" s="669"/>
      <c r="Y836" s="669"/>
      <c r="Z836" s="669"/>
      <c r="AA836" s="669"/>
    </row>
    <row r="837">
      <c r="A837" s="715"/>
      <c r="B837" s="669"/>
      <c r="C837" s="669"/>
      <c r="D837" s="669"/>
      <c r="E837" s="669"/>
      <c r="F837" s="669"/>
      <c r="G837" s="716"/>
      <c r="H837" s="669"/>
      <c r="I837" s="669"/>
      <c r="J837" s="669"/>
      <c r="K837" s="669"/>
      <c r="L837" s="669"/>
      <c r="M837" s="669"/>
      <c r="N837" s="669"/>
      <c r="O837" s="669"/>
      <c r="P837" s="669"/>
      <c r="Q837" s="669"/>
      <c r="R837" s="669"/>
      <c r="S837" s="669"/>
      <c r="T837" s="669"/>
      <c r="U837" s="669"/>
      <c r="V837" s="669"/>
      <c r="W837" s="669"/>
      <c r="X837" s="669"/>
      <c r="Y837" s="669"/>
      <c r="Z837" s="669"/>
      <c r="AA837" s="669"/>
    </row>
    <row r="838">
      <c r="A838" s="715"/>
      <c r="B838" s="669"/>
      <c r="C838" s="669"/>
      <c r="D838" s="669"/>
      <c r="E838" s="669"/>
      <c r="F838" s="669"/>
      <c r="G838" s="716"/>
      <c r="H838" s="669"/>
      <c r="I838" s="669"/>
      <c r="J838" s="669"/>
      <c r="K838" s="669"/>
      <c r="L838" s="669"/>
      <c r="M838" s="669"/>
      <c r="N838" s="669"/>
      <c r="O838" s="669"/>
      <c r="P838" s="669"/>
      <c r="Q838" s="669"/>
      <c r="R838" s="669"/>
      <c r="S838" s="669"/>
      <c r="T838" s="669"/>
      <c r="U838" s="669"/>
      <c r="V838" s="669"/>
      <c r="W838" s="669"/>
      <c r="X838" s="669"/>
      <c r="Y838" s="669"/>
      <c r="Z838" s="669"/>
      <c r="AA838" s="669"/>
    </row>
    <row r="839">
      <c r="A839" s="715"/>
      <c r="B839" s="669"/>
      <c r="C839" s="669"/>
      <c r="D839" s="669"/>
      <c r="E839" s="669"/>
      <c r="F839" s="669"/>
      <c r="G839" s="716"/>
      <c r="H839" s="669"/>
      <c r="I839" s="669"/>
      <c r="J839" s="669"/>
      <c r="K839" s="669"/>
      <c r="L839" s="669"/>
      <c r="M839" s="669"/>
      <c r="N839" s="669"/>
      <c r="O839" s="669"/>
      <c r="P839" s="669"/>
      <c r="Q839" s="669"/>
      <c r="R839" s="669"/>
      <c r="S839" s="669"/>
      <c r="T839" s="669"/>
      <c r="U839" s="669"/>
      <c r="V839" s="669"/>
      <c r="W839" s="669"/>
      <c r="X839" s="669"/>
      <c r="Y839" s="669"/>
      <c r="Z839" s="669"/>
      <c r="AA839" s="669"/>
    </row>
    <row r="840">
      <c r="A840" s="715"/>
      <c r="B840" s="669"/>
      <c r="C840" s="669"/>
      <c r="D840" s="669"/>
      <c r="E840" s="669"/>
      <c r="F840" s="669"/>
      <c r="G840" s="716"/>
      <c r="H840" s="669"/>
      <c r="I840" s="669"/>
      <c r="J840" s="669"/>
      <c r="K840" s="669"/>
      <c r="L840" s="669"/>
      <c r="M840" s="669"/>
      <c r="N840" s="669"/>
      <c r="O840" s="669"/>
      <c r="P840" s="669"/>
      <c r="Q840" s="669"/>
      <c r="R840" s="669"/>
      <c r="S840" s="669"/>
      <c r="T840" s="669"/>
      <c r="U840" s="669"/>
      <c r="V840" s="669"/>
      <c r="W840" s="669"/>
      <c r="X840" s="669"/>
      <c r="Y840" s="669"/>
      <c r="Z840" s="669"/>
      <c r="AA840" s="669"/>
    </row>
    <row r="841">
      <c r="A841" s="715"/>
      <c r="B841" s="669"/>
      <c r="C841" s="669"/>
      <c r="D841" s="669"/>
      <c r="E841" s="669"/>
      <c r="F841" s="669"/>
      <c r="G841" s="716"/>
      <c r="H841" s="669"/>
      <c r="I841" s="669"/>
      <c r="J841" s="669"/>
      <c r="K841" s="669"/>
      <c r="L841" s="669"/>
      <c r="M841" s="669"/>
      <c r="N841" s="669"/>
      <c r="O841" s="669"/>
      <c r="P841" s="669"/>
      <c r="Q841" s="669"/>
      <c r="R841" s="669"/>
      <c r="S841" s="669"/>
      <c r="T841" s="669"/>
      <c r="U841" s="669"/>
      <c r="V841" s="669"/>
      <c r="W841" s="669"/>
      <c r="X841" s="669"/>
      <c r="Y841" s="669"/>
      <c r="Z841" s="669"/>
      <c r="AA841" s="669"/>
    </row>
    <row r="842">
      <c r="A842" s="715"/>
      <c r="B842" s="669"/>
      <c r="C842" s="669"/>
      <c r="D842" s="669"/>
      <c r="E842" s="669"/>
      <c r="F842" s="669"/>
      <c r="G842" s="716"/>
      <c r="H842" s="669"/>
      <c r="I842" s="669"/>
      <c r="J842" s="669"/>
      <c r="K842" s="669"/>
      <c r="L842" s="669"/>
      <c r="M842" s="669"/>
      <c r="N842" s="669"/>
      <c r="O842" s="669"/>
      <c r="P842" s="669"/>
      <c r="Q842" s="669"/>
      <c r="R842" s="669"/>
      <c r="S842" s="669"/>
      <c r="T842" s="669"/>
      <c r="U842" s="669"/>
      <c r="V842" s="669"/>
      <c r="W842" s="669"/>
      <c r="X842" s="669"/>
      <c r="Y842" s="669"/>
      <c r="Z842" s="669"/>
      <c r="AA842" s="669"/>
    </row>
    <row r="843">
      <c r="A843" s="715"/>
      <c r="B843" s="669"/>
      <c r="C843" s="669"/>
      <c r="D843" s="669"/>
      <c r="E843" s="669"/>
      <c r="F843" s="669"/>
      <c r="G843" s="716"/>
      <c r="H843" s="669"/>
      <c r="I843" s="669"/>
      <c r="J843" s="669"/>
      <c r="K843" s="669"/>
      <c r="L843" s="669"/>
      <c r="M843" s="669"/>
      <c r="N843" s="669"/>
      <c r="O843" s="669"/>
      <c r="P843" s="669"/>
      <c r="Q843" s="669"/>
      <c r="R843" s="669"/>
      <c r="S843" s="669"/>
      <c r="T843" s="669"/>
      <c r="U843" s="669"/>
      <c r="V843" s="669"/>
      <c r="W843" s="669"/>
      <c r="X843" s="669"/>
      <c r="Y843" s="669"/>
      <c r="Z843" s="669"/>
      <c r="AA843" s="669"/>
    </row>
    <row r="844">
      <c r="A844" s="715"/>
      <c r="B844" s="669"/>
      <c r="C844" s="669"/>
      <c r="D844" s="669"/>
      <c r="E844" s="669"/>
      <c r="F844" s="669"/>
      <c r="G844" s="716"/>
      <c r="H844" s="669"/>
      <c r="I844" s="669"/>
      <c r="J844" s="669"/>
      <c r="K844" s="669"/>
      <c r="L844" s="669"/>
      <c r="M844" s="669"/>
      <c r="N844" s="669"/>
      <c r="O844" s="669"/>
      <c r="P844" s="669"/>
      <c r="Q844" s="669"/>
      <c r="R844" s="669"/>
      <c r="S844" s="669"/>
      <c r="T844" s="669"/>
      <c r="U844" s="669"/>
      <c r="V844" s="669"/>
      <c r="W844" s="669"/>
      <c r="X844" s="669"/>
      <c r="Y844" s="669"/>
      <c r="Z844" s="669"/>
      <c r="AA844" s="669"/>
    </row>
    <row r="845">
      <c r="A845" s="715"/>
      <c r="B845" s="669"/>
      <c r="C845" s="669"/>
      <c r="D845" s="669"/>
      <c r="E845" s="669"/>
      <c r="F845" s="669"/>
      <c r="G845" s="716"/>
      <c r="H845" s="669"/>
      <c r="I845" s="669"/>
      <c r="J845" s="669"/>
      <c r="K845" s="669"/>
      <c r="L845" s="669"/>
      <c r="M845" s="669"/>
      <c r="N845" s="669"/>
      <c r="O845" s="669"/>
      <c r="P845" s="669"/>
      <c r="Q845" s="669"/>
      <c r="R845" s="669"/>
      <c r="S845" s="669"/>
      <c r="T845" s="669"/>
      <c r="U845" s="669"/>
      <c r="V845" s="669"/>
      <c r="W845" s="669"/>
      <c r="X845" s="669"/>
      <c r="Y845" s="669"/>
      <c r="Z845" s="669"/>
      <c r="AA845" s="669"/>
    </row>
    <row r="846">
      <c r="A846" s="715"/>
      <c r="B846" s="669"/>
      <c r="C846" s="669"/>
      <c r="D846" s="669"/>
      <c r="E846" s="669"/>
      <c r="F846" s="669"/>
      <c r="G846" s="716"/>
      <c r="H846" s="669"/>
      <c r="I846" s="669"/>
      <c r="J846" s="669"/>
      <c r="K846" s="669"/>
      <c r="L846" s="669"/>
      <c r="M846" s="669"/>
      <c r="N846" s="669"/>
      <c r="O846" s="669"/>
      <c r="P846" s="669"/>
      <c r="Q846" s="669"/>
      <c r="R846" s="669"/>
      <c r="S846" s="669"/>
      <c r="T846" s="669"/>
      <c r="U846" s="669"/>
      <c r="V846" s="669"/>
      <c r="W846" s="669"/>
      <c r="X846" s="669"/>
      <c r="Y846" s="669"/>
      <c r="Z846" s="669"/>
      <c r="AA846" s="669"/>
    </row>
    <row r="847">
      <c r="A847" s="715"/>
      <c r="B847" s="669"/>
      <c r="C847" s="669"/>
      <c r="D847" s="669"/>
      <c r="E847" s="669"/>
      <c r="F847" s="669"/>
      <c r="G847" s="716"/>
      <c r="H847" s="669"/>
      <c r="I847" s="669"/>
      <c r="J847" s="669"/>
      <c r="K847" s="669"/>
      <c r="L847" s="669"/>
      <c r="M847" s="669"/>
      <c r="N847" s="669"/>
      <c r="O847" s="669"/>
      <c r="P847" s="669"/>
      <c r="Q847" s="669"/>
      <c r="R847" s="669"/>
      <c r="S847" s="669"/>
      <c r="T847" s="669"/>
      <c r="U847" s="669"/>
      <c r="V847" s="669"/>
      <c r="W847" s="669"/>
      <c r="X847" s="669"/>
      <c r="Y847" s="669"/>
      <c r="Z847" s="669"/>
      <c r="AA847" s="669"/>
    </row>
    <row r="848">
      <c r="A848" s="715"/>
      <c r="B848" s="669"/>
      <c r="C848" s="669"/>
      <c r="D848" s="669"/>
      <c r="E848" s="669"/>
      <c r="F848" s="669"/>
      <c r="G848" s="716"/>
      <c r="H848" s="669"/>
      <c r="I848" s="669"/>
      <c r="J848" s="669"/>
      <c r="K848" s="669"/>
      <c r="L848" s="669"/>
      <c r="M848" s="669"/>
      <c r="N848" s="669"/>
      <c r="O848" s="669"/>
      <c r="P848" s="669"/>
      <c r="Q848" s="669"/>
      <c r="R848" s="669"/>
      <c r="S848" s="669"/>
      <c r="T848" s="669"/>
      <c r="U848" s="669"/>
      <c r="V848" s="669"/>
      <c r="W848" s="669"/>
      <c r="X848" s="669"/>
      <c r="Y848" s="669"/>
      <c r="Z848" s="669"/>
      <c r="AA848" s="669"/>
    </row>
    <row r="849">
      <c r="A849" s="715"/>
      <c r="B849" s="669"/>
      <c r="C849" s="669"/>
      <c r="D849" s="669"/>
      <c r="E849" s="669"/>
      <c r="F849" s="669"/>
      <c r="G849" s="716"/>
      <c r="H849" s="669"/>
      <c r="I849" s="669"/>
      <c r="J849" s="669"/>
      <c r="K849" s="669"/>
      <c r="L849" s="669"/>
      <c r="M849" s="669"/>
      <c r="N849" s="669"/>
      <c r="O849" s="669"/>
      <c r="P849" s="669"/>
      <c r="Q849" s="669"/>
      <c r="R849" s="669"/>
      <c r="S849" s="669"/>
      <c r="T849" s="669"/>
      <c r="U849" s="669"/>
      <c r="V849" s="669"/>
      <c r="W849" s="669"/>
      <c r="X849" s="669"/>
      <c r="Y849" s="669"/>
      <c r="Z849" s="669"/>
      <c r="AA849" s="669"/>
    </row>
    <row r="850">
      <c r="A850" s="715"/>
      <c r="B850" s="669"/>
      <c r="C850" s="669"/>
      <c r="D850" s="669"/>
      <c r="E850" s="669"/>
      <c r="F850" s="669"/>
      <c r="G850" s="716"/>
      <c r="H850" s="669"/>
      <c r="I850" s="669"/>
      <c r="J850" s="669"/>
      <c r="K850" s="669"/>
      <c r="L850" s="669"/>
      <c r="M850" s="669"/>
      <c r="N850" s="669"/>
      <c r="O850" s="669"/>
      <c r="P850" s="669"/>
      <c r="Q850" s="669"/>
      <c r="R850" s="669"/>
      <c r="S850" s="669"/>
      <c r="T850" s="669"/>
      <c r="U850" s="669"/>
      <c r="V850" s="669"/>
      <c r="W850" s="669"/>
      <c r="X850" s="669"/>
      <c r="Y850" s="669"/>
      <c r="Z850" s="669"/>
      <c r="AA850" s="669"/>
    </row>
    <row r="851">
      <c r="A851" s="715"/>
      <c r="B851" s="669"/>
      <c r="C851" s="669"/>
      <c r="D851" s="669"/>
      <c r="E851" s="669"/>
      <c r="F851" s="669"/>
      <c r="G851" s="716"/>
      <c r="H851" s="669"/>
      <c r="I851" s="669"/>
      <c r="J851" s="669"/>
      <c r="K851" s="669"/>
      <c r="L851" s="669"/>
      <c r="M851" s="669"/>
      <c r="N851" s="669"/>
      <c r="O851" s="669"/>
      <c r="P851" s="669"/>
      <c r="Q851" s="669"/>
      <c r="R851" s="669"/>
      <c r="S851" s="669"/>
      <c r="T851" s="669"/>
      <c r="U851" s="669"/>
      <c r="V851" s="669"/>
      <c r="W851" s="669"/>
      <c r="X851" s="669"/>
      <c r="Y851" s="669"/>
      <c r="Z851" s="669"/>
      <c r="AA851" s="669"/>
    </row>
    <row r="852">
      <c r="A852" s="715"/>
      <c r="B852" s="669"/>
      <c r="C852" s="669"/>
      <c r="D852" s="669"/>
      <c r="E852" s="669"/>
      <c r="F852" s="669"/>
      <c r="G852" s="716"/>
      <c r="H852" s="669"/>
      <c r="I852" s="669"/>
      <c r="J852" s="669"/>
      <c r="K852" s="669"/>
      <c r="L852" s="669"/>
      <c r="M852" s="669"/>
      <c r="N852" s="669"/>
      <c r="O852" s="669"/>
      <c r="P852" s="669"/>
      <c r="Q852" s="669"/>
      <c r="R852" s="669"/>
      <c r="S852" s="669"/>
      <c r="T852" s="669"/>
      <c r="U852" s="669"/>
      <c r="V852" s="669"/>
      <c r="W852" s="669"/>
      <c r="X852" s="669"/>
      <c r="Y852" s="669"/>
      <c r="Z852" s="669"/>
      <c r="AA852" s="669"/>
    </row>
    <row r="853">
      <c r="A853" s="715"/>
      <c r="B853" s="669"/>
      <c r="C853" s="669"/>
      <c r="D853" s="669"/>
      <c r="E853" s="669"/>
      <c r="F853" s="669"/>
      <c r="G853" s="716"/>
      <c r="H853" s="669"/>
      <c r="I853" s="669"/>
      <c r="J853" s="669"/>
      <c r="K853" s="669"/>
      <c r="L853" s="669"/>
      <c r="M853" s="669"/>
      <c r="N853" s="669"/>
      <c r="O853" s="669"/>
      <c r="P853" s="669"/>
      <c r="Q853" s="669"/>
      <c r="R853" s="669"/>
      <c r="S853" s="669"/>
      <c r="T853" s="669"/>
      <c r="U853" s="669"/>
      <c r="V853" s="669"/>
      <c r="W853" s="669"/>
      <c r="X853" s="669"/>
      <c r="Y853" s="669"/>
      <c r="Z853" s="669"/>
      <c r="AA853" s="669"/>
    </row>
    <row r="854">
      <c r="A854" s="715"/>
      <c r="B854" s="669"/>
      <c r="C854" s="669"/>
      <c r="D854" s="669"/>
      <c r="E854" s="669"/>
      <c r="F854" s="669"/>
      <c r="G854" s="716"/>
      <c r="H854" s="669"/>
      <c r="I854" s="669"/>
      <c r="J854" s="669"/>
      <c r="K854" s="669"/>
      <c r="L854" s="669"/>
      <c r="M854" s="669"/>
      <c r="N854" s="669"/>
      <c r="O854" s="669"/>
      <c r="P854" s="669"/>
      <c r="Q854" s="669"/>
      <c r="R854" s="669"/>
      <c r="S854" s="669"/>
      <c r="T854" s="669"/>
      <c r="U854" s="669"/>
      <c r="V854" s="669"/>
      <c r="W854" s="669"/>
      <c r="X854" s="669"/>
      <c r="Y854" s="669"/>
      <c r="Z854" s="669"/>
      <c r="AA854" s="669"/>
    </row>
    <row r="855">
      <c r="A855" s="715"/>
      <c r="B855" s="669"/>
      <c r="C855" s="669"/>
      <c r="D855" s="669"/>
      <c r="E855" s="669"/>
      <c r="F855" s="669"/>
      <c r="G855" s="716"/>
      <c r="H855" s="669"/>
      <c r="I855" s="669"/>
      <c r="J855" s="669"/>
      <c r="K855" s="669"/>
      <c r="L855" s="669"/>
      <c r="M855" s="669"/>
      <c r="N855" s="669"/>
      <c r="O855" s="669"/>
      <c r="P855" s="669"/>
      <c r="Q855" s="669"/>
      <c r="R855" s="669"/>
      <c r="S855" s="669"/>
      <c r="T855" s="669"/>
      <c r="U855" s="669"/>
      <c r="V855" s="669"/>
      <c r="W855" s="669"/>
      <c r="X855" s="669"/>
      <c r="Y855" s="669"/>
      <c r="Z855" s="669"/>
      <c r="AA855" s="669"/>
    </row>
    <row r="856">
      <c r="A856" s="715"/>
      <c r="B856" s="669"/>
      <c r="C856" s="669"/>
      <c r="D856" s="669"/>
      <c r="E856" s="669"/>
      <c r="F856" s="669"/>
      <c r="G856" s="716"/>
      <c r="H856" s="669"/>
      <c r="I856" s="669"/>
      <c r="J856" s="669"/>
      <c r="K856" s="669"/>
      <c r="L856" s="669"/>
      <c r="M856" s="669"/>
      <c r="N856" s="669"/>
      <c r="O856" s="669"/>
      <c r="P856" s="669"/>
      <c r="Q856" s="669"/>
      <c r="R856" s="669"/>
      <c r="S856" s="669"/>
      <c r="T856" s="669"/>
      <c r="U856" s="669"/>
      <c r="V856" s="669"/>
      <c r="W856" s="669"/>
      <c r="X856" s="669"/>
      <c r="Y856" s="669"/>
      <c r="Z856" s="669"/>
      <c r="AA856" s="669"/>
    </row>
    <row r="857">
      <c r="A857" s="715"/>
      <c r="B857" s="669"/>
      <c r="C857" s="669"/>
      <c r="D857" s="669"/>
      <c r="E857" s="669"/>
      <c r="F857" s="669"/>
      <c r="G857" s="716"/>
      <c r="H857" s="669"/>
      <c r="I857" s="669"/>
      <c r="J857" s="669"/>
      <c r="K857" s="669"/>
      <c r="L857" s="669"/>
      <c r="M857" s="669"/>
      <c r="N857" s="669"/>
      <c r="O857" s="669"/>
      <c r="P857" s="669"/>
      <c r="Q857" s="669"/>
      <c r="R857" s="669"/>
      <c r="S857" s="669"/>
      <c r="T857" s="669"/>
      <c r="U857" s="669"/>
      <c r="V857" s="669"/>
      <c r="W857" s="669"/>
      <c r="X857" s="669"/>
      <c r="Y857" s="669"/>
      <c r="Z857" s="669"/>
      <c r="AA857" s="669"/>
    </row>
    <row r="858">
      <c r="A858" s="715"/>
      <c r="B858" s="669"/>
      <c r="C858" s="669"/>
      <c r="D858" s="669"/>
      <c r="E858" s="669"/>
      <c r="F858" s="669"/>
      <c r="G858" s="716"/>
      <c r="H858" s="669"/>
      <c r="I858" s="669"/>
      <c r="J858" s="669"/>
      <c r="K858" s="669"/>
      <c r="L858" s="669"/>
      <c r="M858" s="669"/>
      <c r="N858" s="669"/>
      <c r="O858" s="669"/>
      <c r="P858" s="669"/>
      <c r="Q858" s="669"/>
      <c r="R858" s="669"/>
      <c r="S858" s="669"/>
      <c r="T858" s="669"/>
      <c r="U858" s="669"/>
      <c r="V858" s="669"/>
      <c r="W858" s="669"/>
      <c r="X858" s="669"/>
      <c r="Y858" s="669"/>
      <c r="Z858" s="669"/>
      <c r="AA858" s="669"/>
    </row>
    <row r="859">
      <c r="A859" s="715"/>
      <c r="B859" s="669"/>
      <c r="C859" s="669"/>
      <c r="D859" s="669"/>
      <c r="E859" s="669"/>
      <c r="F859" s="669"/>
      <c r="G859" s="716"/>
      <c r="H859" s="669"/>
      <c r="I859" s="669"/>
      <c r="J859" s="669"/>
      <c r="K859" s="669"/>
      <c r="L859" s="669"/>
      <c r="M859" s="669"/>
      <c r="N859" s="669"/>
      <c r="O859" s="669"/>
      <c r="P859" s="669"/>
      <c r="Q859" s="669"/>
      <c r="R859" s="669"/>
      <c r="S859" s="669"/>
      <c r="T859" s="669"/>
      <c r="U859" s="669"/>
      <c r="V859" s="669"/>
      <c r="W859" s="669"/>
      <c r="X859" s="669"/>
      <c r="Y859" s="669"/>
      <c r="Z859" s="669"/>
      <c r="AA859" s="669"/>
    </row>
    <row r="860">
      <c r="A860" s="715"/>
      <c r="B860" s="669"/>
      <c r="C860" s="669"/>
      <c r="D860" s="669"/>
      <c r="E860" s="669"/>
      <c r="F860" s="669"/>
      <c r="G860" s="716"/>
      <c r="H860" s="669"/>
      <c r="I860" s="669"/>
      <c r="J860" s="669"/>
      <c r="K860" s="669"/>
      <c r="L860" s="669"/>
      <c r="M860" s="669"/>
      <c r="N860" s="669"/>
      <c r="O860" s="669"/>
      <c r="P860" s="669"/>
      <c r="Q860" s="669"/>
      <c r="R860" s="669"/>
      <c r="S860" s="669"/>
      <c r="T860" s="669"/>
      <c r="U860" s="669"/>
      <c r="V860" s="669"/>
      <c r="W860" s="669"/>
      <c r="X860" s="669"/>
      <c r="Y860" s="669"/>
      <c r="Z860" s="669"/>
      <c r="AA860" s="669"/>
    </row>
    <row r="861">
      <c r="A861" s="715"/>
      <c r="B861" s="669"/>
      <c r="C861" s="669"/>
      <c r="D861" s="669"/>
      <c r="E861" s="669"/>
      <c r="F861" s="669"/>
      <c r="G861" s="716"/>
      <c r="H861" s="669"/>
      <c r="I861" s="669"/>
      <c r="J861" s="669"/>
      <c r="K861" s="669"/>
      <c r="L861" s="669"/>
      <c r="M861" s="669"/>
      <c r="N861" s="669"/>
      <c r="O861" s="669"/>
      <c r="P861" s="669"/>
      <c r="Q861" s="669"/>
      <c r="R861" s="669"/>
      <c r="S861" s="669"/>
      <c r="T861" s="669"/>
      <c r="U861" s="669"/>
      <c r="V861" s="669"/>
      <c r="W861" s="669"/>
      <c r="X861" s="669"/>
      <c r="Y861" s="669"/>
      <c r="Z861" s="669"/>
      <c r="AA861" s="669"/>
    </row>
    <row r="862">
      <c r="A862" s="715"/>
      <c r="B862" s="669"/>
      <c r="C862" s="669"/>
      <c r="D862" s="669"/>
      <c r="E862" s="669"/>
      <c r="F862" s="669"/>
      <c r="G862" s="716"/>
      <c r="H862" s="669"/>
      <c r="I862" s="669"/>
      <c r="J862" s="669"/>
      <c r="K862" s="669"/>
      <c r="L862" s="669"/>
      <c r="M862" s="669"/>
      <c r="N862" s="669"/>
      <c r="O862" s="669"/>
      <c r="P862" s="669"/>
      <c r="Q862" s="669"/>
      <c r="R862" s="669"/>
      <c r="S862" s="669"/>
      <c r="T862" s="669"/>
      <c r="U862" s="669"/>
      <c r="V862" s="669"/>
      <c r="W862" s="669"/>
      <c r="X862" s="669"/>
      <c r="Y862" s="669"/>
      <c r="Z862" s="669"/>
      <c r="AA862" s="669"/>
    </row>
    <row r="863">
      <c r="A863" s="715"/>
      <c r="B863" s="669"/>
      <c r="C863" s="669"/>
      <c r="D863" s="669"/>
      <c r="E863" s="669"/>
      <c r="F863" s="669"/>
      <c r="G863" s="716"/>
      <c r="H863" s="669"/>
      <c r="I863" s="669"/>
      <c r="J863" s="669"/>
      <c r="K863" s="669"/>
      <c r="L863" s="669"/>
      <c r="M863" s="669"/>
      <c r="N863" s="669"/>
      <c r="O863" s="669"/>
      <c r="P863" s="669"/>
      <c r="Q863" s="669"/>
      <c r="R863" s="669"/>
      <c r="S863" s="669"/>
      <c r="T863" s="669"/>
      <c r="U863" s="669"/>
      <c r="V863" s="669"/>
      <c r="W863" s="669"/>
      <c r="X863" s="669"/>
      <c r="Y863" s="669"/>
      <c r="Z863" s="669"/>
      <c r="AA863" s="669"/>
    </row>
    <row r="864">
      <c r="A864" s="715"/>
      <c r="B864" s="669"/>
      <c r="C864" s="669"/>
      <c r="D864" s="669"/>
      <c r="E864" s="669"/>
      <c r="F864" s="669"/>
      <c r="G864" s="716"/>
      <c r="H864" s="669"/>
      <c r="I864" s="669"/>
      <c r="J864" s="669"/>
      <c r="K864" s="669"/>
      <c r="L864" s="669"/>
      <c r="M864" s="669"/>
      <c r="N864" s="669"/>
      <c r="O864" s="669"/>
      <c r="P864" s="669"/>
      <c r="Q864" s="669"/>
      <c r="R864" s="669"/>
      <c r="S864" s="669"/>
      <c r="T864" s="669"/>
      <c r="U864" s="669"/>
      <c r="V864" s="669"/>
      <c r="W864" s="669"/>
      <c r="X864" s="669"/>
      <c r="Y864" s="669"/>
      <c r="Z864" s="669"/>
      <c r="AA864" s="669"/>
    </row>
    <row r="865">
      <c r="A865" s="715"/>
      <c r="B865" s="669"/>
      <c r="C865" s="669"/>
      <c r="D865" s="669"/>
      <c r="E865" s="669"/>
      <c r="F865" s="669"/>
      <c r="G865" s="716"/>
      <c r="H865" s="669"/>
      <c r="I865" s="669"/>
      <c r="J865" s="669"/>
      <c r="K865" s="669"/>
      <c r="L865" s="669"/>
      <c r="M865" s="669"/>
      <c r="N865" s="669"/>
      <c r="O865" s="669"/>
      <c r="P865" s="669"/>
      <c r="Q865" s="669"/>
      <c r="R865" s="669"/>
      <c r="S865" s="669"/>
      <c r="T865" s="669"/>
      <c r="U865" s="669"/>
      <c r="V865" s="669"/>
      <c r="W865" s="669"/>
      <c r="X865" s="669"/>
      <c r="Y865" s="669"/>
      <c r="Z865" s="669"/>
      <c r="AA865" s="669"/>
    </row>
    <row r="866">
      <c r="A866" s="715"/>
      <c r="B866" s="669"/>
      <c r="C866" s="669"/>
      <c r="D866" s="669"/>
      <c r="E866" s="669"/>
      <c r="F866" s="669"/>
      <c r="G866" s="716"/>
      <c r="H866" s="669"/>
      <c r="I866" s="669"/>
      <c r="J866" s="669"/>
      <c r="K866" s="669"/>
      <c r="L866" s="669"/>
      <c r="M866" s="669"/>
      <c r="N866" s="669"/>
      <c r="O866" s="669"/>
      <c r="P866" s="669"/>
      <c r="Q866" s="669"/>
      <c r="R866" s="669"/>
      <c r="S866" s="669"/>
      <c r="T866" s="669"/>
      <c r="U866" s="669"/>
      <c r="V866" s="669"/>
      <c r="W866" s="669"/>
      <c r="X866" s="669"/>
      <c r="Y866" s="669"/>
      <c r="Z866" s="669"/>
      <c r="AA866" s="669"/>
    </row>
    <row r="867">
      <c r="A867" s="715"/>
      <c r="B867" s="669"/>
      <c r="C867" s="669"/>
      <c r="D867" s="669"/>
      <c r="E867" s="669"/>
      <c r="F867" s="669"/>
      <c r="G867" s="716"/>
      <c r="H867" s="669"/>
      <c r="I867" s="669"/>
      <c r="J867" s="669"/>
      <c r="K867" s="669"/>
      <c r="L867" s="669"/>
      <c r="M867" s="669"/>
      <c r="N867" s="669"/>
      <c r="O867" s="669"/>
      <c r="P867" s="669"/>
      <c r="Q867" s="669"/>
      <c r="R867" s="669"/>
      <c r="S867" s="669"/>
      <c r="T867" s="669"/>
      <c r="U867" s="669"/>
      <c r="V867" s="669"/>
      <c r="W867" s="669"/>
      <c r="X867" s="669"/>
      <c r="Y867" s="669"/>
      <c r="Z867" s="669"/>
      <c r="AA867" s="669"/>
    </row>
    <row r="868">
      <c r="A868" s="715"/>
      <c r="B868" s="669"/>
      <c r="C868" s="669"/>
      <c r="D868" s="669"/>
      <c r="E868" s="669"/>
      <c r="F868" s="669"/>
      <c r="G868" s="716"/>
      <c r="H868" s="669"/>
      <c r="I868" s="669"/>
      <c r="J868" s="669"/>
      <c r="K868" s="669"/>
      <c r="L868" s="669"/>
      <c r="M868" s="669"/>
      <c r="N868" s="669"/>
      <c r="O868" s="669"/>
      <c r="P868" s="669"/>
      <c r="Q868" s="669"/>
      <c r="R868" s="669"/>
      <c r="S868" s="669"/>
      <c r="T868" s="669"/>
      <c r="U868" s="669"/>
      <c r="V868" s="669"/>
      <c r="W868" s="669"/>
      <c r="X868" s="669"/>
      <c r="Y868" s="669"/>
      <c r="Z868" s="669"/>
      <c r="AA868" s="669"/>
    </row>
    <row r="869">
      <c r="A869" s="715"/>
      <c r="B869" s="669"/>
      <c r="C869" s="669"/>
      <c r="D869" s="669"/>
      <c r="E869" s="669"/>
      <c r="F869" s="669"/>
      <c r="G869" s="716"/>
      <c r="H869" s="669"/>
      <c r="I869" s="669"/>
      <c r="J869" s="669"/>
      <c r="K869" s="669"/>
      <c r="L869" s="669"/>
      <c r="M869" s="669"/>
      <c r="N869" s="669"/>
      <c r="O869" s="669"/>
      <c r="P869" s="669"/>
      <c r="Q869" s="669"/>
      <c r="R869" s="669"/>
      <c r="S869" s="669"/>
      <c r="T869" s="669"/>
      <c r="U869" s="669"/>
      <c r="V869" s="669"/>
      <c r="W869" s="669"/>
      <c r="X869" s="669"/>
      <c r="Y869" s="669"/>
      <c r="Z869" s="669"/>
      <c r="AA869" s="669"/>
    </row>
    <row r="870">
      <c r="A870" s="715"/>
      <c r="B870" s="669"/>
      <c r="C870" s="669"/>
      <c r="D870" s="669"/>
      <c r="E870" s="669"/>
      <c r="F870" s="669"/>
      <c r="G870" s="716"/>
      <c r="H870" s="669"/>
      <c r="I870" s="669"/>
      <c r="J870" s="669"/>
      <c r="K870" s="669"/>
      <c r="L870" s="669"/>
      <c r="M870" s="669"/>
      <c r="N870" s="669"/>
      <c r="O870" s="669"/>
      <c r="P870" s="669"/>
      <c r="Q870" s="669"/>
      <c r="R870" s="669"/>
      <c r="S870" s="669"/>
      <c r="T870" s="669"/>
      <c r="U870" s="669"/>
      <c r="V870" s="669"/>
      <c r="W870" s="669"/>
      <c r="X870" s="669"/>
      <c r="Y870" s="669"/>
      <c r="Z870" s="669"/>
      <c r="AA870" s="669"/>
    </row>
    <row r="871">
      <c r="A871" s="715"/>
      <c r="B871" s="669"/>
      <c r="C871" s="669"/>
      <c r="D871" s="669"/>
      <c r="E871" s="669"/>
      <c r="F871" s="669"/>
      <c r="G871" s="716"/>
      <c r="H871" s="669"/>
      <c r="I871" s="669"/>
      <c r="J871" s="669"/>
      <c r="K871" s="669"/>
      <c r="L871" s="669"/>
      <c r="M871" s="669"/>
      <c r="N871" s="669"/>
      <c r="O871" s="669"/>
      <c r="P871" s="669"/>
      <c r="Q871" s="669"/>
      <c r="R871" s="669"/>
      <c r="S871" s="669"/>
      <c r="T871" s="669"/>
      <c r="U871" s="669"/>
      <c r="V871" s="669"/>
      <c r="W871" s="669"/>
      <c r="X871" s="669"/>
      <c r="Y871" s="669"/>
      <c r="Z871" s="669"/>
      <c r="AA871" s="669"/>
    </row>
    <row r="872">
      <c r="A872" s="715"/>
      <c r="B872" s="669"/>
      <c r="C872" s="669"/>
      <c r="D872" s="669"/>
      <c r="E872" s="669"/>
      <c r="F872" s="669"/>
      <c r="G872" s="716"/>
      <c r="H872" s="669"/>
      <c r="I872" s="669"/>
      <c r="J872" s="669"/>
      <c r="K872" s="669"/>
      <c r="L872" s="669"/>
      <c r="M872" s="669"/>
      <c r="N872" s="669"/>
      <c r="O872" s="669"/>
      <c r="P872" s="669"/>
      <c r="Q872" s="669"/>
      <c r="R872" s="669"/>
      <c r="S872" s="669"/>
      <c r="T872" s="669"/>
      <c r="U872" s="669"/>
      <c r="V872" s="669"/>
      <c r="W872" s="669"/>
      <c r="X872" s="669"/>
      <c r="Y872" s="669"/>
      <c r="Z872" s="669"/>
      <c r="AA872" s="669"/>
    </row>
    <row r="873">
      <c r="A873" s="715"/>
      <c r="B873" s="669"/>
      <c r="C873" s="669"/>
      <c r="D873" s="669"/>
      <c r="E873" s="669"/>
      <c r="F873" s="669"/>
      <c r="G873" s="716"/>
      <c r="H873" s="669"/>
      <c r="I873" s="669"/>
      <c r="J873" s="669"/>
      <c r="K873" s="669"/>
      <c r="L873" s="669"/>
      <c r="M873" s="669"/>
      <c r="N873" s="669"/>
      <c r="O873" s="669"/>
      <c r="P873" s="669"/>
      <c r="Q873" s="669"/>
      <c r="R873" s="669"/>
      <c r="S873" s="669"/>
      <c r="T873" s="669"/>
      <c r="U873" s="669"/>
      <c r="V873" s="669"/>
      <c r="W873" s="669"/>
      <c r="X873" s="669"/>
      <c r="Y873" s="669"/>
      <c r="Z873" s="669"/>
      <c r="AA873" s="669"/>
    </row>
    <row r="874">
      <c r="A874" s="715"/>
      <c r="B874" s="669"/>
      <c r="C874" s="669"/>
      <c r="D874" s="669"/>
      <c r="E874" s="669"/>
      <c r="F874" s="669"/>
      <c r="G874" s="716"/>
      <c r="H874" s="669"/>
      <c r="I874" s="669"/>
      <c r="J874" s="669"/>
      <c r="K874" s="669"/>
      <c r="L874" s="669"/>
      <c r="M874" s="669"/>
      <c r="N874" s="669"/>
      <c r="O874" s="669"/>
      <c r="P874" s="669"/>
      <c r="Q874" s="669"/>
      <c r="R874" s="669"/>
      <c r="S874" s="669"/>
      <c r="T874" s="669"/>
      <c r="U874" s="669"/>
      <c r="V874" s="669"/>
      <c r="W874" s="669"/>
      <c r="X874" s="669"/>
      <c r="Y874" s="669"/>
      <c r="Z874" s="669"/>
      <c r="AA874" s="669"/>
    </row>
    <row r="875">
      <c r="A875" s="715"/>
      <c r="B875" s="669"/>
      <c r="C875" s="669"/>
      <c r="D875" s="669"/>
      <c r="E875" s="669"/>
      <c r="F875" s="669"/>
      <c r="G875" s="716"/>
      <c r="H875" s="669"/>
      <c r="I875" s="669"/>
      <c r="J875" s="669"/>
      <c r="K875" s="669"/>
      <c r="L875" s="669"/>
      <c r="M875" s="669"/>
      <c r="N875" s="669"/>
      <c r="O875" s="669"/>
      <c r="P875" s="669"/>
      <c r="Q875" s="669"/>
      <c r="R875" s="669"/>
      <c r="S875" s="669"/>
      <c r="T875" s="669"/>
      <c r="U875" s="669"/>
      <c r="V875" s="669"/>
      <c r="W875" s="669"/>
      <c r="X875" s="669"/>
      <c r="Y875" s="669"/>
      <c r="Z875" s="669"/>
      <c r="AA875" s="669"/>
    </row>
    <row r="876">
      <c r="A876" s="715"/>
      <c r="B876" s="669"/>
      <c r="C876" s="669"/>
      <c r="D876" s="669"/>
      <c r="E876" s="669"/>
      <c r="F876" s="669"/>
      <c r="G876" s="716"/>
      <c r="H876" s="669"/>
      <c r="I876" s="669"/>
      <c r="J876" s="669"/>
      <c r="K876" s="669"/>
      <c r="L876" s="669"/>
      <c r="M876" s="669"/>
      <c r="N876" s="669"/>
      <c r="O876" s="669"/>
      <c r="P876" s="669"/>
      <c r="Q876" s="669"/>
      <c r="R876" s="669"/>
      <c r="S876" s="669"/>
      <c r="T876" s="669"/>
      <c r="U876" s="669"/>
      <c r="V876" s="669"/>
      <c r="W876" s="669"/>
      <c r="X876" s="669"/>
      <c r="Y876" s="669"/>
      <c r="Z876" s="669"/>
      <c r="AA876" s="669"/>
    </row>
    <row r="877">
      <c r="A877" s="715"/>
      <c r="B877" s="669"/>
      <c r="C877" s="669"/>
      <c r="D877" s="669"/>
      <c r="E877" s="669"/>
      <c r="F877" s="669"/>
      <c r="G877" s="716"/>
      <c r="H877" s="669"/>
      <c r="I877" s="669"/>
      <c r="J877" s="669"/>
      <c r="K877" s="669"/>
      <c r="L877" s="669"/>
      <c r="M877" s="669"/>
      <c r="N877" s="669"/>
      <c r="O877" s="669"/>
      <c r="P877" s="669"/>
      <c r="Q877" s="669"/>
      <c r="R877" s="669"/>
      <c r="S877" s="669"/>
      <c r="T877" s="669"/>
      <c r="U877" s="669"/>
      <c r="V877" s="669"/>
      <c r="W877" s="669"/>
      <c r="X877" s="669"/>
      <c r="Y877" s="669"/>
      <c r="Z877" s="669"/>
      <c r="AA877" s="669"/>
    </row>
    <row r="878">
      <c r="A878" s="715"/>
      <c r="B878" s="669"/>
      <c r="C878" s="669"/>
      <c r="D878" s="669"/>
      <c r="E878" s="669"/>
      <c r="F878" s="669"/>
      <c r="G878" s="716"/>
      <c r="H878" s="669"/>
      <c r="I878" s="669"/>
      <c r="J878" s="669"/>
      <c r="K878" s="669"/>
      <c r="L878" s="669"/>
      <c r="M878" s="669"/>
      <c r="N878" s="669"/>
      <c r="O878" s="669"/>
      <c r="P878" s="669"/>
      <c r="Q878" s="669"/>
      <c r="R878" s="669"/>
      <c r="S878" s="669"/>
      <c r="T878" s="669"/>
      <c r="U878" s="669"/>
      <c r="V878" s="669"/>
      <c r="W878" s="669"/>
      <c r="X878" s="669"/>
      <c r="Y878" s="669"/>
      <c r="Z878" s="669"/>
      <c r="AA878" s="669"/>
    </row>
    <row r="879">
      <c r="A879" s="715"/>
      <c r="B879" s="669"/>
      <c r="C879" s="669"/>
      <c r="D879" s="669"/>
      <c r="E879" s="669"/>
      <c r="F879" s="669"/>
      <c r="G879" s="716"/>
      <c r="H879" s="669"/>
      <c r="I879" s="669"/>
      <c r="J879" s="669"/>
      <c r="K879" s="669"/>
      <c r="L879" s="669"/>
      <c r="M879" s="669"/>
      <c r="N879" s="669"/>
      <c r="O879" s="669"/>
      <c r="P879" s="669"/>
      <c r="Q879" s="669"/>
      <c r="R879" s="669"/>
      <c r="S879" s="669"/>
      <c r="T879" s="669"/>
      <c r="U879" s="669"/>
      <c r="V879" s="669"/>
      <c r="W879" s="669"/>
      <c r="X879" s="669"/>
      <c r="Y879" s="669"/>
      <c r="Z879" s="669"/>
      <c r="AA879" s="669"/>
    </row>
    <row r="880">
      <c r="A880" s="715"/>
      <c r="B880" s="669"/>
      <c r="C880" s="669"/>
      <c r="D880" s="669"/>
      <c r="E880" s="669"/>
      <c r="F880" s="669"/>
      <c r="G880" s="716"/>
      <c r="H880" s="669"/>
      <c r="I880" s="669"/>
      <c r="J880" s="669"/>
      <c r="K880" s="669"/>
      <c r="L880" s="669"/>
      <c r="M880" s="669"/>
      <c r="N880" s="669"/>
      <c r="O880" s="669"/>
      <c r="P880" s="669"/>
      <c r="Q880" s="669"/>
      <c r="R880" s="669"/>
      <c r="S880" s="669"/>
      <c r="T880" s="669"/>
      <c r="U880" s="669"/>
      <c r="V880" s="669"/>
      <c r="W880" s="669"/>
      <c r="X880" s="669"/>
      <c r="Y880" s="669"/>
      <c r="Z880" s="669"/>
      <c r="AA880" s="669"/>
    </row>
    <row r="881">
      <c r="A881" s="715"/>
      <c r="B881" s="669"/>
      <c r="C881" s="669"/>
      <c r="D881" s="669"/>
      <c r="E881" s="669"/>
      <c r="F881" s="669"/>
      <c r="G881" s="716"/>
      <c r="H881" s="669"/>
      <c r="I881" s="669"/>
      <c r="J881" s="669"/>
      <c r="K881" s="669"/>
      <c r="L881" s="669"/>
      <c r="M881" s="669"/>
      <c r="N881" s="669"/>
      <c r="O881" s="669"/>
      <c r="P881" s="669"/>
      <c r="Q881" s="669"/>
      <c r="R881" s="669"/>
      <c r="S881" s="669"/>
      <c r="T881" s="669"/>
      <c r="U881" s="669"/>
      <c r="V881" s="669"/>
      <c r="W881" s="669"/>
      <c r="X881" s="669"/>
      <c r="Y881" s="669"/>
      <c r="Z881" s="669"/>
      <c r="AA881" s="669"/>
    </row>
    <row r="882">
      <c r="A882" s="715"/>
      <c r="B882" s="669"/>
      <c r="C882" s="669"/>
      <c r="D882" s="669"/>
      <c r="E882" s="669"/>
      <c r="F882" s="669"/>
      <c r="G882" s="716"/>
      <c r="H882" s="669"/>
      <c r="I882" s="669"/>
      <c r="J882" s="669"/>
      <c r="K882" s="669"/>
      <c r="L882" s="669"/>
      <c r="M882" s="669"/>
      <c r="N882" s="669"/>
      <c r="O882" s="669"/>
      <c r="P882" s="669"/>
      <c r="Q882" s="669"/>
      <c r="R882" s="669"/>
      <c r="S882" s="669"/>
      <c r="T882" s="669"/>
      <c r="U882" s="669"/>
      <c r="V882" s="669"/>
      <c r="W882" s="669"/>
      <c r="X882" s="669"/>
      <c r="Y882" s="669"/>
      <c r="Z882" s="669"/>
      <c r="AA882" s="669"/>
    </row>
    <row r="883">
      <c r="A883" s="715"/>
      <c r="B883" s="669"/>
      <c r="C883" s="669"/>
      <c r="D883" s="669"/>
      <c r="E883" s="669"/>
      <c r="F883" s="669"/>
      <c r="G883" s="716"/>
      <c r="H883" s="669"/>
      <c r="I883" s="669"/>
      <c r="J883" s="669"/>
      <c r="K883" s="669"/>
      <c r="L883" s="669"/>
      <c r="M883" s="669"/>
      <c r="N883" s="669"/>
      <c r="O883" s="669"/>
      <c r="P883" s="669"/>
      <c r="Q883" s="669"/>
      <c r="R883" s="669"/>
      <c r="S883" s="669"/>
      <c r="T883" s="669"/>
      <c r="U883" s="669"/>
      <c r="V883" s="669"/>
      <c r="W883" s="669"/>
      <c r="X883" s="669"/>
      <c r="Y883" s="669"/>
      <c r="Z883" s="669"/>
      <c r="AA883" s="669"/>
    </row>
    <row r="884">
      <c r="A884" s="715"/>
      <c r="B884" s="669"/>
      <c r="C884" s="669"/>
      <c r="D884" s="669"/>
      <c r="E884" s="669"/>
      <c r="F884" s="669"/>
      <c r="G884" s="716"/>
      <c r="H884" s="669"/>
      <c r="I884" s="669"/>
      <c r="J884" s="669"/>
      <c r="K884" s="669"/>
      <c r="L884" s="669"/>
      <c r="M884" s="669"/>
      <c r="N884" s="669"/>
      <c r="O884" s="669"/>
      <c r="P884" s="669"/>
      <c r="Q884" s="669"/>
      <c r="R884" s="669"/>
      <c r="S884" s="669"/>
      <c r="T884" s="669"/>
      <c r="U884" s="669"/>
      <c r="V884" s="669"/>
      <c r="W884" s="669"/>
      <c r="X884" s="669"/>
      <c r="Y884" s="669"/>
      <c r="Z884" s="669"/>
      <c r="AA884" s="669"/>
    </row>
    <row r="885">
      <c r="A885" s="715"/>
      <c r="B885" s="669"/>
      <c r="C885" s="669"/>
      <c r="D885" s="669"/>
      <c r="E885" s="669"/>
      <c r="F885" s="669"/>
      <c r="G885" s="716"/>
      <c r="H885" s="669"/>
      <c r="I885" s="669"/>
      <c r="J885" s="669"/>
      <c r="K885" s="669"/>
      <c r="L885" s="669"/>
      <c r="M885" s="669"/>
      <c r="N885" s="669"/>
      <c r="O885" s="669"/>
      <c r="P885" s="669"/>
      <c r="Q885" s="669"/>
      <c r="R885" s="669"/>
      <c r="S885" s="669"/>
      <c r="T885" s="669"/>
      <c r="U885" s="669"/>
      <c r="V885" s="669"/>
      <c r="W885" s="669"/>
      <c r="X885" s="669"/>
      <c r="Y885" s="669"/>
      <c r="Z885" s="669"/>
      <c r="AA885" s="669"/>
    </row>
    <row r="886">
      <c r="A886" s="715"/>
      <c r="B886" s="669"/>
      <c r="C886" s="669"/>
      <c r="D886" s="669"/>
      <c r="E886" s="669"/>
      <c r="F886" s="669"/>
      <c r="G886" s="716"/>
      <c r="H886" s="669"/>
      <c r="I886" s="669"/>
      <c r="J886" s="669"/>
      <c r="K886" s="669"/>
      <c r="L886" s="669"/>
      <c r="M886" s="669"/>
      <c r="N886" s="669"/>
      <c r="O886" s="669"/>
      <c r="P886" s="669"/>
      <c r="Q886" s="669"/>
      <c r="R886" s="669"/>
      <c r="S886" s="669"/>
      <c r="T886" s="669"/>
      <c r="U886" s="669"/>
      <c r="V886" s="669"/>
      <c r="W886" s="669"/>
      <c r="X886" s="669"/>
      <c r="Y886" s="669"/>
      <c r="Z886" s="669"/>
      <c r="AA886" s="669"/>
    </row>
    <row r="887">
      <c r="A887" s="715"/>
      <c r="B887" s="669"/>
      <c r="C887" s="669"/>
      <c r="D887" s="669"/>
      <c r="E887" s="669"/>
      <c r="F887" s="669"/>
      <c r="G887" s="716"/>
      <c r="H887" s="669"/>
      <c r="I887" s="669"/>
      <c r="J887" s="669"/>
      <c r="K887" s="669"/>
      <c r="L887" s="669"/>
      <c r="M887" s="669"/>
      <c r="N887" s="669"/>
      <c r="O887" s="669"/>
      <c r="P887" s="669"/>
      <c r="Q887" s="669"/>
      <c r="R887" s="669"/>
      <c r="S887" s="669"/>
      <c r="T887" s="669"/>
      <c r="U887" s="669"/>
      <c r="V887" s="669"/>
      <c r="W887" s="669"/>
      <c r="X887" s="669"/>
      <c r="Y887" s="669"/>
      <c r="Z887" s="669"/>
      <c r="AA887" s="669"/>
    </row>
    <row r="888">
      <c r="A888" s="715"/>
      <c r="B888" s="669"/>
      <c r="C888" s="669"/>
      <c r="D888" s="669"/>
      <c r="E888" s="669"/>
      <c r="F888" s="669"/>
      <c r="G888" s="716"/>
      <c r="H888" s="669"/>
      <c r="I888" s="669"/>
      <c r="J888" s="669"/>
      <c r="K888" s="669"/>
      <c r="L888" s="669"/>
      <c r="M888" s="669"/>
      <c r="N888" s="669"/>
      <c r="O888" s="669"/>
      <c r="P888" s="669"/>
      <c r="Q888" s="669"/>
      <c r="R888" s="669"/>
      <c r="S888" s="669"/>
      <c r="T888" s="669"/>
      <c r="U888" s="669"/>
      <c r="V888" s="669"/>
      <c r="W888" s="669"/>
      <c r="X888" s="669"/>
      <c r="Y888" s="669"/>
      <c r="Z888" s="669"/>
      <c r="AA888" s="669"/>
    </row>
    <row r="889">
      <c r="A889" s="715"/>
      <c r="B889" s="669"/>
      <c r="C889" s="669"/>
      <c r="D889" s="669"/>
      <c r="E889" s="669"/>
      <c r="F889" s="669"/>
      <c r="G889" s="716"/>
      <c r="H889" s="669"/>
      <c r="I889" s="669"/>
      <c r="J889" s="669"/>
      <c r="K889" s="669"/>
      <c r="L889" s="669"/>
      <c r="M889" s="669"/>
      <c r="N889" s="669"/>
      <c r="O889" s="669"/>
      <c r="P889" s="669"/>
      <c r="Q889" s="669"/>
      <c r="R889" s="669"/>
      <c r="S889" s="669"/>
      <c r="T889" s="669"/>
      <c r="U889" s="669"/>
      <c r="V889" s="669"/>
      <c r="W889" s="669"/>
      <c r="X889" s="669"/>
      <c r="Y889" s="669"/>
      <c r="Z889" s="669"/>
      <c r="AA889" s="669"/>
    </row>
    <row r="890">
      <c r="A890" s="715"/>
      <c r="B890" s="669"/>
      <c r="C890" s="669"/>
      <c r="D890" s="669"/>
      <c r="E890" s="669"/>
      <c r="F890" s="669"/>
      <c r="G890" s="716"/>
      <c r="H890" s="669"/>
      <c r="I890" s="669"/>
      <c r="J890" s="669"/>
      <c r="K890" s="669"/>
      <c r="L890" s="669"/>
      <c r="M890" s="669"/>
      <c r="N890" s="669"/>
      <c r="O890" s="669"/>
      <c r="P890" s="669"/>
      <c r="Q890" s="669"/>
      <c r="R890" s="669"/>
      <c r="S890" s="669"/>
      <c r="T890" s="669"/>
      <c r="U890" s="669"/>
      <c r="V890" s="669"/>
      <c r="W890" s="669"/>
      <c r="X890" s="669"/>
      <c r="Y890" s="669"/>
      <c r="Z890" s="669"/>
      <c r="AA890" s="669"/>
    </row>
    <row r="891">
      <c r="A891" s="715"/>
      <c r="B891" s="669"/>
      <c r="C891" s="669"/>
      <c r="D891" s="669"/>
      <c r="E891" s="669"/>
      <c r="F891" s="669"/>
      <c r="G891" s="716"/>
      <c r="H891" s="669"/>
      <c r="I891" s="669"/>
      <c r="J891" s="669"/>
      <c r="K891" s="669"/>
      <c r="L891" s="669"/>
      <c r="M891" s="669"/>
      <c r="N891" s="669"/>
      <c r="O891" s="669"/>
      <c r="P891" s="669"/>
      <c r="Q891" s="669"/>
      <c r="R891" s="669"/>
      <c r="S891" s="669"/>
      <c r="T891" s="669"/>
      <c r="U891" s="669"/>
      <c r="V891" s="669"/>
      <c r="W891" s="669"/>
      <c r="X891" s="669"/>
      <c r="Y891" s="669"/>
      <c r="Z891" s="669"/>
      <c r="AA891" s="669"/>
    </row>
    <row r="892">
      <c r="A892" s="715"/>
      <c r="B892" s="669"/>
      <c r="C892" s="669"/>
      <c r="D892" s="669"/>
      <c r="E892" s="669"/>
      <c r="F892" s="669"/>
      <c r="G892" s="716"/>
      <c r="H892" s="669"/>
      <c r="I892" s="669"/>
      <c r="J892" s="669"/>
      <c r="K892" s="669"/>
      <c r="L892" s="669"/>
      <c r="M892" s="669"/>
      <c r="N892" s="669"/>
      <c r="O892" s="669"/>
      <c r="P892" s="669"/>
      <c r="Q892" s="669"/>
      <c r="R892" s="669"/>
      <c r="S892" s="669"/>
      <c r="T892" s="669"/>
      <c r="U892" s="669"/>
      <c r="V892" s="669"/>
      <c r="W892" s="669"/>
      <c r="X892" s="669"/>
      <c r="Y892" s="669"/>
      <c r="Z892" s="669"/>
      <c r="AA892" s="669"/>
    </row>
    <row r="893">
      <c r="A893" s="715"/>
      <c r="B893" s="669"/>
      <c r="C893" s="669"/>
      <c r="D893" s="669"/>
      <c r="E893" s="669"/>
      <c r="F893" s="669"/>
      <c r="G893" s="716"/>
      <c r="H893" s="669"/>
      <c r="I893" s="669"/>
      <c r="J893" s="669"/>
      <c r="K893" s="669"/>
      <c r="L893" s="669"/>
      <c r="M893" s="669"/>
      <c r="N893" s="669"/>
      <c r="O893" s="669"/>
      <c r="P893" s="669"/>
      <c r="Q893" s="669"/>
      <c r="R893" s="669"/>
      <c r="S893" s="669"/>
      <c r="T893" s="669"/>
      <c r="U893" s="669"/>
      <c r="V893" s="669"/>
      <c r="W893" s="669"/>
      <c r="X893" s="669"/>
      <c r="Y893" s="669"/>
      <c r="Z893" s="669"/>
      <c r="AA893" s="669"/>
    </row>
    <row r="894">
      <c r="A894" s="715"/>
      <c r="B894" s="669"/>
      <c r="C894" s="669"/>
      <c r="D894" s="669"/>
      <c r="E894" s="669"/>
      <c r="F894" s="669"/>
      <c r="G894" s="716"/>
      <c r="H894" s="669"/>
      <c r="I894" s="669"/>
      <c r="J894" s="669"/>
      <c r="K894" s="669"/>
      <c r="L894" s="669"/>
      <c r="M894" s="669"/>
      <c r="N894" s="669"/>
      <c r="O894" s="669"/>
      <c r="P894" s="669"/>
      <c r="Q894" s="669"/>
      <c r="R894" s="669"/>
      <c r="S894" s="669"/>
      <c r="T894" s="669"/>
      <c r="U894" s="669"/>
      <c r="V894" s="669"/>
      <c r="W894" s="669"/>
      <c r="X894" s="669"/>
      <c r="Y894" s="669"/>
      <c r="Z894" s="669"/>
      <c r="AA894" s="669"/>
    </row>
    <row r="895">
      <c r="A895" s="715"/>
      <c r="B895" s="669"/>
      <c r="C895" s="669"/>
      <c r="D895" s="669"/>
      <c r="E895" s="669"/>
      <c r="F895" s="669"/>
      <c r="G895" s="716"/>
      <c r="H895" s="669"/>
      <c r="I895" s="669"/>
      <c r="J895" s="669"/>
      <c r="K895" s="669"/>
      <c r="L895" s="669"/>
      <c r="M895" s="669"/>
      <c r="N895" s="669"/>
      <c r="O895" s="669"/>
      <c r="P895" s="669"/>
      <c r="Q895" s="669"/>
      <c r="R895" s="669"/>
      <c r="S895" s="669"/>
      <c r="T895" s="669"/>
      <c r="U895" s="669"/>
      <c r="V895" s="669"/>
      <c r="W895" s="669"/>
      <c r="X895" s="669"/>
      <c r="Y895" s="669"/>
      <c r="Z895" s="669"/>
      <c r="AA895" s="669"/>
    </row>
    <row r="896">
      <c r="A896" s="715"/>
      <c r="B896" s="669"/>
      <c r="C896" s="669"/>
      <c r="D896" s="669"/>
      <c r="E896" s="669"/>
      <c r="F896" s="669"/>
      <c r="G896" s="716"/>
      <c r="H896" s="669"/>
      <c r="I896" s="669"/>
      <c r="J896" s="669"/>
      <c r="K896" s="669"/>
      <c r="L896" s="669"/>
      <c r="M896" s="669"/>
      <c r="N896" s="669"/>
      <c r="O896" s="669"/>
      <c r="P896" s="669"/>
      <c r="Q896" s="669"/>
      <c r="R896" s="669"/>
      <c r="S896" s="669"/>
      <c r="T896" s="669"/>
      <c r="U896" s="669"/>
      <c r="V896" s="669"/>
      <c r="W896" s="669"/>
      <c r="X896" s="669"/>
      <c r="Y896" s="669"/>
      <c r="Z896" s="669"/>
      <c r="AA896" s="669"/>
    </row>
    <row r="897">
      <c r="A897" s="715"/>
      <c r="B897" s="669"/>
      <c r="C897" s="669"/>
      <c r="D897" s="669"/>
      <c r="E897" s="669"/>
      <c r="F897" s="669"/>
      <c r="G897" s="716"/>
      <c r="H897" s="669"/>
      <c r="I897" s="669"/>
      <c r="J897" s="669"/>
      <c r="K897" s="669"/>
      <c r="L897" s="669"/>
      <c r="M897" s="669"/>
      <c r="N897" s="669"/>
      <c r="O897" s="669"/>
      <c r="P897" s="669"/>
      <c r="Q897" s="669"/>
      <c r="R897" s="669"/>
      <c r="S897" s="669"/>
      <c r="T897" s="669"/>
      <c r="U897" s="669"/>
      <c r="V897" s="669"/>
      <c r="W897" s="669"/>
      <c r="X897" s="669"/>
      <c r="Y897" s="669"/>
      <c r="Z897" s="669"/>
      <c r="AA897" s="669"/>
    </row>
    <row r="898">
      <c r="A898" s="715"/>
      <c r="B898" s="669"/>
      <c r="C898" s="669"/>
      <c r="D898" s="669"/>
      <c r="E898" s="669"/>
      <c r="F898" s="669"/>
      <c r="G898" s="716"/>
      <c r="H898" s="669"/>
      <c r="I898" s="669"/>
      <c r="J898" s="669"/>
      <c r="K898" s="669"/>
      <c r="L898" s="669"/>
      <c r="M898" s="669"/>
      <c r="N898" s="669"/>
      <c r="O898" s="669"/>
      <c r="P898" s="669"/>
      <c r="Q898" s="669"/>
      <c r="R898" s="669"/>
      <c r="S898" s="669"/>
      <c r="T898" s="669"/>
      <c r="U898" s="669"/>
      <c r="V898" s="669"/>
      <c r="W898" s="669"/>
      <c r="X898" s="669"/>
      <c r="Y898" s="669"/>
      <c r="Z898" s="669"/>
      <c r="AA898" s="669"/>
    </row>
    <row r="899">
      <c r="A899" s="715"/>
      <c r="B899" s="669"/>
      <c r="C899" s="669"/>
      <c r="D899" s="669"/>
      <c r="E899" s="669"/>
      <c r="F899" s="669"/>
      <c r="G899" s="716"/>
      <c r="H899" s="669"/>
      <c r="I899" s="669"/>
      <c r="J899" s="669"/>
      <c r="K899" s="669"/>
      <c r="L899" s="669"/>
      <c r="M899" s="669"/>
      <c r="N899" s="669"/>
      <c r="O899" s="669"/>
      <c r="P899" s="669"/>
      <c r="Q899" s="669"/>
      <c r="R899" s="669"/>
      <c r="S899" s="669"/>
      <c r="T899" s="669"/>
      <c r="U899" s="669"/>
      <c r="V899" s="669"/>
      <c r="W899" s="669"/>
      <c r="X899" s="669"/>
      <c r="Y899" s="669"/>
      <c r="Z899" s="669"/>
      <c r="AA899" s="669"/>
    </row>
    <row r="900">
      <c r="A900" s="715"/>
      <c r="B900" s="669"/>
      <c r="C900" s="669"/>
      <c r="D900" s="669"/>
      <c r="E900" s="669"/>
      <c r="F900" s="669"/>
      <c r="G900" s="716"/>
      <c r="H900" s="669"/>
      <c r="I900" s="669"/>
      <c r="J900" s="669"/>
      <c r="K900" s="669"/>
      <c r="L900" s="669"/>
      <c r="M900" s="669"/>
      <c r="N900" s="669"/>
      <c r="O900" s="669"/>
      <c r="P900" s="669"/>
      <c r="Q900" s="669"/>
      <c r="R900" s="669"/>
      <c r="S900" s="669"/>
      <c r="T900" s="669"/>
      <c r="U900" s="669"/>
      <c r="V900" s="669"/>
      <c r="W900" s="669"/>
      <c r="X900" s="669"/>
      <c r="Y900" s="669"/>
      <c r="Z900" s="669"/>
      <c r="AA900" s="669"/>
    </row>
    <row r="901">
      <c r="A901" s="715"/>
      <c r="B901" s="669"/>
      <c r="C901" s="669"/>
      <c r="D901" s="669"/>
      <c r="E901" s="669"/>
      <c r="F901" s="669"/>
      <c r="G901" s="716"/>
      <c r="H901" s="669"/>
      <c r="I901" s="669"/>
      <c r="J901" s="669"/>
      <c r="K901" s="669"/>
      <c r="L901" s="669"/>
      <c r="M901" s="669"/>
      <c r="N901" s="669"/>
      <c r="O901" s="669"/>
      <c r="P901" s="669"/>
      <c r="Q901" s="669"/>
      <c r="R901" s="669"/>
      <c r="S901" s="669"/>
      <c r="T901" s="669"/>
      <c r="U901" s="669"/>
      <c r="V901" s="669"/>
      <c r="W901" s="669"/>
      <c r="X901" s="669"/>
      <c r="Y901" s="669"/>
      <c r="Z901" s="669"/>
      <c r="AA901" s="669"/>
    </row>
    <row r="902">
      <c r="A902" s="715"/>
      <c r="B902" s="669"/>
      <c r="C902" s="669"/>
      <c r="D902" s="669"/>
      <c r="E902" s="669"/>
      <c r="F902" s="669"/>
      <c r="G902" s="716"/>
      <c r="H902" s="669"/>
      <c r="I902" s="669"/>
      <c r="J902" s="669"/>
      <c r="K902" s="669"/>
      <c r="L902" s="669"/>
      <c r="M902" s="669"/>
      <c r="N902" s="669"/>
      <c r="O902" s="669"/>
      <c r="P902" s="669"/>
      <c r="Q902" s="669"/>
      <c r="R902" s="669"/>
      <c r="S902" s="669"/>
      <c r="T902" s="669"/>
      <c r="U902" s="669"/>
      <c r="V902" s="669"/>
      <c r="W902" s="669"/>
      <c r="X902" s="669"/>
      <c r="Y902" s="669"/>
      <c r="Z902" s="669"/>
      <c r="AA902" s="669"/>
    </row>
    <row r="903">
      <c r="A903" s="715"/>
      <c r="B903" s="669"/>
      <c r="C903" s="669"/>
      <c r="D903" s="669"/>
      <c r="E903" s="669"/>
      <c r="F903" s="669"/>
      <c r="G903" s="716"/>
      <c r="H903" s="669"/>
      <c r="I903" s="669"/>
      <c r="J903" s="669"/>
      <c r="K903" s="669"/>
      <c r="L903" s="669"/>
      <c r="M903" s="669"/>
      <c r="N903" s="669"/>
      <c r="O903" s="669"/>
      <c r="P903" s="669"/>
      <c r="Q903" s="669"/>
      <c r="R903" s="669"/>
      <c r="S903" s="669"/>
      <c r="T903" s="669"/>
      <c r="U903" s="669"/>
      <c r="V903" s="669"/>
      <c r="W903" s="669"/>
      <c r="X903" s="669"/>
      <c r="Y903" s="669"/>
      <c r="Z903" s="669"/>
      <c r="AA903" s="669"/>
    </row>
    <row r="904">
      <c r="A904" s="715"/>
      <c r="B904" s="669"/>
      <c r="C904" s="669"/>
      <c r="D904" s="669"/>
      <c r="E904" s="669"/>
      <c r="F904" s="669"/>
      <c r="G904" s="716"/>
      <c r="H904" s="669"/>
      <c r="I904" s="669"/>
      <c r="J904" s="669"/>
      <c r="K904" s="669"/>
      <c r="L904" s="669"/>
      <c r="M904" s="669"/>
      <c r="N904" s="669"/>
      <c r="O904" s="669"/>
      <c r="P904" s="669"/>
      <c r="Q904" s="669"/>
      <c r="R904" s="669"/>
      <c r="S904" s="669"/>
      <c r="T904" s="669"/>
      <c r="U904" s="669"/>
      <c r="V904" s="669"/>
      <c r="W904" s="669"/>
      <c r="X904" s="669"/>
      <c r="Y904" s="669"/>
      <c r="Z904" s="669"/>
      <c r="AA904" s="669"/>
    </row>
    <row r="905">
      <c r="A905" s="715"/>
      <c r="B905" s="669"/>
      <c r="C905" s="669"/>
      <c r="D905" s="669"/>
      <c r="E905" s="669"/>
      <c r="F905" s="669"/>
      <c r="G905" s="716"/>
      <c r="H905" s="669"/>
      <c r="I905" s="669"/>
      <c r="J905" s="669"/>
      <c r="K905" s="669"/>
      <c r="L905" s="669"/>
      <c r="M905" s="669"/>
      <c r="N905" s="669"/>
      <c r="O905" s="669"/>
      <c r="P905" s="669"/>
      <c r="Q905" s="669"/>
      <c r="R905" s="669"/>
      <c r="S905" s="669"/>
      <c r="T905" s="669"/>
      <c r="U905" s="669"/>
      <c r="V905" s="669"/>
      <c r="W905" s="669"/>
      <c r="X905" s="669"/>
      <c r="Y905" s="669"/>
      <c r="Z905" s="669"/>
      <c r="AA905" s="669"/>
    </row>
    <row r="906">
      <c r="A906" s="715"/>
      <c r="B906" s="669"/>
      <c r="C906" s="669"/>
      <c r="D906" s="669"/>
      <c r="E906" s="669"/>
      <c r="F906" s="669"/>
      <c r="G906" s="716"/>
      <c r="H906" s="669"/>
      <c r="I906" s="669"/>
      <c r="J906" s="669"/>
      <c r="K906" s="669"/>
      <c r="L906" s="669"/>
      <c r="M906" s="669"/>
      <c r="N906" s="669"/>
      <c r="O906" s="669"/>
      <c r="P906" s="669"/>
      <c r="Q906" s="669"/>
      <c r="R906" s="669"/>
      <c r="S906" s="669"/>
      <c r="T906" s="669"/>
      <c r="U906" s="669"/>
      <c r="V906" s="669"/>
      <c r="W906" s="669"/>
      <c r="X906" s="669"/>
      <c r="Y906" s="669"/>
      <c r="Z906" s="669"/>
      <c r="AA906" s="669"/>
    </row>
    <row r="907">
      <c r="A907" s="715"/>
      <c r="B907" s="669"/>
      <c r="C907" s="669"/>
      <c r="D907" s="669"/>
      <c r="E907" s="669"/>
      <c r="F907" s="669"/>
      <c r="G907" s="716"/>
      <c r="H907" s="669"/>
      <c r="I907" s="669"/>
      <c r="J907" s="669"/>
      <c r="K907" s="669"/>
      <c r="L907" s="669"/>
      <c r="M907" s="669"/>
      <c r="N907" s="669"/>
      <c r="O907" s="669"/>
      <c r="P907" s="669"/>
      <c r="Q907" s="669"/>
      <c r="R907" s="669"/>
      <c r="S907" s="669"/>
      <c r="T907" s="669"/>
      <c r="U907" s="669"/>
      <c r="V907" s="669"/>
      <c r="W907" s="669"/>
      <c r="X907" s="669"/>
      <c r="Y907" s="669"/>
      <c r="Z907" s="669"/>
      <c r="AA907" s="669"/>
    </row>
    <row r="908">
      <c r="A908" s="715"/>
      <c r="B908" s="669"/>
      <c r="C908" s="669"/>
      <c r="D908" s="669"/>
      <c r="E908" s="669"/>
      <c r="F908" s="669"/>
      <c r="G908" s="716"/>
      <c r="H908" s="669"/>
      <c r="I908" s="669"/>
      <c r="J908" s="669"/>
      <c r="K908" s="669"/>
      <c r="L908" s="669"/>
      <c r="M908" s="669"/>
      <c r="N908" s="669"/>
      <c r="O908" s="669"/>
      <c r="P908" s="669"/>
      <c r="Q908" s="669"/>
      <c r="R908" s="669"/>
      <c r="S908" s="669"/>
      <c r="T908" s="669"/>
      <c r="U908" s="669"/>
      <c r="V908" s="669"/>
      <c r="W908" s="669"/>
      <c r="X908" s="669"/>
      <c r="Y908" s="669"/>
      <c r="Z908" s="669"/>
      <c r="AA908" s="669"/>
    </row>
    <row r="909">
      <c r="A909" s="715"/>
      <c r="B909" s="669"/>
      <c r="C909" s="669"/>
      <c r="D909" s="669"/>
      <c r="E909" s="669"/>
      <c r="F909" s="669"/>
      <c r="G909" s="716"/>
      <c r="H909" s="669"/>
      <c r="I909" s="669"/>
      <c r="J909" s="669"/>
      <c r="K909" s="669"/>
      <c r="L909" s="669"/>
      <c r="M909" s="669"/>
      <c r="N909" s="669"/>
      <c r="O909" s="669"/>
      <c r="P909" s="669"/>
      <c r="Q909" s="669"/>
      <c r="R909" s="669"/>
      <c r="S909" s="669"/>
      <c r="T909" s="669"/>
      <c r="U909" s="669"/>
      <c r="V909" s="669"/>
      <c r="W909" s="669"/>
      <c r="X909" s="669"/>
      <c r="Y909" s="669"/>
      <c r="Z909" s="669"/>
      <c r="AA909" s="669"/>
    </row>
    <row r="910">
      <c r="A910" s="715"/>
      <c r="B910" s="669"/>
      <c r="C910" s="669"/>
      <c r="D910" s="669"/>
      <c r="E910" s="669"/>
      <c r="F910" s="669"/>
      <c r="G910" s="716"/>
      <c r="H910" s="669"/>
      <c r="I910" s="669"/>
      <c r="J910" s="669"/>
      <c r="K910" s="669"/>
      <c r="L910" s="669"/>
      <c r="M910" s="669"/>
      <c r="N910" s="669"/>
      <c r="O910" s="669"/>
      <c r="P910" s="669"/>
      <c r="Q910" s="669"/>
      <c r="R910" s="669"/>
      <c r="S910" s="669"/>
      <c r="T910" s="669"/>
      <c r="U910" s="669"/>
      <c r="V910" s="669"/>
      <c r="W910" s="669"/>
      <c r="X910" s="669"/>
      <c r="Y910" s="669"/>
      <c r="Z910" s="669"/>
      <c r="AA910" s="669"/>
    </row>
    <row r="911">
      <c r="A911" s="715"/>
      <c r="B911" s="669"/>
      <c r="C911" s="669"/>
      <c r="D911" s="669"/>
      <c r="E911" s="669"/>
      <c r="F911" s="669"/>
      <c r="G911" s="716"/>
      <c r="H911" s="669"/>
      <c r="I911" s="669"/>
      <c r="J911" s="669"/>
      <c r="K911" s="669"/>
      <c r="L911" s="669"/>
      <c r="M911" s="669"/>
      <c r="N911" s="669"/>
      <c r="O911" s="669"/>
      <c r="P911" s="669"/>
      <c r="Q911" s="669"/>
      <c r="R911" s="669"/>
      <c r="S911" s="669"/>
      <c r="T911" s="669"/>
      <c r="U911" s="669"/>
      <c r="V911" s="669"/>
      <c r="W911" s="669"/>
      <c r="X911" s="669"/>
      <c r="Y911" s="669"/>
      <c r="Z911" s="669"/>
      <c r="AA911" s="669"/>
    </row>
    <row r="912">
      <c r="A912" s="715"/>
      <c r="B912" s="669"/>
      <c r="C912" s="669"/>
      <c r="D912" s="669"/>
      <c r="E912" s="669"/>
      <c r="F912" s="669"/>
      <c r="G912" s="716"/>
      <c r="H912" s="669"/>
      <c r="I912" s="669"/>
      <c r="J912" s="669"/>
      <c r="K912" s="669"/>
      <c r="L912" s="669"/>
      <c r="M912" s="669"/>
      <c r="N912" s="669"/>
      <c r="O912" s="669"/>
      <c r="P912" s="669"/>
      <c r="Q912" s="669"/>
      <c r="R912" s="669"/>
      <c r="S912" s="669"/>
      <c r="T912" s="669"/>
      <c r="U912" s="669"/>
      <c r="V912" s="669"/>
      <c r="W912" s="669"/>
      <c r="X912" s="669"/>
      <c r="Y912" s="669"/>
      <c r="Z912" s="669"/>
      <c r="AA912" s="669"/>
    </row>
    <row r="913">
      <c r="A913" s="715"/>
      <c r="B913" s="669"/>
      <c r="C913" s="669"/>
      <c r="D913" s="669"/>
      <c r="E913" s="669"/>
      <c r="F913" s="669"/>
      <c r="G913" s="716"/>
      <c r="H913" s="669"/>
      <c r="I913" s="669"/>
      <c r="J913" s="669"/>
      <c r="K913" s="669"/>
      <c r="L913" s="669"/>
      <c r="M913" s="669"/>
      <c r="N913" s="669"/>
      <c r="O913" s="669"/>
      <c r="P913" s="669"/>
      <c r="Q913" s="669"/>
      <c r="R913" s="669"/>
      <c r="S913" s="669"/>
      <c r="T913" s="669"/>
      <c r="U913" s="669"/>
      <c r="V913" s="669"/>
      <c r="W913" s="669"/>
      <c r="X913" s="669"/>
      <c r="Y913" s="669"/>
      <c r="Z913" s="669"/>
      <c r="AA913" s="669"/>
    </row>
    <row r="914">
      <c r="A914" s="715"/>
      <c r="B914" s="669"/>
      <c r="C914" s="669"/>
      <c r="D914" s="669"/>
      <c r="E914" s="669"/>
      <c r="F914" s="669"/>
      <c r="G914" s="716"/>
      <c r="H914" s="669"/>
      <c r="I914" s="669"/>
      <c r="J914" s="669"/>
      <c r="K914" s="669"/>
      <c r="L914" s="669"/>
      <c r="M914" s="669"/>
      <c r="N914" s="669"/>
      <c r="O914" s="669"/>
      <c r="P914" s="669"/>
      <c r="Q914" s="669"/>
      <c r="R914" s="669"/>
      <c r="S914" s="669"/>
      <c r="T914" s="669"/>
      <c r="U914" s="669"/>
      <c r="V914" s="669"/>
      <c r="W914" s="669"/>
      <c r="X914" s="669"/>
      <c r="Y914" s="669"/>
      <c r="Z914" s="669"/>
      <c r="AA914" s="669"/>
    </row>
    <row r="915">
      <c r="A915" s="715"/>
      <c r="B915" s="669"/>
      <c r="C915" s="669"/>
      <c r="D915" s="669"/>
      <c r="E915" s="669"/>
      <c r="F915" s="669"/>
      <c r="G915" s="716"/>
      <c r="H915" s="669"/>
      <c r="I915" s="669"/>
      <c r="J915" s="669"/>
      <c r="K915" s="669"/>
      <c r="L915" s="669"/>
      <c r="M915" s="669"/>
      <c r="N915" s="669"/>
      <c r="O915" s="669"/>
      <c r="P915" s="669"/>
      <c r="Q915" s="669"/>
      <c r="R915" s="669"/>
      <c r="S915" s="669"/>
      <c r="T915" s="669"/>
      <c r="U915" s="669"/>
      <c r="V915" s="669"/>
      <c r="W915" s="669"/>
      <c r="X915" s="669"/>
      <c r="Y915" s="669"/>
      <c r="Z915" s="669"/>
      <c r="AA915" s="669"/>
    </row>
    <row r="916">
      <c r="A916" s="715"/>
      <c r="B916" s="669"/>
      <c r="C916" s="669"/>
      <c r="D916" s="669"/>
      <c r="E916" s="669"/>
      <c r="F916" s="669"/>
      <c r="G916" s="716"/>
      <c r="H916" s="669"/>
      <c r="I916" s="669"/>
      <c r="J916" s="669"/>
      <c r="K916" s="669"/>
      <c r="L916" s="669"/>
      <c r="M916" s="669"/>
      <c r="N916" s="669"/>
      <c r="O916" s="669"/>
      <c r="P916" s="669"/>
      <c r="Q916" s="669"/>
      <c r="R916" s="669"/>
      <c r="S916" s="669"/>
      <c r="T916" s="669"/>
      <c r="U916" s="669"/>
      <c r="V916" s="669"/>
      <c r="W916" s="669"/>
      <c r="X916" s="669"/>
      <c r="Y916" s="669"/>
      <c r="Z916" s="669"/>
      <c r="AA916" s="669"/>
    </row>
    <row r="917">
      <c r="A917" s="715"/>
      <c r="B917" s="669"/>
      <c r="C917" s="669"/>
      <c r="D917" s="669"/>
      <c r="E917" s="669"/>
      <c r="F917" s="669"/>
      <c r="G917" s="716"/>
      <c r="H917" s="669"/>
      <c r="I917" s="669"/>
      <c r="J917" s="669"/>
      <c r="K917" s="669"/>
      <c r="L917" s="669"/>
      <c r="M917" s="669"/>
      <c r="N917" s="669"/>
      <c r="O917" s="669"/>
      <c r="P917" s="669"/>
      <c r="Q917" s="669"/>
      <c r="R917" s="669"/>
      <c r="S917" s="669"/>
      <c r="T917" s="669"/>
      <c r="U917" s="669"/>
      <c r="V917" s="669"/>
      <c r="W917" s="669"/>
      <c r="X917" s="669"/>
      <c r="Y917" s="669"/>
      <c r="Z917" s="669"/>
      <c r="AA917" s="669"/>
    </row>
    <row r="918">
      <c r="A918" s="715"/>
      <c r="B918" s="669"/>
      <c r="C918" s="669"/>
      <c r="D918" s="669"/>
      <c r="E918" s="669"/>
      <c r="F918" s="669"/>
      <c r="G918" s="716"/>
      <c r="H918" s="669"/>
      <c r="I918" s="669"/>
      <c r="J918" s="669"/>
      <c r="K918" s="669"/>
      <c r="L918" s="669"/>
      <c r="M918" s="669"/>
      <c r="N918" s="669"/>
      <c r="O918" s="669"/>
      <c r="P918" s="669"/>
      <c r="Q918" s="669"/>
      <c r="R918" s="669"/>
      <c r="S918" s="669"/>
      <c r="T918" s="669"/>
      <c r="U918" s="669"/>
      <c r="V918" s="669"/>
      <c r="W918" s="669"/>
      <c r="X918" s="669"/>
      <c r="Y918" s="669"/>
      <c r="Z918" s="669"/>
      <c r="AA918" s="669"/>
    </row>
    <row r="919">
      <c r="A919" s="715"/>
      <c r="B919" s="669"/>
      <c r="C919" s="669"/>
      <c r="D919" s="669"/>
      <c r="E919" s="669"/>
      <c r="F919" s="669"/>
      <c r="G919" s="716"/>
      <c r="H919" s="669"/>
      <c r="I919" s="669"/>
      <c r="J919" s="669"/>
      <c r="K919" s="669"/>
      <c r="L919" s="669"/>
      <c r="M919" s="669"/>
      <c r="N919" s="669"/>
      <c r="O919" s="669"/>
      <c r="P919" s="669"/>
      <c r="Q919" s="669"/>
      <c r="R919" s="669"/>
      <c r="S919" s="669"/>
      <c r="T919" s="669"/>
      <c r="U919" s="669"/>
      <c r="V919" s="669"/>
      <c r="W919" s="669"/>
      <c r="X919" s="669"/>
      <c r="Y919" s="669"/>
      <c r="Z919" s="669"/>
      <c r="AA919" s="669"/>
    </row>
    <row r="920">
      <c r="A920" s="715"/>
      <c r="B920" s="669"/>
      <c r="C920" s="669"/>
      <c r="D920" s="669"/>
      <c r="E920" s="669"/>
      <c r="F920" s="669"/>
      <c r="G920" s="716"/>
      <c r="H920" s="669"/>
      <c r="I920" s="669"/>
      <c r="J920" s="669"/>
      <c r="K920" s="669"/>
      <c r="L920" s="669"/>
      <c r="M920" s="669"/>
      <c r="N920" s="669"/>
      <c r="O920" s="669"/>
      <c r="P920" s="669"/>
      <c r="Q920" s="669"/>
      <c r="R920" s="669"/>
      <c r="S920" s="669"/>
      <c r="T920" s="669"/>
      <c r="U920" s="669"/>
      <c r="V920" s="669"/>
      <c r="W920" s="669"/>
      <c r="X920" s="669"/>
      <c r="Y920" s="669"/>
      <c r="Z920" s="669"/>
      <c r="AA920" s="669"/>
    </row>
    <row r="921">
      <c r="A921" s="715"/>
      <c r="B921" s="669"/>
      <c r="C921" s="669"/>
      <c r="D921" s="669"/>
      <c r="E921" s="669"/>
      <c r="F921" s="669"/>
      <c r="G921" s="716"/>
      <c r="H921" s="669"/>
      <c r="I921" s="669"/>
      <c r="J921" s="669"/>
      <c r="K921" s="669"/>
      <c r="L921" s="669"/>
      <c r="M921" s="669"/>
      <c r="N921" s="669"/>
      <c r="O921" s="669"/>
      <c r="P921" s="669"/>
      <c r="Q921" s="669"/>
      <c r="R921" s="669"/>
      <c r="S921" s="669"/>
      <c r="T921" s="669"/>
      <c r="U921" s="669"/>
      <c r="V921" s="669"/>
      <c r="W921" s="669"/>
      <c r="X921" s="669"/>
      <c r="Y921" s="669"/>
      <c r="Z921" s="669"/>
      <c r="AA921" s="669"/>
    </row>
    <row r="922">
      <c r="A922" s="715"/>
      <c r="B922" s="669"/>
      <c r="C922" s="669"/>
      <c r="D922" s="669"/>
      <c r="E922" s="669"/>
      <c r="F922" s="669"/>
      <c r="G922" s="716"/>
      <c r="H922" s="669"/>
      <c r="I922" s="669"/>
      <c r="J922" s="669"/>
      <c r="K922" s="669"/>
      <c r="L922" s="669"/>
      <c r="M922" s="669"/>
      <c r="N922" s="669"/>
      <c r="O922" s="669"/>
      <c r="P922" s="669"/>
      <c r="Q922" s="669"/>
      <c r="R922" s="669"/>
      <c r="S922" s="669"/>
      <c r="T922" s="669"/>
      <c r="U922" s="669"/>
      <c r="V922" s="669"/>
      <c r="W922" s="669"/>
      <c r="X922" s="669"/>
      <c r="Y922" s="669"/>
      <c r="Z922" s="669"/>
      <c r="AA922" s="669"/>
    </row>
    <row r="923">
      <c r="A923" s="715"/>
      <c r="B923" s="669"/>
      <c r="C923" s="669"/>
      <c r="D923" s="669"/>
      <c r="E923" s="669"/>
      <c r="F923" s="669"/>
      <c r="G923" s="716"/>
      <c r="H923" s="669"/>
      <c r="I923" s="669"/>
      <c r="J923" s="669"/>
      <c r="K923" s="669"/>
      <c r="L923" s="669"/>
      <c r="M923" s="669"/>
      <c r="N923" s="669"/>
      <c r="O923" s="669"/>
      <c r="P923" s="669"/>
      <c r="Q923" s="669"/>
      <c r="R923" s="669"/>
      <c r="S923" s="669"/>
      <c r="T923" s="669"/>
      <c r="U923" s="669"/>
      <c r="V923" s="669"/>
      <c r="W923" s="669"/>
      <c r="X923" s="669"/>
      <c r="Y923" s="669"/>
      <c r="Z923" s="669"/>
      <c r="AA923" s="669"/>
    </row>
    <row r="924">
      <c r="A924" s="715"/>
      <c r="B924" s="669"/>
      <c r="C924" s="669"/>
      <c r="D924" s="669"/>
      <c r="E924" s="669"/>
      <c r="F924" s="669"/>
      <c r="G924" s="716"/>
      <c r="H924" s="669"/>
      <c r="I924" s="669"/>
      <c r="J924" s="669"/>
      <c r="K924" s="669"/>
      <c r="L924" s="669"/>
      <c r="M924" s="669"/>
      <c r="N924" s="669"/>
      <c r="O924" s="669"/>
      <c r="P924" s="669"/>
      <c r="Q924" s="669"/>
      <c r="R924" s="669"/>
      <c r="S924" s="669"/>
      <c r="T924" s="669"/>
      <c r="U924" s="669"/>
      <c r="V924" s="669"/>
      <c r="W924" s="669"/>
      <c r="X924" s="669"/>
      <c r="Y924" s="669"/>
      <c r="Z924" s="669"/>
      <c r="AA924" s="669"/>
    </row>
    <row r="925">
      <c r="A925" s="715"/>
      <c r="B925" s="669"/>
      <c r="C925" s="669"/>
      <c r="D925" s="669"/>
      <c r="E925" s="669"/>
      <c r="F925" s="669"/>
      <c r="G925" s="716"/>
      <c r="H925" s="669"/>
      <c r="I925" s="669"/>
      <c r="J925" s="669"/>
      <c r="K925" s="669"/>
      <c r="L925" s="669"/>
      <c r="M925" s="669"/>
      <c r="N925" s="669"/>
      <c r="O925" s="669"/>
      <c r="P925" s="669"/>
      <c r="Q925" s="669"/>
      <c r="R925" s="669"/>
      <c r="S925" s="669"/>
      <c r="T925" s="669"/>
      <c r="U925" s="669"/>
      <c r="V925" s="669"/>
      <c r="W925" s="669"/>
      <c r="X925" s="669"/>
      <c r="Y925" s="669"/>
      <c r="Z925" s="669"/>
      <c r="AA925" s="669"/>
    </row>
    <row r="926">
      <c r="A926" s="715"/>
      <c r="B926" s="669"/>
      <c r="C926" s="669"/>
      <c r="D926" s="669"/>
      <c r="E926" s="669"/>
      <c r="F926" s="669"/>
      <c r="G926" s="716"/>
      <c r="H926" s="669"/>
      <c r="I926" s="669"/>
      <c r="J926" s="669"/>
      <c r="K926" s="669"/>
      <c r="L926" s="669"/>
      <c r="M926" s="669"/>
      <c r="N926" s="669"/>
      <c r="O926" s="669"/>
      <c r="P926" s="669"/>
      <c r="Q926" s="669"/>
      <c r="R926" s="669"/>
      <c r="S926" s="669"/>
      <c r="T926" s="669"/>
      <c r="U926" s="669"/>
      <c r="V926" s="669"/>
      <c r="W926" s="669"/>
      <c r="X926" s="669"/>
      <c r="Y926" s="669"/>
      <c r="Z926" s="669"/>
      <c r="AA926" s="669"/>
    </row>
    <row r="927">
      <c r="A927" s="715"/>
      <c r="B927" s="669"/>
      <c r="C927" s="669"/>
      <c r="D927" s="669"/>
      <c r="E927" s="669"/>
      <c r="F927" s="669"/>
      <c r="G927" s="716"/>
      <c r="H927" s="669"/>
      <c r="I927" s="669"/>
      <c r="J927" s="669"/>
      <c r="K927" s="669"/>
      <c r="L927" s="669"/>
      <c r="M927" s="669"/>
      <c r="N927" s="669"/>
      <c r="O927" s="669"/>
      <c r="P927" s="669"/>
      <c r="Q927" s="669"/>
      <c r="R927" s="669"/>
      <c r="S927" s="669"/>
      <c r="T927" s="669"/>
      <c r="U927" s="669"/>
      <c r="V927" s="669"/>
      <c r="W927" s="669"/>
      <c r="X927" s="669"/>
      <c r="Y927" s="669"/>
      <c r="Z927" s="669"/>
      <c r="AA927" s="669"/>
    </row>
    <row r="928">
      <c r="A928" s="715"/>
      <c r="B928" s="669"/>
      <c r="C928" s="669"/>
      <c r="D928" s="669"/>
      <c r="E928" s="669"/>
      <c r="F928" s="669"/>
      <c r="G928" s="716"/>
      <c r="H928" s="669"/>
      <c r="I928" s="669"/>
      <c r="J928" s="669"/>
      <c r="K928" s="669"/>
      <c r="L928" s="669"/>
      <c r="M928" s="669"/>
      <c r="N928" s="669"/>
      <c r="O928" s="669"/>
      <c r="P928" s="669"/>
      <c r="Q928" s="669"/>
      <c r="R928" s="669"/>
      <c r="S928" s="669"/>
      <c r="T928" s="669"/>
      <c r="U928" s="669"/>
      <c r="V928" s="669"/>
      <c r="W928" s="669"/>
      <c r="X928" s="669"/>
      <c r="Y928" s="669"/>
      <c r="Z928" s="669"/>
      <c r="AA928" s="669"/>
    </row>
    <row r="929">
      <c r="A929" s="715"/>
      <c r="B929" s="669"/>
      <c r="C929" s="669"/>
      <c r="D929" s="669"/>
      <c r="E929" s="669"/>
      <c r="F929" s="669"/>
      <c r="G929" s="716"/>
      <c r="H929" s="669"/>
      <c r="I929" s="669"/>
      <c r="J929" s="669"/>
      <c r="K929" s="669"/>
      <c r="L929" s="669"/>
      <c r="M929" s="669"/>
      <c r="N929" s="669"/>
      <c r="O929" s="669"/>
      <c r="P929" s="669"/>
      <c r="Q929" s="669"/>
      <c r="R929" s="669"/>
      <c r="S929" s="669"/>
      <c r="T929" s="669"/>
      <c r="U929" s="669"/>
      <c r="V929" s="669"/>
      <c r="W929" s="669"/>
      <c r="X929" s="669"/>
      <c r="Y929" s="669"/>
      <c r="Z929" s="669"/>
      <c r="AA929" s="669"/>
    </row>
    <row r="930">
      <c r="A930" s="715"/>
      <c r="B930" s="669"/>
      <c r="C930" s="669"/>
      <c r="D930" s="669"/>
      <c r="E930" s="669"/>
      <c r="F930" s="669"/>
      <c r="G930" s="716"/>
      <c r="H930" s="669"/>
      <c r="I930" s="669"/>
      <c r="J930" s="669"/>
      <c r="K930" s="669"/>
      <c r="L930" s="669"/>
      <c r="M930" s="669"/>
      <c r="N930" s="669"/>
      <c r="O930" s="669"/>
      <c r="P930" s="669"/>
      <c r="Q930" s="669"/>
      <c r="R930" s="669"/>
      <c r="S930" s="669"/>
      <c r="T930" s="669"/>
      <c r="U930" s="669"/>
      <c r="V930" s="669"/>
      <c r="W930" s="669"/>
      <c r="X930" s="669"/>
      <c r="Y930" s="669"/>
      <c r="Z930" s="669"/>
      <c r="AA930" s="669"/>
    </row>
    <row r="931">
      <c r="A931" s="715"/>
      <c r="B931" s="669"/>
      <c r="C931" s="669"/>
      <c r="D931" s="669"/>
      <c r="E931" s="669"/>
      <c r="F931" s="669"/>
      <c r="G931" s="716"/>
      <c r="H931" s="669"/>
      <c r="I931" s="669"/>
      <c r="J931" s="669"/>
      <c r="K931" s="669"/>
      <c r="L931" s="669"/>
      <c r="M931" s="669"/>
      <c r="N931" s="669"/>
      <c r="O931" s="669"/>
      <c r="P931" s="669"/>
      <c r="Q931" s="669"/>
      <c r="R931" s="669"/>
      <c r="S931" s="669"/>
      <c r="T931" s="669"/>
      <c r="U931" s="669"/>
      <c r="V931" s="669"/>
      <c r="W931" s="669"/>
      <c r="X931" s="669"/>
      <c r="Y931" s="669"/>
      <c r="Z931" s="669"/>
      <c r="AA931" s="669"/>
    </row>
    <row r="932">
      <c r="A932" s="715"/>
      <c r="B932" s="669"/>
      <c r="C932" s="669"/>
      <c r="D932" s="669"/>
      <c r="E932" s="669"/>
      <c r="F932" s="669"/>
      <c r="G932" s="716"/>
      <c r="H932" s="669"/>
      <c r="I932" s="669"/>
      <c r="J932" s="669"/>
      <c r="K932" s="669"/>
      <c r="L932" s="669"/>
      <c r="M932" s="669"/>
      <c r="N932" s="669"/>
      <c r="O932" s="669"/>
      <c r="P932" s="669"/>
      <c r="Q932" s="669"/>
      <c r="R932" s="669"/>
      <c r="S932" s="669"/>
      <c r="T932" s="669"/>
      <c r="U932" s="669"/>
      <c r="V932" s="669"/>
      <c r="W932" s="669"/>
      <c r="X932" s="669"/>
      <c r="Y932" s="669"/>
      <c r="Z932" s="669"/>
      <c r="AA932" s="669"/>
    </row>
    <row r="933">
      <c r="A933" s="715"/>
      <c r="B933" s="669"/>
      <c r="C933" s="669"/>
      <c r="D933" s="669"/>
      <c r="E933" s="669"/>
      <c r="F933" s="669"/>
      <c r="G933" s="716"/>
      <c r="H933" s="669"/>
      <c r="I933" s="669"/>
      <c r="J933" s="669"/>
      <c r="K933" s="669"/>
      <c r="L933" s="669"/>
      <c r="M933" s="669"/>
      <c r="N933" s="669"/>
      <c r="O933" s="669"/>
      <c r="P933" s="669"/>
      <c r="Q933" s="669"/>
      <c r="R933" s="669"/>
      <c r="S933" s="669"/>
      <c r="T933" s="669"/>
      <c r="U933" s="669"/>
      <c r="V933" s="669"/>
      <c r="W933" s="669"/>
      <c r="X933" s="669"/>
      <c r="Y933" s="669"/>
      <c r="Z933" s="669"/>
      <c r="AA933" s="669"/>
    </row>
    <row r="934">
      <c r="A934" s="715"/>
      <c r="B934" s="669"/>
      <c r="C934" s="669"/>
      <c r="D934" s="669"/>
      <c r="E934" s="669"/>
      <c r="F934" s="669"/>
      <c r="G934" s="716"/>
      <c r="H934" s="669"/>
      <c r="I934" s="669"/>
      <c r="J934" s="669"/>
      <c r="K934" s="669"/>
      <c r="L934" s="669"/>
      <c r="M934" s="669"/>
      <c r="N934" s="669"/>
      <c r="O934" s="669"/>
      <c r="P934" s="669"/>
      <c r="Q934" s="669"/>
      <c r="R934" s="669"/>
      <c r="S934" s="669"/>
      <c r="T934" s="669"/>
      <c r="U934" s="669"/>
      <c r="V934" s="669"/>
      <c r="W934" s="669"/>
      <c r="X934" s="669"/>
      <c r="Y934" s="669"/>
      <c r="Z934" s="669"/>
      <c r="AA934" s="669"/>
    </row>
    <row r="935">
      <c r="A935" s="715"/>
      <c r="B935" s="669"/>
      <c r="C935" s="669"/>
      <c r="D935" s="669"/>
      <c r="E935" s="669"/>
      <c r="F935" s="669"/>
      <c r="G935" s="716"/>
      <c r="H935" s="669"/>
      <c r="I935" s="669"/>
      <c r="J935" s="669"/>
      <c r="K935" s="669"/>
      <c r="L935" s="669"/>
      <c r="M935" s="669"/>
      <c r="N935" s="669"/>
      <c r="O935" s="669"/>
      <c r="P935" s="669"/>
      <c r="Q935" s="669"/>
      <c r="R935" s="669"/>
      <c r="S935" s="669"/>
      <c r="T935" s="669"/>
      <c r="U935" s="669"/>
      <c r="V935" s="669"/>
      <c r="W935" s="669"/>
      <c r="X935" s="669"/>
      <c r="Y935" s="669"/>
      <c r="Z935" s="669"/>
      <c r="AA935" s="669"/>
    </row>
    <row r="936">
      <c r="A936" s="715"/>
      <c r="B936" s="669"/>
      <c r="C936" s="669"/>
      <c r="D936" s="669"/>
      <c r="E936" s="669"/>
      <c r="F936" s="669"/>
      <c r="G936" s="716"/>
      <c r="H936" s="669"/>
      <c r="I936" s="669"/>
      <c r="J936" s="669"/>
      <c r="K936" s="669"/>
      <c r="L936" s="669"/>
      <c r="M936" s="669"/>
      <c r="N936" s="669"/>
      <c r="O936" s="669"/>
      <c r="P936" s="669"/>
      <c r="Q936" s="669"/>
      <c r="R936" s="669"/>
      <c r="S936" s="669"/>
      <c r="T936" s="669"/>
      <c r="U936" s="669"/>
      <c r="V936" s="669"/>
      <c r="W936" s="669"/>
      <c r="X936" s="669"/>
      <c r="Y936" s="669"/>
      <c r="Z936" s="669"/>
      <c r="AA936" s="669"/>
    </row>
    <row r="937">
      <c r="A937" s="715"/>
      <c r="B937" s="669"/>
      <c r="C937" s="669"/>
      <c r="D937" s="669"/>
      <c r="E937" s="669"/>
      <c r="F937" s="669"/>
      <c r="G937" s="716"/>
      <c r="H937" s="669"/>
      <c r="I937" s="669"/>
      <c r="J937" s="669"/>
      <c r="K937" s="669"/>
      <c r="L937" s="669"/>
      <c r="M937" s="669"/>
      <c r="N937" s="669"/>
      <c r="O937" s="669"/>
      <c r="P937" s="669"/>
      <c r="Q937" s="669"/>
      <c r="R937" s="669"/>
      <c r="S937" s="669"/>
      <c r="T937" s="669"/>
      <c r="U937" s="669"/>
      <c r="V937" s="669"/>
      <c r="W937" s="669"/>
      <c r="X937" s="669"/>
      <c r="Y937" s="669"/>
      <c r="Z937" s="669"/>
      <c r="AA937" s="669"/>
    </row>
    <row r="938">
      <c r="A938" s="715"/>
      <c r="B938" s="669"/>
      <c r="C938" s="669"/>
      <c r="D938" s="669"/>
      <c r="E938" s="669"/>
      <c r="F938" s="669"/>
      <c r="G938" s="716"/>
      <c r="H938" s="669"/>
      <c r="I938" s="669"/>
      <c r="J938" s="669"/>
      <c r="K938" s="669"/>
      <c r="L938" s="669"/>
      <c r="M938" s="669"/>
      <c r="N938" s="669"/>
      <c r="O938" s="669"/>
      <c r="P938" s="669"/>
      <c r="Q938" s="669"/>
      <c r="R938" s="669"/>
      <c r="S938" s="669"/>
      <c r="T938" s="669"/>
      <c r="U938" s="669"/>
      <c r="V938" s="669"/>
      <c r="W938" s="669"/>
      <c r="X938" s="669"/>
      <c r="Y938" s="669"/>
      <c r="Z938" s="669"/>
      <c r="AA938" s="669"/>
    </row>
    <row r="939">
      <c r="A939" s="715"/>
      <c r="B939" s="669"/>
      <c r="C939" s="669"/>
      <c r="D939" s="669"/>
      <c r="E939" s="669"/>
      <c r="F939" s="669"/>
      <c r="G939" s="716"/>
      <c r="H939" s="669"/>
      <c r="I939" s="669"/>
      <c r="J939" s="669"/>
      <c r="K939" s="669"/>
      <c r="L939" s="669"/>
      <c r="M939" s="669"/>
      <c r="N939" s="669"/>
      <c r="O939" s="669"/>
      <c r="P939" s="669"/>
      <c r="Q939" s="669"/>
      <c r="R939" s="669"/>
      <c r="S939" s="669"/>
      <c r="T939" s="669"/>
      <c r="U939" s="669"/>
      <c r="V939" s="669"/>
      <c r="W939" s="669"/>
      <c r="X939" s="669"/>
      <c r="Y939" s="669"/>
      <c r="Z939" s="669"/>
      <c r="AA939" s="669"/>
    </row>
    <row r="940">
      <c r="A940" s="715"/>
      <c r="B940" s="669"/>
      <c r="C940" s="669"/>
      <c r="D940" s="669"/>
      <c r="E940" s="669"/>
      <c r="F940" s="669"/>
      <c r="G940" s="716"/>
      <c r="H940" s="669"/>
      <c r="I940" s="669"/>
      <c r="J940" s="669"/>
      <c r="K940" s="669"/>
      <c r="L940" s="669"/>
      <c r="M940" s="669"/>
      <c r="N940" s="669"/>
      <c r="O940" s="669"/>
      <c r="P940" s="669"/>
      <c r="Q940" s="669"/>
      <c r="R940" s="669"/>
      <c r="S940" s="669"/>
      <c r="T940" s="669"/>
      <c r="U940" s="669"/>
      <c r="V940" s="669"/>
      <c r="W940" s="669"/>
      <c r="X940" s="669"/>
      <c r="Y940" s="669"/>
      <c r="Z940" s="669"/>
      <c r="AA940" s="669"/>
    </row>
    <row r="941">
      <c r="A941" s="715"/>
      <c r="B941" s="669"/>
      <c r="C941" s="669"/>
      <c r="D941" s="669"/>
      <c r="E941" s="669"/>
      <c r="F941" s="669"/>
      <c r="G941" s="716"/>
      <c r="H941" s="669"/>
      <c r="I941" s="669"/>
      <c r="J941" s="669"/>
      <c r="K941" s="669"/>
      <c r="L941" s="669"/>
      <c r="M941" s="669"/>
      <c r="N941" s="669"/>
      <c r="O941" s="669"/>
      <c r="P941" s="669"/>
      <c r="Q941" s="669"/>
      <c r="R941" s="669"/>
      <c r="S941" s="669"/>
      <c r="T941" s="669"/>
      <c r="U941" s="669"/>
      <c r="V941" s="669"/>
      <c r="W941" s="669"/>
      <c r="X941" s="669"/>
      <c r="Y941" s="669"/>
      <c r="Z941" s="669"/>
      <c r="AA941" s="669"/>
    </row>
    <row r="942">
      <c r="A942" s="715"/>
      <c r="B942" s="669"/>
      <c r="C942" s="669"/>
      <c r="D942" s="669"/>
      <c r="E942" s="669"/>
      <c r="F942" s="669"/>
      <c r="G942" s="716"/>
      <c r="H942" s="669"/>
      <c r="I942" s="669"/>
      <c r="J942" s="669"/>
      <c r="K942" s="669"/>
      <c r="L942" s="669"/>
      <c r="M942" s="669"/>
      <c r="N942" s="669"/>
      <c r="O942" s="669"/>
      <c r="P942" s="669"/>
      <c r="Q942" s="669"/>
      <c r="R942" s="669"/>
      <c r="S942" s="669"/>
      <c r="T942" s="669"/>
      <c r="U942" s="669"/>
      <c r="V942" s="669"/>
      <c r="W942" s="669"/>
      <c r="X942" s="669"/>
      <c r="Y942" s="669"/>
      <c r="Z942" s="669"/>
      <c r="AA942" s="669"/>
    </row>
    <row r="943">
      <c r="A943" s="715"/>
      <c r="B943" s="669"/>
      <c r="C943" s="669"/>
      <c r="D943" s="669"/>
      <c r="E943" s="669"/>
      <c r="F943" s="669"/>
      <c r="G943" s="716"/>
      <c r="H943" s="669"/>
      <c r="I943" s="669"/>
      <c r="J943" s="669"/>
      <c r="K943" s="669"/>
      <c r="L943" s="669"/>
      <c r="M943" s="669"/>
      <c r="N943" s="669"/>
      <c r="O943" s="669"/>
      <c r="P943" s="669"/>
      <c r="Q943" s="669"/>
      <c r="R943" s="669"/>
      <c r="S943" s="669"/>
      <c r="T943" s="669"/>
      <c r="U943" s="669"/>
      <c r="V943" s="669"/>
      <c r="W943" s="669"/>
      <c r="X943" s="669"/>
      <c r="Y943" s="669"/>
      <c r="Z943" s="669"/>
      <c r="AA943" s="669"/>
    </row>
    <row r="944">
      <c r="A944" s="715"/>
      <c r="B944" s="669"/>
      <c r="C944" s="669"/>
      <c r="D944" s="669"/>
      <c r="E944" s="669"/>
      <c r="F944" s="669"/>
      <c r="G944" s="716"/>
      <c r="H944" s="669"/>
      <c r="I944" s="669"/>
      <c r="J944" s="669"/>
      <c r="K944" s="669"/>
      <c r="L944" s="669"/>
      <c r="M944" s="669"/>
      <c r="N944" s="669"/>
      <c r="O944" s="669"/>
      <c r="P944" s="669"/>
      <c r="Q944" s="669"/>
      <c r="R944" s="669"/>
      <c r="S944" s="669"/>
      <c r="T944" s="669"/>
      <c r="U944" s="669"/>
      <c r="V944" s="669"/>
      <c r="W944" s="669"/>
      <c r="X944" s="669"/>
      <c r="Y944" s="669"/>
      <c r="Z944" s="669"/>
      <c r="AA944" s="669"/>
    </row>
    <row r="945">
      <c r="A945" s="715"/>
      <c r="B945" s="669"/>
      <c r="C945" s="669"/>
      <c r="D945" s="669"/>
      <c r="E945" s="669"/>
      <c r="F945" s="669"/>
      <c r="G945" s="716"/>
      <c r="H945" s="669"/>
      <c r="I945" s="669"/>
      <c r="J945" s="669"/>
      <c r="K945" s="669"/>
      <c r="L945" s="669"/>
      <c r="M945" s="669"/>
      <c r="N945" s="669"/>
      <c r="O945" s="669"/>
      <c r="P945" s="669"/>
      <c r="Q945" s="669"/>
      <c r="R945" s="669"/>
      <c r="S945" s="669"/>
      <c r="T945" s="669"/>
      <c r="U945" s="669"/>
      <c r="V945" s="669"/>
      <c r="W945" s="669"/>
      <c r="X945" s="669"/>
      <c r="Y945" s="669"/>
      <c r="Z945" s="669"/>
      <c r="AA945" s="669"/>
    </row>
    <row r="946">
      <c r="A946" s="715"/>
      <c r="B946" s="669"/>
      <c r="C946" s="669"/>
      <c r="D946" s="669"/>
      <c r="E946" s="669"/>
      <c r="F946" s="669"/>
      <c r="G946" s="716"/>
      <c r="H946" s="669"/>
      <c r="I946" s="669"/>
      <c r="J946" s="669"/>
      <c r="K946" s="669"/>
      <c r="L946" s="669"/>
      <c r="M946" s="669"/>
      <c r="N946" s="669"/>
      <c r="O946" s="669"/>
      <c r="P946" s="669"/>
      <c r="Q946" s="669"/>
      <c r="R946" s="669"/>
      <c r="S946" s="669"/>
      <c r="T946" s="669"/>
      <c r="U946" s="669"/>
      <c r="V946" s="669"/>
      <c r="W946" s="669"/>
      <c r="X946" s="669"/>
      <c r="Y946" s="669"/>
      <c r="Z946" s="669"/>
      <c r="AA946" s="669"/>
    </row>
    <row r="947">
      <c r="A947" s="715"/>
      <c r="B947" s="669"/>
      <c r="C947" s="669"/>
      <c r="D947" s="669"/>
      <c r="E947" s="669"/>
      <c r="F947" s="669"/>
      <c r="G947" s="716"/>
      <c r="H947" s="669"/>
      <c r="I947" s="669"/>
      <c r="J947" s="669"/>
      <c r="K947" s="669"/>
      <c r="L947" s="669"/>
      <c r="M947" s="669"/>
      <c r="N947" s="669"/>
      <c r="O947" s="669"/>
      <c r="P947" s="669"/>
      <c r="Q947" s="669"/>
      <c r="R947" s="669"/>
      <c r="S947" s="669"/>
      <c r="T947" s="669"/>
      <c r="U947" s="669"/>
      <c r="V947" s="669"/>
      <c r="W947" s="669"/>
      <c r="X947" s="669"/>
      <c r="Y947" s="669"/>
      <c r="Z947" s="669"/>
      <c r="AA947" s="669"/>
    </row>
    <row r="948">
      <c r="A948" s="715"/>
      <c r="B948" s="669"/>
      <c r="C948" s="669"/>
      <c r="D948" s="669"/>
      <c r="E948" s="669"/>
      <c r="F948" s="669"/>
      <c r="G948" s="716"/>
      <c r="H948" s="669"/>
      <c r="I948" s="669"/>
      <c r="J948" s="669"/>
      <c r="K948" s="669"/>
      <c r="L948" s="669"/>
      <c r="M948" s="669"/>
      <c r="N948" s="669"/>
      <c r="O948" s="669"/>
      <c r="P948" s="669"/>
      <c r="Q948" s="669"/>
      <c r="R948" s="669"/>
      <c r="S948" s="669"/>
      <c r="T948" s="669"/>
      <c r="U948" s="669"/>
      <c r="V948" s="669"/>
      <c r="W948" s="669"/>
      <c r="X948" s="669"/>
      <c r="Y948" s="669"/>
      <c r="Z948" s="669"/>
      <c r="AA948" s="669"/>
    </row>
    <row r="949">
      <c r="A949" s="715"/>
      <c r="B949" s="669"/>
      <c r="C949" s="669"/>
      <c r="D949" s="669"/>
      <c r="E949" s="669"/>
      <c r="F949" s="669"/>
      <c r="G949" s="716"/>
      <c r="H949" s="669"/>
      <c r="I949" s="669"/>
      <c r="J949" s="669"/>
      <c r="K949" s="669"/>
      <c r="L949" s="669"/>
      <c r="M949" s="669"/>
      <c r="N949" s="669"/>
      <c r="O949" s="669"/>
      <c r="P949" s="669"/>
      <c r="Q949" s="669"/>
      <c r="R949" s="669"/>
      <c r="S949" s="669"/>
      <c r="T949" s="669"/>
      <c r="U949" s="669"/>
      <c r="V949" s="669"/>
      <c r="W949" s="669"/>
      <c r="X949" s="669"/>
      <c r="Y949" s="669"/>
      <c r="Z949" s="669"/>
      <c r="AA949" s="669"/>
    </row>
    <row r="950">
      <c r="A950" s="715"/>
      <c r="B950" s="669"/>
      <c r="C950" s="669"/>
      <c r="D950" s="669"/>
      <c r="E950" s="669"/>
      <c r="F950" s="669"/>
      <c r="G950" s="716"/>
      <c r="H950" s="669"/>
      <c r="I950" s="669"/>
      <c r="J950" s="669"/>
      <c r="K950" s="669"/>
      <c r="L950" s="669"/>
      <c r="M950" s="669"/>
      <c r="N950" s="669"/>
      <c r="O950" s="669"/>
      <c r="P950" s="669"/>
      <c r="Q950" s="669"/>
      <c r="R950" s="669"/>
      <c r="S950" s="669"/>
      <c r="T950" s="669"/>
      <c r="U950" s="669"/>
      <c r="V950" s="669"/>
      <c r="W950" s="669"/>
      <c r="X950" s="669"/>
      <c r="Y950" s="669"/>
      <c r="Z950" s="669"/>
      <c r="AA950" s="669"/>
    </row>
    <row r="951">
      <c r="A951" s="715"/>
      <c r="B951" s="669"/>
      <c r="C951" s="669"/>
      <c r="D951" s="669"/>
      <c r="E951" s="669"/>
      <c r="F951" s="669"/>
      <c r="G951" s="716"/>
      <c r="H951" s="669"/>
      <c r="I951" s="669"/>
      <c r="J951" s="669"/>
      <c r="K951" s="669"/>
      <c r="L951" s="669"/>
      <c r="M951" s="669"/>
      <c r="N951" s="669"/>
      <c r="O951" s="669"/>
      <c r="P951" s="669"/>
      <c r="Q951" s="669"/>
      <c r="R951" s="669"/>
      <c r="S951" s="669"/>
      <c r="T951" s="669"/>
      <c r="U951" s="669"/>
      <c r="V951" s="669"/>
      <c r="W951" s="669"/>
      <c r="X951" s="669"/>
      <c r="Y951" s="669"/>
      <c r="Z951" s="669"/>
      <c r="AA951" s="669"/>
    </row>
    <row r="952">
      <c r="A952" s="715"/>
      <c r="B952" s="669"/>
      <c r="C952" s="669"/>
      <c r="D952" s="669"/>
      <c r="E952" s="669"/>
      <c r="F952" s="669"/>
      <c r="G952" s="716"/>
      <c r="H952" s="669"/>
      <c r="I952" s="669"/>
      <c r="J952" s="669"/>
      <c r="K952" s="669"/>
      <c r="L952" s="669"/>
      <c r="M952" s="669"/>
      <c r="N952" s="669"/>
      <c r="O952" s="669"/>
      <c r="P952" s="669"/>
      <c r="Q952" s="669"/>
      <c r="R952" s="669"/>
      <c r="S952" s="669"/>
      <c r="T952" s="669"/>
      <c r="U952" s="669"/>
      <c r="V952" s="669"/>
      <c r="W952" s="669"/>
      <c r="X952" s="669"/>
      <c r="Y952" s="669"/>
      <c r="Z952" s="669"/>
      <c r="AA952" s="669"/>
    </row>
    <row r="953">
      <c r="A953" s="715"/>
      <c r="B953" s="669"/>
      <c r="C953" s="669"/>
      <c r="D953" s="669"/>
      <c r="E953" s="669"/>
      <c r="F953" s="669"/>
      <c r="G953" s="716"/>
      <c r="H953" s="669"/>
      <c r="I953" s="669"/>
      <c r="J953" s="669"/>
      <c r="K953" s="669"/>
      <c r="L953" s="669"/>
      <c r="M953" s="669"/>
      <c r="N953" s="669"/>
      <c r="O953" s="669"/>
      <c r="P953" s="669"/>
      <c r="Q953" s="669"/>
      <c r="R953" s="669"/>
      <c r="S953" s="669"/>
      <c r="T953" s="669"/>
      <c r="U953" s="669"/>
      <c r="V953" s="669"/>
      <c r="W953" s="669"/>
      <c r="X953" s="669"/>
      <c r="Y953" s="669"/>
      <c r="Z953" s="669"/>
      <c r="AA953" s="669"/>
    </row>
    <row r="954">
      <c r="A954" s="715"/>
      <c r="B954" s="669"/>
      <c r="C954" s="669"/>
      <c r="D954" s="669"/>
      <c r="E954" s="669"/>
      <c r="F954" s="669"/>
      <c r="G954" s="716"/>
      <c r="H954" s="669"/>
      <c r="I954" s="669"/>
      <c r="J954" s="669"/>
      <c r="K954" s="669"/>
      <c r="L954" s="669"/>
      <c r="M954" s="669"/>
      <c r="N954" s="669"/>
      <c r="O954" s="669"/>
      <c r="P954" s="669"/>
      <c r="Q954" s="669"/>
      <c r="R954" s="669"/>
      <c r="S954" s="669"/>
      <c r="T954" s="669"/>
      <c r="U954" s="669"/>
      <c r="V954" s="669"/>
      <c r="W954" s="669"/>
      <c r="X954" s="669"/>
      <c r="Y954" s="669"/>
      <c r="Z954" s="669"/>
      <c r="AA954" s="669"/>
    </row>
    <row r="955">
      <c r="A955" s="715"/>
      <c r="B955" s="669"/>
      <c r="C955" s="669"/>
      <c r="D955" s="669"/>
      <c r="E955" s="669"/>
      <c r="F955" s="669"/>
      <c r="G955" s="716"/>
      <c r="H955" s="669"/>
      <c r="I955" s="669"/>
      <c r="J955" s="669"/>
      <c r="K955" s="669"/>
      <c r="L955" s="669"/>
      <c r="M955" s="669"/>
      <c r="N955" s="669"/>
      <c r="O955" s="669"/>
      <c r="P955" s="669"/>
      <c r="Q955" s="669"/>
      <c r="R955" s="669"/>
      <c r="S955" s="669"/>
      <c r="T955" s="669"/>
      <c r="U955" s="669"/>
      <c r="V955" s="669"/>
      <c r="W955" s="669"/>
      <c r="X955" s="669"/>
      <c r="Y955" s="669"/>
      <c r="Z955" s="669"/>
      <c r="AA955" s="669"/>
    </row>
    <row r="956">
      <c r="A956" s="715"/>
      <c r="B956" s="669"/>
      <c r="C956" s="669"/>
      <c r="D956" s="669"/>
      <c r="E956" s="669"/>
      <c r="F956" s="669"/>
      <c r="G956" s="716"/>
      <c r="H956" s="669"/>
      <c r="I956" s="669"/>
      <c r="J956" s="669"/>
      <c r="K956" s="669"/>
      <c r="L956" s="669"/>
      <c r="M956" s="669"/>
      <c r="N956" s="669"/>
      <c r="O956" s="669"/>
      <c r="P956" s="669"/>
      <c r="Q956" s="669"/>
      <c r="R956" s="669"/>
      <c r="S956" s="669"/>
      <c r="T956" s="669"/>
      <c r="U956" s="669"/>
      <c r="V956" s="669"/>
      <c r="W956" s="669"/>
      <c r="X956" s="669"/>
      <c r="Y956" s="669"/>
      <c r="Z956" s="669"/>
      <c r="AA956" s="669"/>
    </row>
    <row r="957">
      <c r="A957" s="715"/>
      <c r="B957" s="669"/>
      <c r="C957" s="669"/>
      <c r="D957" s="669"/>
      <c r="E957" s="669"/>
      <c r="F957" s="669"/>
      <c r="G957" s="716"/>
      <c r="H957" s="669"/>
      <c r="I957" s="669"/>
      <c r="J957" s="669"/>
      <c r="K957" s="669"/>
      <c r="L957" s="669"/>
      <c r="M957" s="669"/>
      <c r="N957" s="669"/>
      <c r="O957" s="669"/>
      <c r="P957" s="669"/>
      <c r="Q957" s="669"/>
      <c r="R957" s="669"/>
      <c r="S957" s="669"/>
      <c r="T957" s="669"/>
      <c r="U957" s="669"/>
      <c r="V957" s="669"/>
      <c r="W957" s="669"/>
      <c r="X957" s="669"/>
      <c r="Y957" s="669"/>
      <c r="Z957" s="669"/>
      <c r="AA957" s="669"/>
    </row>
    <row r="958">
      <c r="A958" s="715"/>
      <c r="B958" s="669"/>
      <c r="C958" s="669"/>
      <c r="D958" s="669"/>
      <c r="E958" s="669"/>
      <c r="F958" s="669"/>
      <c r="G958" s="716"/>
      <c r="H958" s="669"/>
      <c r="I958" s="669"/>
      <c r="J958" s="669"/>
      <c r="K958" s="669"/>
      <c r="L958" s="669"/>
      <c r="M958" s="669"/>
      <c r="N958" s="669"/>
      <c r="O958" s="669"/>
      <c r="P958" s="669"/>
      <c r="Q958" s="669"/>
      <c r="R958" s="669"/>
      <c r="S958" s="669"/>
      <c r="T958" s="669"/>
      <c r="U958" s="669"/>
      <c r="V958" s="669"/>
      <c r="W958" s="669"/>
      <c r="X958" s="669"/>
      <c r="Y958" s="669"/>
      <c r="Z958" s="669"/>
      <c r="AA958" s="669"/>
    </row>
    <row r="959">
      <c r="A959" s="715"/>
      <c r="B959" s="669"/>
      <c r="C959" s="669"/>
      <c r="D959" s="669"/>
      <c r="E959" s="669"/>
      <c r="F959" s="669"/>
      <c r="G959" s="716"/>
      <c r="H959" s="669"/>
      <c r="I959" s="669"/>
      <c r="J959" s="669"/>
      <c r="K959" s="669"/>
      <c r="L959" s="669"/>
      <c r="M959" s="669"/>
      <c r="N959" s="669"/>
      <c r="O959" s="669"/>
      <c r="P959" s="669"/>
      <c r="Q959" s="669"/>
      <c r="R959" s="669"/>
      <c r="S959" s="669"/>
      <c r="T959" s="669"/>
      <c r="U959" s="669"/>
      <c r="V959" s="669"/>
      <c r="W959" s="669"/>
      <c r="X959" s="669"/>
      <c r="Y959" s="669"/>
      <c r="Z959" s="669"/>
      <c r="AA959" s="669"/>
    </row>
    <row r="960">
      <c r="A960" s="715"/>
      <c r="B960" s="669"/>
      <c r="C960" s="669"/>
      <c r="D960" s="669"/>
      <c r="E960" s="669"/>
      <c r="F960" s="669"/>
      <c r="G960" s="716"/>
      <c r="H960" s="669"/>
      <c r="I960" s="669"/>
      <c r="J960" s="669"/>
      <c r="K960" s="669"/>
      <c r="L960" s="669"/>
      <c r="M960" s="669"/>
      <c r="N960" s="669"/>
      <c r="O960" s="669"/>
      <c r="P960" s="669"/>
      <c r="Q960" s="669"/>
      <c r="R960" s="669"/>
      <c r="S960" s="669"/>
      <c r="T960" s="669"/>
      <c r="U960" s="669"/>
      <c r="V960" s="669"/>
      <c r="W960" s="669"/>
      <c r="X960" s="669"/>
      <c r="Y960" s="669"/>
      <c r="Z960" s="669"/>
      <c r="AA960" s="669"/>
    </row>
    <row r="961">
      <c r="A961" s="715"/>
      <c r="B961" s="669"/>
      <c r="C961" s="669"/>
      <c r="D961" s="669"/>
      <c r="E961" s="669"/>
      <c r="F961" s="669"/>
      <c r="G961" s="716"/>
      <c r="H961" s="669"/>
      <c r="I961" s="669"/>
      <c r="J961" s="669"/>
      <c r="K961" s="669"/>
      <c r="L961" s="669"/>
      <c r="M961" s="669"/>
      <c r="N961" s="669"/>
      <c r="O961" s="669"/>
      <c r="P961" s="669"/>
      <c r="Q961" s="669"/>
      <c r="R961" s="669"/>
      <c r="S961" s="669"/>
      <c r="T961" s="669"/>
      <c r="U961" s="669"/>
      <c r="V961" s="669"/>
      <c r="W961" s="669"/>
      <c r="X961" s="669"/>
      <c r="Y961" s="669"/>
      <c r="Z961" s="669"/>
      <c r="AA961" s="669"/>
    </row>
    <row r="962">
      <c r="A962" s="715"/>
      <c r="B962" s="669"/>
      <c r="C962" s="669"/>
      <c r="D962" s="669"/>
      <c r="E962" s="669"/>
      <c r="F962" s="669"/>
      <c r="G962" s="716"/>
      <c r="H962" s="669"/>
      <c r="I962" s="669"/>
      <c r="J962" s="669"/>
      <c r="K962" s="669"/>
      <c r="L962" s="669"/>
      <c r="M962" s="669"/>
      <c r="N962" s="669"/>
      <c r="O962" s="669"/>
      <c r="P962" s="669"/>
      <c r="Q962" s="669"/>
      <c r="R962" s="669"/>
      <c r="S962" s="669"/>
      <c r="T962" s="669"/>
      <c r="U962" s="669"/>
      <c r="V962" s="669"/>
      <c r="W962" s="669"/>
      <c r="X962" s="669"/>
      <c r="Y962" s="669"/>
      <c r="Z962" s="669"/>
      <c r="AA962" s="669"/>
    </row>
    <row r="963">
      <c r="A963" s="715"/>
      <c r="B963" s="669"/>
      <c r="C963" s="669"/>
      <c r="D963" s="669"/>
      <c r="E963" s="669"/>
      <c r="F963" s="669"/>
      <c r="G963" s="716"/>
      <c r="H963" s="669"/>
      <c r="I963" s="669"/>
      <c r="J963" s="669"/>
      <c r="K963" s="669"/>
      <c r="L963" s="669"/>
      <c r="M963" s="669"/>
      <c r="N963" s="669"/>
      <c r="O963" s="669"/>
      <c r="P963" s="669"/>
      <c r="Q963" s="669"/>
      <c r="R963" s="669"/>
      <c r="S963" s="669"/>
      <c r="T963" s="669"/>
      <c r="U963" s="669"/>
      <c r="V963" s="669"/>
      <c r="W963" s="669"/>
      <c r="X963" s="669"/>
      <c r="Y963" s="669"/>
      <c r="Z963" s="669"/>
      <c r="AA963" s="669"/>
    </row>
    <row r="964">
      <c r="A964" s="715"/>
      <c r="B964" s="669"/>
      <c r="C964" s="669"/>
      <c r="D964" s="669"/>
      <c r="E964" s="669"/>
      <c r="F964" s="669"/>
      <c r="G964" s="716"/>
      <c r="H964" s="669"/>
      <c r="I964" s="669"/>
      <c r="J964" s="669"/>
      <c r="K964" s="669"/>
      <c r="L964" s="669"/>
      <c r="M964" s="669"/>
      <c r="N964" s="669"/>
      <c r="O964" s="669"/>
      <c r="P964" s="669"/>
      <c r="Q964" s="669"/>
      <c r="R964" s="669"/>
      <c r="S964" s="669"/>
      <c r="T964" s="669"/>
      <c r="U964" s="669"/>
      <c r="V964" s="669"/>
      <c r="W964" s="669"/>
      <c r="X964" s="669"/>
      <c r="Y964" s="669"/>
      <c r="Z964" s="669"/>
      <c r="AA964" s="669"/>
    </row>
    <row r="965">
      <c r="A965" s="715"/>
      <c r="B965" s="669"/>
      <c r="C965" s="669"/>
      <c r="D965" s="669"/>
      <c r="E965" s="669"/>
      <c r="F965" s="669"/>
      <c r="G965" s="716"/>
      <c r="H965" s="669"/>
      <c r="I965" s="669"/>
      <c r="J965" s="669"/>
      <c r="K965" s="669"/>
      <c r="L965" s="669"/>
      <c r="M965" s="669"/>
      <c r="N965" s="669"/>
      <c r="O965" s="669"/>
      <c r="P965" s="669"/>
      <c r="Q965" s="669"/>
      <c r="R965" s="669"/>
      <c r="S965" s="669"/>
      <c r="T965" s="669"/>
      <c r="U965" s="669"/>
      <c r="V965" s="669"/>
      <c r="W965" s="669"/>
      <c r="X965" s="669"/>
      <c r="Y965" s="669"/>
      <c r="Z965" s="669"/>
      <c r="AA965" s="669"/>
    </row>
    <row r="966">
      <c r="A966" s="715"/>
      <c r="B966" s="669"/>
      <c r="C966" s="669"/>
      <c r="D966" s="669"/>
      <c r="E966" s="669"/>
      <c r="F966" s="669"/>
      <c r="G966" s="716"/>
      <c r="H966" s="669"/>
      <c r="I966" s="669"/>
      <c r="J966" s="669"/>
      <c r="K966" s="669"/>
      <c r="L966" s="669"/>
      <c r="M966" s="669"/>
      <c r="N966" s="669"/>
      <c r="O966" s="669"/>
      <c r="P966" s="669"/>
      <c r="Q966" s="669"/>
      <c r="R966" s="669"/>
      <c r="S966" s="669"/>
      <c r="T966" s="669"/>
      <c r="U966" s="669"/>
      <c r="V966" s="669"/>
      <c r="W966" s="669"/>
      <c r="X966" s="669"/>
      <c r="Y966" s="669"/>
      <c r="Z966" s="669"/>
      <c r="AA966" s="669"/>
    </row>
    <row r="967">
      <c r="A967" s="715"/>
      <c r="B967" s="669"/>
      <c r="C967" s="669"/>
      <c r="D967" s="669"/>
      <c r="E967" s="669"/>
      <c r="F967" s="669"/>
      <c r="G967" s="716"/>
      <c r="H967" s="669"/>
      <c r="I967" s="669"/>
      <c r="J967" s="669"/>
      <c r="K967" s="669"/>
      <c r="L967" s="669"/>
      <c r="M967" s="669"/>
      <c r="N967" s="669"/>
      <c r="O967" s="669"/>
      <c r="P967" s="669"/>
      <c r="Q967" s="669"/>
      <c r="R967" s="669"/>
      <c r="S967" s="669"/>
      <c r="T967" s="669"/>
      <c r="U967" s="669"/>
      <c r="V967" s="669"/>
      <c r="W967" s="669"/>
      <c r="X967" s="669"/>
      <c r="Y967" s="669"/>
      <c r="Z967" s="669"/>
      <c r="AA967" s="669"/>
    </row>
    <row r="968">
      <c r="A968" s="715"/>
      <c r="B968" s="669"/>
      <c r="C968" s="669"/>
      <c r="D968" s="669"/>
      <c r="E968" s="669"/>
      <c r="F968" s="669"/>
      <c r="G968" s="716"/>
      <c r="H968" s="669"/>
      <c r="I968" s="669"/>
      <c r="J968" s="669"/>
      <c r="K968" s="669"/>
      <c r="L968" s="669"/>
      <c r="M968" s="669"/>
      <c r="N968" s="669"/>
      <c r="O968" s="669"/>
      <c r="P968" s="669"/>
      <c r="Q968" s="669"/>
      <c r="R968" s="669"/>
      <c r="S968" s="669"/>
      <c r="T968" s="669"/>
      <c r="U968" s="669"/>
      <c r="V968" s="669"/>
      <c r="W968" s="669"/>
      <c r="X968" s="669"/>
      <c r="Y968" s="669"/>
      <c r="Z968" s="669"/>
      <c r="AA968" s="669"/>
    </row>
    <row r="969">
      <c r="A969" s="715"/>
      <c r="B969" s="669"/>
      <c r="C969" s="669"/>
      <c r="D969" s="669"/>
      <c r="E969" s="669"/>
      <c r="F969" s="669"/>
      <c r="G969" s="716"/>
      <c r="H969" s="669"/>
      <c r="I969" s="669"/>
      <c r="J969" s="669"/>
      <c r="K969" s="669"/>
      <c r="L969" s="669"/>
      <c r="M969" s="669"/>
      <c r="N969" s="669"/>
      <c r="O969" s="669"/>
      <c r="P969" s="669"/>
      <c r="Q969" s="669"/>
      <c r="R969" s="669"/>
      <c r="S969" s="669"/>
      <c r="T969" s="669"/>
      <c r="U969" s="669"/>
      <c r="V969" s="669"/>
      <c r="W969" s="669"/>
      <c r="X969" s="669"/>
      <c r="Y969" s="669"/>
      <c r="Z969" s="669"/>
      <c r="AA969" s="669"/>
    </row>
    <row r="970">
      <c r="A970" s="715"/>
      <c r="B970" s="669"/>
      <c r="C970" s="669"/>
      <c r="D970" s="669"/>
      <c r="E970" s="669"/>
      <c r="F970" s="669"/>
      <c r="G970" s="716"/>
      <c r="H970" s="669"/>
      <c r="I970" s="669"/>
      <c r="J970" s="669"/>
      <c r="K970" s="669"/>
      <c r="L970" s="669"/>
      <c r="M970" s="669"/>
      <c r="N970" s="669"/>
      <c r="O970" s="669"/>
      <c r="P970" s="669"/>
      <c r="Q970" s="669"/>
      <c r="R970" s="669"/>
      <c r="S970" s="669"/>
      <c r="T970" s="669"/>
      <c r="U970" s="669"/>
      <c r="V970" s="669"/>
      <c r="W970" s="669"/>
      <c r="X970" s="669"/>
      <c r="Y970" s="669"/>
      <c r="Z970" s="669"/>
      <c r="AA970" s="669"/>
    </row>
    <row r="971">
      <c r="A971" s="715"/>
      <c r="B971" s="669"/>
      <c r="C971" s="669"/>
      <c r="D971" s="669"/>
      <c r="E971" s="669"/>
      <c r="F971" s="669"/>
      <c r="G971" s="716"/>
      <c r="H971" s="669"/>
      <c r="I971" s="669"/>
      <c r="J971" s="669"/>
      <c r="K971" s="669"/>
      <c r="L971" s="669"/>
      <c r="M971" s="669"/>
      <c r="N971" s="669"/>
      <c r="O971" s="669"/>
      <c r="P971" s="669"/>
      <c r="Q971" s="669"/>
      <c r="R971" s="669"/>
      <c r="S971" s="669"/>
      <c r="T971" s="669"/>
      <c r="U971" s="669"/>
      <c r="V971" s="669"/>
      <c r="W971" s="669"/>
      <c r="X971" s="669"/>
      <c r="Y971" s="669"/>
      <c r="Z971" s="669"/>
      <c r="AA971" s="669"/>
    </row>
    <row r="972">
      <c r="A972" s="715"/>
      <c r="B972" s="669"/>
      <c r="C972" s="669"/>
      <c r="D972" s="669"/>
      <c r="E972" s="669"/>
      <c r="F972" s="669"/>
      <c r="G972" s="716"/>
      <c r="H972" s="669"/>
      <c r="I972" s="669"/>
      <c r="J972" s="669"/>
      <c r="K972" s="669"/>
      <c r="L972" s="669"/>
      <c r="M972" s="669"/>
      <c r="N972" s="669"/>
      <c r="O972" s="669"/>
      <c r="P972" s="669"/>
      <c r="Q972" s="669"/>
      <c r="R972" s="669"/>
      <c r="S972" s="669"/>
      <c r="T972" s="669"/>
      <c r="U972" s="669"/>
      <c r="V972" s="669"/>
      <c r="W972" s="669"/>
      <c r="X972" s="669"/>
      <c r="Y972" s="669"/>
      <c r="Z972" s="669"/>
      <c r="AA972" s="669"/>
    </row>
    <row r="973">
      <c r="A973" s="715"/>
      <c r="B973" s="669"/>
      <c r="C973" s="669"/>
      <c r="D973" s="669"/>
      <c r="E973" s="669"/>
      <c r="F973" s="669"/>
      <c r="G973" s="716"/>
      <c r="H973" s="669"/>
      <c r="I973" s="669"/>
      <c r="J973" s="669"/>
      <c r="K973" s="669"/>
      <c r="L973" s="669"/>
      <c r="M973" s="669"/>
      <c r="N973" s="669"/>
      <c r="O973" s="669"/>
      <c r="P973" s="669"/>
      <c r="Q973" s="669"/>
      <c r="R973" s="669"/>
      <c r="S973" s="669"/>
      <c r="T973" s="669"/>
      <c r="U973" s="669"/>
      <c r="V973" s="669"/>
      <c r="W973" s="669"/>
      <c r="X973" s="669"/>
      <c r="Y973" s="669"/>
      <c r="Z973" s="669"/>
      <c r="AA973" s="669"/>
    </row>
    <row r="974">
      <c r="A974" s="715"/>
      <c r="B974" s="669"/>
      <c r="C974" s="669"/>
      <c r="D974" s="669"/>
      <c r="E974" s="669"/>
      <c r="F974" s="669"/>
      <c r="G974" s="716"/>
      <c r="H974" s="669"/>
      <c r="I974" s="669"/>
      <c r="J974" s="669"/>
      <c r="K974" s="669"/>
      <c r="L974" s="669"/>
      <c r="M974" s="669"/>
      <c r="N974" s="669"/>
      <c r="O974" s="669"/>
      <c r="P974" s="669"/>
      <c r="Q974" s="669"/>
      <c r="R974" s="669"/>
      <c r="S974" s="669"/>
      <c r="T974" s="669"/>
      <c r="U974" s="669"/>
      <c r="V974" s="669"/>
      <c r="W974" s="669"/>
      <c r="X974" s="669"/>
      <c r="Y974" s="669"/>
      <c r="Z974" s="669"/>
      <c r="AA974" s="669"/>
    </row>
    <row r="975">
      <c r="A975" s="715"/>
      <c r="B975" s="669"/>
      <c r="C975" s="669"/>
      <c r="D975" s="669"/>
      <c r="E975" s="669"/>
      <c r="F975" s="669"/>
      <c r="G975" s="716"/>
      <c r="H975" s="669"/>
      <c r="I975" s="669"/>
      <c r="J975" s="669"/>
      <c r="K975" s="669"/>
      <c r="L975" s="669"/>
      <c r="M975" s="669"/>
      <c r="N975" s="669"/>
      <c r="O975" s="669"/>
      <c r="P975" s="669"/>
      <c r="Q975" s="669"/>
      <c r="R975" s="669"/>
      <c r="S975" s="669"/>
      <c r="T975" s="669"/>
      <c r="U975" s="669"/>
      <c r="V975" s="669"/>
      <c r="W975" s="669"/>
      <c r="X975" s="669"/>
      <c r="Y975" s="669"/>
      <c r="Z975" s="669"/>
      <c r="AA975" s="669"/>
    </row>
    <row r="976">
      <c r="A976" s="715"/>
      <c r="B976" s="669"/>
      <c r="C976" s="669"/>
      <c r="D976" s="669"/>
      <c r="E976" s="669"/>
      <c r="F976" s="669"/>
      <c r="G976" s="716"/>
      <c r="H976" s="669"/>
      <c r="I976" s="669"/>
      <c r="J976" s="669"/>
      <c r="K976" s="669"/>
      <c r="L976" s="669"/>
      <c r="M976" s="669"/>
      <c r="N976" s="669"/>
      <c r="O976" s="669"/>
      <c r="P976" s="669"/>
      <c r="Q976" s="669"/>
      <c r="R976" s="669"/>
      <c r="S976" s="669"/>
      <c r="T976" s="669"/>
      <c r="U976" s="669"/>
      <c r="V976" s="669"/>
      <c r="W976" s="669"/>
      <c r="X976" s="669"/>
      <c r="Y976" s="669"/>
      <c r="Z976" s="669"/>
      <c r="AA976" s="669"/>
    </row>
    <row r="977">
      <c r="A977" s="715"/>
      <c r="B977" s="669"/>
      <c r="C977" s="669"/>
      <c r="D977" s="669"/>
      <c r="E977" s="669"/>
      <c r="F977" s="669"/>
      <c r="G977" s="716"/>
      <c r="H977" s="669"/>
      <c r="I977" s="669"/>
      <c r="J977" s="669"/>
      <c r="K977" s="669"/>
      <c r="L977" s="669"/>
      <c r="M977" s="669"/>
      <c r="N977" s="669"/>
      <c r="O977" s="669"/>
      <c r="P977" s="669"/>
      <c r="Q977" s="669"/>
      <c r="R977" s="669"/>
      <c r="S977" s="669"/>
      <c r="T977" s="669"/>
      <c r="U977" s="669"/>
      <c r="V977" s="669"/>
      <c r="W977" s="669"/>
      <c r="X977" s="669"/>
      <c r="Y977" s="669"/>
      <c r="Z977" s="669"/>
      <c r="AA977" s="669"/>
    </row>
    <row r="978">
      <c r="A978" s="715"/>
      <c r="B978" s="669"/>
      <c r="C978" s="669"/>
      <c r="D978" s="669"/>
      <c r="E978" s="669"/>
      <c r="F978" s="669"/>
      <c r="G978" s="716"/>
      <c r="H978" s="669"/>
      <c r="I978" s="669"/>
      <c r="J978" s="669"/>
      <c r="K978" s="669"/>
      <c r="L978" s="669"/>
      <c r="M978" s="669"/>
      <c r="N978" s="669"/>
      <c r="O978" s="669"/>
      <c r="P978" s="669"/>
      <c r="Q978" s="669"/>
      <c r="R978" s="669"/>
      <c r="S978" s="669"/>
      <c r="T978" s="669"/>
      <c r="U978" s="669"/>
      <c r="V978" s="669"/>
      <c r="W978" s="669"/>
      <c r="X978" s="669"/>
      <c r="Y978" s="669"/>
      <c r="Z978" s="669"/>
      <c r="AA978" s="669"/>
    </row>
    <row r="979">
      <c r="A979" s="715"/>
      <c r="B979" s="669"/>
      <c r="C979" s="669"/>
      <c r="D979" s="669"/>
      <c r="E979" s="669"/>
      <c r="F979" s="669"/>
      <c r="G979" s="716"/>
      <c r="H979" s="669"/>
      <c r="I979" s="669"/>
      <c r="J979" s="669"/>
      <c r="K979" s="669"/>
      <c r="L979" s="669"/>
      <c r="M979" s="669"/>
      <c r="N979" s="669"/>
      <c r="O979" s="669"/>
      <c r="P979" s="669"/>
      <c r="Q979" s="669"/>
      <c r="R979" s="669"/>
      <c r="S979" s="669"/>
      <c r="T979" s="669"/>
      <c r="U979" s="669"/>
      <c r="V979" s="669"/>
      <c r="W979" s="669"/>
      <c r="X979" s="669"/>
      <c r="Y979" s="669"/>
      <c r="Z979" s="669"/>
      <c r="AA979" s="669"/>
    </row>
    <row r="980">
      <c r="A980" s="715"/>
      <c r="B980" s="669"/>
      <c r="C980" s="669"/>
      <c r="D980" s="669"/>
      <c r="E980" s="669"/>
      <c r="F980" s="669"/>
      <c r="G980" s="716"/>
      <c r="H980" s="669"/>
      <c r="I980" s="669"/>
      <c r="J980" s="669"/>
      <c r="K980" s="669"/>
      <c r="L980" s="669"/>
      <c r="M980" s="669"/>
      <c r="N980" s="669"/>
      <c r="O980" s="669"/>
      <c r="P980" s="669"/>
      <c r="Q980" s="669"/>
      <c r="R980" s="669"/>
      <c r="S980" s="669"/>
      <c r="T980" s="669"/>
      <c r="U980" s="669"/>
      <c r="V980" s="669"/>
      <c r="W980" s="669"/>
      <c r="X980" s="669"/>
      <c r="Y980" s="669"/>
      <c r="Z980" s="669"/>
      <c r="AA980" s="669"/>
    </row>
    <row r="981">
      <c r="A981" s="715"/>
      <c r="B981" s="669"/>
      <c r="C981" s="669"/>
      <c r="D981" s="669"/>
      <c r="E981" s="669"/>
      <c r="F981" s="669"/>
      <c r="G981" s="716"/>
      <c r="H981" s="669"/>
      <c r="I981" s="669"/>
      <c r="J981" s="669"/>
      <c r="K981" s="669"/>
      <c r="L981" s="669"/>
      <c r="M981" s="669"/>
      <c r="N981" s="669"/>
      <c r="O981" s="669"/>
      <c r="P981" s="669"/>
      <c r="Q981" s="669"/>
      <c r="R981" s="669"/>
      <c r="S981" s="669"/>
      <c r="T981" s="669"/>
      <c r="U981" s="669"/>
      <c r="V981" s="669"/>
      <c r="W981" s="669"/>
      <c r="X981" s="669"/>
      <c r="Y981" s="669"/>
      <c r="Z981" s="669"/>
      <c r="AA981" s="669"/>
    </row>
    <row r="982">
      <c r="A982" s="715"/>
      <c r="B982" s="669"/>
      <c r="C982" s="669"/>
      <c r="D982" s="669"/>
      <c r="E982" s="669"/>
      <c r="F982" s="669"/>
      <c r="G982" s="716"/>
      <c r="H982" s="669"/>
      <c r="I982" s="669"/>
      <c r="J982" s="669"/>
      <c r="K982" s="669"/>
      <c r="L982" s="669"/>
      <c r="M982" s="669"/>
      <c r="N982" s="669"/>
      <c r="O982" s="669"/>
      <c r="P982" s="669"/>
      <c r="Q982" s="669"/>
      <c r="R982" s="669"/>
      <c r="S982" s="669"/>
      <c r="T982" s="669"/>
      <c r="U982" s="669"/>
      <c r="V982" s="669"/>
      <c r="W982" s="669"/>
      <c r="X982" s="669"/>
      <c r="Y982" s="669"/>
      <c r="Z982" s="669"/>
      <c r="AA982" s="669"/>
    </row>
    <row r="983">
      <c r="A983" s="715"/>
      <c r="B983" s="669"/>
      <c r="C983" s="669"/>
      <c r="D983" s="669"/>
      <c r="E983" s="669"/>
      <c r="F983" s="669"/>
      <c r="G983" s="716"/>
      <c r="H983" s="669"/>
      <c r="I983" s="669"/>
      <c r="J983" s="669"/>
      <c r="K983" s="669"/>
      <c r="L983" s="669"/>
      <c r="M983" s="669"/>
      <c r="N983" s="669"/>
      <c r="O983" s="669"/>
      <c r="P983" s="669"/>
      <c r="Q983" s="669"/>
      <c r="R983" s="669"/>
      <c r="S983" s="669"/>
      <c r="T983" s="669"/>
      <c r="U983" s="669"/>
      <c r="V983" s="669"/>
      <c r="W983" s="669"/>
      <c r="X983" s="669"/>
      <c r="Y983" s="669"/>
      <c r="Z983" s="669"/>
      <c r="AA983" s="669"/>
    </row>
    <row r="984">
      <c r="A984" s="715"/>
      <c r="B984" s="669"/>
      <c r="C984" s="669"/>
      <c r="D984" s="669"/>
      <c r="E984" s="669"/>
      <c r="F984" s="669"/>
      <c r="G984" s="716"/>
      <c r="H984" s="669"/>
      <c r="I984" s="669"/>
      <c r="J984" s="669"/>
      <c r="K984" s="669"/>
      <c r="L984" s="669"/>
      <c r="M984" s="669"/>
      <c r="N984" s="669"/>
      <c r="O984" s="669"/>
      <c r="P984" s="669"/>
      <c r="Q984" s="669"/>
      <c r="R984" s="669"/>
      <c r="S984" s="669"/>
      <c r="T984" s="669"/>
      <c r="U984" s="669"/>
      <c r="V984" s="669"/>
      <c r="W984" s="669"/>
      <c r="X984" s="669"/>
      <c r="Y984" s="669"/>
      <c r="Z984" s="669"/>
      <c r="AA984" s="669"/>
    </row>
    <row r="985">
      <c r="A985" s="715"/>
      <c r="B985" s="669"/>
      <c r="C985" s="669"/>
      <c r="D985" s="669"/>
      <c r="E985" s="717"/>
      <c r="F985" s="669"/>
      <c r="G985" s="716"/>
      <c r="H985" s="669"/>
      <c r="I985" s="669"/>
      <c r="J985" s="669"/>
      <c r="K985" s="669"/>
      <c r="L985" s="669"/>
      <c r="M985" s="669"/>
      <c r="N985" s="669"/>
      <c r="O985" s="669"/>
      <c r="P985" s="669"/>
      <c r="Q985" s="669"/>
      <c r="R985" s="669"/>
      <c r="S985" s="669"/>
      <c r="T985" s="669"/>
      <c r="U985" s="669"/>
      <c r="V985" s="669"/>
      <c r="W985" s="669"/>
      <c r="X985" s="669"/>
      <c r="Y985" s="669"/>
      <c r="Z985" s="669"/>
      <c r="AA985" s="669"/>
    </row>
    <row r="986">
      <c r="A986" s="715"/>
      <c r="B986" s="669"/>
      <c r="C986" s="669"/>
      <c r="D986" s="669"/>
      <c r="E986" s="717"/>
      <c r="F986" s="669"/>
      <c r="G986" s="716"/>
      <c r="H986" s="669"/>
      <c r="I986" s="669"/>
      <c r="J986" s="669"/>
      <c r="K986" s="669"/>
      <c r="L986" s="669"/>
      <c r="M986" s="669"/>
      <c r="N986" s="669"/>
      <c r="O986" s="669"/>
      <c r="P986" s="669"/>
      <c r="Q986" s="669"/>
      <c r="R986" s="669"/>
      <c r="S986" s="669"/>
      <c r="T986" s="669"/>
      <c r="U986" s="669"/>
      <c r="V986" s="669"/>
      <c r="W986" s="669"/>
      <c r="X986" s="669"/>
      <c r="Y986" s="669"/>
      <c r="Z986" s="669"/>
      <c r="AA986" s="669"/>
    </row>
    <row r="987">
      <c r="A987" s="715"/>
      <c r="B987" s="669"/>
      <c r="C987" s="669"/>
      <c r="D987" s="669"/>
      <c r="E987" s="717"/>
      <c r="F987" s="669"/>
      <c r="G987" s="716"/>
      <c r="H987" s="669"/>
      <c r="I987" s="669"/>
      <c r="J987" s="669"/>
      <c r="K987" s="669"/>
      <c r="L987" s="669"/>
      <c r="M987" s="669"/>
      <c r="N987" s="669"/>
      <c r="O987" s="669"/>
      <c r="P987" s="669"/>
      <c r="Q987" s="669"/>
      <c r="R987" s="669"/>
      <c r="S987" s="669"/>
      <c r="T987" s="669"/>
      <c r="U987" s="669"/>
      <c r="V987" s="669"/>
      <c r="W987" s="669"/>
      <c r="X987" s="669"/>
      <c r="Y987" s="669"/>
      <c r="Z987" s="669"/>
      <c r="AA987" s="669"/>
    </row>
    <row r="988">
      <c r="A988" s="715"/>
      <c r="B988" s="669"/>
      <c r="C988" s="669"/>
      <c r="D988" s="669"/>
      <c r="E988" s="717"/>
      <c r="F988" s="669"/>
      <c r="G988" s="716"/>
      <c r="H988" s="669"/>
      <c r="I988" s="669"/>
      <c r="J988" s="669"/>
      <c r="K988" s="669"/>
      <c r="L988" s="669"/>
      <c r="M988" s="669"/>
      <c r="N988" s="669"/>
      <c r="O988" s="669"/>
      <c r="P988" s="669"/>
      <c r="Q988" s="669"/>
      <c r="R988" s="669"/>
      <c r="S988" s="669"/>
      <c r="T988" s="669"/>
      <c r="U988" s="669"/>
      <c r="V988" s="669"/>
      <c r="W988" s="669"/>
      <c r="X988" s="669"/>
      <c r="Y988" s="669"/>
      <c r="Z988" s="669"/>
      <c r="AA988" s="669"/>
    </row>
    <row r="989">
      <c r="A989" s="715"/>
      <c r="B989" s="669"/>
      <c r="C989" s="669"/>
      <c r="D989" s="669"/>
      <c r="E989" s="717"/>
      <c r="F989" s="669"/>
      <c r="G989" s="716"/>
      <c r="H989" s="669"/>
      <c r="I989" s="669"/>
      <c r="J989" s="669"/>
      <c r="K989" s="669"/>
      <c r="L989" s="669"/>
      <c r="M989" s="669"/>
      <c r="N989" s="669"/>
      <c r="O989" s="669"/>
      <c r="P989" s="669"/>
      <c r="Q989" s="669"/>
      <c r="R989" s="669"/>
      <c r="S989" s="669"/>
      <c r="T989" s="669"/>
      <c r="U989" s="669"/>
      <c r="V989" s="669"/>
      <c r="W989" s="669"/>
      <c r="X989" s="669"/>
      <c r="Y989" s="669"/>
      <c r="Z989" s="669"/>
      <c r="AA989" s="669"/>
    </row>
    <row r="990">
      <c r="A990" s="715"/>
      <c r="B990" s="669"/>
      <c r="C990" s="669"/>
      <c r="D990" s="669"/>
      <c r="E990" s="717"/>
      <c r="F990" s="669"/>
      <c r="G990" s="716"/>
      <c r="H990" s="669"/>
      <c r="I990" s="669"/>
      <c r="J990" s="669"/>
      <c r="K990" s="669"/>
      <c r="L990" s="669"/>
      <c r="M990" s="669"/>
      <c r="N990" s="669"/>
      <c r="O990" s="669"/>
      <c r="P990" s="669"/>
      <c r="Q990" s="669"/>
      <c r="R990" s="669"/>
      <c r="S990" s="669"/>
      <c r="T990" s="669"/>
      <c r="U990" s="669"/>
      <c r="V990" s="669"/>
      <c r="W990" s="669"/>
      <c r="X990" s="669"/>
      <c r="Y990" s="669"/>
      <c r="Z990" s="669"/>
      <c r="AA990" s="669"/>
    </row>
    <row r="991">
      <c r="A991" s="715"/>
      <c r="B991" s="669"/>
      <c r="C991" s="669"/>
      <c r="D991" s="669"/>
      <c r="E991" s="717"/>
      <c r="F991" s="669"/>
      <c r="G991" s="716"/>
      <c r="H991" s="669"/>
      <c r="I991" s="669"/>
      <c r="J991" s="669"/>
      <c r="K991" s="669"/>
      <c r="L991" s="669"/>
      <c r="M991" s="669"/>
      <c r="N991" s="669"/>
      <c r="O991" s="669"/>
      <c r="P991" s="669"/>
      <c r="Q991" s="669"/>
      <c r="R991" s="669"/>
      <c r="S991" s="669"/>
      <c r="T991" s="669"/>
      <c r="U991" s="669"/>
      <c r="V991" s="669"/>
      <c r="W991" s="669"/>
      <c r="X991" s="669"/>
      <c r="Y991" s="669"/>
      <c r="Z991" s="669"/>
      <c r="AA991" s="669"/>
    </row>
    <row r="992">
      <c r="A992" s="715"/>
      <c r="B992" s="669"/>
      <c r="C992" s="669"/>
      <c r="D992" s="669"/>
      <c r="E992" s="717"/>
      <c r="F992" s="669"/>
      <c r="G992" s="716"/>
      <c r="H992" s="669"/>
      <c r="I992" s="669"/>
      <c r="J992" s="669"/>
      <c r="K992" s="669"/>
      <c r="L992" s="669"/>
      <c r="M992" s="669"/>
      <c r="N992" s="669"/>
      <c r="O992" s="669"/>
      <c r="P992" s="669"/>
      <c r="Q992" s="669"/>
      <c r="R992" s="669"/>
      <c r="S992" s="669"/>
      <c r="T992" s="669"/>
      <c r="U992" s="669"/>
      <c r="V992" s="669"/>
      <c r="W992" s="669"/>
      <c r="X992" s="669"/>
      <c r="Y992" s="669"/>
      <c r="Z992" s="669"/>
      <c r="AA992" s="669"/>
    </row>
    <row r="993">
      <c r="A993" s="715"/>
      <c r="B993" s="669"/>
      <c r="C993" s="669"/>
      <c r="D993" s="669"/>
      <c r="E993" s="717"/>
      <c r="F993" s="669"/>
      <c r="G993" s="716"/>
      <c r="H993" s="669"/>
      <c r="I993" s="669"/>
      <c r="J993" s="669"/>
      <c r="K993" s="669"/>
      <c r="L993" s="669"/>
      <c r="M993" s="669"/>
      <c r="N993" s="669"/>
      <c r="O993" s="669"/>
      <c r="P993" s="669"/>
      <c r="Q993" s="669"/>
      <c r="R993" s="669"/>
      <c r="S993" s="669"/>
      <c r="T993" s="669"/>
      <c r="U993" s="669"/>
      <c r="V993" s="669"/>
      <c r="W993" s="669"/>
      <c r="X993" s="669"/>
      <c r="Y993" s="669"/>
      <c r="Z993" s="669"/>
      <c r="AA993" s="669"/>
    </row>
    <row r="994">
      <c r="A994" s="715"/>
      <c r="B994" s="669"/>
      <c r="C994" s="669"/>
      <c r="D994" s="669"/>
      <c r="E994" s="717"/>
      <c r="F994" s="669"/>
      <c r="G994" s="716"/>
      <c r="H994" s="669"/>
      <c r="I994" s="669"/>
      <c r="J994" s="669"/>
      <c r="K994" s="669"/>
      <c r="L994" s="669"/>
      <c r="M994" s="669"/>
      <c r="N994" s="669"/>
      <c r="O994" s="669"/>
      <c r="P994" s="669"/>
      <c r="Q994" s="669"/>
      <c r="R994" s="669"/>
      <c r="S994" s="669"/>
      <c r="T994" s="669"/>
      <c r="U994" s="669"/>
      <c r="V994" s="669"/>
      <c r="W994" s="669"/>
      <c r="X994" s="669"/>
      <c r="Y994" s="669"/>
      <c r="Z994" s="669"/>
      <c r="AA994" s="669"/>
    </row>
    <row r="995">
      <c r="A995" s="715"/>
      <c r="B995" s="669"/>
      <c r="C995" s="669"/>
      <c r="D995" s="669"/>
      <c r="E995" s="717"/>
      <c r="F995" s="669"/>
      <c r="G995" s="716"/>
      <c r="H995" s="669"/>
      <c r="I995" s="669"/>
      <c r="J995" s="669"/>
      <c r="K995" s="669"/>
      <c r="L995" s="669"/>
      <c r="M995" s="669"/>
      <c r="N995" s="669"/>
      <c r="O995" s="669"/>
      <c r="P995" s="669"/>
      <c r="Q995" s="669"/>
      <c r="R995" s="669"/>
      <c r="S995" s="669"/>
      <c r="T995" s="669"/>
      <c r="U995" s="669"/>
      <c r="V995" s="669"/>
      <c r="W995" s="669"/>
      <c r="X995" s="669"/>
      <c r="Y995" s="669"/>
      <c r="Z995" s="669"/>
      <c r="AA995" s="669"/>
    </row>
    <row r="996">
      <c r="A996" s="715"/>
      <c r="B996" s="669"/>
      <c r="C996" s="669"/>
      <c r="D996" s="669"/>
      <c r="E996" s="717"/>
      <c r="F996" s="669"/>
      <c r="G996" s="716"/>
      <c r="H996" s="669"/>
      <c r="I996" s="669"/>
      <c r="J996" s="669"/>
      <c r="K996" s="669"/>
      <c r="L996" s="669"/>
      <c r="M996" s="669"/>
      <c r="N996" s="669"/>
      <c r="O996" s="669"/>
      <c r="P996" s="669"/>
      <c r="Q996" s="669"/>
      <c r="R996" s="669"/>
      <c r="S996" s="669"/>
      <c r="T996" s="669"/>
      <c r="U996" s="669"/>
      <c r="V996" s="669"/>
      <c r="W996" s="669"/>
      <c r="X996" s="669"/>
      <c r="Y996" s="669"/>
      <c r="Z996" s="669"/>
      <c r="AA996" s="669"/>
    </row>
    <row r="997">
      <c r="A997" s="715"/>
      <c r="B997" s="669"/>
      <c r="C997" s="669"/>
      <c r="D997" s="669"/>
      <c r="E997" s="717"/>
      <c r="F997" s="669"/>
      <c r="G997" s="716"/>
      <c r="H997" s="669"/>
      <c r="I997" s="669"/>
      <c r="J997" s="669"/>
      <c r="K997" s="669"/>
      <c r="L997" s="669"/>
      <c r="M997" s="669"/>
      <c r="N997" s="669"/>
      <c r="O997" s="669"/>
      <c r="P997" s="669"/>
      <c r="Q997" s="669"/>
      <c r="R997" s="669"/>
      <c r="S997" s="669"/>
      <c r="T997" s="669"/>
      <c r="U997" s="669"/>
      <c r="V997" s="669"/>
      <c r="W997" s="669"/>
      <c r="X997" s="669"/>
      <c r="Y997" s="669"/>
      <c r="Z997" s="669"/>
      <c r="AA997" s="669"/>
    </row>
    <row r="998">
      <c r="A998" s="715"/>
      <c r="B998" s="669"/>
      <c r="C998" s="669"/>
      <c r="D998" s="669"/>
      <c r="E998" s="717"/>
      <c r="F998" s="669"/>
      <c r="G998" s="716"/>
      <c r="H998" s="669"/>
      <c r="I998" s="669"/>
      <c r="J998" s="669"/>
      <c r="K998" s="669"/>
      <c r="L998" s="669"/>
      <c r="M998" s="669"/>
      <c r="N998" s="669"/>
      <c r="O998" s="669"/>
      <c r="P998" s="669"/>
      <c r="Q998" s="669"/>
      <c r="R998" s="669"/>
      <c r="S998" s="669"/>
      <c r="T998" s="669"/>
      <c r="U998" s="669"/>
      <c r="V998" s="669"/>
      <c r="W998" s="669"/>
      <c r="X998" s="669"/>
      <c r="Y998" s="669"/>
      <c r="Z998" s="669"/>
      <c r="AA998" s="669"/>
    </row>
    <row r="999">
      <c r="A999" s="715"/>
      <c r="B999" s="669"/>
      <c r="C999" s="669"/>
      <c r="D999" s="669"/>
      <c r="E999" s="717"/>
      <c r="F999" s="669"/>
      <c r="G999" s="716"/>
      <c r="H999" s="669"/>
      <c r="I999" s="669"/>
      <c r="J999" s="669"/>
      <c r="K999" s="669"/>
      <c r="L999" s="669"/>
      <c r="M999" s="669"/>
      <c r="N999" s="669"/>
      <c r="O999" s="669"/>
      <c r="P999" s="669"/>
      <c r="Q999" s="669"/>
      <c r="R999" s="669"/>
      <c r="S999" s="669"/>
      <c r="T999" s="669"/>
      <c r="U999" s="669"/>
      <c r="V999" s="669"/>
      <c r="W999" s="669"/>
      <c r="X999" s="669"/>
      <c r="Y999" s="669"/>
      <c r="Z999" s="669"/>
      <c r="AA999" s="669"/>
    </row>
    <row r="1000">
      <c r="A1000" s="715"/>
      <c r="B1000" s="669"/>
      <c r="C1000" s="669"/>
      <c r="D1000" s="669"/>
      <c r="E1000" s="717"/>
      <c r="F1000" s="669"/>
      <c r="G1000" s="716"/>
      <c r="H1000" s="669"/>
      <c r="I1000" s="669"/>
      <c r="J1000" s="669"/>
      <c r="K1000" s="669"/>
      <c r="L1000" s="669"/>
      <c r="M1000" s="669"/>
      <c r="N1000" s="669"/>
      <c r="O1000" s="669"/>
      <c r="P1000" s="669"/>
      <c r="Q1000" s="669"/>
      <c r="R1000" s="669"/>
      <c r="S1000" s="669"/>
      <c r="T1000" s="669"/>
      <c r="U1000" s="669"/>
      <c r="V1000" s="669"/>
      <c r="W1000" s="669"/>
      <c r="X1000" s="669"/>
      <c r="Y1000" s="669"/>
      <c r="Z1000" s="669"/>
      <c r="AA1000" s="669"/>
    </row>
    <row r="1001">
      <c r="A1001" s="715"/>
      <c r="B1001" s="669"/>
      <c r="C1001" s="669"/>
      <c r="D1001" s="669"/>
      <c r="E1001" s="717"/>
      <c r="F1001" s="669"/>
      <c r="G1001" s="716"/>
      <c r="H1001" s="669"/>
      <c r="I1001" s="669"/>
      <c r="J1001" s="669"/>
      <c r="K1001" s="669"/>
      <c r="L1001" s="669"/>
      <c r="M1001" s="669"/>
      <c r="N1001" s="669"/>
      <c r="O1001" s="669"/>
      <c r="P1001" s="669"/>
      <c r="Q1001" s="669"/>
      <c r="R1001" s="669"/>
      <c r="S1001" s="669"/>
      <c r="T1001" s="669"/>
      <c r="U1001" s="669"/>
      <c r="V1001" s="669"/>
      <c r="W1001" s="669"/>
      <c r="X1001" s="669"/>
      <c r="Y1001" s="669"/>
      <c r="Z1001" s="669"/>
      <c r="AA1001" s="669"/>
    </row>
    <row r="1002">
      <c r="A1002" s="715"/>
      <c r="B1002" s="669"/>
      <c r="C1002" s="669"/>
      <c r="D1002" s="669"/>
      <c r="E1002" s="717"/>
      <c r="F1002" s="669"/>
      <c r="G1002" s="716"/>
      <c r="H1002" s="669"/>
      <c r="I1002" s="669"/>
      <c r="J1002" s="669"/>
      <c r="K1002" s="669"/>
      <c r="L1002" s="669"/>
      <c r="M1002" s="669"/>
      <c r="N1002" s="669"/>
      <c r="O1002" s="669"/>
      <c r="P1002" s="669"/>
      <c r="Q1002" s="669"/>
      <c r="R1002" s="669"/>
      <c r="S1002" s="669"/>
      <c r="T1002" s="669"/>
      <c r="U1002" s="669"/>
      <c r="V1002" s="669"/>
      <c r="W1002" s="669"/>
      <c r="X1002" s="669"/>
      <c r="Y1002" s="669"/>
      <c r="Z1002" s="669"/>
      <c r="AA1002" s="669"/>
    </row>
    <row r="1003">
      <c r="A1003" s="715"/>
      <c r="B1003" s="669"/>
      <c r="C1003" s="669"/>
      <c r="D1003" s="669"/>
      <c r="E1003" s="717"/>
      <c r="F1003" s="669"/>
      <c r="G1003" s="716"/>
      <c r="H1003" s="669"/>
      <c r="I1003" s="669"/>
      <c r="J1003" s="669"/>
      <c r="K1003" s="669"/>
      <c r="L1003" s="669"/>
      <c r="M1003" s="669"/>
      <c r="N1003" s="669"/>
      <c r="O1003" s="669"/>
      <c r="P1003" s="669"/>
      <c r="Q1003" s="669"/>
      <c r="R1003" s="669"/>
      <c r="S1003" s="669"/>
      <c r="T1003" s="669"/>
      <c r="U1003" s="669"/>
      <c r="V1003" s="669"/>
      <c r="W1003" s="669"/>
      <c r="X1003" s="669"/>
      <c r="Y1003" s="669"/>
      <c r="Z1003" s="669"/>
      <c r="AA1003" s="669"/>
    </row>
    <row r="1004">
      <c r="A1004" s="715"/>
      <c r="B1004" s="669"/>
      <c r="C1004" s="669"/>
      <c r="D1004" s="669"/>
      <c r="E1004" s="717"/>
      <c r="F1004" s="669"/>
      <c r="G1004" s="716"/>
      <c r="H1004" s="669"/>
      <c r="I1004" s="669"/>
      <c r="J1004" s="669"/>
      <c r="K1004" s="669"/>
      <c r="L1004" s="669"/>
      <c r="M1004" s="669"/>
      <c r="N1004" s="669"/>
      <c r="O1004" s="669"/>
      <c r="P1004" s="669"/>
      <c r="Q1004" s="669"/>
      <c r="R1004" s="669"/>
      <c r="S1004" s="669"/>
      <c r="T1004" s="669"/>
      <c r="U1004" s="669"/>
      <c r="V1004" s="669"/>
      <c r="W1004" s="669"/>
      <c r="X1004" s="669"/>
      <c r="Y1004" s="669"/>
      <c r="Z1004" s="669"/>
      <c r="AA1004" s="669"/>
    </row>
    <row r="1005">
      <c r="A1005" s="715"/>
      <c r="B1005" s="669"/>
      <c r="C1005" s="669"/>
      <c r="D1005" s="669"/>
      <c r="E1005" s="717"/>
      <c r="F1005" s="669"/>
      <c r="G1005" s="716"/>
      <c r="H1005" s="669"/>
      <c r="I1005" s="669"/>
      <c r="J1005" s="669"/>
      <c r="K1005" s="669"/>
      <c r="L1005" s="669"/>
      <c r="M1005" s="669"/>
      <c r="N1005" s="669"/>
      <c r="O1005" s="669"/>
      <c r="P1005" s="669"/>
      <c r="Q1005" s="669"/>
      <c r="R1005" s="669"/>
      <c r="S1005" s="669"/>
      <c r="T1005" s="669"/>
      <c r="U1005" s="669"/>
      <c r="V1005" s="669"/>
      <c r="W1005" s="669"/>
      <c r="X1005" s="669"/>
      <c r="Y1005" s="669"/>
      <c r="Z1005" s="669"/>
      <c r="AA1005" s="669"/>
    </row>
    <row r="1006">
      <c r="A1006" s="715"/>
      <c r="B1006" s="669"/>
      <c r="C1006" s="669"/>
      <c r="D1006" s="669"/>
      <c r="E1006" s="717"/>
      <c r="F1006" s="669"/>
      <c r="G1006" s="716"/>
      <c r="H1006" s="669"/>
      <c r="I1006" s="669"/>
      <c r="J1006" s="669"/>
      <c r="K1006" s="669"/>
      <c r="L1006" s="669"/>
      <c r="M1006" s="669"/>
      <c r="N1006" s="669"/>
      <c r="O1006" s="669"/>
      <c r="P1006" s="669"/>
      <c r="Q1006" s="669"/>
      <c r="R1006" s="669"/>
      <c r="S1006" s="669"/>
      <c r="T1006" s="669"/>
      <c r="U1006" s="669"/>
      <c r="V1006" s="669"/>
      <c r="W1006" s="669"/>
      <c r="X1006" s="669"/>
      <c r="Y1006" s="669"/>
      <c r="Z1006" s="669"/>
      <c r="AA1006" s="669"/>
    </row>
    <row r="1007">
      <c r="A1007" s="715"/>
      <c r="B1007" s="669"/>
      <c r="C1007" s="669"/>
      <c r="D1007" s="669"/>
      <c r="E1007" s="717"/>
      <c r="F1007" s="669"/>
      <c r="G1007" s="716"/>
      <c r="H1007" s="669"/>
      <c r="I1007" s="669"/>
      <c r="J1007" s="669"/>
      <c r="K1007" s="669"/>
      <c r="L1007" s="669"/>
      <c r="M1007" s="669"/>
      <c r="N1007" s="669"/>
      <c r="O1007" s="669"/>
      <c r="P1007" s="669"/>
      <c r="Q1007" s="669"/>
      <c r="R1007" s="669"/>
      <c r="S1007" s="669"/>
      <c r="T1007" s="669"/>
      <c r="U1007" s="669"/>
      <c r="V1007" s="669"/>
      <c r="W1007" s="669"/>
      <c r="X1007" s="669"/>
      <c r="Y1007" s="669"/>
      <c r="Z1007" s="669"/>
      <c r="AA1007" s="669"/>
    </row>
    <row r="1008">
      <c r="A1008" s="715"/>
      <c r="B1008" s="669"/>
      <c r="C1008" s="669"/>
      <c r="D1008" s="669"/>
      <c r="E1008" s="717"/>
      <c r="F1008" s="669"/>
      <c r="G1008" s="716"/>
      <c r="H1008" s="669"/>
      <c r="I1008" s="669"/>
      <c r="J1008" s="669"/>
      <c r="K1008" s="669"/>
      <c r="L1008" s="669"/>
      <c r="M1008" s="669"/>
      <c r="N1008" s="669"/>
      <c r="O1008" s="669"/>
      <c r="P1008" s="669"/>
      <c r="Q1008" s="669"/>
      <c r="R1008" s="669"/>
      <c r="S1008" s="669"/>
      <c r="T1008" s="669"/>
      <c r="U1008" s="669"/>
      <c r="V1008" s="669"/>
      <c r="W1008" s="669"/>
      <c r="X1008" s="669"/>
      <c r="Y1008" s="669"/>
      <c r="Z1008" s="669"/>
      <c r="AA1008" s="669"/>
    </row>
    <row r="1009">
      <c r="A1009" s="715"/>
      <c r="B1009" s="669"/>
      <c r="C1009" s="669"/>
      <c r="D1009" s="669"/>
      <c r="E1009" s="717"/>
      <c r="F1009" s="669"/>
      <c r="G1009" s="716"/>
      <c r="H1009" s="669"/>
      <c r="I1009" s="669"/>
      <c r="J1009" s="669"/>
      <c r="K1009" s="669"/>
      <c r="L1009" s="669"/>
      <c r="M1009" s="669"/>
      <c r="N1009" s="669"/>
      <c r="O1009" s="669"/>
      <c r="P1009" s="669"/>
      <c r="Q1009" s="669"/>
      <c r="R1009" s="669"/>
      <c r="S1009" s="669"/>
      <c r="T1009" s="669"/>
      <c r="U1009" s="669"/>
      <c r="V1009" s="669"/>
      <c r="W1009" s="669"/>
      <c r="X1009" s="669"/>
      <c r="Y1009" s="669"/>
      <c r="Z1009" s="669"/>
      <c r="AA1009" s="669"/>
    </row>
    <row r="1010">
      <c r="A1010" s="715"/>
      <c r="B1010" s="669"/>
      <c r="C1010" s="669"/>
      <c r="D1010" s="669"/>
      <c r="E1010" s="717"/>
      <c r="F1010" s="669"/>
      <c r="G1010" s="716"/>
      <c r="H1010" s="669"/>
      <c r="I1010" s="669"/>
      <c r="J1010" s="669"/>
      <c r="K1010" s="669"/>
      <c r="L1010" s="669"/>
      <c r="M1010" s="669"/>
      <c r="N1010" s="669"/>
      <c r="O1010" s="669"/>
      <c r="P1010" s="669"/>
      <c r="Q1010" s="669"/>
      <c r="R1010" s="669"/>
      <c r="S1010" s="669"/>
      <c r="T1010" s="669"/>
      <c r="U1010" s="669"/>
      <c r="V1010" s="669"/>
      <c r="W1010" s="669"/>
      <c r="X1010" s="669"/>
      <c r="Y1010" s="669"/>
      <c r="Z1010" s="669"/>
      <c r="AA1010" s="669"/>
    </row>
    <row r="1011">
      <c r="A1011" s="715"/>
      <c r="B1011" s="669"/>
      <c r="C1011" s="669"/>
      <c r="D1011" s="669"/>
      <c r="E1011" s="717"/>
      <c r="F1011" s="669"/>
      <c r="G1011" s="716"/>
      <c r="H1011" s="669"/>
      <c r="I1011" s="669"/>
      <c r="J1011" s="669"/>
      <c r="K1011" s="669"/>
      <c r="L1011" s="669"/>
      <c r="M1011" s="669"/>
      <c r="N1011" s="669"/>
      <c r="O1011" s="669"/>
      <c r="P1011" s="669"/>
      <c r="Q1011" s="669"/>
      <c r="R1011" s="669"/>
      <c r="S1011" s="669"/>
      <c r="T1011" s="669"/>
      <c r="U1011" s="669"/>
      <c r="V1011" s="669"/>
      <c r="W1011" s="669"/>
      <c r="X1011" s="669"/>
      <c r="Y1011" s="669"/>
      <c r="Z1011" s="669"/>
      <c r="AA1011" s="669"/>
    </row>
    <row r="1012">
      <c r="A1012" s="715"/>
      <c r="B1012" s="669"/>
      <c r="C1012" s="669"/>
      <c r="D1012" s="669"/>
      <c r="E1012" s="717"/>
      <c r="F1012" s="669"/>
      <c r="G1012" s="716"/>
      <c r="H1012" s="669"/>
      <c r="I1012" s="669"/>
      <c r="J1012" s="669"/>
      <c r="K1012" s="669"/>
      <c r="L1012" s="669"/>
      <c r="M1012" s="669"/>
      <c r="N1012" s="669"/>
      <c r="O1012" s="669"/>
      <c r="P1012" s="669"/>
      <c r="Q1012" s="669"/>
      <c r="R1012" s="669"/>
      <c r="S1012" s="669"/>
      <c r="T1012" s="669"/>
      <c r="U1012" s="669"/>
      <c r="V1012" s="669"/>
      <c r="W1012" s="669"/>
      <c r="X1012" s="669"/>
      <c r="Y1012" s="669"/>
      <c r="Z1012" s="669"/>
      <c r="AA1012" s="669"/>
    </row>
    <row r="1013">
      <c r="A1013" s="715"/>
      <c r="B1013" s="669"/>
      <c r="C1013" s="669"/>
      <c r="D1013" s="669"/>
      <c r="E1013" s="717"/>
      <c r="F1013" s="669"/>
      <c r="G1013" s="716"/>
      <c r="H1013" s="669"/>
      <c r="I1013" s="669"/>
      <c r="J1013" s="669"/>
      <c r="K1013" s="669"/>
      <c r="L1013" s="669"/>
      <c r="M1013" s="669"/>
      <c r="N1013" s="669"/>
      <c r="O1013" s="669"/>
      <c r="P1013" s="669"/>
      <c r="Q1013" s="669"/>
      <c r="R1013" s="669"/>
      <c r="S1013" s="669"/>
      <c r="T1013" s="669"/>
      <c r="U1013" s="669"/>
      <c r="V1013" s="669"/>
      <c r="W1013" s="669"/>
      <c r="X1013" s="669"/>
      <c r="Y1013" s="669"/>
      <c r="Z1013" s="669"/>
      <c r="AA1013" s="669"/>
    </row>
    <row r="1014">
      <c r="A1014" s="715"/>
      <c r="B1014" s="669"/>
      <c r="C1014" s="669"/>
      <c r="D1014" s="669"/>
      <c r="E1014" s="717"/>
      <c r="F1014" s="669"/>
      <c r="G1014" s="716"/>
      <c r="H1014" s="669"/>
      <c r="I1014" s="669"/>
      <c r="J1014" s="669"/>
      <c r="K1014" s="669"/>
      <c r="L1014" s="669"/>
      <c r="M1014" s="669"/>
      <c r="N1014" s="669"/>
      <c r="O1014" s="669"/>
      <c r="P1014" s="669"/>
      <c r="Q1014" s="669"/>
      <c r="R1014" s="669"/>
      <c r="S1014" s="669"/>
      <c r="T1014" s="669"/>
      <c r="U1014" s="669"/>
      <c r="V1014" s="669"/>
      <c r="W1014" s="669"/>
      <c r="X1014" s="669"/>
      <c r="Y1014" s="669"/>
      <c r="Z1014" s="669"/>
      <c r="AA1014" s="669"/>
    </row>
    <row r="1015">
      <c r="A1015" s="715"/>
      <c r="B1015" s="669"/>
      <c r="C1015" s="669"/>
      <c r="D1015" s="669"/>
      <c r="E1015" s="717"/>
      <c r="F1015" s="669"/>
      <c r="G1015" s="716"/>
      <c r="H1015" s="669"/>
      <c r="I1015" s="669"/>
      <c r="J1015" s="669"/>
      <c r="K1015" s="669"/>
      <c r="L1015" s="669"/>
      <c r="M1015" s="669"/>
      <c r="N1015" s="669"/>
      <c r="O1015" s="669"/>
      <c r="P1015" s="669"/>
      <c r="Q1015" s="669"/>
      <c r="R1015" s="669"/>
      <c r="S1015" s="669"/>
      <c r="T1015" s="669"/>
      <c r="U1015" s="669"/>
      <c r="V1015" s="669"/>
      <c r="W1015" s="669"/>
      <c r="X1015" s="669"/>
      <c r="Y1015" s="669"/>
      <c r="Z1015" s="669"/>
      <c r="AA1015" s="669"/>
    </row>
    <row r="1016">
      <c r="A1016" s="715"/>
      <c r="B1016" s="669"/>
      <c r="C1016" s="669"/>
      <c r="D1016" s="669"/>
      <c r="E1016" s="717"/>
      <c r="F1016" s="669"/>
      <c r="G1016" s="716"/>
      <c r="H1016" s="669"/>
      <c r="I1016" s="669"/>
      <c r="J1016" s="669"/>
      <c r="K1016" s="669"/>
      <c r="L1016" s="669"/>
      <c r="M1016" s="669"/>
      <c r="N1016" s="669"/>
      <c r="O1016" s="669"/>
      <c r="P1016" s="669"/>
      <c r="Q1016" s="669"/>
      <c r="R1016" s="669"/>
      <c r="S1016" s="669"/>
      <c r="T1016" s="669"/>
      <c r="U1016" s="669"/>
      <c r="V1016" s="669"/>
      <c r="W1016" s="669"/>
      <c r="X1016" s="669"/>
      <c r="Y1016" s="669"/>
      <c r="Z1016" s="669"/>
      <c r="AA1016" s="669"/>
    </row>
    <row r="1017">
      <c r="A1017" s="715"/>
      <c r="B1017" s="669"/>
      <c r="C1017" s="669"/>
      <c r="D1017" s="669"/>
      <c r="E1017" s="717"/>
      <c r="F1017" s="669"/>
      <c r="G1017" s="716"/>
      <c r="H1017" s="669"/>
      <c r="I1017" s="669"/>
      <c r="J1017" s="669"/>
      <c r="K1017" s="669"/>
      <c r="L1017" s="669"/>
      <c r="M1017" s="669"/>
      <c r="N1017" s="669"/>
      <c r="O1017" s="669"/>
      <c r="P1017" s="669"/>
      <c r="Q1017" s="669"/>
      <c r="R1017" s="669"/>
      <c r="S1017" s="669"/>
      <c r="T1017" s="669"/>
      <c r="U1017" s="669"/>
      <c r="V1017" s="669"/>
      <c r="W1017" s="669"/>
      <c r="X1017" s="669"/>
      <c r="Y1017" s="669"/>
      <c r="Z1017" s="669"/>
      <c r="AA1017" s="66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0"/>
    <col customWidth="1" min="2" max="26" width="8.56"/>
  </cols>
  <sheetData>
    <row r="1" ht="78.75" customHeight="1">
      <c r="A1" s="718" t="s">
        <v>3854</v>
      </c>
    </row>
    <row r="2">
      <c r="A2" s="719" t="s">
        <v>3855</v>
      </c>
    </row>
    <row r="3">
      <c r="A3" s="720" t="str">
        <f>FundsUsedLabel&amp;": "&amp;TEXT(FundsUsed,"$#,##0.00")&amp;" ("&amp;TEXT(FundsUsed/SUM(FundsUsed:FundsRemaining),"0%")&amp;")"</f>
        <v>#REF!</v>
      </c>
    </row>
    <row r="4">
      <c r="A4" s="720" t="str">
        <f>FundsRemainingLabel&amp;": "&amp;TEXT(FundsRemaining,"$#,##0.00")&amp;" ("&amp;TEXT(FundsRemaining/SUM(FundsUsed:FundsRemaining),"0%")&amp;")"</f>
        <v>#REF!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2022-11-10T06:07:21Z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